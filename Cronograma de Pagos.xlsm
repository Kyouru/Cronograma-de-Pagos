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Drive\CP\Cronogramas\07-29\"/>
    </mc:Choice>
  </mc:AlternateContent>
  <bookViews>
    <workbookView xWindow="-120" yWindow="-120" windowWidth="29040" windowHeight="15840"/>
  </bookViews>
  <sheets>
    <sheet name="Hoja1" sheetId="1" r:id="rId1"/>
    <sheet name="Hoja2" sheetId="2" state="hidden" r:id="rId2"/>
  </sheets>
  <definedNames>
    <definedName name="areaFija">Hoja1!$C$11</definedName>
    <definedName name="ARREGLO">Hoja1!$T$8</definedName>
    <definedName name="CUOTA">Hoja1!$N$5</definedName>
    <definedName name="CUOTAADICIONAL">Hoja1!$N$7</definedName>
    <definedName name="dataGracia">Hoja1!$A$11</definedName>
    <definedName name="InicioLimpiar">Hoja1!$A$12</definedName>
    <definedName name="MONTO">Hoja1!$K$8</definedName>
    <definedName name="NCUOTAS">Hoja1!$N$6</definedName>
    <definedName name="OBJETIVO">Hoja1!$T$7</definedName>
    <definedName name="PAGO_SIN_FIJAR">Hoja1!$G$11</definedName>
    <definedName name="PGRACIA">Hoja1!$N$8</definedName>
    <definedName name="TIPO_CUOTAS">Hoja2!$A$2:$A$5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8" i="1" l="1"/>
  <c r="C11" i="1" l="1"/>
  <c r="N9" i="1"/>
  <c r="I12" i="1"/>
  <c r="I13" i="1" l="1"/>
  <c r="J11" i="1"/>
  <c r="S11" i="1"/>
  <c r="AC4" i="1"/>
  <c r="T6" i="1"/>
  <c r="R5" i="1"/>
  <c r="I14" i="1" l="1"/>
  <c r="I15" i="1" s="1"/>
  <c r="Q12" i="1"/>
  <c r="R12" i="1"/>
  <c r="P12" i="1"/>
  <c r="I16" i="1" l="1"/>
  <c r="R13" i="1"/>
  <c r="Q13" i="1"/>
  <c r="P13" i="1"/>
  <c r="I17" i="1" l="1"/>
  <c r="Q14" i="1"/>
  <c r="R14" i="1"/>
  <c r="P14" i="1"/>
  <c r="C1" i="1"/>
  <c r="I18" i="1" l="1"/>
  <c r="P15" i="1"/>
  <c r="Q15" i="1"/>
  <c r="R15" i="1"/>
  <c r="F12" i="1"/>
  <c r="I19" i="1" l="1"/>
  <c r="J12" i="1"/>
  <c r="F13" i="1"/>
  <c r="Q16" i="1"/>
  <c r="R16" i="1"/>
  <c r="P16" i="1"/>
  <c r="R19" i="1" l="1"/>
  <c r="I20" i="1"/>
  <c r="E12" i="1"/>
  <c r="Q17" i="1"/>
  <c r="R17" i="1"/>
  <c r="P17" i="1"/>
  <c r="I21" i="1" l="1"/>
  <c r="R20" i="1"/>
  <c r="R18" i="1"/>
  <c r="Q18" i="1"/>
  <c r="P18" i="1"/>
  <c r="L12" i="1"/>
  <c r="K12" i="1"/>
  <c r="R21" i="1" l="1"/>
  <c r="I22" i="1"/>
  <c r="Q19" i="1"/>
  <c r="P19" i="1"/>
  <c r="V12" i="1"/>
  <c r="I23" i="1" l="1"/>
  <c r="R22" i="1"/>
  <c r="W12" i="1"/>
  <c r="Q20" i="1"/>
  <c r="P20" i="1"/>
  <c r="J13" i="1"/>
  <c r="F14" i="1"/>
  <c r="I24" i="1" l="1"/>
  <c r="E13" i="1"/>
  <c r="X12" i="1"/>
  <c r="Y12" i="1" s="1"/>
  <c r="K13" i="1"/>
  <c r="P21" i="1"/>
  <c r="Q21" i="1"/>
  <c r="J14" i="1"/>
  <c r="F15" i="1"/>
  <c r="J15" i="1" s="1"/>
  <c r="M15" i="1" s="1"/>
  <c r="I25" i="1" l="1"/>
  <c r="E14" i="1"/>
  <c r="E15" i="1"/>
  <c r="Z12" i="1"/>
  <c r="K14" i="1"/>
  <c r="Q22" i="1"/>
  <c r="P22" i="1"/>
  <c r="K15" i="1"/>
  <c r="F16" i="1"/>
  <c r="I26" i="1" l="1"/>
  <c r="AA12" i="1"/>
  <c r="Q23" i="1"/>
  <c r="P23" i="1"/>
  <c r="R23" i="1"/>
  <c r="J16" i="1"/>
  <c r="M16" i="1" s="1"/>
  <c r="F17" i="1"/>
  <c r="J17" i="1" s="1"/>
  <c r="M17" i="1" s="1"/>
  <c r="I27" i="1" l="1"/>
  <c r="E16" i="1"/>
  <c r="E17" i="1"/>
  <c r="AB12" i="1"/>
  <c r="K16" i="1"/>
  <c r="R24" i="1"/>
  <c r="P24" i="1"/>
  <c r="Q24" i="1"/>
  <c r="K17" i="1"/>
  <c r="F18" i="1"/>
  <c r="J18" i="1" s="1"/>
  <c r="E18" i="1" l="1"/>
  <c r="M18" i="1"/>
  <c r="I28" i="1"/>
  <c r="AC12" i="1"/>
  <c r="AD12" i="1" s="1"/>
  <c r="AE12" i="1" s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H12" i="1" s="1"/>
  <c r="K18" i="1"/>
  <c r="R25" i="1"/>
  <c r="P25" i="1"/>
  <c r="Q25" i="1"/>
  <c r="F19" i="1"/>
  <c r="J19" i="1" s="1"/>
  <c r="I29" i="1" l="1"/>
  <c r="E19" i="1"/>
  <c r="M19" i="1"/>
  <c r="K19" i="1"/>
  <c r="Q26" i="1"/>
  <c r="R26" i="1"/>
  <c r="P26" i="1"/>
  <c r="F20" i="1"/>
  <c r="I30" i="1" l="1"/>
  <c r="P27" i="1"/>
  <c r="Q27" i="1"/>
  <c r="R27" i="1"/>
  <c r="J20" i="1"/>
  <c r="M20" i="1" s="1"/>
  <c r="F21" i="1"/>
  <c r="I31" i="1" l="1"/>
  <c r="E20" i="1"/>
  <c r="Q28" i="1"/>
  <c r="R28" i="1"/>
  <c r="P28" i="1"/>
  <c r="K20" i="1"/>
  <c r="J21" i="1"/>
  <c r="M21" i="1" s="1"/>
  <c r="F22" i="1"/>
  <c r="J22" i="1" s="1"/>
  <c r="M22" i="1" s="1"/>
  <c r="I32" i="1" l="1"/>
  <c r="E22" i="1"/>
  <c r="E21" i="1"/>
  <c r="Q29" i="1"/>
  <c r="R29" i="1"/>
  <c r="P29" i="1"/>
  <c r="K22" i="1"/>
  <c r="K21" i="1"/>
  <c r="F23" i="1"/>
  <c r="J23" i="1" s="1"/>
  <c r="M23" i="1" s="1"/>
  <c r="I33" i="1" l="1"/>
  <c r="E23" i="1"/>
  <c r="R30" i="1"/>
  <c r="P30" i="1"/>
  <c r="Q30" i="1"/>
  <c r="K23" i="1"/>
  <c r="F24" i="1"/>
  <c r="J24" i="1" s="1"/>
  <c r="M24" i="1" s="1"/>
  <c r="I34" i="1" l="1"/>
  <c r="E24" i="1"/>
  <c r="K24" i="1"/>
  <c r="R31" i="1"/>
  <c r="P31" i="1"/>
  <c r="Q31" i="1"/>
  <c r="F25" i="1"/>
  <c r="J25" i="1" s="1"/>
  <c r="M25" i="1" s="1"/>
  <c r="U12" i="1"/>
  <c r="M12" i="1" s="1"/>
  <c r="O12" i="1" s="1"/>
  <c r="I35" i="1" l="1"/>
  <c r="E25" i="1"/>
  <c r="T12" i="1"/>
  <c r="Q32" i="1"/>
  <c r="R32" i="1"/>
  <c r="P32" i="1"/>
  <c r="K25" i="1"/>
  <c r="F26" i="1"/>
  <c r="I36" i="1" l="1"/>
  <c r="P33" i="1"/>
  <c r="Q33" i="1"/>
  <c r="R33" i="1"/>
  <c r="N12" i="1"/>
  <c r="J26" i="1"/>
  <c r="M26" i="1" s="1"/>
  <c r="F27" i="1"/>
  <c r="I37" i="1" l="1"/>
  <c r="E26" i="1"/>
  <c r="S12" i="1"/>
  <c r="G12" i="1"/>
  <c r="Q34" i="1"/>
  <c r="R34" i="1"/>
  <c r="P34" i="1"/>
  <c r="K26" i="1"/>
  <c r="J27" i="1"/>
  <c r="M27" i="1" s="1"/>
  <c r="F28" i="1"/>
  <c r="F29" i="1" s="1"/>
  <c r="J29" i="1" s="1"/>
  <c r="M29" i="1" s="1"/>
  <c r="I38" i="1" l="1"/>
  <c r="E29" i="1"/>
  <c r="E27" i="1"/>
  <c r="Q35" i="1"/>
  <c r="R35" i="1"/>
  <c r="P35" i="1"/>
  <c r="K27" i="1"/>
  <c r="L13" i="1"/>
  <c r="V13" i="1" s="1"/>
  <c r="J28" i="1"/>
  <c r="M28" i="1" s="1"/>
  <c r="F30" i="1"/>
  <c r="J30" i="1" s="1"/>
  <c r="M30" i="1" s="1"/>
  <c r="I39" i="1" l="1"/>
  <c r="E30" i="1"/>
  <c r="E28" i="1"/>
  <c r="K30" i="1"/>
  <c r="R36" i="1"/>
  <c r="Q36" i="1"/>
  <c r="P36" i="1"/>
  <c r="K28" i="1"/>
  <c r="W13" i="1"/>
  <c r="H13" i="1" s="1"/>
  <c r="K29" i="1"/>
  <c r="F31" i="1"/>
  <c r="J31" i="1" s="1"/>
  <c r="M31" i="1" s="1"/>
  <c r="I40" i="1" l="1"/>
  <c r="E31" i="1"/>
  <c r="K31" i="1"/>
  <c r="R37" i="1"/>
  <c r="P37" i="1"/>
  <c r="Q37" i="1"/>
  <c r="F32" i="1"/>
  <c r="J32" i="1" s="1"/>
  <c r="M32" i="1" s="1"/>
  <c r="U13" i="1"/>
  <c r="M13" i="1" s="1"/>
  <c r="I41" i="1" l="1"/>
  <c r="E32" i="1"/>
  <c r="K32" i="1"/>
  <c r="O13" i="1"/>
  <c r="T13" i="1" s="1"/>
  <c r="Q38" i="1"/>
  <c r="R38" i="1"/>
  <c r="P38" i="1"/>
  <c r="F33" i="1"/>
  <c r="J33" i="1" s="1"/>
  <c r="M33" i="1" s="1"/>
  <c r="I42" i="1" l="1"/>
  <c r="E33" i="1"/>
  <c r="K33" i="1"/>
  <c r="P39" i="1"/>
  <c r="Q39" i="1"/>
  <c r="R39" i="1"/>
  <c r="N13" i="1"/>
  <c r="F34" i="1"/>
  <c r="J34" i="1" s="1"/>
  <c r="M34" i="1" s="1"/>
  <c r="I43" i="1" l="1"/>
  <c r="E34" i="1"/>
  <c r="K34" i="1"/>
  <c r="S13" i="1"/>
  <c r="G13" i="1"/>
  <c r="Q40" i="1"/>
  <c r="R40" i="1"/>
  <c r="P40" i="1"/>
  <c r="F35" i="1"/>
  <c r="J35" i="1" s="1"/>
  <c r="M35" i="1" s="1"/>
  <c r="I44" i="1" l="1"/>
  <c r="E35" i="1"/>
  <c r="K35" i="1"/>
  <c r="Q41" i="1"/>
  <c r="P41" i="1"/>
  <c r="R41" i="1"/>
  <c r="F36" i="1"/>
  <c r="J36" i="1" s="1"/>
  <c r="M36" i="1" s="1"/>
  <c r="I45" i="1" l="1"/>
  <c r="E36" i="1"/>
  <c r="K36" i="1"/>
  <c r="R42" i="1"/>
  <c r="Q42" i="1"/>
  <c r="P42" i="1"/>
  <c r="F37" i="1"/>
  <c r="J37" i="1" s="1"/>
  <c r="M37" i="1" s="1"/>
  <c r="I46" i="1" l="1"/>
  <c r="E37" i="1"/>
  <c r="K37" i="1"/>
  <c r="R43" i="1"/>
  <c r="Q43" i="1"/>
  <c r="P43" i="1"/>
  <c r="F38" i="1"/>
  <c r="J38" i="1" s="1"/>
  <c r="M38" i="1" s="1"/>
  <c r="I47" i="1" l="1"/>
  <c r="E38" i="1"/>
  <c r="K38" i="1"/>
  <c r="Q44" i="1"/>
  <c r="R44" i="1"/>
  <c r="P44" i="1"/>
  <c r="F39" i="1"/>
  <c r="J39" i="1" s="1"/>
  <c r="M39" i="1" s="1"/>
  <c r="L14" i="1"/>
  <c r="I48" i="1" l="1"/>
  <c r="E39" i="1"/>
  <c r="K39" i="1"/>
  <c r="P45" i="1"/>
  <c r="Q45" i="1"/>
  <c r="R45" i="1"/>
  <c r="F40" i="1"/>
  <c r="J40" i="1" s="1"/>
  <c r="M40" i="1" s="1"/>
  <c r="V14" i="1"/>
  <c r="I49" i="1" l="1"/>
  <c r="E40" i="1"/>
  <c r="K40" i="1"/>
  <c r="Q46" i="1"/>
  <c r="R46" i="1"/>
  <c r="P46" i="1"/>
  <c r="W14" i="1"/>
  <c r="F41" i="1"/>
  <c r="J41" i="1" s="1"/>
  <c r="M41" i="1" s="1"/>
  <c r="I50" i="1" l="1"/>
  <c r="E41" i="1"/>
  <c r="K41" i="1"/>
  <c r="Q47" i="1"/>
  <c r="R47" i="1"/>
  <c r="P47" i="1"/>
  <c r="H14" i="1"/>
  <c r="F42" i="1"/>
  <c r="J42" i="1" s="1"/>
  <c r="M42" i="1" s="1"/>
  <c r="I51" i="1" l="1"/>
  <c r="E42" i="1"/>
  <c r="K42" i="1"/>
  <c r="R48" i="1"/>
  <c r="P48" i="1"/>
  <c r="Q48" i="1"/>
  <c r="F43" i="1"/>
  <c r="J43" i="1" s="1"/>
  <c r="M43" i="1" s="1"/>
  <c r="I52" i="1" l="1"/>
  <c r="E43" i="1"/>
  <c r="K43" i="1"/>
  <c r="R49" i="1"/>
  <c r="P49" i="1"/>
  <c r="Q49" i="1"/>
  <c r="F44" i="1"/>
  <c r="J44" i="1" s="1"/>
  <c r="M44" i="1" s="1"/>
  <c r="I53" i="1" l="1"/>
  <c r="E44" i="1"/>
  <c r="K44" i="1"/>
  <c r="Q50" i="1"/>
  <c r="R50" i="1"/>
  <c r="P50" i="1"/>
  <c r="F45" i="1"/>
  <c r="J45" i="1" s="1"/>
  <c r="M45" i="1" s="1"/>
  <c r="I54" i="1" l="1"/>
  <c r="E45" i="1"/>
  <c r="K45" i="1"/>
  <c r="P51" i="1"/>
  <c r="Q51" i="1"/>
  <c r="R51" i="1"/>
  <c r="F46" i="1"/>
  <c r="J46" i="1" s="1"/>
  <c r="M46" i="1" s="1"/>
  <c r="I55" i="1" l="1"/>
  <c r="E46" i="1"/>
  <c r="K46" i="1"/>
  <c r="Q52" i="1"/>
  <c r="R52" i="1"/>
  <c r="P52" i="1"/>
  <c r="F47" i="1"/>
  <c r="J47" i="1" s="1"/>
  <c r="M47" i="1" s="1"/>
  <c r="I56" i="1" l="1"/>
  <c r="E47" i="1"/>
  <c r="K47" i="1"/>
  <c r="Q53" i="1"/>
  <c r="R53" i="1"/>
  <c r="P53" i="1"/>
  <c r="F48" i="1"/>
  <c r="J48" i="1" s="1"/>
  <c r="M48" i="1" s="1"/>
  <c r="I57" i="1" l="1"/>
  <c r="E48" i="1"/>
  <c r="K48" i="1"/>
  <c r="R54" i="1"/>
  <c r="Q54" i="1"/>
  <c r="P54" i="1"/>
  <c r="F49" i="1"/>
  <c r="J49" i="1" s="1"/>
  <c r="M49" i="1" s="1"/>
  <c r="U14" i="1"/>
  <c r="M14" i="1" s="1"/>
  <c r="I58" i="1" l="1"/>
  <c r="E49" i="1"/>
  <c r="K49" i="1"/>
  <c r="O14" i="1"/>
  <c r="T14" i="1" s="1"/>
  <c r="R55" i="1"/>
  <c r="Q55" i="1"/>
  <c r="P55" i="1"/>
  <c r="F50" i="1"/>
  <c r="J50" i="1" s="1"/>
  <c r="M50" i="1" s="1"/>
  <c r="I59" i="1" l="1"/>
  <c r="E50" i="1"/>
  <c r="K50" i="1"/>
  <c r="Q56" i="1"/>
  <c r="R56" i="1"/>
  <c r="P56" i="1"/>
  <c r="N14" i="1"/>
  <c r="F51" i="1"/>
  <c r="J51" i="1" s="1"/>
  <c r="M51" i="1" s="1"/>
  <c r="I60" i="1" l="1"/>
  <c r="E51" i="1"/>
  <c r="K51" i="1"/>
  <c r="S14" i="1"/>
  <c r="L15" i="1" s="1"/>
  <c r="G14" i="1"/>
  <c r="P57" i="1"/>
  <c r="Q57" i="1"/>
  <c r="R57" i="1"/>
  <c r="F52" i="1"/>
  <c r="J52" i="1" s="1"/>
  <c r="M52" i="1" s="1"/>
  <c r="I61" i="1" l="1"/>
  <c r="E52" i="1"/>
  <c r="K52" i="1"/>
  <c r="Q58" i="1"/>
  <c r="R58" i="1"/>
  <c r="P58" i="1"/>
  <c r="V15" i="1"/>
  <c r="F53" i="1"/>
  <c r="J53" i="1" s="1"/>
  <c r="M53" i="1" s="1"/>
  <c r="I62" i="1" l="1"/>
  <c r="E53" i="1"/>
  <c r="K53" i="1"/>
  <c r="Q59" i="1"/>
  <c r="P59" i="1"/>
  <c r="R59" i="1"/>
  <c r="W15" i="1"/>
  <c r="F54" i="1"/>
  <c r="J54" i="1" s="1"/>
  <c r="M54" i="1" s="1"/>
  <c r="I63" i="1" l="1"/>
  <c r="E54" i="1"/>
  <c r="K54" i="1"/>
  <c r="R60" i="1"/>
  <c r="P60" i="1"/>
  <c r="Q60" i="1"/>
  <c r="H15" i="1"/>
  <c r="F55" i="1"/>
  <c r="J55" i="1" s="1"/>
  <c r="M55" i="1" s="1"/>
  <c r="I64" i="1" l="1"/>
  <c r="E55" i="1"/>
  <c r="K55" i="1"/>
  <c r="R61" i="1"/>
  <c r="P61" i="1"/>
  <c r="Q61" i="1"/>
  <c r="F56" i="1"/>
  <c r="J56" i="1" s="1"/>
  <c r="M56" i="1" s="1"/>
  <c r="I65" i="1" l="1"/>
  <c r="E56" i="1"/>
  <c r="K56" i="1"/>
  <c r="Q62" i="1"/>
  <c r="R62" i="1"/>
  <c r="P62" i="1"/>
  <c r="F57" i="1"/>
  <c r="J57" i="1" s="1"/>
  <c r="M57" i="1" s="1"/>
  <c r="I66" i="1" l="1"/>
  <c r="E57" i="1"/>
  <c r="K57" i="1"/>
  <c r="P63" i="1"/>
  <c r="Q63" i="1"/>
  <c r="R63" i="1"/>
  <c r="F58" i="1"/>
  <c r="J58" i="1" s="1"/>
  <c r="M58" i="1" s="1"/>
  <c r="I67" i="1" l="1"/>
  <c r="E58" i="1"/>
  <c r="K58" i="1"/>
  <c r="Q64" i="1"/>
  <c r="R64" i="1"/>
  <c r="P64" i="1"/>
  <c r="F59" i="1"/>
  <c r="J59" i="1" s="1"/>
  <c r="M59" i="1" s="1"/>
  <c r="U15" i="1"/>
  <c r="I68" i="1" l="1"/>
  <c r="E59" i="1"/>
  <c r="K59" i="1"/>
  <c r="O15" i="1"/>
  <c r="T15" i="1" s="1"/>
  <c r="Q65" i="1"/>
  <c r="R65" i="1"/>
  <c r="P65" i="1"/>
  <c r="F60" i="1"/>
  <c r="J60" i="1" s="1"/>
  <c r="M60" i="1" s="1"/>
  <c r="I69" i="1" l="1"/>
  <c r="E60" i="1"/>
  <c r="K60" i="1"/>
  <c r="R66" i="1"/>
  <c r="P66" i="1"/>
  <c r="Q66" i="1"/>
  <c r="N15" i="1"/>
  <c r="F61" i="1"/>
  <c r="J61" i="1" s="1"/>
  <c r="M61" i="1" s="1"/>
  <c r="I70" i="1" l="1"/>
  <c r="E61" i="1"/>
  <c r="K61" i="1"/>
  <c r="S15" i="1"/>
  <c r="G15" i="1"/>
  <c r="R67" i="1"/>
  <c r="P67" i="1"/>
  <c r="Q67" i="1"/>
  <c r="F62" i="1"/>
  <c r="J62" i="1" s="1"/>
  <c r="M62" i="1" s="1"/>
  <c r="I71" i="1" l="1"/>
  <c r="E62" i="1"/>
  <c r="K62" i="1"/>
  <c r="Q68" i="1"/>
  <c r="R68" i="1"/>
  <c r="P68" i="1"/>
  <c r="L16" i="1"/>
  <c r="F63" i="1"/>
  <c r="J63" i="1" s="1"/>
  <c r="M63" i="1" s="1"/>
  <c r="I72" i="1" l="1"/>
  <c r="E63" i="1"/>
  <c r="K63" i="1"/>
  <c r="P69" i="1"/>
  <c r="Q69" i="1"/>
  <c r="R69" i="1"/>
  <c r="V16" i="1"/>
  <c r="F64" i="1"/>
  <c r="J64" i="1" s="1"/>
  <c r="M64" i="1" s="1"/>
  <c r="I73" i="1" l="1"/>
  <c r="E64" i="1"/>
  <c r="K64" i="1"/>
  <c r="Q70" i="1"/>
  <c r="R70" i="1"/>
  <c r="P70" i="1"/>
  <c r="W16" i="1"/>
  <c r="U16" i="1" s="1"/>
  <c r="F65" i="1"/>
  <c r="J65" i="1" s="1"/>
  <c r="M65" i="1" s="1"/>
  <c r="I74" i="1" l="1"/>
  <c r="E65" i="1"/>
  <c r="K65" i="1"/>
  <c r="O16" i="1"/>
  <c r="T16" i="1" s="1"/>
  <c r="Q71" i="1"/>
  <c r="R71" i="1"/>
  <c r="P71" i="1"/>
  <c r="H16" i="1"/>
  <c r="F66" i="1"/>
  <c r="J66" i="1" s="1"/>
  <c r="M66" i="1" s="1"/>
  <c r="I75" i="1" l="1"/>
  <c r="E66" i="1"/>
  <c r="K66" i="1"/>
  <c r="R72" i="1"/>
  <c r="Q72" i="1"/>
  <c r="P72" i="1"/>
  <c r="N16" i="1"/>
  <c r="F67" i="1"/>
  <c r="J67" i="1" s="1"/>
  <c r="M67" i="1" s="1"/>
  <c r="I76" i="1" l="1"/>
  <c r="E67" i="1"/>
  <c r="K67" i="1"/>
  <c r="S16" i="1"/>
  <c r="L17" i="1" s="1"/>
  <c r="V17" i="1" s="1"/>
  <c r="G16" i="1"/>
  <c r="R73" i="1"/>
  <c r="P73" i="1"/>
  <c r="Q73" i="1"/>
  <c r="F68" i="1"/>
  <c r="J68" i="1" s="1"/>
  <c r="M68" i="1" s="1"/>
  <c r="I77" i="1" l="1"/>
  <c r="E68" i="1"/>
  <c r="K68" i="1"/>
  <c r="Q74" i="1"/>
  <c r="R74" i="1"/>
  <c r="P74" i="1"/>
  <c r="W17" i="1"/>
  <c r="F69" i="1"/>
  <c r="J69" i="1" s="1"/>
  <c r="M69" i="1" s="1"/>
  <c r="I78" i="1" l="1"/>
  <c r="E69" i="1"/>
  <c r="K69" i="1"/>
  <c r="P75" i="1"/>
  <c r="R75" i="1"/>
  <c r="Q75" i="1"/>
  <c r="F70" i="1"/>
  <c r="J70" i="1" s="1"/>
  <c r="M70" i="1" s="1"/>
  <c r="I79" i="1" l="1"/>
  <c r="E70" i="1"/>
  <c r="K70" i="1"/>
  <c r="Q76" i="1"/>
  <c r="R76" i="1"/>
  <c r="P76" i="1"/>
  <c r="F71" i="1"/>
  <c r="J71" i="1" s="1"/>
  <c r="M71" i="1" s="1"/>
  <c r="I80" i="1" l="1"/>
  <c r="E71" i="1"/>
  <c r="U17" i="1"/>
  <c r="H17" i="1"/>
  <c r="K71" i="1"/>
  <c r="Q77" i="1"/>
  <c r="P77" i="1"/>
  <c r="R77" i="1"/>
  <c r="F72" i="1"/>
  <c r="J72" i="1" s="1"/>
  <c r="M72" i="1" s="1"/>
  <c r="I81" i="1" l="1"/>
  <c r="E72" i="1"/>
  <c r="O17" i="1"/>
  <c r="T17" i="1" s="1"/>
  <c r="K72" i="1"/>
  <c r="R78" i="1"/>
  <c r="Q78" i="1"/>
  <c r="P78" i="1"/>
  <c r="F73" i="1"/>
  <c r="J73" i="1" s="1"/>
  <c r="M73" i="1" s="1"/>
  <c r="I82" i="1" l="1"/>
  <c r="E73" i="1"/>
  <c r="N17" i="1"/>
  <c r="S17" i="1" s="1"/>
  <c r="L18" i="1" s="1"/>
  <c r="V18" i="1" s="1"/>
  <c r="W18" i="1" s="1"/>
  <c r="U18" i="1" s="1"/>
  <c r="K73" i="1"/>
  <c r="R79" i="1"/>
  <c r="Q79" i="1"/>
  <c r="P79" i="1"/>
  <c r="F74" i="1"/>
  <c r="J74" i="1" s="1"/>
  <c r="M74" i="1" s="1"/>
  <c r="I83" i="1" l="1"/>
  <c r="E74" i="1"/>
  <c r="G17" i="1"/>
  <c r="O18" i="1"/>
  <c r="K74" i="1"/>
  <c r="H18" i="1"/>
  <c r="Q80" i="1"/>
  <c r="R80" i="1"/>
  <c r="P80" i="1"/>
  <c r="F75" i="1"/>
  <c r="J75" i="1" s="1"/>
  <c r="M75" i="1" s="1"/>
  <c r="I84" i="1" l="1"/>
  <c r="E75" i="1"/>
  <c r="T18" i="1"/>
  <c r="N18" i="1"/>
  <c r="S18" i="1" s="1"/>
  <c r="L19" i="1" s="1"/>
  <c r="K75" i="1"/>
  <c r="P81" i="1"/>
  <c r="R81" i="1"/>
  <c r="Q81" i="1"/>
  <c r="F76" i="1"/>
  <c r="J76" i="1" s="1"/>
  <c r="M76" i="1" s="1"/>
  <c r="I85" i="1" l="1"/>
  <c r="E76" i="1"/>
  <c r="G18" i="1"/>
  <c r="K76" i="1"/>
  <c r="V19" i="1"/>
  <c r="W19" i="1" s="1"/>
  <c r="Q82" i="1"/>
  <c r="R82" i="1"/>
  <c r="P82" i="1"/>
  <c r="F77" i="1"/>
  <c r="J77" i="1" s="1"/>
  <c r="M77" i="1" s="1"/>
  <c r="I86" i="1" l="1"/>
  <c r="E77" i="1"/>
  <c r="K77" i="1"/>
  <c r="Q83" i="1"/>
  <c r="R83" i="1"/>
  <c r="P83" i="1"/>
  <c r="F78" i="1"/>
  <c r="J78" i="1" s="1"/>
  <c r="M78" i="1" s="1"/>
  <c r="I87" i="1" l="1"/>
  <c r="E78" i="1"/>
  <c r="K78" i="1"/>
  <c r="R84" i="1"/>
  <c r="Q84" i="1"/>
  <c r="P84" i="1"/>
  <c r="F79" i="1"/>
  <c r="J79" i="1" s="1"/>
  <c r="M79" i="1" s="1"/>
  <c r="I88" i="1" l="1"/>
  <c r="E79" i="1"/>
  <c r="K79" i="1"/>
  <c r="H19" i="1"/>
  <c r="R85" i="1"/>
  <c r="Q85" i="1"/>
  <c r="P85" i="1"/>
  <c r="F80" i="1"/>
  <c r="J80" i="1" s="1"/>
  <c r="M80" i="1" s="1"/>
  <c r="I89" i="1" l="1"/>
  <c r="E80" i="1"/>
  <c r="K80" i="1"/>
  <c r="U19" i="1"/>
  <c r="Q86" i="1"/>
  <c r="R86" i="1"/>
  <c r="P86" i="1"/>
  <c r="F81" i="1"/>
  <c r="J81" i="1" s="1"/>
  <c r="M81" i="1" s="1"/>
  <c r="I90" i="1" l="1"/>
  <c r="E81" i="1"/>
  <c r="O19" i="1"/>
  <c r="K81" i="1"/>
  <c r="P87" i="1"/>
  <c r="R87" i="1"/>
  <c r="Q87" i="1"/>
  <c r="F82" i="1"/>
  <c r="J82" i="1" s="1"/>
  <c r="M82" i="1" s="1"/>
  <c r="I91" i="1" l="1"/>
  <c r="E82" i="1"/>
  <c r="N19" i="1"/>
  <c r="T19" i="1"/>
  <c r="K82" i="1"/>
  <c r="Q88" i="1"/>
  <c r="R88" i="1"/>
  <c r="P88" i="1"/>
  <c r="F83" i="1"/>
  <c r="J83" i="1" s="1"/>
  <c r="M83" i="1" s="1"/>
  <c r="I92" i="1" l="1"/>
  <c r="E83" i="1"/>
  <c r="S19" i="1"/>
  <c r="L20" i="1" s="1"/>
  <c r="V20" i="1" s="1"/>
  <c r="W20" i="1" s="1"/>
  <c r="H20" i="1" s="1"/>
  <c r="G19" i="1"/>
  <c r="K83" i="1"/>
  <c r="Q89" i="1"/>
  <c r="R89" i="1"/>
  <c r="P89" i="1"/>
  <c r="F84" i="1"/>
  <c r="J84" i="1" s="1"/>
  <c r="M84" i="1" s="1"/>
  <c r="I93" i="1" l="1"/>
  <c r="E84" i="1"/>
  <c r="U20" i="1"/>
  <c r="O20" i="1" s="1"/>
  <c r="T20" i="1" s="1"/>
  <c r="K84" i="1"/>
  <c r="R90" i="1"/>
  <c r="Q90" i="1"/>
  <c r="P90" i="1"/>
  <c r="F85" i="1"/>
  <c r="J85" i="1" s="1"/>
  <c r="M85" i="1" s="1"/>
  <c r="I94" i="1" l="1"/>
  <c r="E85" i="1"/>
  <c r="N20" i="1"/>
  <c r="G20" i="1" s="1"/>
  <c r="K85" i="1"/>
  <c r="R91" i="1"/>
  <c r="P91" i="1"/>
  <c r="Q91" i="1"/>
  <c r="F86" i="1"/>
  <c r="J86" i="1" s="1"/>
  <c r="M86" i="1" s="1"/>
  <c r="I95" i="1" l="1"/>
  <c r="E86" i="1"/>
  <c r="S20" i="1"/>
  <c r="L21" i="1" s="1"/>
  <c r="V21" i="1" s="1"/>
  <c r="W21" i="1" s="1"/>
  <c r="K86" i="1"/>
  <c r="Q92" i="1"/>
  <c r="R92" i="1"/>
  <c r="P92" i="1"/>
  <c r="F87" i="1"/>
  <c r="J87" i="1" s="1"/>
  <c r="M87" i="1" s="1"/>
  <c r="I96" i="1" l="1"/>
  <c r="E87" i="1"/>
  <c r="K87" i="1"/>
  <c r="U21" i="1"/>
  <c r="O21" i="1" s="1"/>
  <c r="T21" i="1" s="1"/>
  <c r="H21" i="1"/>
  <c r="P93" i="1"/>
  <c r="R93" i="1"/>
  <c r="Q93" i="1"/>
  <c r="F88" i="1"/>
  <c r="J88" i="1" s="1"/>
  <c r="M88" i="1" s="1"/>
  <c r="I97" i="1" l="1"/>
  <c r="E88" i="1"/>
  <c r="N21" i="1"/>
  <c r="S21" i="1" s="1"/>
  <c r="L22" i="1" s="1"/>
  <c r="K88" i="1"/>
  <c r="Q94" i="1"/>
  <c r="R94" i="1"/>
  <c r="P94" i="1"/>
  <c r="F89" i="1"/>
  <c r="J89" i="1" s="1"/>
  <c r="M89" i="1" s="1"/>
  <c r="I98" i="1" l="1"/>
  <c r="E89" i="1"/>
  <c r="G21" i="1"/>
  <c r="K89" i="1"/>
  <c r="V22" i="1"/>
  <c r="W22" i="1" s="1"/>
  <c r="U22" i="1" s="1"/>
  <c r="Q95" i="1"/>
  <c r="P95" i="1"/>
  <c r="R95" i="1"/>
  <c r="F90" i="1"/>
  <c r="J90" i="1" s="1"/>
  <c r="M90" i="1" s="1"/>
  <c r="I99" i="1" l="1"/>
  <c r="E90" i="1"/>
  <c r="K90" i="1"/>
  <c r="O22" i="1"/>
  <c r="N22" i="1" s="1"/>
  <c r="S22" i="1" s="1"/>
  <c r="L23" i="1" s="1"/>
  <c r="H22" i="1"/>
  <c r="R96" i="1"/>
  <c r="Q96" i="1"/>
  <c r="P96" i="1"/>
  <c r="F91" i="1"/>
  <c r="J91" i="1" s="1"/>
  <c r="M91" i="1" s="1"/>
  <c r="I100" i="1" l="1"/>
  <c r="E91" i="1"/>
  <c r="T22" i="1"/>
  <c r="V23" i="1" s="1"/>
  <c r="W23" i="1" s="1"/>
  <c r="U23" i="1" s="1"/>
  <c r="O23" i="1" s="1"/>
  <c r="K91" i="1"/>
  <c r="G22" i="1"/>
  <c r="R97" i="1"/>
  <c r="Q97" i="1"/>
  <c r="P97" i="1"/>
  <c r="F92" i="1"/>
  <c r="J92" i="1" s="1"/>
  <c r="M92" i="1" s="1"/>
  <c r="I101" i="1" l="1"/>
  <c r="E92" i="1"/>
  <c r="K92" i="1"/>
  <c r="N23" i="1"/>
  <c r="S23" i="1" s="1"/>
  <c r="L24" i="1" s="1"/>
  <c r="T23" i="1"/>
  <c r="H23" i="1"/>
  <c r="Q98" i="1"/>
  <c r="R98" i="1"/>
  <c r="P98" i="1"/>
  <c r="F93" i="1"/>
  <c r="J93" i="1" s="1"/>
  <c r="M93" i="1" s="1"/>
  <c r="I102" i="1" l="1"/>
  <c r="E93" i="1"/>
  <c r="G23" i="1"/>
  <c r="K93" i="1"/>
  <c r="V24" i="1"/>
  <c r="W24" i="1" s="1"/>
  <c r="H24" i="1" s="1"/>
  <c r="P99" i="1"/>
  <c r="R99" i="1"/>
  <c r="Q99" i="1"/>
  <c r="F94" i="1"/>
  <c r="J94" i="1" s="1"/>
  <c r="M94" i="1" s="1"/>
  <c r="I103" i="1" l="1"/>
  <c r="E94" i="1"/>
  <c r="K94" i="1"/>
  <c r="Q100" i="1"/>
  <c r="R100" i="1"/>
  <c r="P100" i="1"/>
  <c r="U24" i="1"/>
  <c r="F95" i="1"/>
  <c r="J95" i="1" s="1"/>
  <c r="M95" i="1" s="1"/>
  <c r="I104" i="1" l="1"/>
  <c r="E95" i="1"/>
  <c r="K95" i="1"/>
  <c r="Q101" i="1"/>
  <c r="R101" i="1"/>
  <c r="P101" i="1"/>
  <c r="O24" i="1"/>
  <c r="T24" i="1" s="1"/>
  <c r="F96" i="1"/>
  <c r="J96" i="1" s="1"/>
  <c r="M96" i="1" s="1"/>
  <c r="I105" i="1" l="1"/>
  <c r="E96" i="1"/>
  <c r="K96" i="1"/>
  <c r="N24" i="1"/>
  <c r="R102" i="1"/>
  <c r="P102" i="1"/>
  <c r="Q102" i="1"/>
  <c r="F97" i="1"/>
  <c r="J97" i="1" s="1"/>
  <c r="M97" i="1" s="1"/>
  <c r="I106" i="1" l="1"/>
  <c r="E97" i="1"/>
  <c r="K97" i="1"/>
  <c r="S24" i="1"/>
  <c r="L25" i="1" s="1"/>
  <c r="G24" i="1"/>
  <c r="R103" i="1"/>
  <c r="P103" i="1"/>
  <c r="Q103" i="1"/>
  <c r="F98" i="1"/>
  <c r="J98" i="1" s="1"/>
  <c r="M98" i="1" s="1"/>
  <c r="I107" i="1" l="1"/>
  <c r="E98" i="1"/>
  <c r="K98" i="1"/>
  <c r="V25" i="1"/>
  <c r="W25" i="1" s="1"/>
  <c r="Q104" i="1"/>
  <c r="R104" i="1"/>
  <c r="P104" i="1"/>
  <c r="F99" i="1"/>
  <c r="J99" i="1" s="1"/>
  <c r="M99" i="1" s="1"/>
  <c r="I108" i="1" l="1"/>
  <c r="E99" i="1"/>
  <c r="K99" i="1"/>
  <c r="P105" i="1"/>
  <c r="R105" i="1"/>
  <c r="Q105" i="1"/>
  <c r="U25" i="1"/>
  <c r="F100" i="1"/>
  <c r="J100" i="1" s="1"/>
  <c r="M100" i="1" s="1"/>
  <c r="I109" i="1" l="1"/>
  <c r="E100" i="1"/>
  <c r="K100" i="1"/>
  <c r="R106" i="1"/>
  <c r="Q106" i="1"/>
  <c r="P106" i="1"/>
  <c r="O25" i="1"/>
  <c r="N25" i="1" s="1"/>
  <c r="S25" i="1" s="1"/>
  <c r="L26" i="1" s="1"/>
  <c r="H25" i="1"/>
  <c r="F101" i="1"/>
  <c r="J101" i="1" s="1"/>
  <c r="M101" i="1" s="1"/>
  <c r="I110" i="1" l="1"/>
  <c r="E101" i="1"/>
  <c r="K101" i="1"/>
  <c r="G25" i="1"/>
  <c r="T25" i="1"/>
  <c r="Q107" i="1"/>
  <c r="R107" i="1"/>
  <c r="P107" i="1"/>
  <c r="F102" i="1"/>
  <c r="J102" i="1" s="1"/>
  <c r="M102" i="1" s="1"/>
  <c r="I111" i="1" l="1"/>
  <c r="E102" i="1"/>
  <c r="K102" i="1"/>
  <c r="V26" i="1"/>
  <c r="R108" i="1"/>
  <c r="Q108" i="1"/>
  <c r="P108" i="1"/>
  <c r="F103" i="1"/>
  <c r="J103" i="1" s="1"/>
  <c r="M103" i="1" s="1"/>
  <c r="I112" i="1" l="1"/>
  <c r="E103" i="1"/>
  <c r="K103" i="1"/>
  <c r="W26" i="1"/>
  <c r="H26" i="1" s="1"/>
  <c r="R109" i="1"/>
  <c r="P109" i="1"/>
  <c r="Q109" i="1"/>
  <c r="F104" i="1"/>
  <c r="J104" i="1" s="1"/>
  <c r="M104" i="1" s="1"/>
  <c r="I113" i="1" l="1"/>
  <c r="E104" i="1"/>
  <c r="K104" i="1"/>
  <c r="U26" i="1"/>
  <c r="O26" i="1" s="1"/>
  <c r="Q110" i="1"/>
  <c r="R110" i="1"/>
  <c r="P110" i="1"/>
  <c r="F105" i="1"/>
  <c r="J105" i="1" s="1"/>
  <c r="M105" i="1" s="1"/>
  <c r="I114" i="1" l="1"/>
  <c r="E105" i="1"/>
  <c r="K105" i="1"/>
  <c r="T26" i="1"/>
  <c r="N26" i="1"/>
  <c r="P111" i="1"/>
  <c r="R111" i="1"/>
  <c r="Q111" i="1"/>
  <c r="F106" i="1"/>
  <c r="J106" i="1" s="1"/>
  <c r="M106" i="1" s="1"/>
  <c r="I115" i="1" l="1"/>
  <c r="E106" i="1"/>
  <c r="K106" i="1"/>
  <c r="S26" i="1"/>
  <c r="L27" i="1" s="1"/>
  <c r="G26" i="1"/>
  <c r="R112" i="1"/>
  <c r="Q112" i="1"/>
  <c r="P112" i="1"/>
  <c r="F107" i="1"/>
  <c r="J107" i="1" s="1"/>
  <c r="M107" i="1" s="1"/>
  <c r="I116" i="1" l="1"/>
  <c r="E107" i="1"/>
  <c r="K107" i="1"/>
  <c r="V27" i="1"/>
  <c r="W27" i="1" s="1"/>
  <c r="Q113" i="1"/>
  <c r="P113" i="1"/>
  <c r="R113" i="1"/>
  <c r="F108" i="1"/>
  <c r="J108" i="1" s="1"/>
  <c r="M108" i="1" s="1"/>
  <c r="I117" i="1" l="1"/>
  <c r="E108" i="1"/>
  <c r="K108" i="1"/>
  <c r="H27" i="1"/>
  <c r="U27" i="1"/>
  <c r="O27" i="1" s="1"/>
  <c r="N27" i="1" s="1"/>
  <c r="R114" i="1"/>
  <c r="Q114" i="1"/>
  <c r="P114" i="1"/>
  <c r="F109" i="1"/>
  <c r="J109" i="1" s="1"/>
  <c r="M109" i="1" s="1"/>
  <c r="I118" i="1" l="1"/>
  <c r="E109" i="1"/>
  <c r="K109" i="1"/>
  <c r="S27" i="1"/>
  <c r="L28" i="1" s="1"/>
  <c r="G27" i="1"/>
  <c r="T27" i="1"/>
  <c r="R115" i="1"/>
  <c r="Q115" i="1"/>
  <c r="P115" i="1"/>
  <c r="F110" i="1"/>
  <c r="J110" i="1" s="1"/>
  <c r="M110" i="1" s="1"/>
  <c r="I119" i="1" l="1"/>
  <c r="E110" i="1"/>
  <c r="K110" i="1"/>
  <c r="V28" i="1"/>
  <c r="W28" i="1" s="1"/>
  <c r="Q116" i="1"/>
  <c r="R116" i="1"/>
  <c r="P116" i="1"/>
  <c r="F111" i="1"/>
  <c r="J111" i="1" s="1"/>
  <c r="M111" i="1" s="1"/>
  <c r="I120" i="1" l="1"/>
  <c r="E111" i="1"/>
  <c r="K111" i="1"/>
  <c r="H28" i="1"/>
  <c r="U28" i="1"/>
  <c r="O28" i="1" s="1"/>
  <c r="N28" i="1" s="1"/>
  <c r="P117" i="1"/>
  <c r="R117" i="1"/>
  <c r="Q117" i="1"/>
  <c r="F112" i="1"/>
  <c r="J112" i="1" s="1"/>
  <c r="M112" i="1" s="1"/>
  <c r="I121" i="1" l="1"/>
  <c r="E112" i="1"/>
  <c r="K112" i="1"/>
  <c r="T28" i="1"/>
  <c r="S28" i="1"/>
  <c r="L29" i="1" s="1"/>
  <c r="G28" i="1"/>
  <c r="R118" i="1"/>
  <c r="P118" i="1"/>
  <c r="Q118" i="1"/>
  <c r="F113" i="1"/>
  <c r="J113" i="1" s="1"/>
  <c r="M113" i="1" s="1"/>
  <c r="I122" i="1" l="1"/>
  <c r="E113" i="1"/>
  <c r="K113" i="1"/>
  <c r="V29" i="1"/>
  <c r="W29" i="1" s="1"/>
  <c r="Q119" i="1"/>
  <c r="R119" i="1"/>
  <c r="P119" i="1"/>
  <c r="F114" i="1"/>
  <c r="J114" i="1" s="1"/>
  <c r="M114" i="1" s="1"/>
  <c r="I123" i="1" l="1"/>
  <c r="E114" i="1"/>
  <c r="K114" i="1"/>
  <c r="U29" i="1"/>
  <c r="O29" i="1" s="1"/>
  <c r="N29" i="1" s="1"/>
  <c r="H29" i="1"/>
  <c r="R120" i="1"/>
  <c r="Q120" i="1"/>
  <c r="P120" i="1"/>
  <c r="F115" i="1"/>
  <c r="J115" i="1" s="1"/>
  <c r="M115" i="1" s="1"/>
  <c r="I124" i="1" l="1"/>
  <c r="E115" i="1"/>
  <c r="T29" i="1"/>
  <c r="K115" i="1"/>
  <c r="S29" i="1"/>
  <c r="L30" i="1" s="1"/>
  <c r="G29" i="1"/>
  <c r="R121" i="1"/>
  <c r="Q121" i="1"/>
  <c r="P121" i="1"/>
  <c r="F116" i="1"/>
  <c r="J116" i="1" s="1"/>
  <c r="M116" i="1" s="1"/>
  <c r="I125" i="1" l="1"/>
  <c r="E116" i="1"/>
  <c r="K116" i="1"/>
  <c r="V30" i="1"/>
  <c r="W30" i="1" s="1"/>
  <c r="Q122" i="1"/>
  <c r="R122" i="1"/>
  <c r="P122" i="1"/>
  <c r="F117" i="1"/>
  <c r="J117" i="1" s="1"/>
  <c r="M117" i="1" s="1"/>
  <c r="I126" i="1" l="1"/>
  <c r="E117" i="1"/>
  <c r="K117" i="1"/>
  <c r="U30" i="1"/>
  <c r="O30" i="1" s="1"/>
  <c r="H30" i="1"/>
  <c r="P123" i="1"/>
  <c r="R123" i="1"/>
  <c r="Q123" i="1"/>
  <c r="F118" i="1"/>
  <c r="J118" i="1" s="1"/>
  <c r="M118" i="1" s="1"/>
  <c r="I127" i="1" l="1"/>
  <c r="E118" i="1"/>
  <c r="K118" i="1"/>
  <c r="T30" i="1"/>
  <c r="N30" i="1"/>
  <c r="R124" i="1"/>
  <c r="Q124" i="1"/>
  <c r="P124" i="1"/>
  <c r="F119" i="1"/>
  <c r="J119" i="1" s="1"/>
  <c r="M119" i="1" s="1"/>
  <c r="I128" i="1" l="1"/>
  <c r="E119" i="1"/>
  <c r="K119" i="1"/>
  <c r="G30" i="1"/>
  <c r="S30" i="1"/>
  <c r="L31" i="1" s="1"/>
  <c r="Q125" i="1"/>
  <c r="R125" i="1"/>
  <c r="P125" i="1"/>
  <c r="F120" i="1"/>
  <c r="J120" i="1" s="1"/>
  <c r="M120" i="1" s="1"/>
  <c r="I129" i="1" l="1"/>
  <c r="E120" i="1"/>
  <c r="K120" i="1"/>
  <c r="V31" i="1"/>
  <c r="W31" i="1" s="1"/>
  <c r="R126" i="1"/>
  <c r="Q126" i="1"/>
  <c r="P126" i="1"/>
  <c r="F121" i="1"/>
  <c r="J121" i="1" s="1"/>
  <c r="M121" i="1" s="1"/>
  <c r="I130" i="1" l="1"/>
  <c r="E121" i="1"/>
  <c r="K121" i="1"/>
  <c r="U31" i="1"/>
  <c r="O31" i="1" s="1"/>
  <c r="N31" i="1" s="1"/>
  <c r="H31" i="1"/>
  <c r="R127" i="1"/>
  <c r="Q127" i="1"/>
  <c r="P127" i="1"/>
  <c r="F122" i="1"/>
  <c r="J122" i="1" s="1"/>
  <c r="M122" i="1" s="1"/>
  <c r="I131" i="1" l="1"/>
  <c r="E122" i="1"/>
  <c r="T31" i="1"/>
  <c r="K122" i="1"/>
  <c r="S31" i="1"/>
  <c r="L32" i="1" s="1"/>
  <c r="G31" i="1"/>
  <c r="Q128" i="1"/>
  <c r="R128" i="1"/>
  <c r="P128" i="1"/>
  <c r="F123" i="1"/>
  <c r="J123" i="1" s="1"/>
  <c r="M123" i="1" s="1"/>
  <c r="I132" i="1" l="1"/>
  <c r="E123" i="1"/>
  <c r="K123" i="1"/>
  <c r="V32" i="1"/>
  <c r="W32" i="1" s="1"/>
  <c r="R129" i="1"/>
  <c r="Q129" i="1"/>
  <c r="P129" i="1"/>
  <c r="F124" i="1"/>
  <c r="J124" i="1" s="1"/>
  <c r="M124" i="1" s="1"/>
  <c r="I133" i="1" l="1"/>
  <c r="E124" i="1"/>
  <c r="K124" i="1"/>
  <c r="U32" i="1"/>
  <c r="O32" i="1" s="1"/>
  <c r="H32" i="1"/>
  <c r="R130" i="1"/>
  <c r="P130" i="1"/>
  <c r="Q130" i="1"/>
  <c r="F125" i="1"/>
  <c r="J125" i="1" s="1"/>
  <c r="M125" i="1" s="1"/>
  <c r="I134" i="1" l="1"/>
  <c r="E125" i="1"/>
  <c r="K125" i="1"/>
  <c r="N32" i="1"/>
  <c r="T32" i="1"/>
  <c r="Q131" i="1"/>
  <c r="P131" i="1"/>
  <c r="R131" i="1"/>
  <c r="F126" i="1"/>
  <c r="J126" i="1" s="1"/>
  <c r="M126" i="1" s="1"/>
  <c r="I135" i="1" l="1"/>
  <c r="E126" i="1"/>
  <c r="K126" i="1"/>
  <c r="S32" i="1"/>
  <c r="L33" i="1" s="1"/>
  <c r="G32" i="1"/>
  <c r="R132" i="1"/>
  <c r="Q132" i="1"/>
  <c r="P132" i="1"/>
  <c r="F127" i="1"/>
  <c r="J127" i="1" s="1"/>
  <c r="M127" i="1" s="1"/>
  <c r="I136" i="1" l="1"/>
  <c r="E127" i="1"/>
  <c r="K127" i="1"/>
  <c r="V33" i="1"/>
  <c r="W33" i="1" s="1"/>
  <c r="R133" i="1"/>
  <c r="Q133" i="1"/>
  <c r="P133" i="1"/>
  <c r="F128" i="1"/>
  <c r="J128" i="1" s="1"/>
  <c r="M128" i="1" s="1"/>
  <c r="I137" i="1" l="1"/>
  <c r="E128" i="1"/>
  <c r="K128" i="1"/>
  <c r="U33" i="1"/>
  <c r="O33" i="1" s="1"/>
  <c r="H33" i="1"/>
  <c r="Q134" i="1"/>
  <c r="R134" i="1"/>
  <c r="P134" i="1"/>
  <c r="F129" i="1"/>
  <c r="J129" i="1" s="1"/>
  <c r="M129" i="1" s="1"/>
  <c r="I138" i="1" l="1"/>
  <c r="E129" i="1"/>
  <c r="K129" i="1"/>
  <c r="T33" i="1"/>
  <c r="N33" i="1"/>
  <c r="R135" i="1"/>
  <c r="Q135" i="1"/>
  <c r="P135" i="1"/>
  <c r="F130" i="1"/>
  <c r="J130" i="1" s="1"/>
  <c r="M130" i="1" s="1"/>
  <c r="I139" i="1" l="1"/>
  <c r="E130" i="1"/>
  <c r="K130" i="1"/>
  <c r="S33" i="1"/>
  <c r="L34" i="1" s="1"/>
  <c r="G33" i="1"/>
  <c r="R136" i="1"/>
  <c r="P136" i="1"/>
  <c r="Q136" i="1"/>
  <c r="F131" i="1"/>
  <c r="J131" i="1" s="1"/>
  <c r="M131" i="1" s="1"/>
  <c r="I140" i="1" l="1"/>
  <c r="E131" i="1"/>
  <c r="K131" i="1"/>
  <c r="V34" i="1"/>
  <c r="W34" i="1" s="1"/>
  <c r="Q137" i="1"/>
  <c r="P137" i="1"/>
  <c r="R137" i="1"/>
  <c r="F132" i="1"/>
  <c r="J132" i="1" s="1"/>
  <c r="M132" i="1" s="1"/>
  <c r="I141" i="1" l="1"/>
  <c r="E132" i="1"/>
  <c r="K132" i="1"/>
  <c r="U34" i="1"/>
  <c r="O34" i="1" s="1"/>
  <c r="H34" i="1"/>
  <c r="R138" i="1"/>
  <c r="Q138" i="1"/>
  <c r="P138" i="1"/>
  <c r="F133" i="1"/>
  <c r="J133" i="1" s="1"/>
  <c r="M133" i="1" s="1"/>
  <c r="I142" i="1" l="1"/>
  <c r="E133" i="1"/>
  <c r="K133" i="1"/>
  <c r="N34" i="1"/>
  <c r="T34" i="1"/>
  <c r="R139" i="1"/>
  <c r="P139" i="1"/>
  <c r="Q139" i="1"/>
  <c r="F134" i="1"/>
  <c r="J134" i="1" s="1"/>
  <c r="M134" i="1" s="1"/>
  <c r="I143" i="1" l="1"/>
  <c r="E134" i="1"/>
  <c r="K134" i="1"/>
  <c r="S34" i="1"/>
  <c r="L35" i="1" s="1"/>
  <c r="G34" i="1"/>
  <c r="Q140" i="1"/>
  <c r="R140" i="1"/>
  <c r="P140" i="1"/>
  <c r="F135" i="1"/>
  <c r="J135" i="1" s="1"/>
  <c r="M135" i="1" s="1"/>
  <c r="I144" i="1" l="1"/>
  <c r="E135" i="1"/>
  <c r="K135" i="1"/>
  <c r="V35" i="1"/>
  <c r="W35" i="1" s="1"/>
  <c r="R141" i="1"/>
  <c r="P141" i="1"/>
  <c r="Q141" i="1"/>
  <c r="F136" i="1"/>
  <c r="J136" i="1" s="1"/>
  <c r="M136" i="1" s="1"/>
  <c r="I145" i="1" l="1"/>
  <c r="E136" i="1"/>
  <c r="K136" i="1"/>
  <c r="U35" i="1"/>
  <c r="O35" i="1" s="1"/>
  <c r="N35" i="1" s="1"/>
  <c r="H35" i="1"/>
  <c r="R142" i="1"/>
  <c r="Q142" i="1"/>
  <c r="P142" i="1"/>
  <c r="F137" i="1"/>
  <c r="J137" i="1" s="1"/>
  <c r="M137" i="1" s="1"/>
  <c r="I146" i="1" l="1"/>
  <c r="E137" i="1"/>
  <c r="T35" i="1"/>
  <c r="K137" i="1"/>
  <c r="S35" i="1"/>
  <c r="L36" i="1" s="1"/>
  <c r="G35" i="1"/>
  <c r="Q143" i="1"/>
  <c r="P143" i="1"/>
  <c r="R143" i="1"/>
  <c r="F138" i="1"/>
  <c r="J138" i="1" s="1"/>
  <c r="M138" i="1" s="1"/>
  <c r="I147" i="1" l="1"/>
  <c r="E138" i="1"/>
  <c r="K138" i="1"/>
  <c r="V36" i="1"/>
  <c r="W36" i="1" s="1"/>
  <c r="R144" i="1"/>
  <c r="Q144" i="1"/>
  <c r="P144" i="1"/>
  <c r="F139" i="1"/>
  <c r="J139" i="1" s="1"/>
  <c r="M139" i="1" s="1"/>
  <c r="I148" i="1" l="1"/>
  <c r="E139" i="1"/>
  <c r="K139" i="1"/>
  <c r="U36" i="1"/>
  <c r="O36" i="1" s="1"/>
  <c r="H36" i="1"/>
  <c r="R145" i="1"/>
  <c r="Q145" i="1"/>
  <c r="P145" i="1"/>
  <c r="F140" i="1"/>
  <c r="J140" i="1" s="1"/>
  <c r="M140" i="1" s="1"/>
  <c r="I149" i="1" l="1"/>
  <c r="E140" i="1"/>
  <c r="K140" i="1"/>
  <c r="T36" i="1"/>
  <c r="N36" i="1"/>
  <c r="Q146" i="1"/>
  <c r="R146" i="1"/>
  <c r="P146" i="1"/>
  <c r="F141" i="1"/>
  <c r="J141" i="1" s="1"/>
  <c r="M141" i="1" s="1"/>
  <c r="I150" i="1" l="1"/>
  <c r="E141" i="1"/>
  <c r="K141" i="1"/>
  <c r="G36" i="1"/>
  <c r="S36" i="1"/>
  <c r="L37" i="1" s="1"/>
  <c r="R147" i="1"/>
  <c r="Q147" i="1"/>
  <c r="P147" i="1"/>
  <c r="F142" i="1"/>
  <c r="J142" i="1" s="1"/>
  <c r="M142" i="1" s="1"/>
  <c r="I151" i="1" l="1"/>
  <c r="E142" i="1"/>
  <c r="K142" i="1"/>
  <c r="V37" i="1"/>
  <c r="W37" i="1" s="1"/>
  <c r="R148" i="1"/>
  <c r="P148" i="1"/>
  <c r="Q148" i="1"/>
  <c r="F143" i="1"/>
  <c r="J143" i="1" s="1"/>
  <c r="M143" i="1" s="1"/>
  <c r="I152" i="1" l="1"/>
  <c r="E143" i="1"/>
  <c r="K143" i="1"/>
  <c r="U37" i="1"/>
  <c r="O37" i="1" s="1"/>
  <c r="N37" i="1" s="1"/>
  <c r="H37" i="1"/>
  <c r="Q149" i="1"/>
  <c r="P149" i="1"/>
  <c r="R149" i="1"/>
  <c r="F144" i="1"/>
  <c r="J144" i="1" s="1"/>
  <c r="M144" i="1" s="1"/>
  <c r="I153" i="1" l="1"/>
  <c r="E144" i="1"/>
  <c r="K144" i="1"/>
  <c r="S37" i="1"/>
  <c r="L38" i="1" s="1"/>
  <c r="G37" i="1"/>
  <c r="T37" i="1"/>
  <c r="R150" i="1"/>
  <c r="P150" i="1"/>
  <c r="Q150" i="1"/>
  <c r="F145" i="1"/>
  <c r="J145" i="1" s="1"/>
  <c r="M145" i="1" s="1"/>
  <c r="I154" i="1" l="1"/>
  <c r="E145" i="1"/>
  <c r="K145" i="1"/>
  <c r="V38" i="1"/>
  <c r="W38" i="1" s="1"/>
  <c r="R151" i="1"/>
  <c r="Q151" i="1"/>
  <c r="P151" i="1"/>
  <c r="F146" i="1"/>
  <c r="J146" i="1" s="1"/>
  <c r="M146" i="1" s="1"/>
  <c r="I155" i="1" l="1"/>
  <c r="E146" i="1"/>
  <c r="K146" i="1"/>
  <c r="H38" i="1"/>
  <c r="U38" i="1"/>
  <c r="O38" i="1" s="1"/>
  <c r="N38" i="1" s="1"/>
  <c r="Q152" i="1"/>
  <c r="R152" i="1"/>
  <c r="P152" i="1"/>
  <c r="F147" i="1"/>
  <c r="J147" i="1" s="1"/>
  <c r="M147" i="1" s="1"/>
  <c r="I156" i="1" l="1"/>
  <c r="E147" i="1"/>
  <c r="K147" i="1"/>
  <c r="T38" i="1"/>
  <c r="S38" i="1"/>
  <c r="L39" i="1" s="1"/>
  <c r="G38" i="1"/>
  <c r="R153" i="1"/>
  <c r="Q153" i="1"/>
  <c r="P153" i="1"/>
  <c r="F148" i="1"/>
  <c r="J148" i="1" s="1"/>
  <c r="M148" i="1" s="1"/>
  <c r="I157" i="1" l="1"/>
  <c r="E148" i="1"/>
  <c r="K148" i="1"/>
  <c r="V39" i="1"/>
  <c r="W39" i="1" s="1"/>
  <c r="H39" i="1" s="1"/>
  <c r="R154" i="1"/>
  <c r="P154" i="1"/>
  <c r="Q154" i="1"/>
  <c r="F149" i="1"/>
  <c r="J149" i="1" s="1"/>
  <c r="M149" i="1" s="1"/>
  <c r="I158" i="1" l="1"/>
  <c r="E149" i="1"/>
  <c r="K149" i="1"/>
  <c r="U39" i="1"/>
  <c r="O39" i="1" s="1"/>
  <c r="N39" i="1" s="1"/>
  <c r="S39" i="1" s="1"/>
  <c r="L40" i="1" s="1"/>
  <c r="Q155" i="1"/>
  <c r="R155" i="1"/>
  <c r="P155" i="1"/>
  <c r="F150" i="1"/>
  <c r="J150" i="1" s="1"/>
  <c r="M150" i="1" s="1"/>
  <c r="I159" i="1" l="1"/>
  <c r="E150" i="1"/>
  <c r="G39" i="1"/>
  <c r="T39" i="1"/>
  <c r="V40" i="1" s="1"/>
  <c r="W40" i="1" s="1"/>
  <c r="H40" i="1" s="1"/>
  <c r="K150" i="1"/>
  <c r="R156" i="1"/>
  <c r="Q156" i="1"/>
  <c r="P156" i="1"/>
  <c r="F151" i="1"/>
  <c r="J151" i="1" s="1"/>
  <c r="M151" i="1" s="1"/>
  <c r="I160" i="1" l="1"/>
  <c r="E151" i="1"/>
  <c r="K151" i="1"/>
  <c r="U40" i="1"/>
  <c r="R157" i="1"/>
  <c r="P157" i="1"/>
  <c r="Q157" i="1"/>
  <c r="F152" i="1"/>
  <c r="J152" i="1" s="1"/>
  <c r="M152" i="1" s="1"/>
  <c r="I161" i="1" l="1"/>
  <c r="E152" i="1"/>
  <c r="K152" i="1"/>
  <c r="O40" i="1"/>
  <c r="Q158" i="1"/>
  <c r="R158" i="1"/>
  <c r="P158" i="1"/>
  <c r="F153" i="1"/>
  <c r="J153" i="1" s="1"/>
  <c r="M153" i="1" s="1"/>
  <c r="I162" i="1" l="1"/>
  <c r="E153" i="1"/>
  <c r="K153" i="1"/>
  <c r="N40" i="1"/>
  <c r="T40" i="1"/>
  <c r="R159" i="1"/>
  <c r="Q159" i="1"/>
  <c r="P159" i="1"/>
  <c r="F154" i="1"/>
  <c r="J154" i="1" s="1"/>
  <c r="M154" i="1" s="1"/>
  <c r="I163" i="1" l="1"/>
  <c r="E154" i="1"/>
  <c r="K154" i="1"/>
  <c r="S40" i="1"/>
  <c r="L41" i="1" s="1"/>
  <c r="G40" i="1"/>
  <c r="R160" i="1"/>
  <c r="Q160" i="1"/>
  <c r="P160" i="1"/>
  <c r="F155" i="1"/>
  <c r="J155" i="1" s="1"/>
  <c r="M155" i="1" s="1"/>
  <c r="I164" i="1" l="1"/>
  <c r="E155" i="1"/>
  <c r="K155" i="1"/>
  <c r="V41" i="1"/>
  <c r="W41" i="1" s="1"/>
  <c r="U41" i="1" s="1"/>
  <c r="Q161" i="1"/>
  <c r="R161" i="1"/>
  <c r="P161" i="1"/>
  <c r="F156" i="1"/>
  <c r="J156" i="1" s="1"/>
  <c r="M156" i="1" s="1"/>
  <c r="I165" i="1" l="1"/>
  <c r="E156" i="1"/>
  <c r="K156" i="1"/>
  <c r="H41" i="1"/>
  <c r="O41" i="1"/>
  <c r="R162" i="1"/>
  <c r="Q162" i="1"/>
  <c r="P162" i="1"/>
  <c r="F157" i="1"/>
  <c r="J157" i="1" s="1"/>
  <c r="M157" i="1" s="1"/>
  <c r="I166" i="1" l="1"/>
  <c r="E157" i="1"/>
  <c r="K157" i="1"/>
  <c r="N41" i="1"/>
  <c r="T41" i="1"/>
  <c r="R163" i="1"/>
  <c r="Q163" i="1"/>
  <c r="P163" i="1"/>
  <c r="F158" i="1"/>
  <c r="J158" i="1" s="1"/>
  <c r="M158" i="1" s="1"/>
  <c r="I167" i="1" l="1"/>
  <c r="E158" i="1"/>
  <c r="K158" i="1"/>
  <c r="S41" i="1"/>
  <c r="L42" i="1" s="1"/>
  <c r="G41" i="1"/>
  <c r="Q164" i="1"/>
  <c r="R164" i="1"/>
  <c r="P164" i="1"/>
  <c r="F159" i="1"/>
  <c r="J159" i="1" s="1"/>
  <c r="M159" i="1" s="1"/>
  <c r="I168" i="1" l="1"/>
  <c r="E159" i="1"/>
  <c r="K159" i="1"/>
  <c r="V42" i="1"/>
  <c r="W42" i="1" s="1"/>
  <c r="H42" i="1" s="1"/>
  <c r="R165" i="1"/>
  <c r="Q165" i="1"/>
  <c r="P165" i="1"/>
  <c r="F160" i="1"/>
  <c r="J160" i="1" s="1"/>
  <c r="M160" i="1" s="1"/>
  <c r="I169" i="1" l="1"/>
  <c r="E160" i="1"/>
  <c r="K160" i="1"/>
  <c r="U42" i="1"/>
  <c r="O42" i="1" s="1"/>
  <c r="N42" i="1" s="1"/>
  <c r="S42" i="1" s="1"/>
  <c r="L43" i="1" s="1"/>
  <c r="R166" i="1"/>
  <c r="P166" i="1"/>
  <c r="Q166" i="1"/>
  <c r="F161" i="1"/>
  <c r="J161" i="1" s="1"/>
  <c r="M161" i="1" s="1"/>
  <c r="I170" i="1" l="1"/>
  <c r="E161" i="1"/>
  <c r="K161" i="1"/>
  <c r="G42" i="1"/>
  <c r="T42" i="1"/>
  <c r="V43" i="1" s="1"/>
  <c r="W43" i="1" s="1"/>
  <c r="H43" i="1" s="1"/>
  <c r="Q167" i="1"/>
  <c r="R167" i="1"/>
  <c r="P167" i="1"/>
  <c r="F162" i="1"/>
  <c r="J162" i="1" s="1"/>
  <c r="M162" i="1" s="1"/>
  <c r="I171" i="1" l="1"/>
  <c r="E162" i="1"/>
  <c r="K162" i="1"/>
  <c r="U43" i="1"/>
  <c r="O43" i="1" s="1"/>
  <c r="R168" i="1"/>
  <c r="Q168" i="1"/>
  <c r="P168" i="1"/>
  <c r="F163" i="1"/>
  <c r="J163" i="1" s="1"/>
  <c r="M163" i="1" s="1"/>
  <c r="I172" i="1" l="1"/>
  <c r="E163" i="1"/>
  <c r="K163" i="1"/>
  <c r="N43" i="1"/>
  <c r="T43" i="1"/>
  <c r="R169" i="1"/>
  <c r="Q169" i="1"/>
  <c r="P169" i="1"/>
  <c r="F164" i="1"/>
  <c r="J164" i="1" s="1"/>
  <c r="M164" i="1" s="1"/>
  <c r="I173" i="1" l="1"/>
  <c r="E164" i="1"/>
  <c r="K164" i="1"/>
  <c r="S43" i="1"/>
  <c r="L44" i="1" s="1"/>
  <c r="G43" i="1"/>
  <c r="Q170" i="1"/>
  <c r="R170" i="1"/>
  <c r="P170" i="1"/>
  <c r="F165" i="1"/>
  <c r="J165" i="1" s="1"/>
  <c r="M165" i="1" s="1"/>
  <c r="I174" i="1" l="1"/>
  <c r="E165" i="1"/>
  <c r="K165" i="1"/>
  <c r="V44" i="1"/>
  <c r="W44" i="1" s="1"/>
  <c r="U44" i="1" s="1"/>
  <c r="R171" i="1"/>
  <c r="Q171" i="1"/>
  <c r="P171" i="1"/>
  <c r="F166" i="1"/>
  <c r="J166" i="1" s="1"/>
  <c r="M166" i="1" s="1"/>
  <c r="I175" i="1" l="1"/>
  <c r="E166" i="1"/>
  <c r="K166" i="1"/>
  <c r="O44" i="1"/>
  <c r="N44" i="1" s="1"/>
  <c r="S44" i="1" s="1"/>
  <c r="L45" i="1" s="1"/>
  <c r="H44" i="1"/>
  <c r="R172" i="1"/>
  <c r="P172" i="1"/>
  <c r="Q172" i="1"/>
  <c r="F167" i="1"/>
  <c r="J167" i="1" s="1"/>
  <c r="M167" i="1" s="1"/>
  <c r="I176" i="1" l="1"/>
  <c r="E167" i="1"/>
  <c r="K167" i="1"/>
  <c r="T44" i="1"/>
  <c r="V45" i="1" s="1"/>
  <c r="W45" i="1" s="1"/>
  <c r="G44" i="1"/>
  <c r="R173" i="1"/>
  <c r="Q173" i="1"/>
  <c r="P173" i="1"/>
  <c r="F168" i="1"/>
  <c r="J168" i="1" s="1"/>
  <c r="M168" i="1" s="1"/>
  <c r="I177" i="1" l="1"/>
  <c r="E168" i="1"/>
  <c r="K168" i="1"/>
  <c r="H45" i="1"/>
  <c r="U45" i="1"/>
  <c r="R174" i="1"/>
  <c r="Q174" i="1"/>
  <c r="P174" i="1"/>
  <c r="F169" i="1"/>
  <c r="J169" i="1" s="1"/>
  <c r="M169" i="1" s="1"/>
  <c r="I178" i="1" l="1"/>
  <c r="E169" i="1"/>
  <c r="K169" i="1"/>
  <c r="O45" i="1"/>
  <c r="R175" i="1"/>
  <c r="P175" i="1"/>
  <c r="Q175" i="1"/>
  <c r="F170" i="1"/>
  <c r="J170" i="1" s="1"/>
  <c r="M170" i="1" s="1"/>
  <c r="I179" i="1" l="1"/>
  <c r="E170" i="1"/>
  <c r="K170" i="1"/>
  <c r="N45" i="1"/>
  <c r="T45" i="1"/>
  <c r="Q176" i="1"/>
  <c r="R176" i="1"/>
  <c r="P176" i="1"/>
  <c r="F171" i="1"/>
  <c r="J171" i="1" s="1"/>
  <c r="M171" i="1" s="1"/>
  <c r="I180" i="1" l="1"/>
  <c r="E171" i="1"/>
  <c r="K171" i="1"/>
  <c r="S45" i="1"/>
  <c r="L46" i="1" s="1"/>
  <c r="G45" i="1"/>
  <c r="R177" i="1"/>
  <c r="Q177" i="1"/>
  <c r="P177" i="1"/>
  <c r="F172" i="1"/>
  <c r="J172" i="1" s="1"/>
  <c r="M172" i="1" s="1"/>
  <c r="I181" i="1" l="1"/>
  <c r="E172" i="1"/>
  <c r="K172" i="1"/>
  <c r="V46" i="1"/>
  <c r="W46" i="1" s="1"/>
  <c r="U46" i="1" s="1"/>
  <c r="R178" i="1"/>
  <c r="P178" i="1"/>
  <c r="Q178" i="1"/>
  <c r="F173" i="1"/>
  <c r="J173" i="1" s="1"/>
  <c r="M173" i="1" s="1"/>
  <c r="I182" i="1" l="1"/>
  <c r="E173" i="1"/>
  <c r="K173" i="1"/>
  <c r="O46" i="1"/>
  <c r="N46" i="1" s="1"/>
  <c r="S46" i="1" s="1"/>
  <c r="L47" i="1" s="1"/>
  <c r="H46" i="1"/>
  <c r="Q179" i="1"/>
  <c r="R179" i="1"/>
  <c r="P179" i="1"/>
  <c r="F174" i="1"/>
  <c r="J174" i="1" s="1"/>
  <c r="M174" i="1" s="1"/>
  <c r="I183" i="1" l="1"/>
  <c r="E174" i="1"/>
  <c r="K174" i="1"/>
  <c r="T46" i="1"/>
  <c r="V47" i="1" s="1"/>
  <c r="W47" i="1" s="1"/>
  <c r="G46" i="1"/>
  <c r="R180" i="1"/>
  <c r="Q180" i="1"/>
  <c r="P180" i="1"/>
  <c r="F175" i="1"/>
  <c r="J175" i="1" s="1"/>
  <c r="M175" i="1" s="1"/>
  <c r="I184" i="1" l="1"/>
  <c r="E175" i="1"/>
  <c r="K175" i="1"/>
  <c r="U47" i="1"/>
  <c r="R181" i="1"/>
  <c r="Q181" i="1"/>
  <c r="P181" i="1"/>
  <c r="F176" i="1"/>
  <c r="J176" i="1" s="1"/>
  <c r="M176" i="1" s="1"/>
  <c r="I185" i="1" l="1"/>
  <c r="E176" i="1"/>
  <c r="K176" i="1"/>
  <c r="H47" i="1"/>
  <c r="O47" i="1"/>
  <c r="Q182" i="1"/>
  <c r="R182" i="1"/>
  <c r="P182" i="1"/>
  <c r="F177" i="1"/>
  <c r="J177" i="1" s="1"/>
  <c r="M177" i="1" s="1"/>
  <c r="I186" i="1" l="1"/>
  <c r="E177" i="1"/>
  <c r="K177" i="1"/>
  <c r="N47" i="1"/>
  <c r="T47" i="1"/>
  <c r="R183" i="1"/>
  <c r="Q183" i="1"/>
  <c r="P183" i="1"/>
  <c r="F178" i="1"/>
  <c r="J178" i="1" s="1"/>
  <c r="M178" i="1" s="1"/>
  <c r="I187" i="1" l="1"/>
  <c r="E178" i="1"/>
  <c r="K178" i="1"/>
  <c r="S47" i="1"/>
  <c r="L48" i="1" s="1"/>
  <c r="G47" i="1"/>
  <c r="R184" i="1"/>
  <c r="Q184" i="1"/>
  <c r="P184" i="1"/>
  <c r="F179" i="1"/>
  <c r="J179" i="1" s="1"/>
  <c r="M179" i="1" s="1"/>
  <c r="I188" i="1" l="1"/>
  <c r="E179" i="1"/>
  <c r="K179" i="1"/>
  <c r="V48" i="1"/>
  <c r="W48" i="1" s="1"/>
  <c r="U48" i="1" s="1"/>
  <c r="Q185" i="1"/>
  <c r="P185" i="1"/>
  <c r="R185" i="1"/>
  <c r="F180" i="1"/>
  <c r="J180" i="1" s="1"/>
  <c r="M180" i="1" s="1"/>
  <c r="I189" i="1" l="1"/>
  <c r="E180" i="1"/>
  <c r="K180" i="1"/>
  <c r="H48" i="1"/>
  <c r="O48" i="1"/>
  <c r="N48" i="1" s="1"/>
  <c r="S48" i="1" s="1"/>
  <c r="L49" i="1" s="1"/>
  <c r="R186" i="1"/>
  <c r="Q186" i="1"/>
  <c r="P186" i="1"/>
  <c r="F181" i="1"/>
  <c r="J181" i="1" s="1"/>
  <c r="M181" i="1" s="1"/>
  <c r="I190" i="1" l="1"/>
  <c r="E181" i="1"/>
  <c r="K181" i="1"/>
  <c r="G48" i="1"/>
  <c r="T48" i="1"/>
  <c r="V49" i="1" s="1"/>
  <c r="R187" i="1"/>
  <c r="Q187" i="1"/>
  <c r="P187" i="1"/>
  <c r="F182" i="1"/>
  <c r="J182" i="1" s="1"/>
  <c r="M182" i="1" s="1"/>
  <c r="I191" i="1" l="1"/>
  <c r="E182" i="1"/>
  <c r="K182" i="1"/>
  <c r="W49" i="1"/>
  <c r="H49" i="1" s="1"/>
  <c r="Q188" i="1"/>
  <c r="R188" i="1"/>
  <c r="P188" i="1"/>
  <c r="F183" i="1"/>
  <c r="J183" i="1" s="1"/>
  <c r="M183" i="1" s="1"/>
  <c r="I192" i="1" l="1"/>
  <c r="E183" i="1"/>
  <c r="K183" i="1"/>
  <c r="U49" i="1"/>
  <c r="O49" i="1" s="1"/>
  <c r="R189" i="1"/>
  <c r="Q189" i="1"/>
  <c r="P189" i="1"/>
  <c r="F184" i="1"/>
  <c r="J184" i="1" s="1"/>
  <c r="M184" i="1" s="1"/>
  <c r="M192" i="1" l="1"/>
  <c r="I193" i="1"/>
  <c r="E184" i="1"/>
  <c r="K184" i="1"/>
  <c r="N49" i="1"/>
  <c r="T49" i="1"/>
  <c r="R190" i="1"/>
  <c r="P190" i="1"/>
  <c r="Q190" i="1"/>
  <c r="F185" i="1"/>
  <c r="J185" i="1" s="1"/>
  <c r="M185" i="1" s="1"/>
  <c r="M193" i="1" l="1"/>
  <c r="I194" i="1"/>
  <c r="E185" i="1"/>
  <c r="K185" i="1"/>
  <c r="S49" i="1"/>
  <c r="L50" i="1" s="1"/>
  <c r="G49" i="1"/>
  <c r="R191" i="1"/>
  <c r="Q191" i="1"/>
  <c r="P191" i="1"/>
  <c r="F186" i="1"/>
  <c r="J186" i="1" s="1"/>
  <c r="M186" i="1" s="1"/>
  <c r="M194" i="1" l="1"/>
  <c r="I195" i="1"/>
  <c r="E186" i="1"/>
  <c r="K186" i="1"/>
  <c r="V50" i="1"/>
  <c r="W50" i="1" s="1"/>
  <c r="U50" i="1" s="1"/>
  <c r="R192" i="1"/>
  <c r="Q192" i="1"/>
  <c r="P192" i="1"/>
  <c r="F187" i="1"/>
  <c r="J187" i="1" s="1"/>
  <c r="M187" i="1" s="1"/>
  <c r="M195" i="1" l="1"/>
  <c r="E195" i="1"/>
  <c r="V195" i="1"/>
  <c r="I196" i="1"/>
  <c r="G195" i="1"/>
  <c r="T195" i="1"/>
  <c r="W195" i="1"/>
  <c r="E187" i="1"/>
  <c r="K187" i="1"/>
  <c r="H50" i="1"/>
  <c r="O50" i="1"/>
  <c r="R193" i="1"/>
  <c r="Q193" i="1"/>
  <c r="P193" i="1"/>
  <c r="F188" i="1"/>
  <c r="J188" i="1" s="1"/>
  <c r="M188" i="1" s="1"/>
  <c r="M196" i="1" l="1"/>
  <c r="E196" i="1"/>
  <c r="V196" i="1"/>
  <c r="W196" i="1"/>
  <c r="G196" i="1"/>
  <c r="I197" i="1"/>
  <c r="T196" i="1"/>
  <c r="E188" i="1"/>
  <c r="K188" i="1"/>
  <c r="N50" i="1"/>
  <c r="T50" i="1"/>
  <c r="Q194" i="1"/>
  <c r="R194" i="1"/>
  <c r="P194" i="1"/>
  <c r="F189" i="1"/>
  <c r="J189" i="1" s="1"/>
  <c r="M189" i="1" s="1"/>
  <c r="M197" i="1" l="1"/>
  <c r="E197" i="1"/>
  <c r="T197" i="1"/>
  <c r="I198" i="1"/>
  <c r="W197" i="1"/>
  <c r="G197" i="1"/>
  <c r="V197" i="1"/>
  <c r="E189" i="1"/>
  <c r="K189" i="1"/>
  <c r="S50" i="1"/>
  <c r="L51" i="1" s="1"/>
  <c r="G50" i="1"/>
  <c r="R195" i="1"/>
  <c r="O195" i="1"/>
  <c r="Q195" i="1"/>
  <c r="P195" i="1"/>
  <c r="L195" i="1"/>
  <c r="S195" i="1"/>
  <c r="N195" i="1"/>
  <c r="K195" i="1"/>
  <c r="F190" i="1"/>
  <c r="J190" i="1" s="1"/>
  <c r="M190" i="1" s="1"/>
  <c r="M198" i="1" l="1"/>
  <c r="V198" i="1"/>
  <c r="G198" i="1"/>
  <c r="W198" i="1"/>
  <c r="T198" i="1"/>
  <c r="E198" i="1"/>
  <c r="I199" i="1"/>
  <c r="E190" i="1"/>
  <c r="K190" i="1"/>
  <c r="V51" i="1"/>
  <c r="W51" i="1" s="1"/>
  <c r="R196" i="1"/>
  <c r="P196" i="1"/>
  <c r="Q196" i="1"/>
  <c r="O196" i="1"/>
  <c r="L196" i="1"/>
  <c r="N196" i="1"/>
  <c r="S196" i="1"/>
  <c r="K196" i="1"/>
  <c r="J195" i="1"/>
  <c r="F191" i="1"/>
  <c r="J191" i="1" s="1"/>
  <c r="M191" i="1" s="1"/>
  <c r="M199" i="1" l="1"/>
  <c r="T199" i="1"/>
  <c r="W199" i="1"/>
  <c r="E199" i="1"/>
  <c r="G199" i="1"/>
  <c r="V199" i="1"/>
  <c r="I200" i="1"/>
  <c r="E191" i="1"/>
  <c r="K191" i="1"/>
  <c r="H51" i="1"/>
  <c r="U51" i="1"/>
  <c r="R197" i="1"/>
  <c r="O197" i="1"/>
  <c r="P197" i="1"/>
  <c r="Q197" i="1"/>
  <c r="S197" i="1"/>
  <c r="K197" i="1"/>
  <c r="L197" i="1"/>
  <c r="N197" i="1"/>
  <c r="J196" i="1"/>
  <c r="F192" i="1"/>
  <c r="J192" i="1" s="1"/>
  <c r="M200" i="1" l="1"/>
  <c r="I201" i="1"/>
  <c r="G200" i="1"/>
  <c r="W200" i="1"/>
  <c r="T200" i="1"/>
  <c r="V200" i="1"/>
  <c r="E200" i="1"/>
  <c r="E192" i="1"/>
  <c r="K192" i="1"/>
  <c r="O51" i="1"/>
  <c r="R198" i="1"/>
  <c r="Q198" i="1"/>
  <c r="P198" i="1"/>
  <c r="O198" i="1"/>
  <c r="S198" i="1"/>
  <c r="K198" i="1"/>
  <c r="L198" i="1"/>
  <c r="N198" i="1"/>
  <c r="J197" i="1"/>
  <c r="H197" i="1"/>
  <c r="F193" i="1"/>
  <c r="J193" i="1" s="1"/>
  <c r="M201" i="1" l="1"/>
  <c r="I202" i="1"/>
  <c r="W201" i="1"/>
  <c r="V201" i="1"/>
  <c r="G201" i="1"/>
  <c r="E201" i="1"/>
  <c r="T201" i="1"/>
  <c r="E193" i="1"/>
  <c r="K193" i="1"/>
  <c r="N51" i="1"/>
  <c r="T51" i="1"/>
  <c r="R199" i="1"/>
  <c r="Q199" i="1"/>
  <c r="P199" i="1"/>
  <c r="O199" i="1"/>
  <c r="S199" i="1"/>
  <c r="N199" i="1"/>
  <c r="K199" i="1"/>
  <c r="L199" i="1"/>
  <c r="J198" i="1"/>
  <c r="H198" i="1"/>
  <c r="F194" i="1"/>
  <c r="J194" i="1" s="1"/>
  <c r="M202" i="1" l="1"/>
  <c r="V202" i="1"/>
  <c r="W202" i="1"/>
  <c r="I203" i="1"/>
  <c r="E202" i="1"/>
  <c r="G202" i="1"/>
  <c r="T202" i="1"/>
  <c r="E194" i="1"/>
  <c r="T3" i="1"/>
  <c r="K194" i="1"/>
  <c r="S51" i="1"/>
  <c r="L52" i="1" s="1"/>
  <c r="V52" i="1" s="1"/>
  <c r="W52" i="1" s="1"/>
  <c r="G51" i="1"/>
  <c r="Q200" i="1"/>
  <c r="R200" i="1"/>
  <c r="O200" i="1"/>
  <c r="P200" i="1"/>
  <c r="L200" i="1"/>
  <c r="S200" i="1"/>
  <c r="N200" i="1"/>
  <c r="K200" i="1"/>
  <c r="J199" i="1"/>
  <c r="H199" i="1"/>
  <c r="F195" i="1"/>
  <c r="M203" i="1" l="1"/>
  <c r="G203" i="1"/>
  <c r="I204" i="1"/>
  <c r="V203" i="1"/>
  <c r="E203" i="1"/>
  <c r="W203" i="1"/>
  <c r="H52" i="1"/>
  <c r="U52" i="1"/>
  <c r="R201" i="1"/>
  <c r="O201" i="1"/>
  <c r="Q201" i="1"/>
  <c r="P201" i="1"/>
  <c r="L201" i="1"/>
  <c r="S201" i="1"/>
  <c r="N201" i="1"/>
  <c r="K201" i="1"/>
  <c r="J200" i="1"/>
  <c r="H200" i="1"/>
  <c r="F196" i="1"/>
  <c r="M204" i="1" l="1"/>
  <c r="G204" i="1"/>
  <c r="I205" i="1"/>
  <c r="W204" i="1"/>
  <c r="V204" i="1"/>
  <c r="E204" i="1"/>
  <c r="O52" i="1"/>
  <c r="R202" i="1"/>
  <c r="P202" i="1"/>
  <c r="Q202" i="1"/>
  <c r="O202" i="1"/>
  <c r="S202" i="1"/>
  <c r="L202" i="1"/>
  <c r="N202" i="1"/>
  <c r="K202" i="1"/>
  <c r="J201" i="1"/>
  <c r="H201" i="1"/>
  <c r="F197" i="1"/>
  <c r="M205" i="1" l="1"/>
  <c r="W205" i="1"/>
  <c r="G205" i="1"/>
  <c r="V205" i="1"/>
  <c r="E205" i="1"/>
  <c r="I206" i="1"/>
  <c r="N52" i="1"/>
  <c r="T52" i="1"/>
  <c r="R203" i="1"/>
  <c r="Q203" i="1"/>
  <c r="P203" i="1"/>
  <c r="O203" i="1"/>
  <c r="T203" i="1"/>
  <c r="S203" i="1"/>
  <c r="N203" i="1"/>
  <c r="K203" i="1"/>
  <c r="L203" i="1"/>
  <c r="J202" i="1"/>
  <c r="H202" i="1"/>
  <c r="F198" i="1"/>
  <c r="M206" i="1" l="1"/>
  <c r="E206" i="1"/>
  <c r="V206" i="1"/>
  <c r="W206" i="1"/>
  <c r="I207" i="1"/>
  <c r="G206" i="1"/>
  <c r="S52" i="1"/>
  <c r="L53" i="1" s="1"/>
  <c r="G52" i="1"/>
  <c r="V53" i="1"/>
  <c r="W53" i="1" s="1"/>
  <c r="R204" i="1"/>
  <c r="Q204" i="1"/>
  <c r="P204" i="1"/>
  <c r="O204" i="1"/>
  <c r="T204" i="1"/>
  <c r="S204" i="1"/>
  <c r="L204" i="1"/>
  <c r="K204" i="1"/>
  <c r="N204" i="1"/>
  <c r="J203" i="1"/>
  <c r="H203" i="1"/>
  <c r="F199" i="1"/>
  <c r="M207" i="1" l="1"/>
  <c r="W207" i="1"/>
  <c r="E207" i="1"/>
  <c r="V207" i="1"/>
  <c r="I208" i="1"/>
  <c r="G207" i="1"/>
  <c r="Y6" i="1"/>
  <c r="H53" i="1"/>
  <c r="U53" i="1"/>
  <c r="R205" i="1"/>
  <c r="Q205" i="1"/>
  <c r="P205" i="1"/>
  <c r="O205" i="1"/>
  <c r="T205" i="1"/>
  <c r="N205" i="1"/>
  <c r="S205" i="1"/>
  <c r="L205" i="1"/>
  <c r="K205" i="1"/>
  <c r="J204" i="1"/>
  <c r="H204" i="1"/>
  <c r="F200" i="1"/>
  <c r="M208" i="1" l="1"/>
  <c r="E208" i="1"/>
  <c r="G208" i="1"/>
  <c r="V208" i="1"/>
  <c r="W208" i="1"/>
  <c r="O53" i="1"/>
  <c r="Q206" i="1"/>
  <c r="R206" i="1"/>
  <c r="O206" i="1"/>
  <c r="P206" i="1"/>
  <c r="L206" i="1"/>
  <c r="T206" i="1"/>
  <c r="N206" i="1"/>
  <c r="S206" i="1"/>
  <c r="K206" i="1"/>
  <c r="J205" i="1"/>
  <c r="H205" i="1"/>
  <c r="F201" i="1"/>
  <c r="N53" i="1" l="1"/>
  <c r="T53" i="1"/>
  <c r="R207" i="1"/>
  <c r="O207" i="1"/>
  <c r="Q207" i="1"/>
  <c r="P207" i="1"/>
  <c r="T207" i="1"/>
  <c r="S207" i="1"/>
  <c r="L207" i="1"/>
  <c r="N207" i="1"/>
  <c r="K207" i="1"/>
  <c r="J206" i="1"/>
  <c r="H206" i="1"/>
  <c r="F202" i="1"/>
  <c r="S53" i="1" l="1"/>
  <c r="L54" i="1" s="1"/>
  <c r="G53" i="1"/>
  <c r="V54" i="1"/>
  <c r="W54" i="1" s="1"/>
  <c r="R208" i="1"/>
  <c r="R8" i="1" s="1"/>
  <c r="P208" i="1"/>
  <c r="R6" i="1" s="1"/>
  <c r="Q208" i="1"/>
  <c r="R7" i="1" s="1"/>
  <c r="O208" i="1"/>
  <c r="S208" i="1"/>
  <c r="T208" i="1"/>
  <c r="L208" i="1"/>
  <c r="N208" i="1"/>
  <c r="K208" i="1"/>
  <c r="J207" i="1"/>
  <c r="H207" i="1"/>
  <c r="F203" i="1"/>
  <c r="J208" i="1"/>
  <c r="U54" i="1" l="1"/>
  <c r="H54" i="1"/>
  <c r="T5" i="1"/>
  <c r="H208" i="1"/>
  <c r="F204" i="1"/>
  <c r="O54" i="1" l="1"/>
  <c r="F205" i="1"/>
  <c r="N54" i="1" l="1"/>
  <c r="T54" i="1"/>
  <c r="F206" i="1"/>
  <c r="S54" i="1" l="1"/>
  <c r="L55" i="1" s="1"/>
  <c r="V55" i="1" s="1"/>
  <c r="W55" i="1" s="1"/>
  <c r="G54" i="1"/>
  <c r="F207" i="1"/>
  <c r="U55" i="1" l="1"/>
  <c r="H55" i="1"/>
  <c r="F208" i="1"/>
  <c r="O55" i="1" l="1"/>
  <c r="N55" i="1" l="1"/>
  <c r="T55" i="1"/>
  <c r="S55" i="1" l="1"/>
  <c r="L56" i="1" s="1"/>
  <c r="V56" i="1" s="1"/>
  <c r="W56" i="1" s="1"/>
  <c r="G55" i="1"/>
  <c r="U56" i="1" l="1"/>
  <c r="H56" i="1"/>
  <c r="O56" i="1" l="1"/>
  <c r="N56" i="1" l="1"/>
  <c r="T56" i="1"/>
  <c r="S56" i="1" l="1"/>
  <c r="L57" i="1" s="1"/>
  <c r="V57" i="1" s="1"/>
  <c r="W57" i="1" s="1"/>
  <c r="G56" i="1"/>
  <c r="H57" i="1" l="1"/>
  <c r="U57" i="1"/>
  <c r="O57" i="1" l="1"/>
  <c r="N57" i="1" l="1"/>
  <c r="T57" i="1"/>
  <c r="S57" i="1" l="1"/>
  <c r="L58" i="1" s="1"/>
  <c r="V58" i="1" s="1"/>
  <c r="W58" i="1" s="1"/>
  <c r="G57" i="1"/>
  <c r="U58" i="1" l="1"/>
  <c r="H58" i="1"/>
  <c r="O58" i="1" l="1"/>
  <c r="N58" i="1" l="1"/>
  <c r="T58" i="1"/>
  <c r="S58" i="1" l="1"/>
  <c r="L59" i="1" s="1"/>
  <c r="V59" i="1" s="1"/>
  <c r="G58" i="1"/>
  <c r="W59" i="1" l="1"/>
  <c r="H59" i="1" s="1"/>
  <c r="U59" i="1" l="1"/>
  <c r="O59" i="1" l="1"/>
  <c r="N59" i="1" l="1"/>
  <c r="T59" i="1"/>
  <c r="S59" i="1" l="1"/>
  <c r="L60" i="1" s="1"/>
  <c r="G59" i="1"/>
  <c r="V60" i="1"/>
  <c r="W60" i="1" l="1"/>
  <c r="H60" i="1" s="1"/>
  <c r="U60" i="1" l="1"/>
  <c r="O60" i="1" l="1"/>
  <c r="N60" i="1" l="1"/>
  <c r="T60" i="1"/>
  <c r="S60" i="1" l="1"/>
  <c r="L61" i="1" s="1"/>
  <c r="G60" i="1"/>
  <c r="V61" i="1"/>
  <c r="W61" i="1" s="1"/>
  <c r="U61" i="1" l="1"/>
  <c r="H61" i="1"/>
  <c r="O61" i="1" l="1"/>
  <c r="N61" i="1" l="1"/>
  <c r="T61" i="1"/>
  <c r="S61" i="1" l="1"/>
  <c r="L62" i="1" s="1"/>
  <c r="V62" i="1" s="1"/>
  <c r="W62" i="1" s="1"/>
  <c r="G61" i="1"/>
  <c r="U62" i="1" l="1"/>
  <c r="H62" i="1"/>
  <c r="O62" i="1" l="1"/>
  <c r="N62" i="1" l="1"/>
  <c r="T62" i="1"/>
  <c r="S62" i="1" l="1"/>
  <c r="L63" i="1" s="1"/>
  <c r="V63" i="1" s="1"/>
  <c r="W63" i="1" s="1"/>
  <c r="G62" i="1"/>
  <c r="U63" i="1" l="1"/>
  <c r="H63" i="1"/>
  <c r="O63" i="1" l="1"/>
  <c r="N63" i="1" l="1"/>
  <c r="T63" i="1"/>
  <c r="S63" i="1" l="1"/>
  <c r="L64" i="1" s="1"/>
  <c r="V64" i="1" s="1"/>
  <c r="G63" i="1"/>
  <c r="W64" i="1" l="1"/>
  <c r="U64" i="1" s="1"/>
  <c r="O64" i="1" l="1"/>
  <c r="N64" i="1" s="1"/>
  <c r="S64" i="1" s="1"/>
  <c r="L65" i="1" s="1"/>
  <c r="H64" i="1"/>
  <c r="T64" i="1" l="1"/>
  <c r="G64" i="1"/>
  <c r="V65" i="1"/>
  <c r="W65" i="1" l="1"/>
  <c r="H65" i="1" l="1"/>
  <c r="U65" i="1"/>
  <c r="O65" i="1" l="1"/>
  <c r="N65" i="1" l="1"/>
  <c r="T65" i="1"/>
  <c r="S65" i="1" l="1"/>
  <c r="L66" i="1" s="1"/>
  <c r="V66" i="1" s="1"/>
  <c r="G65" i="1"/>
  <c r="W66" i="1" l="1"/>
  <c r="H66" i="1" s="1"/>
  <c r="U66" i="1" l="1"/>
  <c r="O66" i="1" l="1"/>
  <c r="N66" i="1" l="1"/>
  <c r="T66" i="1"/>
  <c r="S66" i="1" l="1"/>
  <c r="L67" i="1" s="1"/>
  <c r="V67" i="1" s="1"/>
  <c r="W67" i="1" s="1"/>
  <c r="G66" i="1"/>
  <c r="H67" i="1" l="1"/>
  <c r="U67" i="1"/>
  <c r="O67" i="1" l="1"/>
  <c r="N67" i="1" l="1"/>
  <c r="T67" i="1"/>
  <c r="S67" i="1" l="1"/>
  <c r="L68" i="1" s="1"/>
  <c r="V68" i="1" s="1"/>
  <c r="G67" i="1"/>
  <c r="W68" i="1" l="1"/>
  <c r="H68" i="1" s="1"/>
  <c r="U68" i="1" l="1"/>
  <c r="O68" i="1" l="1"/>
  <c r="N68" i="1" l="1"/>
  <c r="T68" i="1"/>
  <c r="S68" i="1" l="1"/>
  <c r="L69" i="1" s="1"/>
  <c r="G68" i="1"/>
  <c r="V69" i="1"/>
  <c r="W69" i="1" s="1"/>
  <c r="U69" i="1" l="1"/>
  <c r="H69" i="1"/>
  <c r="O69" i="1" l="1"/>
  <c r="N69" i="1" l="1"/>
  <c r="T69" i="1"/>
  <c r="S69" i="1" l="1"/>
  <c r="L70" i="1" s="1"/>
  <c r="G69" i="1"/>
  <c r="V70" i="1"/>
  <c r="W70" i="1" l="1"/>
  <c r="U70" i="1" s="1"/>
  <c r="O70" i="1" l="1"/>
  <c r="N70" i="1" s="1"/>
  <c r="S70" i="1" s="1"/>
  <c r="L71" i="1" s="1"/>
  <c r="H70" i="1"/>
  <c r="G70" i="1" l="1"/>
  <c r="T70" i="1"/>
  <c r="V71" i="1" l="1"/>
  <c r="W71" i="1" l="1"/>
  <c r="U71" i="1" l="1"/>
  <c r="H71" i="1"/>
  <c r="O71" i="1" l="1"/>
  <c r="N71" i="1" l="1"/>
  <c r="T71" i="1"/>
  <c r="S71" i="1" l="1"/>
  <c r="L72" i="1" s="1"/>
  <c r="V72" i="1" s="1"/>
  <c r="W72" i="1" s="1"/>
  <c r="G71" i="1"/>
  <c r="U72" i="1" l="1"/>
  <c r="H72" i="1"/>
  <c r="O72" i="1" l="1"/>
  <c r="N72" i="1" l="1"/>
  <c r="T72" i="1"/>
  <c r="S72" i="1" l="1"/>
  <c r="L73" i="1" s="1"/>
  <c r="V73" i="1" s="1"/>
  <c r="W73" i="1" s="1"/>
  <c r="G72" i="1"/>
  <c r="H73" i="1" l="1"/>
  <c r="U73" i="1"/>
  <c r="O73" i="1" l="1"/>
  <c r="N73" i="1" l="1"/>
  <c r="T73" i="1"/>
  <c r="S73" i="1" l="1"/>
  <c r="L74" i="1" s="1"/>
  <c r="G73" i="1"/>
  <c r="V74" i="1"/>
  <c r="W74" i="1" s="1"/>
  <c r="H74" i="1" l="1"/>
  <c r="U74" i="1"/>
  <c r="O74" i="1" l="1"/>
  <c r="N74" i="1" l="1"/>
  <c r="T74" i="1"/>
  <c r="S74" i="1" l="1"/>
  <c r="L75" i="1" s="1"/>
  <c r="V75" i="1" s="1"/>
  <c r="G74" i="1"/>
  <c r="W75" i="1" l="1"/>
  <c r="U75" i="1" s="1"/>
  <c r="O75" i="1" l="1"/>
  <c r="N75" i="1" s="1"/>
  <c r="S75" i="1" s="1"/>
  <c r="L76" i="1" s="1"/>
  <c r="H75" i="1"/>
  <c r="G75" i="1" l="1"/>
  <c r="T75" i="1"/>
  <c r="V76" i="1" s="1"/>
  <c r="W76" i="1" s="1"/>
  <c r="H76" i="1" l="1"/>
  <c r="U76" i="1"/>
  <c r="O76" i="1" l="1"/>
  <c r="N76" i="1" l="1"/>
  <c r="T76" i="1"/>
  <c r="S76" i="1" l="1"/>
  <c r="L77" i="1" s="1"/>
  <c r="V77" i="1" s="1"/>
  <c r="W77" i="1" s="1"/>
  <c r="G76" i="1"/>
  <c r="U77" i="1" l="1"/>
  <c r="H77" i="1"/>
  <c r="O77" i="1" l="1"/>
  <c r="N77" i="1" l="1"/>
  <c r="T77" i="1"/>
  <c r="S77" i="1" l="1"/>
  <c r="L78" i="1" s="1"/>
  <c r="G77" i="1"/>
  <c r="V78" i="1"/>
  <c r="W78" i="1" s="1"/>
  <c r="H78" i="1" l="1"/>
  <c r="U78" i="1"/>
  <c r="O78" i="1" l="1"/>
  <c r="N78" i="1" l="1"/>
  <c r="T78" i="1"/>
  <c r="S78" i="1" l="1"/>
  <c r="L79" i="1" s="1"/>
  <c r="V79" i="1" s="1"/>
  <c r="G78" i="1"/>
  <c r="W79" i="1" l="1"/>
  <c r="H79" i="1" s="1"/>
  <c r="U79" i="1" l="1"/>
  <c r="O79" i="1" l="1"/>
  <c r="N79" i="1" l="1"/>
  <c r="T79" i="1"/>
  <c r="S79" i="1" l="1"/>
  <c r="L80" i="1" s="1"/>
  <c r="V80" i="1" s="1"/>
  <c r="G79" i="1"/>
  <c r="W80" i="1" l="1"/>
  <c r="H80" i="1" s="1"/>
  <c r="U80" i="1" l="1"/>
  <c r="O80" i="1" l="1"/>
  <c r="N80" i="1" l="1"/>
  <c r="T80" i="1"/>
  <c r="S80" i="1" l="1"/>
  <c r="L81" i="1" s="1"/>
  <c r="V81" i="1" s="1"/>
  <c r="G80" i="1"/>
  <c r="W81" i="1" l="1"/>
  <c r="U81" i="1" s="1"/>
  <c r="O81" i="1" l="1"/>
  <c r="N81" i="1" s="1"/>
  <c r="S81" i="1" s="1"/>
  <c r="L82" i="1" s="1"/>
  <c r="H81" i="1"/>
  <c r="G81" i="1" l="1"/>
  <c r="T81" i="1"/>
  <c r="V82" i="1" s="1"/>
  <c r="W82" i="1" l="1"/>
  <c r="U82" i="1" s="1"/>
  <c r="O82" i="1" l="1"/>
  <c r="N82" i="1" s="1"/>
  <c r="S82" i="1" s="1"/>
  <c r="L83" i="1" s="1"/>
  <c r="H82" i="1"/>
  <c r="G82" i="1" l="1"/>
  <c r="T82" i="1"/>
  <c r="V83" i="1" s="1"/>
  <c r="W83" i="1" l="1"/>
  <c r="U83" i="1" s="1"/>
  <c r="O83" i="1" l="1"/>
  <c r="N83" i="1" s="1"/>
  <c r="S83" i="1" s="1"/>
  <c r="L84" i="1" s="1"/>
  <c r="H83" i="1"/>
  <c r="G83" i="1" l="1"/>
  <c r="T83" i="1"/>
  <c r="V84" i="1" s="1"/>
  <c r="W84" i="1" l="1"/>
  <c r="U84" i="1" s="1"/>
  <c r="O84" i="1" l="1"/>
  <c r="N84" i="1" s="1"/>
  <c r="S84" i="1" s="1"/>
  <c r="L85" i="1" s="1"/>
  <c r="H84" i="1"/>
  <c r="G84" i="1" l="1"/>
  <c r="T84" i="1"/>
  <c r="V85" i="1" l="1"/>
  <c r="W85" i="1" l="1"/>
  <c r="U85" i="1" s="1"/>
  <c r="O85" i="1" l="1"/>
  <c r="N85" i="1" s="1"/>
  <c r="S85" i="1" s="1"/>
  <c r="L86" i="1" s="1"/>
  <c r="H85" i="1"/>
  <c r="G85" i="1" l="1"/>
  <c r="T85" i="1"/>
  <c r="V86" i="1" s="1"/>
  <c r="W86" i="1" s="1"/>
  <c r="U86" i="1" l="1"/>
  <c r="H86" i="1"/>
  <c r="O86" i="1" l="1"/>
  <c r="N86" i="1" l="1"/>
  <c r="T86" i="1"/>
  <c r="S86" i="1" l="1"/>
  <c r="L87" i="1" s="1"/>
  <c r="G86" i="1"/>
  <c r="V87" i="1"/>
  <c r="W87" i="1" s="1"/>
  <c r="U87" i="1" l="1"/>
  <c r="H87" i="1"/>
  <c r="O87" i="1" l="1"/>
  <c r="N87" i="1" l="1"/>
  <c r="T87" i="1"/>
  <c r="S87" i="1" l="1"/>
  <c r="L88" i="1" s="1"/>
  <c r="V88" i="1" s="1"/>
  <c r="W88" i="1" s="1"/>
  <c r="G87" i="1"/>
  <c r="U88" i="1" l="1"/>
  <c r="H88" i="1"/>
  <c r="O88" i="1" l="1"/>
  <c r="N88" i="1" l="1"/>
  <c r="T88" i="1"/>
  <c r="S88" i="1" l="1"/>
  <c r="L89" i="1" s="1"/>
  <c r="G88" i="1"/>
  <c r="V89" i="1"/>
  <c r="W89" i="1" s="1"/>
  <c r="U89" i="1" l="1"/>
  <c r="H89" i="1"/>
  <c r="O89" i="1" l="1"/>
  <c r="N89" i="1" l="1"/>
  <c r="T89" i="1"/>
  <c r="S89" i="1" l="1"/>
  <c r="L90" i="1" s="1"/>
  <c r="G89" i="1"/>
  <c r="V90" i="1"/>
  <c r="W90" i="1" l="1"/>
  <c r="H90" i="1" s="1"/>
  <c r="U90" i="1" l="1"/>
  <c r="O90" i="1" l="1"/>
  <c r="N90" i="1" l="1"/>
  <c r="T90" i="1"/>
  <c r="S90" i="1" l="1"/>
  <c r="L91" i="1" s="1"/>
  <c r="G90" i="1"/>
  <c r="V91" i="1"/>
  <c r="W91" i="1" s="1"/>
  <c r="U91" i="1" l="1"/>
  <c r="H91" i="1"/>
  <c r="O91" i="1" l="1"/>
  <c r="N91" i="1" l="1"/>
  <c r="T91" i="1"/>
  <c r="S91" i="1" l="1"/>
  <c r="L92" i="1" s="1"/>
  <c r="G91" i="1"/>
  <c r="V92" i="1"/>
  <c r="W92" i="1" s="1"/>
  <c r="H92" i="1" l="1"/>
  <c r="U92" i="1"/>
  <c r="O92" i="1" l="1"/>
  <c r="N92" i="1" l="1"/>
  <c r="T92" i="1"/>
  <c r="S92" i="1" l="1"/>
  <c r="L93" i="1" s="1"/>
  <c r="G92" i="1"/>
  <c r="V93" i="1"/>
  <c r="W93" i="1" s="1"/>
  <c r="U93" i="1" l="1"/>
  <c r="H93" i="1"/>
  <c r="O93" i="1" l="1"/>
  <c r="N93" i="1" l="1"/>
  <c r="T93" i="1"/>
  <c r="S93" i="1" l="1"/>
  <c r="L94" i="1" s="1"/>
  <c r="V94" i="1" s="1"/>
  <c r="W94" i="1" s="1"/>
  <c r="G93" i="1"/>
  <c r="H94" i="1" l="1"/>
  <c r="U94" i="1"/>
  <c r="O94" i="1" l="1"/>
  <c r="N94" i="1" l="1"/>
  <c r="T94" i="1"/>
  <c r="S94" i="1" l="1"/>
  <c r="L95" i="1" s="1"/>
  <c r="G94" i="1"/>
  <c r="V95" i="1"/>
  <c r="W95" i="1" s="1"/>
  <c r="U95" i="1" l="1"/>
  <c r="H95" i="1"/>
  <c r="O95" i="1" l="1"/>
  <c r="N95" i="1" l="1"/>
  <c r="T95" i="1"/>
  <c r="S95" i="1" l="1"/>
  <c r="L96" i="1" s="1"/>
  <c r="G95" i="1"/>
  <c r="V96" i="1"/>
  <c r="W96" i="1" s="1"/>
  <c r="U96" i="1" l="1"/>
  <c r="H96" i="1"/>
  <c r="O96" i="1" l="1"/>
  <c r="N96" i="1" l="1"/>
  <c r="T96" i="1"/>
  <c r="S96" i="1" l="1"/>
  <c r="L97" i="1" s="1"/>
  <c r="V97" i="1" s="1"/>
  <c r="W97" i="1" s="1"/>
  <c r="G96" i="1"/>
  <c r="H97" i="1" l="1"/>
  <c r="U97" i="1"/>
  <c r="O97" i="1" l="1"/>
  <c r="N97" i="1" l="1"/>
  <c r="T97" i="1"/>
  <c r="S97" i="1" l="1"/>
  <c r="L98" i="1" s="1"/>
  <c r="V98" i="1" s="1"/>
  <c r="G97" i="1"/>
  <c r="W98" i="1" l="1"/>
  <c r="U98" i="1" s="1"/>
  <c r="O98" i="1" l="1"/>
  <c r="N98" i="1" s="1"/>
  <c r="S98" i="1" s="1"/>
  <c r="L99" i="1" s="1"/>
  <c r="H98" i="1"/>
  <c r="G98" i="1" l="1"/>
  <c r="T98" i="1"/>
  <c r="V99" i="1" s="1"/>
  <c r="W99" i="1" s="1"/>
  <c r="H99" i="1" l="1"/>
  <c r="U99" i="1"/>
  <c r="O99" i="1" l="1"/>
  <c r="N99" i="1" l="1"/>
  <c r="T99" i="1"/>
  <c r="S99" i="1" l="1"/>
  <c r="L100" i="1" s="1"/>
  <c r="V100" i="1" s="1"/>
  <c r="G99" i="1"/>
  <c r="W100" i="1" l="1"/>
  <c r="H100" i="1" s="1"/>
  <c r="U100" i="1" l="1"/>
  <c r="O100" i="1" l="1"/>
  <c r="N100" i="1" l="1"/>
  <c r="T100" i="1"/>
  <c r="S100" i="1" l="1"/>
  <c r="L101" i="1" s="1"/>
  <c r="G100" i="1"/>
  <c r="V101" i="1"/>
  <c r="W101" i="1" l="1"/>
  <c r="H101" i="1" s="1"/>
  <c r="U101" i="1" l="1"/>
  <c r="O101" i="1" l="1"/>
  <c r="N101" i="1" l="1"/>
  <c r="T101" i="1"/>
  <c r="S101" i="1" l="1"/>
  <c r="L102" i="1" s="1"/>
  <c r="G101" i="1"/>
  <c r="V102" i="1"/>
  <c r="W102" i="1" s="1"/>
  <c r="H102" i="1" l="1"/>
  <c r="U102" i="1"/>
  <c r="O102" i="1" l="1"/>
  <c r="N102" i="1" l="1"/>
  <c r="T102" i="1"/>
  <c r="S102" i="1" l="1"/>
  <c r="L103" i="1" s="1"/>
  <c r="G102" i="1"/>
  <c r="V103" i="1"/>
  <c r="W103" i="1" s="1"/>
  <c r="U103" i="1" l="1"/>
  <c r="H103" i="1"/>
  <c r="O103" i="1" l="1"/>
  <c r="N103" i="1" l="1"/>
  <c r="T103" i="1"/>
  <c r="S103" i="1" l="1"/>
  <c r="L104" i="1" s="1"/>
  <c r="G103" i="1"/>
  <c r="V104" i="1"/>
  <c r="W104" i="1" l="1"/>
  <c r="U104" i="1" s="1"/>
  <c r="O104" i="1" l="1"/>
  <c r="N104" i="1" s="1"/>
  <c r="S104" i="1" s="1"/>
  <c r="L105" i="1" s="1"/>
  <c r="H104" i="1"/>
  <c r="G104" i="1" l="1"/>
  <c r="T104" i="1"/>
  <c r="V105" i="1" l="1"/>
  <c r="W105" i="1" l="1"/>
  <c r="H105" i="1" s="1"/>
  <c r="U105" i="1" l="1"/>
  <c r="O105" i="1" l="1"/>
  <c r="N105" i="1" l="1"/>
  <c r="T105" i="1"/>
  <c r="S105" i="1" l="1"/>
  <c r="L106" i="1" s="1"/>
  <c r="V106" i="1" s="1"/>
  <c r="G105" i="1"/>
  <c r="W106" i="1" l="1"/>
  <c r="U106" i="1" s="1"/>
  <c r="O106" i="1" l="1"/>
  <c r="N106" i="1" s="1"/>
  <c r="S106" i="1" s="1"/>
  <c r="L107" i="1" s="1"/>
  <c r="H106" i="1"/>
  <c r="G106" i="1" l="1"/>
  <c r="T106" i="1"/>
  <c r="V107" i="1" l="1"/>
  <c r="W107" i="1" l="1"/>
  <c r="U107" i="1" s="1"/>
  <c r="O107" i="1" l="1"/>
  <c r="N107" i="1" s="1"/>
  <c r="S107" i="1" s="1"/>
  <c r="L108" i="1" s="1"/>
  <c r="H107" i="1"/>
  <c r="G107" i="1" l="1"/>
  <c r="T107" i="1"/>
  <c r="V108" i="1" s="1"/>
  <c r="W108" i="1" l="1"/>
  <c r="H108" i="1" s="1"/>
  <c r="U108" i="1" l="1"/>
  <c r="U195" i="1"/>
  <c r="O108" i="1" l="1"/>
  <c r="H195" i="1"/>
  <c r="N108" i="1" l="1"/>
  <c r="T108" i="1"/>
  <c r="U196" i="1"/>
  <c r="S108" i="1" l="1"/>
  <c r="L109" i="1" s="1"/>
  <c r="V109" i="1" s="1"/>
  <c r="G108" i="1"/>
  <c r="H196" i="1"/>
  <c r="W109" i="1" l="1"/>
  <c r="H109" i="1" s="1"/>
  <c r="U197" i="1"/>
  <c r="U109" i="1" l="1"/>
  <c r="U198" i="1"/>
  <c r="O109" i="1" l="1"/>
  <c r="U199" i="1"/>
  <c r="N109" i="1" l="1"/>
  <c r="T109" i="1"/>
  <c r="U200" i="1"/>
  <c r="S109" i="1" l="1"/>
  <c r="L110" i="1" s="1"/>
  <c r="G109" i="1"/>
  <c r="V110" i="1"/>
  <c r="U201" i="1"/>
  <c r="W110" i="1" l="1"/>
  <c r="U110" i="1" s="1"/>
  <c r="U202" i="1"/>
  <c r="O110" i="1" l="1"/>
  <c r="N110" i="1" s="1"/>
  <c r="S110" i="1" s="1"/>
  <c r="L111" i="1" s="1"/>
  <c r="H110" i="1"/>
  <c r="U203" i="1"/>
  <c r="G110" i="1" l="1"/>
  <c r="T110" i="1"/>
  <c r="U204" i="1"/>
  <c r="V111" i="1" l="1"/>
  <c r="W111" i="1" s="1"/>
  <c r="U205" i="1"/>
  <c r="U111" i="1" l="1"/>
  <c r="H111" i="1"/>
  <c r="U206" i="1"/>
  <c r="O111" i="1" l="1"/>
  <c r="U207" i="1"/>
  <c r="N111" i="1" l="1"/>
  <c r="T111" i="1"/>
  <c r="U208" i="1"/>
  <c r="S111" i="1" l="1"/>
  <c r="L112" i="1" s="1"/>
  <c r="V112" i="1" s="1"/>
  <c r="W112" i="1" s="1"/>
  <c r="G111" i="1"/>
  <c r="H112" i="1" l="1"/>
  <c r="U112" i="1"/>
  <c r="O112" i="1" l="1"/>
  <c r="N112" i="1" l="1"/>
  <c r="T112" i="1"/>
  <c r="S112" i="1" l="1"/>
  <c r="L113" i="1" s="1"/>
  <c r="G112" i="1"/>
  <c r="V113" i="1"/>
  <c r="W113" i="1" s="1"/>
  <c r="H113" i="1" l="1"/>
  <c r="U113" i="1"/>
  <c r="O113" i="1" l="1"/>
  <c r="N113" i="1" l="1"/>
  <c r="T113" i="1"/>
  <c r="S113" i="1" l="1"/>
  <c r="L114" i="1" s="1"/>
  <c r="V114" i="1" s="1"/>
  <c r="W114" i="1" s="1"/>
  <c r="G113" i="1"/>
  <c r="H114" i="1" l="1"/>
  <c r="U114" i="1"/>
  <c r="O114" i="1" l="1"/>
  <c r="N114" i="1" l="1"/>
  <c r="T114" i="1"/>
  <c r="S114" i="1" l="1"/>
  <c r="L115" i="1" s="1"/>
  <c r="V115" i="1" s="1"/>
  <c r="G114" i="1"/>
  <c r="W115" i="1" l="1"/>
  <c r="U115" i="1" s="1"/>
  <c r="O115" i="1" l="1"/>
  <c r="N115" i="1" s="1"/>
  <c r="S115" i="1" s="1"/>
  <c r="L116" i="1" s="1"/>
  <c r="H115" i="1"/>
  <c r="T115" i="1" l="1"/>
  <c r="G115" i="1"/>
  <c r="V116" i="1"/>
  <c r="W116" i="1" s="1"/>
  <c r="U116" i="1" l="1"/>
  <c r="H116" i="1"/>
  <c r="O116" i="1" l="1"/>
  <c r="N116" i="1" l="1"/>
  <c r="T116" i="1"/>
  <c r="S116" i="1" l="1"/>
  <c r="L117" i="1" s="1"/>
  <c r="V117" i="1" s="1"/>
  <c r="W117" i="1" s="1"/>
  <c r="G116" i="1"/>
  <c r="U117" i="1" l="1"/>
  <c r="H117" i="1"/>
  <c r="O117" i="1" l="1"/>
  <c r="N117" i="1" l="1"/>
  <c r="T117" i="1"/>
  <c r="S117" i="1" l="1"/>
  <c r="L118" i="1" s="1"/>
  <c r="G117" i="1"/>
  <c r="V118" i="1"/>
  <c r="W118" i="1" l="1"/>
  <c r="U118" i="1" s="1"/>
  <c r="O118" i="1" l="1"/>
  <c r="N118" i="1" s="1"/>
  <c r="S118" i="1" s="1"/>
  <c r="L119" i="1" s="1"/>
  <c r="H118" i="1"/>
  <c r="G118" i="1" l="1"/>
  <c r="T118" i="1"/>
  <c r="V119" i="1" l="1"/>
  <c r="W119" i="1" l="1"/>
  <c r="U119" i="1" s="1"/>
  <c r="O119" i="1" l="1"/>
  <c r="N119" i="1" s="1"/>
  <c r="S119" i="1" s="1"/>
  <c r="L120" i="1" s="1"/>
  <c r="H119" i="1"/>
  <c r="T119" i="1" l="1"/>
  <c r="G119" i="1"/>
  <c r="V120" i="1"/>
  <c r="W120" i="1" l="1"/>
  <c r="H120" i="1" s="1"/>
  <c r="U120" i="1" l="1"/>
  <c r="O120" i="1" l="1"/>
  <c r="N120" i="1" l="1"/>
  <c r="T120" i="1"/>
  <c r="S120" i="1" l="1"/>
  <c r="L121" i="1" s="1"/>
  <c r="V121" i="1" s="1"/>
  <c r="W121" i="1" s="1"/>
  <c r="G120" i="1"/>
  <c r="H121" i="1" l="1"/>
  <c r="U121" i="1"/>
  <c r="O121" i="1" l="1"/>
  <c r="N121" i="1" l="1"/>
  <c r="T121" i="1"/>
  <c r="S121" i="1" l="1"/>
  <c r="L122" i="1" s="1"/>
  <c r="V122" i="1" s="1"/>
  <c r="G121" i="1"/>
  <c r="W122" i="1" l="1"/>
  <c r="U122" i="1" s="1"/>
  <c r="O122" i="1" l="1"/>
  <c r="N122" i="1" s="1"/>
  <c r="S122" i="1" s="1"/>
  <c r="L123" i="1" s="1"/>
  <c r="H122" i="1"/>
  <c r="G122" i="1" l="1"/>
  <c r="T122" i="1"/>
  <c r="V123" i="1" s="1"/>
  <c r="W123" i="1" l="1"/>
  <c r="H123" i="1" s="1"/>
  <c r="U123" i="1" l="1"/>
  <c r="O123" i="1" l="1"/>
  <c r="N123" i="1" l="1"/>
  <c r="T123" i="1"/>
  <c r="S123" i="1" l="1"/>
  <c r="L124" i="1" s="1"/>
  <c r="G123" i="1"/>
  <c r="V124" i="1"/>
  <c r="W124" i="1" l="1"/>
  <c r="U124" i="1" s="1"/>
  <c r="O124" i="1" l="1"/>
  <c r="N124" i="1" s="1"/>
  <c r="S124" i="1" s="1"/>
  <c r="L125" i="1" s="1"/>
  <c r="H124" i="1"/>
  <c r="G124" i="1" l="1"/>
  <c r="T124" i="1"/>
  <c r="V125" i="1" l="1"/>
  <c r="W125" i="1" l="1"/>
  <c r="H125" i="1" s="1"/>
  <c r="U125" i="1" l="1"/>
  <c r="O125" i="1" l="1"/>
  <c r="N125" i="1" l="1"/>
  <c r="T125" i="1"/>
  <c r="S125" i="1" l="1"/>
  <c r="L126" i="1" s="1"/>
  <c r="G125" i="1"/>
  <c r="V126" i="1"/>
  <c r="W126" i="1" l="1"/>
  <c r="U126" i="1" s="1"/>
  <c r="O126" i="1" l="1"/>
  <c r="N126" i="1" s="1"/>
  <c r="S126" i="1" s="1"/>
  <c r="L127" i="1" s="1"/>
  <c r="H126" i="1"/>
  <c r="G126" i="1" l="1"/>
  <c r="T126" i="1"/>
  <c r="V127" i="1" s="1"/>
  <c r="W127" i="1" s="1"/>
  <c r="H127" i="1" l="1"/>
  <c r="U127" i="1"/>
  <c r="O127" i="1" l="1"/>
  <c r="N127" i="1" l="1"/>
  <c r="T127" i="1"/>
  <c r="S127" i="1" l="1"/>
  <c r="L128" i="1" s="1"/>
  <c r="G127" i="1"/>
  <c r="V128" i="1"/>
  <c r="W128" i="1" s="1"/>
  <c r="H128" i="1" l="1"/>
  <c r="U128" i="1"/>
  <c r="O128" i="1" l="1"/>
  <c r="N128" i="1" l="1"/>
  <c r="T128" i="1"/>
  <c r="S128" i="1" l="1"/>
  <c r="L129" i="1" s="1"/>
  <c r="G128" i="1"/>
  <c r="V129" i="1"/>
  <c r="W129" i="1" s="1"/>
  <c r="U129" i="1" l="1"/>
  <c r="H129" i="1"/>
  <c r="O129" i="1" l="1"/>
  <c r="N129" i="1" l="1"/>
  <c r="T129" i="1"/>
  <c r="S129" i="1" l="1"/>
  <c r="L130" i="1" s="1"/>
  <c r="G129" i="1"/>
  <c r="V130" i="1"/>
  <c r="W130" i="1" l="1"/>
  <c r="H130" i="1" s="1"/>
  <c r="U130" i="1" l="1"/>
  <c r="O130" i="1" l="1"/>
  <c r="N130" i="1" l="1"/>
  <c r="T130" i="1"/>
  <c r="S130" i="1" l="1"/>
  <c r="L131" i="1" s="1"/>
  <c r="G130" i="1"/>
  <c r="V131" i="1"/>
  <c r="W131" i="1" l="1"/>
  <c r="U131" i="1" s="1"/>
  <c r="O131" i="1" l="1"/>
  <c r="N131" i="1" s="1"/>
  <c r="S131" i="1" s="1"/>
  <c r="L132" i="1" s="1"/>
  <c r="H131" i="1"/>
  <c r="G131" i="1" l="1"/>
  <c r="T131" i="1"/>
  <c r="V132" i="1" s="1"/>
  <c r="W132" i="1" l="1"/>
  <c r="H132" i="1" s="1"/>
  <c r="U132" i="1" l="1"/>
  <c r="O132" i="1" l="1"/>
  <c r="N132" i="1" l="1"/>
  <c r="T132" i="1"/>
  <c r="S132" i="1" l="1"/>
  <c r="L133" i="1" s="1"/>
  <c r="G132" i="1"/>
  <c r="V133" i="1"/>
  <c r="W133" i="1" l="1"/>
  <c r="H133" i="1" s="1"/>
  <c r="U133" i="1" l="1"/>
  <c r="O133" i="1" l="1"/>
  <c r="N133" i="1" l="1"/>
  <c r="T133" i="1"/>
  <c r="S133" i="1" l="1"/>
  <c r="L134" i="1" s="1"/>
  <c r="G133" i="1"/>
  <c r="V134" i="1"/>
  <c r="W134" i="1" l="1"/>
  <c r="U134" i="1" s="1"/>
  <c r="O134" i="1" l="1"/>
  <c r="N134" i="1" s="1"/>
  <c r="S134" i="1" s="1"/>
  <c r="L135" i="1" s="1"/>
  <c r="H134" i="1"/>
  <c r="G134" i="1" l="1"/>
  <c r="T134" i="1"/>
  <c r="V135" i="1" l="1"/>
  <c r="W135" i="1" s="1"/>
  <c r="U135" i="1" l="1"/>
  <c r="H135" i="1"/>
  <c r="O135" i="1" l="1"/>
  <c r="N135" i="1" l="1"/>
  <c r="T135" i="1"/>
  <c r="S135" i="1" l="1"/>
  <c r="L136" i="1" s="1"/>
  <c r="G135" i="1"/>
  <c r="V136" i="1"/>
  <c r="W136" i="1" s="1"/>
  <c r="H136" i="1" l="1"/>
  <c r="U136" i="1"/>
  <c r="O136" i="1" l="1"/>
  <c r="N136" i="1" l="1"/>
  <c r="T136" i="1"/>
  <c r="S136" i="1" l="1"/>
  <c r="L137" i="1" s="1"/>
  <c r="G136" i="1"/>
  <c r="V137" i="1"/>
  <c r="W137" i="1" s="1"/>
  <c r="U137" i="1" l="1"/>
  <c r="H137" i="1"/>
  <c r="O137" i="1" l="1"/>
  <c r="N137" i="1" l="1"/>
  <c r="T137" i="1"/>
  <c r="S137" i="1" l="1"/>
  <c r="L138" i="1" s="1"/>
  <c r="G137" i="1"/>
  <c r="V138" i="1"/>
  <c r="W138" i="1" s="1"/>
  <c r="H138" i="1" l="1"/>
  <c r="U138" i="1"/>
  <c r="O138" i="1" l="1"/>
  <c r="N138" i="1" l="1"/>
  <c r="T138" i="1"/>
  <c r="S138" i="1" l="1"/>
  <c r="L139" i="1" s="1"/>
  <c r="G138" i="1"/>
  <c r="V139" i="1"/>
  <c r="W139" i="1" l="1"/>
  <c r="U139" i="1" s="1"/>
  <c r="O139" i="1" l="1"/>
  <c r="N139" i="1" s="1"/>
  <c r="S139" i="1" s="1"/>
  <c r="L140" i="1" s="1"/>
  <c r="H139" i="1"/>
  <c r="G139" i="1" l="1"/>
  <c r="T139" i="1"/>
  <c r="V140" i="1" l="1"/>
  <c r="W140" i="1" s="1"/>
  <c r="U140" i="1" l="1"/>
  <c r="H140" i="1"/>
  <c r="O140" i="1" l="1"/>
  <c r="N140" i="1" l="1"/>
  <c r="T140" i="1"/>
  <c r="S140" i="1" l="1"/>
  <c r="L141" i="1" s="1"/>
  <c r="V141" i="1" s="1"/>
  <c r="G140" i="1"/>
  <c r="W141" i="1" l="1"/>
  <c r="H141" i="1" s="1"/>
  <c r="U141" i="1" l="1"/>
  <c r="O141" i="1" l="1"/>
  <c r="N141" i="1" l="1"/>
  <c r="T141" i="1"/>
  <c r="S141" i="1" l="1"/>
  <c r="L142" i="1" s="1"/>
  <c r="V142" i="1" s="1"/>
  <c r="W142" i="1" s="1"/>
  <c r="G141" i="1"/>
  <c r="U142" i="1" l="1"/>
  <c r="H142" i="1"/>
  <c r="O142" i="1" l="1"/>
  <c r="N142" i="1" l="1"/>
  <c r="T142" i="1"/>
  <c r="S142" i="1" l="1"/>
  <c r="L143" i="1" s="1"/>
  <c r="V143" i="1" s="1"/>
  <c r="W143" i="1" s="1"/>
  <c r="G142" i="1"/>
  <c r="H143" i="1" l="1"/>
  <c r="U143" i="1"/>
  <c r="O143" i="1" l="1"/>
  <c r="N143" i="1" l="1"/>
  <c r="T143" i="1"/>
  <c r="S143" i="1" l="1"/>
  <c r="L144" i="1" s="1"/>
  <c r="V144" i="1" s="1"/>
  <c r="G143" i="1"/>
  <c r="W144" i="1" l="1"/>
  <c r="H144" i="1" s="1"/>
  <c r="U144" i="1" l="1"/>
  <c r="O144" i="1" l="1"/>
  <c r="N144" i="1" l="1"/>
  <c r="T144" i="1"/>
  <c r="S144" i="1" l="1"/>
  <c r="L145" i="1" s="1"/>
  <c r="G144" i="1"/>
  <c r="V145" i="1"/>
  <c r="W145" i="1" l="1"/>
  <c r="H145" i="1" s="1"/>
  <c r="U145" i="1" l="1"/>
  <c r="O145" i="1" l="1"/>
  <c r="N145" i="1" l="1"/>
  <c r="T145" i="1"/>
  <c r="S145" i="1" l="1"/>
  <c r="L146" i="1" s="1"/>
  <c r="V146" i="1" s="1"/>
  <c r="W146" i="1" s="1"/>
  <c r="G145" i="1"/>
  <c r="H146" i="1" l="1"/>
  <c r="U146" i="1"/>
  <c r="O146" i="1" l="1"/>
  <c r="N146" i="1" l="1"/>
  <c r="T146" i="1"/>
  <c r="S146" i="1" l="1"/>
  <c r="L147" i="1" s="1"/>
  <c r="V147" i="1" s="1"/>
  <c r="G146" i="1"/>
  <c r="W147" i="1" l="1"/>
  <c r="H147" i="1" s="1"/>
  <c r="U147" i="1" l="1"/>
  <c r="O147" i="1" l="1"/>
  <c r="N147" i="1" l="1"/>
  <c r="T147" i="1"/>
  <c r="S147" i="1" l="1"/>
  <c r="L148" i="1" s="1"/>
  <c r="V148" i="1" s="1"/>
  <c r="G147" i="1"/>
  <c r="W148" i="1" l="1"/>
  <c r="U148" i="1" s="1"/>
  <c r="O148" i="1" l="1"/>
  <c r="N148" i="1" s="1"/>
  <c r="S148" i="1" s="1"/>
  <c r="L149" i="1" s="1"/>
  <c r="H148" i="1"/>
  <c r="G148" i="1" l="1"/>
  <c r="T148" i="1"/>
  <c r="V149" i="1" l="1"/>
  <c r="W149" i="1" l="1"/>
  <c r="U149" i="1" s="1"/>
  <c r="O149" i="1" l="1"/>
  <c r="N149" i="1" s="1"/>
  <c r="S149" i="1" s="1"/>
  <c r="L150" i="1" s="1"/>
  <c r="H149" i="1"/>
  <c r="G149" i="1" l="1"/>
  <c r="T149" i="1"/>
  <c r="V150" i="1" s="1"/>
  <c r="W150" i="1" l="1"/>
  <c r="U150" i="1" s="1"/>
  <c r="O150" i="1" l="1"/>
  <c r="N150" i="1" s="1"/>
  <c r="S150" i="1" s="1"/>
  <c r="L151" i="1" s="1"/>
  <c r="H150" i="1"/>
  <c r="G150" i="1" l="1"/>
  <c r="T150" i="1"/>
  <c r="V151" i="1" s="1"/>
  <c r="W151" i="1" l="1"/>
  <c r="H151" i="1" s="1"/>
  <c r="U151" i="1" l="1"/>
  <c r="O151" i="1" l="1"/>
  <c r="N151" i="1" l="1"/>
  <c r="T151" i="1"/>
  <c r="S151" i="1" l="1"/>
  <c r="L152" i="1" s="1"/>
  <c r="V152" i="1" s="1"/>
  <c r="G151" i="1"/>
  <c r="W152" i="1" l="1"/>
  <c r="U152" i="1" s="1"/>
  <c r="O152" i="1" l="1"/>
  <c r="N152" i="1" s="1"/>
  <c r="S152" i="1" s="1"/>
  <c r="L153" i="1" s="1"/>
  <c r="H152" i="1"/>
  <c r="G152" i="1" l="1"/>
  <c r="T152" i="1"/>
  <c r="V153" i="1" l="1"/>
  <c r="W153" i="1" s="1"/>
  <c r="H153" i="1" l="1"/>
  <c r="U153" i="1"/>
  <c r="O153" i="1" l="1"/>
  <c r="N153" i="1" l="1"/>
  <c r="T153" i="1"/>
  <c r="S153" i="1" l="1"/>
  <c r="L154" i="1" s="1"/>
  <c r="G153" i="1"/>
  <c r="V154" i="1"/>
  <c r="W154" i="1" s="1"/>
  <c r="H154" i="1" l="1"/>
  <c r="U154" i="1"/>
  <c r="O154" i="1" l="1"/>
  <c r="N154" i="1" l="1"/>
  <c r="T154" i="1"/>
  <c r="S154" i="1" l="1"/>
  <c r="L155" i="1" s="1"/>
  <c r="V155" i="1" s="1"/>
  <c r="G154" i="1"/>
  <c r="W155" i="1" l="1"/>
  <c r="H155" i="1" s="1"/>
  <c r="U155" i="1" l="1"/>
  <c r="O155" i="1" l="1"/>
  <c r="N155" i="1" l="1"/>
  <c r="T155" i="1"/>
  <c r="S155" i="1" l="1"/>
  <c r="L156" i="1" s="1"/>
  <c r="G155" i="1"/>
  <c r="V156" i="1"/>
  <c r="W156" i="1" s="1"/>
  <c r="U156" i="1" l="1"/>
  <c r="H156" i="1"/>
  <c r="O156" i="1" l="1"/>
  <c r="N156" i="1" l="1"/>
  <c r="T156" i="1"/>
  <c r="S156" i="1" l="1"/>
  <c r="L157" i="1" s="1"/>
  <c r="G156" i="1"/>
  <c r="V157" i="1"/>
  <c r="W157" i="1" l="1"/>
  <c r="H157" i="1" s="1"/>
  <c r="U157" i="1" l="1"/>
  <c r="O157" i="1" l="1"/>
  <c r="N157" i="1" l="1"/>
  <c r="T157" i="1"/>
  <c r="S157" i="1" l="1"/>
  <c r="L158" i="1" s="1"/>
  <c r="V158" i="1" s="1"/>
  <c r="G157" i="1"/>
  <c r="W158" i="1" l="1"/>
  <c r="U158" i="1" s="1"/>
  <c r="O158" i="1" l="1"/>
  <c r="N158" i="1" s="1"/>
  <c r="S158" i="1" s="1"/>
  <c r="L159" i="1" s="1"/>
  <c r="H158" i="1"/>
  <c r="G158" i="1" l="1"/>
  <c r="T158" i="1"/>
  <c r="V159" i="1" l="1"/>
  <c r="W159" i="1" s="1"/>
  <c r="H159" i="1" l="1"/>
  <c r="U159" i="1"/>
  <c r="O159" i="1" l="1"/>
  <c r="N159" i="1" l="1"/>
  <c r="T159" i="1"/>
  <c r="S159" i="1" l="1"/>
  <c r="L160" i="1" s="1"/>
  <c r="V160" i="1" s="1"/>
  <c r="W160" i="1" s="1"/>
  <c r="G159" i="1"/>
  <c r="H160" i="1" l="1"/>
  <c r="U160" i="1"/>
  <c r="O160" i="1" l="1"/>
  <c r="N160" i="1" l="1"/>
  <c r="T160" i="1"/>
  <c r="S160" i="1" l="1"/>
  <c r="L161" i="1" s="1"/>
  <c r="G160" i="1"/>
  <c r="V161" i="1"/>
  <c r="W161" i="1" s="1"/>
  <c r="H161" i="1" l="1"/>
  <c r="U161" i="1"/>
  <c r="O161" i="1" l="1"/>
  <c r="N161" i="1" l="1"/>
  <c r="T161" i="1"/>
  <c r="S161" i="1" l="1"/>
  <c r="L162" i="1" s="1"/>
  <c r="V162" i="1" s="1"/>
  <c r="W162" i="1" s="1"/>
  <c r="G161" i="1"/>
  <c r="U162" i="1" l="1"/>
  <c r="H162" i="1"/>
  <c r="O162" i="1" l="1"/>
  <c r="N162" i="1" l="1"/>
  <c r="T162" i="1"/>
  <c r="S162" i="1" l="1"/>
  <c r="L163" i="1" s="1"/>
  <c r="V163" i="1" s="1"/>
  <c r="G162" i="1"/>
  <c r="W163" i="1" l="1"/>
  <c r="H163" i="1" s="1"/>
  <c r="U163" i="1" l="1"/>
  <c r="O163" i="1" l="1"/>
  <c r="N163" i="1" l="1"/>
  <c r="T163" i="1"/>
  <c r="S163" i="1" l="1"/>
  <c r="L164" i="1" s="1"/>
  <c r="V164" i="1" s="1"/>
  <c r="G163" i="1"/>
  <c r="W164" i="1" l="1"/>
  <c r="U164" i="1" s="1"/>
  <c r="O164" i="1" l="1"/>
  <c r="N164" i="1" s="1"/>
  <c r="S164" i="1" s="1"/>
  <c r="L165" i="1" s="1"/>
  <c r="H164" i="1"/>
  <c r="G164" i="1" l="1"/>
  <c r="T164" i="1"/>
  <c r="V165" i="1" s="1"/>
  <c r="W165" i="1" l="1"/>
  <c r="U165" i="1" s="1"/>
  <c r="G165" i="1" l="1"/>
  <c r="O165" i="1"/>
  <c r="N165" i="1" s="1"/>
  <c r="S165" i="1" s="1"/>
  <c r="L166" i="1" s="1"/>
  <c r="H165" i="1"/>
  <c r="T165" i="1" l="1"/>
  <c r="V166" i="1" l="1"/>
  <c r="W166" i="1" l="1"/>
  <c r="H166" i="1" s="1"/>
  <c r="U166" i="1" l="1"/>
  <c r="G166" i="1" l="1"/>
  <c r="O166" i="1"/>
  <c r="N166" i="1" l="1"/>
  <c r="S166" i="1" s="1"/>
  <c r="L167" i="1" s="1"/>
  <c r="T166" i="1"/>
  <c r="V167" i="1" l="1"/>
  <c r="W167" i="1" l="1"/>
  <c r="U167" i="1" s="1"/>
  <c r="G167" i="1" l="1"/>
  <c r="O167" i="1"/>
  <c r="N167" i="1" s="1"/>
  <c r="S167" i="1" s="1"/>
  <c r="L168" i="1" s="1"/>
  <c r="H167" i="1"/>
  <c r="T167" i="1" l="1"/>
  <c r="V168" i="1" s="1"/>
  <c r="W168" i="1" l="1"/>
  <c r="H168" i="1" s="1"/>
  <c r="U168" i="1" l="1"/>
  <c r="G168" i="1" l="1"/>
  <c r="O168" i="1"/>
  <c r="N168" i="1" l="1"/>
  <c r="S168" i="1" s="1"/>
  <c r="T168" i="1"/>
  <c r="L169" i="1" l="1"/>
  <c r="V169" i="1" l="1"/>
  <c r="W169" i="1" s="1"/>
  <c r="U169" i="1" l="1"/>
  <c r="H169" i="1"/>
  <c r="G169" i="1" l="1"/>
  <c r="O169" i="1"/>
  <c r="N169" i="1" l="1"/>
  <c r="S169" i="1" s="1"/>
  <c r="L170" i="1" s="1"/>
  <c r="T169" i="1"/>
  <c r="V170" i="1" l="1"/>
  <c r="W170" i="1" s="1"/>
  <c r="H170" i="1" l="1"/>
  <c r="U170" i="1"/>
  <c r="G170" i="1" l="1"/>
  <c r="O170" i="1"/>
  <c r="N170" i="1" l="1"/>
  <c r="S170" i="1" s="1"/>
  <c r="L171" i="1" s="1"/>
  <c r="T170" i="1"/>
  <c r="V171" i="1" l="1"/>
  <c r="W171" i="1" s="1"/>
  <c r="H171" i="1" l="1"/>
  <c r="U171" i="1"/>
  <c r="G171" i="1" l="1"/>
  <c r="O171" i="1"/>
  <c r="N171" i="1" l="1"/>
  <c r="S171" i="1" s="1"/>
  <c r="L172" i="1" s="1"/>
  <c r="T171" i="1"/>
  <c r="V172" i="1" l="1"/>
  <c r="W172" i="1" s="1"/>
  <c r="H172" i="1" l="1"/>
  <c r="U172" i="1"/>
  <c r="G172" i="1" l="1"/>
  <c r="O172" i="1"/>
  <c r="N172" i="1" l="1"/>
  <c r="S172" i="1" s="1"/>
  <c r="L173" i="1" s="1"/>
  <c r="T172" i="1"/>
  <c r="V173" i="1" l="1"/>
  <c r="W173" i="1" s="1"/>
  <c r="H173" i="1" l="1"/>
  <c r="U173" i="1"/>
  <c r="G173" i="1" l="1"/>
  <c r="O173" i="1"/>
  <c r="N173" i="1" l="1"/>
  <c r="S173" i="1" s="1"/>
  <c r="L174" i="1" s="1"/>
  <c r="T173" i="1"/>
  <c r="V174" i="1" l="1"/>
  <c r="W174" i="1" l="1"/>
  <c r="U174" i="1" s="1"/>
  <c r="G174" i="1" l="1"/>
  <c r="O174" i="1"/>
  <c r="N174" i="1" s="1"/>
  <c r="S174" i="1" s="1"/>
  <c r="L175" i="1" s="1"/>
  <c r="H174" i="1"/>
  <c r="T174" i="1" l="1"/>
  <c r="V175" i="1" s="1"/>
  <c r="W175" i="1" l="1"/>
  <c r="U175" i="1" s="1"/>
  <c r="G175" i="1" l="1"/>
  <c r="O175" i="1"/>
  <c r="N175" i="1" s="1"/>
  <c r="S175" i="1" s="1"/>
  <c r="L176" i="1" s="1"/>
  <c r="H175" i="1"/>
  <c r="T175" i="1" l="1"/>
  <c r="V176" i="1" l="1"/>
  <c r="W176" i="1" l="1"/>
  <c r="U176" i="1" s="1"/>
  <c r="G176" i="1" l="1"/>
  <c r="O176" i="1"/>
  <c r="N176" i="1" s="1"/>
  <c r="S176" i="1" s="1"/>
  <c r="L177" i="1" s="1"/>
  <c r="H176" i="1"/>
  <c r="T176" i="1" l="1"/>
  <c r="V177" i="1" s="1"/>
  <c r="W177" i="1" s="1"/>
  <c r="H177" i="1" l="1"/>
  <c r="U177" i="1"/>
  <c r="G177" i="1" l="1"/>
  <c r="O177" i="1"/>
  <c r="N177" i="1" l="1"/>
  <c r="S177" i="1" s="1"/>
  <c r="L178" i="1" s="1"/>
  <c r="T177" i="1"/>
  <c r="V178" i="1" l="1"/>
  <c r="W178" i="1" s="1"/>
  <c r="U178" i="1" l="1"/>
  <c r="H178" i="1"/>
  <c r="G178" i="1" l="1"/>
  <c r="O178" i="1"/>
  <c r="N178" i="1" l="1"/>
  <c r="S178" i="1" s="1"/>
  <c r="L179" i="1" s="1"/>
  <c r="T178" i="1"/>
  <c r="V179" i="1" l="1"/>
  <c r="W179" i="1" l="1"/>
  <c r="U179" i="1" s="1"/>
  <c r="G179" i="1" l="1"/>
  <c r="O179" i="1"/>
  <c r="N179" i="1" s="1"/>
  <c r="S179" i="1" s="1"/>
  <c r="L180" i="1" s="1"/>
  <c r="H179" i="1"/>
  <c r="T179" i="1" l="1"/>
  <c r="V180" i="1" s="1"/>
  <c r="W180" i="1" s="1"/>
  <c r="H180" i="1" l="1"/>
  <c r="U180" i="1"/>
  <c r="G180" i="1" l="1"/>
  <c r="O180" i="1"/>
  <c r="N180" i="1" l="1"/>
  <c r="S180" i="1" s="1"/>
  <c r="L181" i="1" s="1"/>
  <c r="T180" i="1"/>
  <c r="V181" i="1" l="1"/>
  <c r="W181" i="1" s="1"/>
  <c r="U181" i="1" l="1"/>
  <c r="H181" i="1"/>
  <c r="G181" i="1" l="1"/>
  <c r="O181" i="1"/>
  <c r="N181" i="1" l="1"/>
  <c r="S181" i="1" s="1"/>
  <c r="L182" i="1" s="1"/>
  <c r="T181" i="1"/>
  <c r="V182" i="1" l="1"/>
  <c r="W182" i="1" l="1"/>
  <c r="U182" i="1" s="1"/>
  <c r="G182" i="1" l="1"/>
  <c r="O182" i="1"/>
  <c r="N182" i="1" s="1"/>
  <c r="S182" i="1" s="1"/>
  <c r="L183" i="1" s="1"/>
  <c r="H182" i="1"/>
  <c r="T182" i="1" l="1"/>
  <c r="V183" i="1" l="1"/>
  <c r="W183" i="1" l="1"/>
  <c r="U183" i="1" s="1"/>
  <c r="G183" i="1" l="1"/>
  <c r="O183" i="1"/>
  <c r="N183" i="1" s="1"/>
  <c r="S183" i="1" s="1"/>
  <c r="L184" i="1" s="1"/>
  <c r="H183" i="1"/>
  <c r="T183" i="1" l="1"/>
  <c r="V184" i="1" s="1"/>
  <c r="W184" i="1" l="1"/>
  <c r="H184" i="1" s="1"/>
  <c r="U184" i="1" l="1"/>
  <c r="G184" i="1" l="1"/>
  <c r="O184" i="1"/>
  <c r="N184" i="1" l="1"/>
  <c r="S184" i="1" s="1"/>
  <c r="L185" i="1" s="1"/>
  <c r="T184" i="1"/>
  <c r="V185" i="1" l="1"/>
  <c r="W185" i="1" l="1"/>
  <c r="U185" i="1" s="1"/>
  <c r="G185" i="1" l="1"/>
  <c r="O185" i="1"/>
  <c r="N185" i="1" s="1"/>
  <c r="S185" i="1" s="1"/>
  <c r="L186" i="1" s="1"/>
  <c r="H185" i="1"/>
  <c r="T185" i="1" l="1"/>
  <c r="V186" i="1" s="1"/>
  <c r="W186" i="1" l="1"/>
  <c r="H186" i="1" s="1"/>
  <c r="U186" i="1" l="1"/>
  <c r="G186" i="1" l="1"/>
  <c r="O186" i="1"/>
  <c r="N186" i="1" l="1"/>
  <c r="S186" i="1" s="1"/>
  <c r="L187" i="1" s="1"/>
  <c r="T186" i="1"/>
  <c r="V187" i="1" l="1"/>
  <c r="W187" i="1" l="1"/>
  <c r="H187" i="1" s="1"/>
  <c r="U187" i="1" l="1"/>
  <c r="G187" i="1" l="1"/>
  <c r="O187" i="1"/>
  <c r="N187" i="1" l="1"/>
  <c r="S187" i="1" s="1"/>
  <c r="L188" i="1" s="1"/>
  <c r="T187" i="1"/>
  <c r="V188" i="1" l="1"/>
  <c r="W188" i="1" s="1"/>
  <c r="U188" i="1" l="1"/>
  <c r="H188" i="1"/>
  <c r="G188" i="1" l="1"/>
  <c r="O188" i="1"/>
  <c r="N188" i="1" l="1"/>
  <c r="S188" i="1" s="1"/>
  <c r="L189" i="1" s="1"/>
  <c r="T188" i="1"/>
  <c r="V189" i="1" l="1"/>
  <c r="W189" i="1" s="1"/>
  <c r="U189" i="1" l="1"/>
  <c r="H189" i="1"/>
  <c r="G189" i="1" l="1"/>
  <c r="O189" i="1"/>
  <c r="N189" i="1" l="1"/>
  <c r="S189" i="1" s="1"/>
  <c r="L190" i="1" s="1"/>
  <c r="T189" i="1"/>
  <c r="V190" i="1" l="1"/>
  <c r="W190" i="1" s="1"/>
  <c r="U190" i="1" l="1"/>
  <c r="H190" i="1"/>
  <c r="G190" i="1" l="1"/>
  <c r="O190" i="1"/>
  <c r="N190" i="1" l="1"/>
  <c r="S190" i="1" s="1"/>
  <c r="L191" i="1" s="1"/>
  <c r="T190" i="1"/>
  <c r="V191" i="1" l="1"/>
  <c r="W191" i="1" l="1"/>
  <c r="H191" i="1" s="1"/>
  <c r="U191" i="1" l="1"/>
  <c r="G191" i="1" l="1"/>
  <c r="O191" i="1"/>
  <c r="N191" i="1" l="1"/>
  <c r="S191" i="1" s="1"/>
  <c r="T191" i="1"/>
  <c r="L192" i="1" l="1"/>
  <c r="V192" i="1" l="1"/>
  <c r="W192" i="1" s="1"/>
  <c r="U192" i="1" l="1"/>
  <c r="H192" i="1"/>
  <c r="G192" i="1" l="1"/>
  <c r="O192" i="1"/>
  <c r="N192" i="1" l="1"/>
  <c r="S192" i="1" s="1"/>
  <c r="T192" i="1"/>
  <c r="L193" i="1" l="1"/>
  <c r="V193" i="1" l="1"/>
  <c r="W193" i="1" l="1"/>
  <c r="U193" i="1" s="1"/>
  <c r="G193" i="1" l="1"/>
  <c r="O193" i="1"/>
  <c r="T193" i="1" s="1"/>
  <c r="H193" i="1"/>
  <c r="N193" i="1" l="1"/>
  <c r="S193" i="1" s="1"/>
  <c r="L194" i="1" l="1"/>
  <c r="V194" i="1" l="1"/>
  <c r="W194" i="1" s="1"/>
  <c r="U194" i="1" l="1"/>
  <c r="H194" i="1"/>
  <c r="Y7" i="1" s="1"/>
  <c r="G194" i="1" l="1"/>
  <c r="G11" i="1" s="1"/>
  <c r="O194" i="1"/>
  <c r="N194" i="1" l="1"/>
  <c r="S194" i="1" s="1"/>
  <c r="T7" i="1" s="1"/>
  <c r="T4" i="1"/>
  <c r="T194" i="1"/>
</calcChain>
</file>

<file path=xl/comments1.xml><?xml version="1.0" encoding="utf-8"?>
<comments xmlns="http://schemas.openxmlformats.org/spreadsheetml/2006/main">
  <authors>
    <author>Kenji Jhoncon</author>
  </authors>
  <commentList>
    <comment ref="N6" authorId="0" shapeId="0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 Original</t>
        </r>
      </text>
    </comment>
    <comment ref="N7" authorId="0" shapeId="0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N8" authorId="0" shapeId="0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N9" authorId="0" shapeId="0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<sst xmlns="http://schemas.openxmlformats.org/spreadsheetml/2006/main" count="120" uniqueCount="119">
  <si>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</si>
  <si>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</si>
  <si>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</si>
  <si>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</si>
  <si>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</si>
  <si>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</si>
  <si>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</si>
  <si>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</si>
  <si>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</si>
  <si>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</si>
  <si>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</si>
  <si>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</si>
  <si>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</si>
  <si>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</si>
  <si>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</si>
  <si>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</si>
  <si>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1ra Cuota</t>
  </si>
  <si>
    <t>Ncuotas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</si>
  <si>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</si>
  <si>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</si>
  <si>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</si>
  <si>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</si>
  <si>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</si>
  <si>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</si>
  <si>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</si>
  <si>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</si>
  <si>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</si>
  <si>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</si>
  <si>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</si>
  <si>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</si>
  <si>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</si>
  <si>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</si>
  <si>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</si>
  <si>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</si>
  <si>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</si>
  <si>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</si>
  <si>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</si>
  <si>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</si>
  <si>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</si>
  <si>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</si>
  <si>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</si>
  <si>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</si>
  <si>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</si>
  <si>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</si>
  <si>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</si>
  <si>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</si>
  <si>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</si>
  <si>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</si>
  <si>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</si>
  <si>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</si>
  <si>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</si>
  <si>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</si>
  <si>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</si>
  <si>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</si>
  <si>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</si>
  <si>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</si>
  <si>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</si>
  <si>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</si>
  <si>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</si>
  <si>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</si>
  <si>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</si>
  <si>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</si>
  <si>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</si>
  <si>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</si>
  <si>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</si>
  <si>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</si>
  <si>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</si>
  <si>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</si>
  <si>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</si>
  <si>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</si>
  <si>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</si>
  <si>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</si>
  <si>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</si>
  <si>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</si>
  <si>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</si>
  <si>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</si>
  <si>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</si>
  <si>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</si>
  <si>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</si>
  <si>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</si>
  <si>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</si>
  <si>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</si>
  <si>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</si>
  <si>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</si>
  <si>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</si>
  <si>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</si>
  <si>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</si>
  <si>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</si>
  <si>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</si>
  <si>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</si>
  <si>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</si>
  <si>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</si>
  <si>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</si>
  <si>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</si>
  <si>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</si>
  <si>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</si>
  <si>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</si>
  <si>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</si>
  <si>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</si>
  <si>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</si>
  <si>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</si>
  <si>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</si>
  <si>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</si>
  <si>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</si>
  <si>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</si>
  <si>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</si>
  <si>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</si>
  <si>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</si>
  <si>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</si>
  <si>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</si>
  <si>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</si>
  <si>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PagoSinFijar</t>
  </si>
  <si>
    <t>Gtotal</t>
  </si>
  <si>
    <t>cAdicional</t>
  </si>
  <si>
    <t>Ultima Cuota</t>
  </si>
  <si>
    <t>Dia</t>
  </si>
  <si>
    <t>Nprepago</t>
  </si>
  <si>
    <t>GraciaTotal</t>
  </si>
  <si>
    <t>v6.2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</si>
</sst>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* #,##0.00_ ;_ * \-#,##0.00_ ;_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0" fontId="0" fillId="0" borderId="0" xfId="0" applyFill="1" applyAlignment="1"/>
    <xf numFmtId="9" fontId="0" fillId="0" borderId="0" xfId="2" applyFont="1"/>
    <xf numFmtId="0" fontId="4" fillId="0" borderId="0" xfId="0" applyNumberFormat="1" applyFont="1" applyAlignment="1"/>
    <xf numFmtId="0" fontId="0" fillId="0" borderId="0" xfId="0" applyAlignment="1">
      <alignment horizontal="left" indent="2"/>
    </xf>
  </cellXfs>
  <cellStyles count="3">
    <cellStyle name="Millares" xfId="1" builtinId="3"/>
    <cellStyle name="Normal" xfId="0" builtinId="0"/>
    <cellStyle name="Porcentaje" xfId="2" builtinId="5"/>
  </cellStyles>
  <dxfs count="8">
    <dxf>
      <font>
        <color auto="1"/>
      </font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219075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4</xdr:row>
          <xdr:rowOff>61913</xdr:rowOff>
        </xdr:from>
        <xdr:to>
          <xdr:col>14</xdr:col>
          <xdr:colOff>869155</xdr:colOff>
          <xdr:row>6</xdr:row>
          <xdr:rowOff>119062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647700</xdr:colOff>
          <xdr:row>2</xdr:row>
          <xdr:rowOff>123825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123825</xdr:rowOff>
        </xdr:from>
        <xdr:to>
          <xdr:col>3</xdr:col>
          <xdr:colOff>628650</xdr:colOff>
          <xdr:row>4</xdr:row>
          <xdr:rowOff>28575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47625</xdr:rowOff>
        </xdr:from>
        <xdr:to>
          <xdr:col>3</xdr:col>
          <xdr:colOff>647700</xdr:colOff>
          <xdr:row>5</xdr:row>
          <xdr:rowOff>123825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D208"/>
  <sheetViews>
    <sheetView tabSelected="1" zoomScale="80" zoomScaleNormal="80" workbookViewId="0">
      <pane ySplit="10" topLeftCell="A11" activePane="bottomLeft" state="frozen"/>
      <selection pane="bottomLeft" activeCell="K6" sqref="K6"/>
    </sheetView>
  </sheetViews>
  <sheetFormatPr baseColWidth="10" defaultRowHeight="15" x14ac:dyDescent="0.25"/>
  <cols>
    <col min="1" max="1" width="16.28515625" customWidth="1"/>
    <col min="2" max="2" width="5.42578125" customWidth="1"/>
    <col min="3" max="3" width="13" style="20" customWidth="1"/>
    <col min="4" max="4" width="12.28515625" customWidth="1"/>
    <col min="5" max="5" width="6.28515625" hidden="1" customWidth="1"/>
    <col min="6" max="8" width="9.28515625" style="22" hidden="1" customWidth="1"/>
    <col min="9" max="9" width="7.42578125" customWidth="1"/>
    <col min="10" max="10" width="13.7109375" customWidth="1"/>
    <col min="11" max="11" width="17.28515625" customWidth="1"/>
    <col min="12" max="12" width="15" customWidth="1"/>
    <col min="13" max="13" width="14.5703125" customWidth="1"/>
    <col min="14" max="14" width="14.7109375" customWidth="1"/>
    <col min="15" max="18" width="13.7109375" customWidth="1"/>
    <col min="19" max="19" width="20.7109375" customWidth="1"/>
    <col min="20" max="20" width="14.140625" customWidth="1"/>
    <col min="21" max="21" width="15.5703125" hidden="1" customWidth="1"/>
    <col min="22" max="22" width="13.7109375" customWidth="1"/>
    <col min="23" max="23" width="14.7109375" customWidth="1"/>
    <col min="24" max="24" width="15.5703125" customWidth="1"/>
  </cols>
  <sheetData>
    <row r="1" spans="1:82" x14ac:dyDescent="0.25">
      <c r="A1" s="1">
        <v>1</v>
      </c>
      <c r="B1" s="1"/>
      <c r="C1" s="19" t="str">
        <f>CONCATENATE($K$1,$K$2,$M$1,$M$2,$O$1,$O$2,$Q$1,$Q$2,$S$1,$S$2,$V$1,$V$2)</f>
        <v>111111111111</v>
      </c>
      <c r="D1" s="4"/>
      <c r="F1" s="21"/>
      <c r="G1" s="21"/>
      <c r="H1" s="21"/>
      <c r="J1" s="2" t="s">
        <v>0</v>
      </c>
      <c r="K1" s="11">
        <v>1</v>
      </c>
      <c r="L1" s="2" t="s">
        <v>1</v>
      </c>
      <c r="M1" s="11">
        <v>1</v>
      </c>
      <c r="N1" s="2" t="s">
        <v>2</v>
      </c>
      <c r="O1" s="11">
        <v>1</v>
      </c>
      <c r="P1" s="2" t="s">
        <v>3</v>
      </c>
      <c r="Q1" s="11">
        <v>1</v>
      </c>
      <c r="R1" s="2" t="s">
        <v>4</v>
      </c>
      <c r="S1" s="11">
        <v>1</v>
      </c>
      <c r="T1" s="2" t="s">
        <v>5</v>
      </c>
      <c r="U1" s="2"/>
      <c r="V1" s="11">
        <v>1</v>
      </c>
    </row>
    <row r="2" spans="1:82" x14ac:dyDescent="0.25">
      <c r="A2" t="s">
        <v>118</v>
      </c>
      <c r="J2" s="2" t="s">
        <v>6</v>
      </c>
      <c r="K2" s="11">
        <v>1</v>
      </c>
      <c r="L2" s="2" t="s">
        <v>7</v>
      </c>
      <c r="M2" s="11">
        <v>1</v>
      </c>
      <c r="N2" s="2" t="s">
        <v>8</v>
      </c>
      <c r="O2" s="11">
        <v>1</v>
      </c>
      <c r="P2" s="2" t="s">
        <v>9</v>
      </c>
      <c r="Q2" s="11">
        <v>1</v>
      </c>
      <c r="R2" s="2" t="s">
        <v>10</v>
      </c>
      <c r="S2" s="11">
        <v>1</v>
      </c>
      <c r="T2" s="2" t="s">
        <v>11</v>
      </c>
      <c r="U2" s="2"/>
      <c r="V2" s="11">
        <v>1</v>
      </c>
      <c r="X2" s="27"/>
      <c r="Y2" s="27"/>
    </row>
    <row r="3" spans="1:82" x14ac:dyDescent="0.25">
      <c r="S3" s="17" t="s">
        <v>114</v>
      </c>
      <c r="T3" s="3">
        <f>INDEX($M$12:$M1000,+NCUOTAS+CUOTAADICIONAL+PGRACIA)</f>
        <v>107.17000000000003</v>
      </c>
      <c r="Z3" s="3"/>
    </row>
    <row r="4" spans="1:82" x14ac:dyDescent="0.25">
      <c r="S4" s="17" t="s">
        <v>37</v>
      </c>
      <c r="T4" s="3">
        <f>SUM($O$12:$O1048576)</f>
        <v>86.589999999999989</v>
      </c>
      <c r="W4" s="25" t="s">
        <v>106</v>
      </c>
      <c r="Z4" s="3"/>
      <c r="AC4" s="28">
        <f>ROUND(($AC$5/100+1)^12-1,2)</f>
        <v>0.18</v>
      </c>
    </row>
    <row r="5" spans="1:82" x14ac:dyDescent="0.25">
      <c r="L5" s="5"/>
      <c r="M5" t="s">
        <v>13</v>
      </c>
      <c r="N5" s="8">
        <v>107.22000000000003</v>
      </c>
      <c r="P5" t="s">
        <v>40</v>
      </c>
      <c r="Q5" s="16">
        <v>0.1285</v>
      </c>
      <c r="R5" s="18">
        <f>ROUND(((1+$Q$5)^(1/12)-1)*100,6)</f>
        <v>1.012502</v>
      </c>
      <c r="S5" s="17" t="s">
        <v>61</v>
      </c>
      <c r="T5" s="3">
        <f>SUM($M$12:$M1048576)</f>
        <v>1286.5900000000004</v>
      </c>
      <c r="Z5" s="3"/>
      <c r="AC5" s="14">
        <v>1.388843</v>
      </c>
    </row>
    <row r="6" spans="1:82" x14ac:dyDescent="0.25">
      <c r="J6" t="s">
        <v>12</v>
      </c>
      <c r="K6" s="12">
        <v>43956</v>
      </c>
      <c r="L6" s="23"/>
      <c r="M6" t="s">
        <v>17</v>
      </c>
      <c r="N6" s="14">
        <v>12</v>
      </c>
      <c r="P6" t="s">
        <v>35</v>
      </c>
      <c r="Q6" s="15">
        <v>0</v>
      </c>
      <c r="R6" s="3">
        <f>SUM($P$12:$P10000)</f>
        <v>0</v>
      </c>
      <c r="S6" s="17" t="s">
        <v>39</v>
      </c>
      <c r="T6">
        <f>DAY($K$7)</f>
        <v>15</v>
      </c>
      <c r="U6" s="3"/>
      <c r="W6" s="30" t="s">
        <v>107</v>
      </c>
      <c r="X6" s="30"/>
      <c r="Y6" t="str">
        <f>IF(COUNTA($I$12:$I3000)&lt;$N$6,"Falta Extender la formula hacia abajo","OK")</f>
        <v>OK</v>
      </c>
    </row>
    <row r="7" spans="1:82" x14ac:dyDescent="0.25">
      <c r="J7" t="s">
        <v>16</v>
      </c>
      <c r="K7" s="12">
        <v>43997</v>
      </c>
      <c r="M7" s="3" t="s">
        <v>113</v>
      </c>
      <c r="N7" s="14">
        <v>0</v>
      </c>
      <c r="P7" t="s">
        <v>36</v>
      </c>
      <c r="Q7" s="15">
        <v>0</v>
      </c>
      <c r="R7" s="3">
        <f>SUM($Q$12:$Q10000)</f>
        <v>0</v>
      </c>
      <c r="S7" s="17" t="s">
        <v>15</v>
      </c>
      <c r="T7" s="3">
        <f>ROUND(INDEX($S$12:$S1000,+NCUOTAS+CUOTAADICIONAL+PGRACIA),2)</f>
        <v>0</v>
      </c>
      <c r="U7" s="8"/>
      <c r="W7" s="26" t="s">
        <v>108</v>
      </c>
      <c r="X7" s="26"/>
      <c r="Y7" t="str">
        <f>IF(SUM($H$12:$H3000)&gt;0,"Falta Extender la formula hacia la derecha","OK")</f>
        <v>OK</v>
      </c>
    </row>
    <row r="8" spans="1:82" x14ac:dyDescent="0.25">
      <c r="J8" t="s">
        <v>19</v>
      </c>
      <c r="K8" s="13">
        <v>1200</v>
      </c>
      <c r="M8" s="3" t="s">
        <v>116</v>
      </c>
      <c r="N8">
        <f>COUNTIF($A$12:$A1048576,"Prepago")</f>
        <v>0</v>
      </c>
      <c r="P8" t="s">
        <v>34</v>
      </c>
      <c r="Q8" s="15">
        <v>0</v>
      </c>
      <c r="R8" s="3">
        <f>SUM($R$12:$R10000)</f>
        <v>0</v>
      </c>
      <c r="S8" s="17" t="s">
        <v>105</v>
      </c>
      <c r="T8" s="8">
        <v>0.05</v>
      </c>
      <c r="U8" s="3"/>
      <c r="Z8" s="3"/>
    </row>
    <row r="9" spans="1:82" x14ac:dyDescent="0.25">
      <c r="J9" s="5"/>
      <c r="K9" s="6"/>
      <c r="M9" t="s">
        <v>117</v>
      </c>
      <c r="N9">
        <f>SUM($B$12:$B1048576)</f>
        <v>0</v>
      </c>
    </row>
    <row r="10" spans="1:82" x14ac:dyDescent="0.25">
      <c r="A10" t="s">
        <v>100</v>
      </c>
      <c r="B10" t="s">
        <v>112</v>
      </c>
      <c r="C10" s="24" t="s">
        <v>99</v>
      </c>
      <c r="D10" t="s">
        <v>110</v>
      </c>
      <c r="E10" t="s">
        <v>115</v>
      </c>
      <c r="F10" s="22" t="s">
        <v>104</v>
      </c>
      <c r="G10" s="22" t="s">
        <v>111</v>
      </c>
      <c r="H10" s="22" t="s">
        <v>109</v>
      </c>
      <c r="I10" t="s">
        <v>21</v>
      </c>
      <c r="J10" t="s">
        <v>22</v>
      </c>
      <c r="K10" t="s">
        <v>23</v>
      </c>
      <c r="L10" t="s">
        <v>24</v>
      </c>
      <c r="M10" t="s">
        <v>21</v>
      </c>
      <c r="N10" t="s">
        <v>25</v>
      </c>
      <c r="O10" t="s">
        <v>26</v>
      </c>
      <c r="P10" t="s">
        <v>14</v>
      </c>
      <c r="Q10" t="s">
        <v>18</v>
      </c>
      <c r="R10" t="s">
        <v>20</v>
      </c>
      <c r="S10" t="s">
        <v>27</v>
      </c>
      <c r="T10" t="s">
        <v>28</v>
      </c>
      <c r="U10" t="s">
        <v>41</v>
      </c>
      <c r="V10" t="s">
        <v>29</v>
      </c>
      <c r="W10" t="s">
        <v>30</v>
      </c>
      <c r="X10" t="s">
        <v>31</v>
      </c>
      <c r="Y10" t="s">
        <v>32</v>
      </c>
      <c r="Z10" t="s">
        <v>33</v>
      </c>
      <c r="AA10" t="s">
        <v>38</v>
      </c>
      <c r="AB10" t="s">
        <v>43</v>
      </c>
      <c r="AC10" t="s">
        <v>44</v>
      </c>
      <c r="AD10" t="s">
        <v>45</v>
      </c>
      <c r="AE10" t="s">
        <v>46</v>
      </c>
      <c r="AF10" t="s">
        <v>47</v>
      </c>
      <c r="AG10" t="s">
        <v>48</v>
      </c>
      <c r="AH10" t="s">
        <v>49</v>
      </c>
      <c r="AI10" t="s">
        <v>50</v>
      </c>
      <c r="AJ10" t="s">
        <v>51</v>
      </c>
      <c r="AK10" t="s">
        <v>52</v>
      </c>
      <c r="AL10" t="s">
        <v>53</v>
      </c>
      <c r="AM10" t="s">
        <v>54</v>
      </c>
      <c r="AN10" t="s">
        <v>55</v>
      </c>
      <c r="AO10" t="s">
        <v>56</v>
      </c>
      <c r="AP10" t="s">
        <v>57</v>
      </c>
      <c r="AQ10" t="s">
        <v>58</v>
      </c>
      <c r="AR10" t="s">
        <v>59</v>
      </c>
      <c r="AS10" t="s">
        <v>60</v>
      </c>
      <c r="AT10" t="s">
        <v>62</v>
      </c>
      <c r="AU10" t="s">
        <v>63</v>
      </c>
      <c r="AV10" t="s">
        <v>64</v>
      </c>
      <c r="AW10" t="s">
        <v>65</v>
      </c>
      <c r="AX10" t="s">
        <v>66</v>
      </c>
      <c r="AY10" t="s">
        <v>67</v>
      </c>
      <c r="AZ10" t="s">
        <v>68</v>
      </c>
      <c r="BA10" t="s">
        <v>69</v>
      </c>
      <c r="BB10" t="s">
        <v>70</v>
      </c>
      <c r="BC10" t="s">
        <v>71</v>
      </c>
      <c r="BD10" t="s">
        <v>72</v>
      </c>
      <c r="BE10" t="s">
        <v>73</v>
      </c>
      <c r="BF10" t="s">
        <v>74</v>
      </c>
      <c r="BG10" t="s">
        <v>75</v>
      </c>
      <c r="BH10" t="s">
        <v>76</v>
      </c>
      <c r="BI10" t="s">
        <v>77</v>
      </c>
      <c r="BJ10" t="s">
        <v>78</v>
      </c>
      <c r="BK10" t="s">
        <v>79</v>
      </c>
      <c r="BL10" t="s">
        <v>80</v>
      </c>
      <c r="BM10" t="s">
        <v>81</v>
      </c>
      <c r="BN10" t="s">
        <v>82</v>
      </c>
      <c r="BO10" t="s">
        <v>83</v>
      </c>
      <c r="BP10" t="s">
        <v>84</v>
      </c>
      <c r="BQ10" t="s">
        <v>85</v>
      </c>
      <c r="BR10" t="s">
        <v>86</v>
      </c>
      <c r="BS10" t="s">
        <v>87</v>
      </c>
      <c r="BT10" t="s">
        <v>88</v>
      </c>
      <c r="BU10" t="s">
        <v>89</v>
      </c>
      <c r="BV10" t="s">
        <v>90</v>
      </c>
      <c r="BW10" t="s">
        <v>91</v>
      </c>
      <c r="BX10" t="s">
        <v>92</v>
      </c>
      <c r="BY10" t="s">
        <v>93</v>
      </c>
      <c r="BZ10" t="s">
        <v>94</v>
      </c>
      <c r="CA10" t="s">
        <v>95</v>
      </c>
      <c r="CB10" t="s">
        <v>96</v>
      </c>
      <c r="CC10" t="s">
        <v>97</v>
      </c>
      <c r="CD10" t="s">
        <v>98</v>
      </c>
    </row>
    <row r="11" spans="1:82" x14ac:dyDescent="0.25">
      <c r="A11" s="29"/>
      <c r="B11" s="29"/>
      <c r="C11" s="29">
        <f>COUNTA($C$12:$C10000)</f>
        <v>0</v>
      </c>
      <c r="D11" s="29"/>
      <c r="F11" s="22">
        <v>0</v>
      </c>
      <c r="G11" s="22">
        <f>SUM($G$12:$G208)</f>
        <v>86.589999999999989</v>
      </c>
      <c r="I11">
        <v>0</v>
      </c>
      <c r="J11" s="7">
        <f>$K$6</f>
        <v>43956</v>
      </c>
      <c r="S11" s="8">
        <f>$K$8</f>
        <v>1200</v>
      </c>
      <c r="V11">
        <v>30</v>
      </c>
      <c r="W11">
        <v>60</v>
      </c>
      <c r="X11">
        <v>90</v>
      </c>
      <c r="Y11">
        <v>120</v>
      </c>
      <c r="Z11">
        <v>150</v>
      </c>
      <c r="AA11">
        <v>180</v>
      </c>
      <c r="AB11">
        <v>210</v>
      </c>
      <c r="AC11">
        <v>240</v>
      </c>
      <c r="AD11">
        <v>270</v>
      </c>
      <c r="AE11">
        <v>300</v>
      </c>
      <c r="AF11">
        <v>330</v>
      </c>
      <c r="AG11">
        <v>360</v>
      </c>
      <c r="AH11">
        <v>390</v>
      </c>
      <c r="AI11">
        <v>420</v>
      </c>
      <c r="AJ11">
        <v>450</v>
      </c>
      <c r="AK11">
        <v>480</v>
      </c>
      <c r="AL11">
        <v>510</v>
      </c>
      <c r="AM11">
        <v>540</v>
      </c>
      <c r="AN11">
        <v>570</v>
      </c>
      <c r="AO11">
        <v>600</v>
      </c>
      <c r="AP11">
        <v>630</v>
      </c>
      <c r="AQ11">
        <v>660</v>
      </c>
      <c r="AR11">
        <v>690</v>
      </c>
      <c r="AS11">
        <v>720</v>
      </c>
      <c r="AT11">
        <v>750</v>
      </c>
      <c r="AU11">
        <v>780</v>
      </c>
      <c r="AV11">
        <v>810</v>
      </c>
      <c r="AW11">
        <v>840</v>
      </c>
      <c r="AX11">
        <v>870</v>
      </c>
      <c r="AY11">
        <v>900</v>
      </c>
      <c r="AZ11">
        <v>930</v>
      </c>
      <c r="BA11">
        <v>960</v>
      </c>
      <c r="BB11">
        <v>990</v>
      </c>
      <c r="BC11">
        <v>1020</v>
      </c>
      <c r="BD11">
        <v>1050</v>
      </c>
      <c r="BE11">
        <v>1080</v>
      </c>
      <c r="BF11">
        <v>1110</v>
      </c>
      <c r="BG11">
        <v>1140</v>
      </c>
      <c r="BH11">
        <v>1170</v>
      </c>
      <c r="BI11">
        <v>1200</v>
      </c>
      <c r="BJ11">
        <v>1230</v>
      </c>
      <c r="BK11">
        <v>1260</v>
      </c>
      <c r="BL11">
        <v>1290</v>
      </c>
      <c r="BM11">
        <v>1320</v>
      </c>
      <c r="BN11">
        <v>1350</v>
      </c>
      <c r="BO11">
        <v>1380</v>
      </c>
      <c r="BP11">
        <v>1410</v>
      </c>
      <c r="BQ11">
        <v>1440</v>
      </c>
      <c r="BR11">
        <v>1470</v>
      </c>
      <c r="BS11">
        <v>1500</v>
      </c>
      <c r="BT11">
        <v>1530</v>
      </c>
      <c r="BU11">
        <v>1560</v>
      </c>
      <c r="BV11">
        <v>1590</v>
      </c>
      <c r="BW11">
        <v>1620</v>
      </c>
      <c r="BX11">
        <v>1650</v>
      </c>
      <c r="BY11">
        <v>1680</v>
      </c>
      <c r="BZ11">
        <v>1710</v>
      </c>
      <c r="CA11">
        <v>1740</v>
      </c>
      <c r="CB11">
        <v>1770</v>
      </c>
      <c r="CC11">
        <v>1800</v>
      </c>
      <c r="CD11">
        <v>1830</v>
      </c>
    </row>
    <row r="12" spans="1:82" x14ac:dyDescent="0.25">
      <c r="D12" s="5"/>
      <c r="E12" t="str">
        <f>IF($I12&lt;&gt;"",TEXT(J12,"DDD"),"")</f>
        <v>lun</v>
      </c>
      <c r="F12" s="22">
        <f t="shared" ref="F12:F43" si="0">IF($I12&lt;&gt;"",IF($A12="Prepago",$F11,$F11+1),"")</f>
        <v>1</v>
      </c>
      <c r="G12" s="22">
        <f t="shared" ref="G12:G43" si="1">IF($I12&lt;&gt;"",IF(ISNUMBER($C12),-$N12+$U12-$O12,ABS($U12)+$P12+$Q12+$R12),"")</f>
        <v>16.809999999999999</v>
      </c>
      <c r="H12" s="22">
        <f t="shared" ref="H12:H43" si="2">IF(I12&lt;&gt;"",IF(COUNTA($V12:$XFD12)*30&lt;$K12,1,0),"")</f>
        <v>0</v>
      </c>
      <c r="I12">
        <f t="shared" ref="I12:I43" si="3">IF($I11&lt;NCUOTAS+CUOTAADICIONAL+PGRACIA,$I11+1,"")</f>
        <v>1</v>
      </c>
      <c r="J12" s="5">
        <f>IF($I12&lt;&gt;"",IF($D12="",DATE(YEAR($K$7),MONTH($K$7)+($A$1*($F12-1))+SUM($B$12:$B12),DAY($K$7)),$D12),"")</f>
        <v>43997</v>
      </c>
      <c r="K12" s="9">
        <f t="shared" ref="K12:K43" si="4">IF($I12&lt;&gt;"",$J12-$J11,"")</f>
        <v>41</v>
      </c>
      <c r="L12" s="3">
        <f t="shared" ref="L12:L43" si="5">IF($I12&lt;&gt;"",$S11,"")</f>
        <v>1200</v>
      </c>
      <c r="M12" s="3">
        <f>IF($I12&lt;&gt;"",IF($A12="Gracia Parcial",IF(AND($C12&lt;$U12+$P12+$Q12+$R12+$T11,$C12&gt;0),$C12,$U12+$P12+$Q12+$R12+$T11),IF($A12="Gracia Total",0,IF($A12="Prepago",$C12,IF(ISNUMBER($C12),$C12*VALUE(MID($C$1,MONTH($J12),1)),$N$5*VALUE(MID($C$1,MONTH($J12),1))))))-IF($I13="",ARREGLO,0),"")</f>
        <v>107.22000000000003</v>
      </c>
      <c r="N12" s="3">
        <f t="shared" ref="N12:N43" si="6">IF($I12&lt;&gt;"",IF($M12-$O12&gt;0,$M12-$O12-$P12-$Q12-$R12,0),"")</f>
        <v>90.410000000000025</v>
      </c>
      <c r="O12" s="3">
        <f>IF($I12&lt;&gt;"",IF($M12&gt;=$U12+$T11+$P12+$Q12+$R12,$U12+$T11,$M12-$P12-$Q12-$R12),"")</f>
        <v>16.809999999999999</v>
      </c>
      <c r="P12" s="8">
        <f t="shared" ref="P12:P43" si="7">IF($I12&lt;&gt;"",IF($A12="Prepago",0,$Q$6+$Q$6*$B12),"")</f>
        <v>0</v>
      </c>
      <c r="Q12" s="8">
        <f t="shared" ref="Q12:Q43" si="8">IF($I12&lt;&gt;"",IF($A12="Prepago",0,$Q$7+$Q$7*$B12),"")</f>
        <v>0</v>
      </c>
      <c r="R12" s="3">
        <f t="shared" ref="R12:R43" si="9">IF($I12&lt;&gt;"",IF($A12="Prepago",0,$Q$8+$Q$8*$B12),"")</f>
        <v>0</v>
      </c>
      <c r="S12" s="3">
        <f t="shared" ref="S12:S43" si="10">IF($I12&lt;&gt;"",$L12-$N12,"")</f>
        <v>1109.5899999999999</v>
      </c>
      <c r="T12" s="3">
        <f t="shared" ref="T12:T43" si="11">IF($I12&lt;&gt;"",+$T11+SUM($V12:$CD12)-$O12,"")</f>
        <v>0</v>
      </c>
      <c r="U12" s="3">
        <f t="shared" ref="U12:U43" si="12">IF($I12&lt;&gt;"",SUM($V12:$XFD12),"")</f>
        <v>16.809999999999999</v>
      </c>
      <c r="V12" s="3">
        <f t="shared" ref="V12:V43" si="13">IF($I12&lt;&gt;"",IF($K12&gt;V$11,30,$K12)*ROUND(($L12+$T11)*$R$5/3000,2),"")</f>
        <v>12.299999999999999</v>
      </c>
      <c r="W12" s="3">
        <f>IF($I12&lt;&gt;"",IF($K12&gt;V$11,IF($K12&lt;W$11,$K12-V$11,30),0)*ROUND(($L12+$T11+SUM($V12:V12))*$R$5/3000,2),"")</f>
        <v>4.51</v>
      </c>
      <c r="X12" s="3">
        <f>IF($I12&lt;&gt;"",IF($K12&gt;W$11,IF($K12&lt;X$11,$K12-W$11,30),0)*ROUND(($L12+$T11+SUM($V12:W12))*$R$5/3000,2),"")</f>
        <v>0</v>
      </c>
      <c r="Y12" s="3">
        <f>IF($I12&lt;&gt;"",IF($K12&gt;X$11,IF($K12&lt;Y$11,$K12-X$11,30),0)*ROUND(($L12+$T11+SUM($V12:X12))*$R$5/3000,2),"")</f>
        <v>0</v>
      </c>
      <c r="Z12" s="3">
        <f>IF($I12&lt;&gt;"",IF($K12&gt;Y$11,IF($K12&lt;Z$11,$K12-Y$11,30),0)*ROUND(($L12+$T11+SUM($V12:Y12))*$R$5/3000,2),"")</f>
        <v>0</v>
      </c>
      <c r="AA12" s="3">
        <f>IF($I12&lt;&gt;"",IF($K12&gt;Z$11,IF($K12&lt;AA$11,$K12-Z$11,30),0)*ROUND(($L12+$T11+SUM($V12:Z12))*$R$5/3000,2),"")</f>
        <v>0</v>
      </c>
      <c r="AB12" s="3">
        <f>IF($I12&lt;&gt;"",IF($K12&gt;AA$11,IF($K12&lt;AB$11,$K12-AA$11,30),0)*ROUND(($L12+$T11+SUM($V12:AA12))*$R$5/3000,2),"")</f>
        <v>0</v>
      </c>
      <c r="AC12" s="3">
        <f>IF($I12&lt;&gt;"",IF($K12&gt;AB$11,IF($K12&lt;AC$11,$K12-AB$11,30),0)*ROUND(($L12+$T11+SUM($V12:AB12))*$R$5/3000,2),"")</f>
        <v>0</v>
      </c>
      <c r="AD12" s="3">
        <f>IF($I12&lt;&gt;"",IF($K12&gt;AC$11,IF($K12&lt;AD$11,$K12-AC$11,30),0)*ROUND(($L12+$T11+SUM($V12:AC12))*$R$5/3000,2),"")</f>
        <v>0</v>
      </c>
      <c r="AE12" s="3">
        <f>IF($I12&lt;&gt;"",IF($K12&gt;AD$11,IF($K12&lt;AE$11,$K12-AD$11,30),0)*ROUND(($L12+$T11+SUM($V12:AD12))*$R$5/3000,2),"")</f>
        <v>0</v>
      </c>
      <c r="AF12" s="3">
        <f>IF($I12&lt;&gt;"",IF($K12&gt;AE$11,IF($K12&lt;AF$11,$K12-AE$11,30),0)*ROUND(($L12+$T11+SUM($V12:AE12))*$R$5/3000,2),"")</f>
        <v>0</v>
      </c>
      <c r="AG12" s="3">
        <f>IF($I12&lt;&gt;"",IF($K12&gt;AF$11,IF($K12&lt;AG$11,$K12-AF$11,30),0)*ROUND(($L12+$T11+SUM($V12:AF12))*$R$5/3000,2),"")</f>
        <v>0</v>
      </c>
      <c r="AH12" s="3">
        <f>IF($I12&lt;&gt;"",IF($K12&gt;AG$11,IF($K12&lt;AH$11,$K12-AG$11,30),0)*ROUND(($L12+$T11+SUM($V12:AG12))*$R$5/3000,2),"")</f>
        <v>0</v>
      </c>
      <c r="AI12" s="3">
        <f>IF($I12&lt;&gt;"",IF($K12&gt;AH$11,IF($K12&lt;AI$11,$K12-AH$11,30),0)*ROUND(($L12+$T11+SUM($V12:AH12))*$R$5/3000,2),"")</f>
        <v>0</v>
      </c>
      <c r="AJ12" s="3">
        <f>IF($I12&lt;&gt;"",IF($K12&gt;AI$11,IF($K12&lt;AJ$11,$K12-AI$11,30),0)*ROUND(($L12+$T11+SUM($V12:AI12))*$R$5/3000,2),"")</f>
        <v>0</v>
      </c>
      <c r="AK12" s="3">
        <f>IF($I12&lt;&gt;"",IF($K12&gt;AJ$11,IF($K12&lt;AK$11,$K12-AJ$11,30),0)*ROUND(($L12+$T11+SUM($V12:AJ12))*$R$5/3000,2),"")</f>
        <v>0</v>
      </c>
      <c r="AL12" s="3">
        <f>IF($I12&lt;&gt;"",IF($K12&gt;AK$11,IF($K12&lt;AL$11,$K12-AK$11,30),0)*ROUND(($L12+$T11+SUM($V12:AK12))*$R$5/3000,2),"")</f>
        <v>0</v>
      </c>
      <c r="AM12" s="3">
        <f>IF($I12&lt;&gt;"",IF($K12&gt;AL$11,IF($K12&lt;AM$11,$K12-AL$11,30),0)*ROUND(($L12+$T11+SUM($V12:AL12))*$R$5/3000,2),"")</f>
        <v>0</v>
      </c>
      <c r="AN12" s="3">
        <f>IF($I12&lt;&gt;"",IF($K12&gt;AM$11,IF($K12&lt;AN$11,$K12-AM$11,30),0)*ROUND(($L12+$T11+SUM($V12:AM12))*$R$5/3000,2),"")</f>
        <v>0</v>
      </c>
      <c r="AO12" s="3">
        <f>IF($I12&lt;&gt;"",IF($K12&gt;AN$11,IF($K12&lt;AO$11,$K12-AN$11,30),0)*ROUND(($L12+$T11+SUM($V12:AN12))*$R$5/3000,2),"")</f>
        <v>0</v>
      </c>
      <c r="AP12" s="3">
        <f>IF($I12&lt;&gt;"",IF($K12&gt;AO$11,IF($K12&lt;AP$11,$K12-AO$11,30),0)*ROUND(($L12+$T11+SUM($V12:AO12))*$R$5/3000,2),"")</f>
        <v>0</v>
      </c>
      <c r="AQ12" s="3">
        <f>IF($I12&lt;&gt;"",IF($K12&gt;AP$11,IF($K12&lt;AQ$11,$K12-AP$11,30),0)*ROUND(($L12+$T11+SUM($V12:AP12))*$R$5/3000,2),"")</f>
        <v>0</v>
      </c>
      <c r="AR12" s="3">
        <f>IF($I12&lt;&gt;"",IF($K12&gt;AQ$11,IF($K12&lt;AR$11,$K12-AQ$11,30),0)*ROUND(($L12+$T11+SUM($V12:AQ12))*$R$5/3000,2),"")</f>
        <v>0</v>
      </c>
      <c r="AS12" s="3">
        <f>IF($I12&lt;&gt;"",IF($K12&gt;AR$11,IF($K12&lt;AS$11,$K12-AR$11,30),0)*ROUND(($L12+$T11+SUM($V12:AR12))*$R$5/3000,2),"")</f>
        <v>0</v>
      </c>
      <c r="AT12" s="3">
        <f>IF($I12&lt;&gt;"",IF($K12&gt;AS$11,IF($K12&lt;AT$11,$K12-AS$11,30),0)*ROUND(($L12+$T11+SUM($V12:AS12))*$R$5/3000,2),"")</f>
        <v>0</v>
      </c>
      <c r="AU12" s="3">
        <f>IF($I12&lt;&gt;"",IF($K12&gt;AT$11,IF($K12&lt;AU$11,$K12-AT$11,30),0)*ROUND(($L12+$T11+SUM($V12:AT12))*$R$5/3000,2),"")</f>
        <v>0</v>
      </c>
      <c r="AV12" s="3">
        <f>IF($I12&lt;&gt;"",IF($K12&gt;AU$11,IF($K12&lt;AV$11,$K12-AU$11,30),0)*ROUND(($L12+$T11+SUM($V12:AU12))*$R$5/3000,2),"")</f>
        <v>0</v>
      </c>
      <c r="AW12" s="3">
        <f>IF($I12&lt;&gt;"",IF($K12&gt;AV$11,IF($K12&lt;AW$11,$K12-AV$11,30),0)*ROUND(($L12+$T11+SUM($V12:AV12))*$R$5/3000,2),"")</f>
        <v>0</v>
      </c>
      <c r="AX12" s="3">
        <f>IF($I12&lt;&gt;"",IF($K12&gt;AW$11,IF($K12&lt;AX$11,$K12-AW$11,30),0)*ROUND(($L12+$T11+SUM($V12:AW12))*$R$5/3000,2),"")</f>
        <v>0</v>
      </c>
      <c r="AY12" s="3">
        <f>IF($I12&lt;&gt;"",IF($K12&gt;AX$11,IF($K12&lt;AY$11,$K12-AX$11,30),0)*ROUND(($L12+$T11+SUM($V12:AX12))*$R$5/3000,2),"")</f>
        <v>0</v>
      </c>
      <c r="AZ12" s="3">
        <f>IF($I12&lt;&gt;"",IF($K12&gt;AY$11,IF($K12&lt;AZ$11,$K12-AY$11,30),0)*ROUND(($L12+$T11+SUM($V12:AY12))*$R$5/3000,2),"")</f>
        <v>0</v>
      </c>
      <c r="BA12" s="3">
        <f>IF($I12&lt;&gt;"",IF($K12&gt;AZ$11,IF($K12&lt;BA$11,$K12-AZ$11,30),0)*ROUND(($L12+$T11+SUM($V12:AZ12))*$R$5/3000,2),"")</f>
        <v>0</v>
      </c>
      <c r="BB12" s="3">
        <f>IF($I12&lt;&gt;"",IF($K12&gt;BA$11,IF($K12&lt;BB$11,$K12-BA$11,30),0)*ROUND(($L12+$T11+SUM($V12:BA12))*$R$5/3000,2),"")</f>
        <v>0</v>
      </c>
      <c r="BC12" s="3">
        <f>IF($I12&lt;&gt;"",IF($K12&gt;BB$11,IF($K12&lt;BC$11,$K12-BB$11,30),0)*ROUND(($L12+$T11+SUM($V12:BB12))*$R$5/3000,2),"")</f>
        <v>0</v>
      </c>
      <c r="BD12" s="3">
        <f>IF($I12&lt;&gt;"",IF($K12&gt;BC$11,IF($K12&lt;BD$11,$K12-BC$11,30),0)*ROUND(($L12+$T11+SUM($V12:BC12))*$R$5/3000,2),"")</f>
        <v>0</v>
      </c>
      <c r="BE12" s="3">
        <f>IF($I12&lt;&gt;"",IF($K12&gt;BD$11,IF($K12&lt;BE$11,$K12-BD$11,30),0)*ROUND(($L12+$T11+SUM($V12:BD12))*$R$5/3000,2),"")</f>
        <v>0</v>
      </c>
      <c r="BF12" s="3">
        <f>IF($I12&lt;&gt;"",IF($K12&gt;BE$11,IF($K12&lt;BF$11,$K12-BE$11,30),0)*ROUND(($L12+$T11+SUM($V12:BE12))*$R$5/3000,2),"")</f>
        <v>0</v>
      </c>
      <c r="BG12" s="3">
        <f>IF($I12&lt;&gt;"",IF($K12&gt;BF$11,IF($K12&lt;BG$11,$K12-BF$11,30),0)*ROUND(($L12+$T11+SUM($V12:BF12))*$R$5/3000,2),"")</f>
        <v>0</v>
      </c>
      <c r="BH12" s="3">
        <f>IF($I12&lt;&gt;"",IF($K12&gt;BG$11,IF($K12&lt;BH$11,$K12-BG$11,30),0)*ROUND(($L12+$T11+SUM($V12:BG12))*$R$5/3000,2),"")</f>
        <v>0</v>
      </c>
      <c r="BI12" s="3">
        <f>IF($I12&lt;&gt;"",IF($K12&gt;BH$11,IF($K12&lt;BI$11,$K12-BH$11,30),0)*ROUND(($L12+$T11+SUM($V12:BH12))*$R$5/3000,2),"")</f>
        <v>0</v>
      </c>
      <c r="BJ12" s="3">
        <f>IF($I12&lt;&gt;"",IF($K12&gt;BI$11,IF($K12&lt;BJ$11,$K12-BI$11,30),0)*ROUND(($L12+$T11+SUM($V12:BI12))*$R$5/3000,2),"")</f>
        <v>0</v>
      </c>
      <c r="BK12" s="3">
        <f>IF($I12&lt;&gt;"",IF($K12&gt;BJ$11,IF($K12&lt;BK$11,$K12-BJ$11,30),0)*ROUND(($L12+$T11+SUM($V12:BJ12))*$R$5/3000,2),"")</f>
        <v>0</v>
      </c>
      <c r="BL12" s="3">
        <f>IF($I12&lt;&gt;"",IF($K12&gt;BK$11,IF($K12&lt;BL$11,$K12-BK$11,30),0)*ROUND(($L12+$T11+SUM($V12:BK12))*$R$5/3000,2),"")</f>
        <v>0</v>
      </c>
      <c r="BM12" s="3">
        <f>IF($I12&lt;&gt;"",IF($K12&gt;BL$11,IF($K12&lt;BM$11,$K12-BL$11,30),0)*ROUND(($L12+$T11+SUM($V12:BL12))*$R$5/3000,2),"")</f>
        <v>0</v>
      </c>
      <c r="BN12" s="3">
        <f>IF($I12&lt;&gt;"",IF($K12&gt;BM$11,IF($K12&lt;BN$11,$K12-BM$11,30),0)*ROUND(($L12+$T11+SUM($V12:BM12))*$R$5/3000,2),"")</f>
        <v>0</v>
      </c>
      <c r="BO12" s="3">
        <f>IF($I12&lt;&gt;"",IF($K12&gt;BN$11,IF($K12&lt;BO$11,$K12-BN$11,30),0)*ROUND(($L12+$T11+SUM($V12:BN12))*$R$5/3000,2),"")</f>
        <v>0</v>
      </c>
      <c r="BP12" s="3">
        <f>IF($I12&lt;&gt;"",IF($K12&gt;BO$11,IF($K12&lt;BP$11,$K12-BO$11,30),0)*ROUND(($L12+$T11+SUM($V12:BO12))*$R$5/3000,2),"")</f>
        <v>0</v>
      </c>
      <c r="BQ12" s="3">
        <f>IF($I12&lt;&gt;"",IF($K12&gt;BP$11,IF($K12&lt;BQ$11,$K12-BP$11,30),0)*ROUND(($L12+$T11+SUM($V12:BP12))*$R$5/3000,2),"")</f>
        <v>0</v>
      </c>
      <c r="BR12" s="3">
        <f>IF($I12&lt;&gt;"",IF($K12&gt;BQ$11,IF($K12&lt;BR$11,$K12-BQ$11,30),0)*ROUND(($L12+$T11+SUM($V12:BQ12))*$R$5/3000,2),"")</f>
        <v>0</v>
      </c>
      <c r="BS12" s="3">
        <f>IF($I12&lt;&gt;"",IF($K12&gt;BR$11,IF($K12&lt;BS$11,$K12-BR$11,30),0)*ROUND(($L12+$T11+SUM($V12:BR12))*$R$5/3000,2),"")</f>
        <v>0</v>
      </c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</row>
    <row r="13" spans="1:82" x14ac:dyDescent="0.25">
      <c r="D13" s="5"/>
      <c r="E13" t="str">
        <f t="shared" ref="E13:E76" si="14">IF($I13&lt;&gt;"",TEXT(J13,"DDD"),"")</f>
        <v>mié</v>
      </c>
      <c r="F13" s="22">
        <f t="shared" si="0"/>
        <v>2</v>
      </c>
      <c r="G13" s="22">
        <f t="shared" si="1"/>
        <v>11.1</v>
      </c>
      <c r="H13" s="22">
        <f t="shared" si="2"/>
        <v>0</v>
      </c>
      <c r="I13">
        <f t="shared" si="3"/>
        <v>2</v>
      </c>
      <c r="J13" s="5">
        <f>IF($I13&lt;&gt;"",IF($D13="",DATE(YEAR($K$7),MONTH($K$7)+($A$1*($F13-1))+SUM($B$12:$B13),DAY($K$7)),$D13),"")</f>
        <v>44027</v>
      </c>
      <c r="K13" s="9">
        <f t="shared" si="4"/>
        <v>30</v>
      </c>
      <c r="L13" s="3">
        <f t="shared" si="5"/>
        <v>1109.5899999999999</v>
      </c>
      <c r="M13" s="3">
        <f>IF($I13&lt;&gt;"",IF($A13="Gracia Parcial",IF(AND($C13&lt;$U13+$P13+$Q13+$R13+$T12,$C13&gt;0),$C13,$U13+$P13+$Q13+$R13+$T12),IF($A13="Gracia Total",0,IF($A13="Prepago",$C13,IF(ISNUMBER($C13),$C13*VALUE(MID($C$1,MONTH($J13),1)),$N$5*VALUE(MID($C$1,MONTH($J13),1))))))-IF($I14="",ARREGLO,0),"")</f>
        <v>107.22000000000003</v>
      </c>
      <c r="N13" s="3">
        <f t="shared" si="6"/>
        <v>96.120000000000033</v>
      </c>
      <c r="O13" s="3">
        <f t="shared" ref="O13:O43" si="15">IF($I13&lt;&gt;"",IF($M13&gt;=$U13+$T12+$P13+$Q13+$R13,$U13+$T12,$M13-$P13-$Q13-$R13),"")</f>
        <v>11.1</v>
      </c>
      <c r="P13" s="8">
        <f t="shared" si="7"/>
        <v>0</v>
      </c>
      <c r="Q13" s="8">
        <f t="shared" si="8"/>
        <v>0</v>
      </c>
      <c r="R13" s="3">
        <f t="shared" si="9"/>
        <v>0</v>
      </c>
      <c r="S13" s="3">
        <f t="shared" si="10"/>
        <v>1013.4699999999999</v>
      </c>
      <c r="T13" s="3">
        <f t="shared" si="11"/>
        <v>0</v>
      </c>
      <c r="U13" s="3">
        <f t="shared" si="12"/>
        <v>11.1</v>
      </c>
      <c r="V13" s="3">
        <f t="shared" si="13"/>
        <v>11.1</v>
      </c>
      <c r="W13" s="3">
        <f>IF($I13&lt;&gt;"",IF($K13&gt;V$11,IF($K13&lt;W$11,$K13-V$11,30),0)*ROUND(($L13+$T12+SUM($V13:V13))*$R$5/3000,2),"")</f>
        <v>0</v>
      </c>
      <c r="X13" s="3"/>
      <c r="Y13" s="3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</row>
    <row r="14" spans="1:82" x14ac:dyDescent="0.25">
      <c r="D14" s="5"/>
      <c r="E14" t="str">
        <f t="shared" si="14"/>
        <v>sáb</v>
      </c>
      <c r="F14" s="22">
        <f t="shared" si="0"/>
        <v>3</v>
      </c>
      <c r="G14" s="22">
        <f t="shared" si="1"/>
        <v>10.55</v>
      </c>
      <c r="H14" s="22">
        <f t="shared" si="2"/>
        <v>0</v>
      </c>
      <c r="I14">
        <f t="shared" si="3"/>
        <v>3</v>
      </c>
      <c r="J14" s="5">
        <f>IF($I14&lt;&gt;"",IF($D14="",DATE(YEAR($K$7),MONTH($K$7)+($A$1*($F14-1))+SUM($B$12:$B14),DAY($K$7)),$D14),"")</f>
        <v>44058</v>
      </c>
      <c r="K14" s="9">
        <f t="shared" si="4"/>
        <v>31</v>
      </c>
      <c r="L14" s="3">
        <f t="shared" si="5"/>
        <v>1013.4699999999999</v>
      </c>
      <c r="M14" s="3">
        <f>IF($I14&lt;&gt;"",IF($A14="Gracia Parcial",IF(AND($C14&lt;$U14+$P14+$Q14+$R14+$T13,$C14&gt;0),$C14,$U14+$P14+$Q14+$R14+$T13),IF($A14="Gracia Total",0,IF($A14="Prepago",$C14,IF(ISNUMBER($C14),$C14*VALUE(MID($C$1,MONTH($J14),1)),$N$5*VALUE(MID($C$1,MONTH($J14),1))))))-IF($I15="",ARREGLO,0),"")</f>
        <v>107.22000000000003</v>
      </c>
      <c r="N14" s="3">
        <f t="shared" si="6"/>
        <v>96.67000000000003</v>
      </c>
      <c r="O14" s="3">
        <f t="shared" si="15"/>
        <v>10.55</v>
      </c>
      <c r="P14" s="8">
        <f t="shared" si="7"/>
        <v>0</v>
      </c>
      <c r="Q14" s="8">
        <f t="shared" si="8"/>
        <v>0</v>
      </c>
      <c r="R14" s="3">
        <f t="shared" si="9"/>
        <v>0</v>
      </c>
      <c r="S14" s="3">
        <f t="shared" si="10"/>
        <v>916.79999999999984</v>
      </c>
      <c r="T14" s="3">
        <f t="shared" si="11"/>
        <v>0</v>
      </c>
      <c r="U14" s="3">
        <f t="shared" si="12"/>
        <v>10.55</v>
      </c>
      <c r="V14" s="3">
        <f t="shared" si="13"/>
        <v>10.200000000000001</v>
      </c>
      <c r="W14" s="3">
        <f>IF($I14&lt;&gt;"",IF($K14&gt;V$11,IF($K14&lt;W$11,$K14-V$11,30),0)*ROUND(($L14+$T13+SUM($V14:V14))*$R$5/3000,2),"")</f>
        <v>0.35</v>
      </c>
      <c r="X14" s="3"/>
      <c r="Y14" s="3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</row>
    <row r="15" spans="1:82" x14ac:dyDescent="0.25">
      <c r="D15" s="5"/>
      <c r="E15" t="str">
        <f t="shared" si="14"/>
        <v>mar</v>
      </c>
      <c r="F15" s="22">
        <f t="shared" si="0"/>
        <v>4</v>
      </c>
      <c r="G15" s="22">
        <f t="shared" si="1"/>
        <v>9.6100000000000012</v>
      </c>
      <c r="H15" s="22">
        <f t="shared" si="2"/>
        <v>0</v>
      </c>
      <c r="I15">
        <f t="shared" si="3"/>
        <v>4</v>
      </c>
      <c r="J15" s="5">
        <f>IF($I15&lt;&gt;"",IF($D15="",DATE(YEAR($K$7),MONTH($K$7)+($A$1*($F15-1))+SUM($B$12:$B15),DAY($K$7)),$D15),"")</f>
        <v>44089</v>
      </c>
      <c r="K15" s="9">
        <f t="shared" si="4"/>
        <v>31</v>
      </c>
      <c r="L15" s="3">
        <f t="shared" si="5"/>
        <v>916.79999999999984</v>
      </c>
      <c r="M15" s="3">
        <f>IF($I15&lt;&gt;"",IF($A15="Gracia Parcial",IF(AND($C15&lt;$U15+$P15+$Q15+$R15+$T14,$C15&gt;0),$C15,$U15+$P15+$Q15+$R15+$T14),IF($A15="Gracia Total",0,IF($A15="Prepago",$C15,IF(ISNUMBER($C15),$C15*VALUE(MID($C$1,MONTH($J15),1)),$N$5*VALUE(MID($C$1,MONTH($J15),1))))))-IF($I16="",ARREGLO,0),"")</f>
        <v>107.22000000000003</v>
      </c>
      <c r="N15" s="3">
        <f t="shared" si="6"/>
        <v>97.610000000000028</v>
      </c>
      <c r="O15" s="3">
        <f t="shared" si="15"/>
        <v>9.6100000000000012</v>
      </c>
      <c r="P15" s="8">
        <f t="shared" si="7"/>
        <v>0</v>
      </c>
      <c r="Q15" s="8">
        <f t="shared" si="8"/>
        <v>0</v>
      </c>
      <c r="R15" s="3">
        <f t="shared" si="9"/>
        <v>0</v>
      </c>
      <c r="S15" s="3">
        <f t="shared" si="10"/>
        <v>819.18999999999983</v>
      </c>
      <c r="T15" s="3">
        <f t="shared" si="11"/>
        <v>0</v>
      </c>
      <c r="U15" s="3">
        <f t="shared" si="12"/>
        <v>9.6100000000000012</v>
      </c>
      <c r="V15" s="3">
        <f t="shared" si="13"/>
        <v>9.3000000000000007</v>
      </c>
      <c r="W15" s="3">
        <f>IF($I15&lt;&gt;"",IF($K15&gt;V$11,IF($K15&lt;W$11,$K15-V$11,30),0)*ROUND(($L15+$T14+SUM($V15:V15))*$R$5/3000,2),"")</f>
        <v>0.31</v>
      </c>
      <c r="X15" s="3"/>
      <c r="Y15" s="3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</row>
    <row r="16" spans="1:82" x14ac:dyDescent="0.25">
      <c r="D16" s="5"/>
      <c r="E16" t="str">
        <f t="shared" si="14"/>
        <v>jue</v>
      </c>
      <c r="F16" s="22">
        <f t="shared" si="0"/>
        <v>5</v>
      </c>
      <c r="G16" s="22">
        <f t="shared" si="1"/>
        <v>8.4</v>
      </c>
      <c r="H16" s="22">
        <f t="shared" si="2"/>
        <v>0</v>
      </c>
      <c r="I16">
        <f t="shared" si="3"/>
        <v>5</v>
      </c>
      <c r="J16" s="5">
        <f>IF($I16&lt;&gt;"",IF($D16="",DATE(YEAR($K$7),MONTH($K$7)+($A$1*($F16-1))+SUM($B$12:$B16),DAY($K$7)),$D16),"")</f>
        <v>44119</v>
      </c>
      <c r="K16" s="9">
        <f t="shared" si="4"/>
        <v>30</v>
      </c>
      <c r="L16" s="3">
        <f t="shared" si="5"/>
        <v>819.18999999999983</v>
      </c>
      <c r="M16" s="3">
        <f>IF($I16&lt;&gt;"",IF($A16="Gracia Parcial",IF(AND($C16&lt;$U16+$P16+$Q16+$R16+$T15,$C16&gt;0),$C16,$U16+$P16+$Q16+$R16+$T15),IF($A16="Gracia Total",0,IF($A16="Prepago",$C16,IF(ISNUMBER($C16),$C16*VALUE(MID($C$1,MONTH($J16),1)),$N$5*VALUE(MID($C$1,MONTH($J16),1))))))-IF($I17="",ARREGLO,0),"")</f>
        <v>107.22000000000003</v>
      </c>
      <c r="N16" s="3">
        <f t="shared" si="6"/>
        <v>98.820000000000022</v>
      </c>
      <c r="O16" s="3">
        <f t="shared" si="15"/>
        <v>8.4</v>
      </c>
      <c r="P16" s="8">
        <f t="shared" si="7"/>
        <v>0</v>
      </c>
      <c r="Q16" s="8">
        <f t="shared" si="8"/>
        <v>0</v>
      </c>
      <c r="R16" s="3">
        <f t="shared" si="9"/>
        <v>0</v>
      </c>
      <c r="S16" s="3">
        <f t="shared" si="10"/>
        <v>720.36999999999978</v>
      </c>
      <c r="T16" s="3">
        <f t="shared" si="11"/>
        <v>0</v>
      </c>
      <c r="U16" s="3">
        <f t="shared" si="12"/>
        <v>8.4</v>
      </c>
      <c r="V16" s="3">
        <f t="shared" si="13"/>
        <v>8.4</v>
      </c>
      <c r="W16" s="3">
        <f>IF($I16&lt;&gt;"",IF($K16&gt;V$11,IF($K16&lt;W$11,$K16-V$11,30),0)*ROUND(($L16+$T15+SUM($V16:V16))*$R$5/3000,2),"")</f>
        <v>0</v>
      </c>
      <c r="X16" s="3"/>
      <c r="Y16" s="3"/>
      <c r="Z16" s="3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</row>
    <row r="17" spans="1:82" x14ac:dyDescent="0.25">
      <c r="D17" s="5"/>
      <c r="E17" t="str">
        <f t="shared" si="14"/>
        <v>dom</v>
      </c>
      <c r="F17" s="22">
        <f t="shared" si="0"/>
        <v>6</v>
      </c>
      <c r="G17" s="22">
        <f t="shared" si="1"/>
        <v>7.4499999999999993</v>
      </c>
      <c r="H17" s="22">
        <f t="shared" si="2"/>
        <v>0</v>
      </c>
      <c r="I17">
        <f t="shared" si="3"/>
        <v>6</v>
      </c>
      <c r="J17" s="5">
        <f>IF($I17&lt;&gt;"",IF($D17="",DATE(YEAR($K$7),MONTH($K$7)+($A$1*($F17-1))+SUM($B$12:$B17),DAY($K$7)),$D17),"")</f>
        <v>44150</v>
      </c>
      <c r="K17" s="9">
        <f t="shared" si="4"/>
        <v>31</v>
      </c>
      <c r="L17" s="3">
        <f t="shared" si="5"/>
        <v>720.36999999999978</v>
      </c>
      <c r="M17" s="3">
        <f>IF($I17&lt;&gt;"",IF($A17="Gracia Parcial",IF(AND($C17&lt;$U17+$P17+$Q17+$R17+$T16,$C17&gt;0),$C17,$U17+$P17+$Q17+$R17+$T16),IF($A17="Gracia Total",0,IF($A17="Prepago",$C17,IF(ISNUMBER($C17),$C17*VALUE(MID($C$1,MONTH($J17),1)),$N$5*VALUE(MID($C$1,MONTH($J17),1))))))-IF($I18="",ARREGLO,0),"")</f>
        <v>107.22000000000003</v>
      </c>
      <c r="N17" s="3">
        <f t="shared" si="6"/>
        <v>99.770000000000024</v>
      </c>
      <c r="O17" s="3">
        <f t="shared" si="15"/>
        <v>7.4499999999999993</v>
      </c>
      <c r="P17" s="8">
        <f t="shared" si="7"/>
        <v>0</v>
      </c>
      <c r="Q17" s="8">
        <f t="shared" si="8"/>
        <v>0</v>
      </c>
      <c r="R17" s="3">
        <f t="shared" si="9"/>
        <v>0</v>
      </c>
      <c r="S17" s="3">
        <f t="shared" si="10"/>
        <v>620.5999999999998</v>
      </c>
      <c r="T17" s="3">
        <f t="shared" si="11"/>
        <v>0</v>
      </c>
      <c r="U17" s="3">
        <f t="shared" si="12"/>
        <v>7.4499999999999993</v>
      </c>
      <c r="V17" s="3">
        <f t="shared" si="13"/>
        <v>7.1999999999999993</v>
      </c>
      <c r="W17" s="3">
        <f>IF($I17&lt;&gt;"",IF($K17&gt;V$11,IF($K17&lt;W$11,$K17-V$11,30),0)*ROUND(($L17+$T16+SUM($V17:V17))*$R$5/3000,2),"")</f>
        <v>0.25</v>
      </c>
      <c r="X17" s="3"/>
      <c r="Y17" s="3"/>
      <c r="Z17" s="3"/>
      <c r="AA17" s="3"/>
      <c r="AB17" s="3"/>
      <c r="AC17" s="3"/>
      <c r="AD17" s="3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</row>
    <row r="18" spans="1:82" x14ac:dyDescent="0.25">
      <c r="D18" s="5"/>
      <c r="E18" t="str">
        <f t="shared" si="14"/>
        <v>mar</v>
      </c>
      <c r="F18" s="22">
        <f t="shared" si="0"/>
        <v>7</v>
      </c>
      <c r="G18" s="22">
        <f t="shared" si="1"/>
        <v>6.3</v>
      </c>
      <c r="H18" s="22">
        <f t="shared" si="2"/>
        <v>0</v>
      </c>
      <c r="I18">
        <f t="shared" si="3"/>
        <v>7</v>
      </c>
      <c r="J18" s="5">
        <f>IF($I18&lt;&gt;"",IF($D18="",DATE(YEAR($K$7),MONTH($K$7)+($A$1*($F18-1))+SUM($B$12:$B18),DAY($K$7)),$D18),"")</f>
        <v>44180</v>
      </c>
      <c r="K18" s="9">
        <f t="shared" si="4"/>
        <v>30</v>
      </c>
      <c r="L18" s="3">
        <f t="shared" si="5"/>
        <v>620.5999999999998</v>
      </c>
      <c r="M18" s="3">
        <f>IF($I18&lt;&gt;"",IF($A18="Gracia Parcial",IF(AND($C18&lt;$U18+$P18+$Q18+$R18+$T17,$C18&gt;0),$C18,$U18+$P18+$Q18+$R18+$T17),IF($A18="Gracia Total",0,IF($A18="Prepago",$C18,IF(ISNUMBER($C18),$C18*VALUE(MID($C$1,MONTH($J18),1)),$N$5*VALUE(MID($C$1,MONTH($J18),1))))))-IF($I19="",ARREGLO,0),"")</f>
        <v>107.22000000000003</v>
      </c>
      <c r="N18" s="3">
        <f t="shared" si="6"/>
        <v>100.92000000000003</v>
      </c>
      <c r="O18" s="3">
        <f t="shared" si="15"/>
        <v>6.3</v>
      </c>
      <c r="P18" s="8">
        <f t="shared" si="7"/>
        <v>0</v>
      </c>
      <c r="Q18" s="8">
        <f t="shared" si="8"/>
        <v>0</v>
      </c>
      <c r="R18" s="3">
        <f t="shared" si="9"/>
        <v>0</v>
      </c>
      <c r="S18" s="3">
        <f t="shared" si="10"/>
        <v>519.67999999999972</v>
      </c>
      <c r="T18" s="3">
        <f t="shared" si="11"/>
        <v>0</v>
      </c>
      <c r="U18" s="3">
        <f t="shared" si="12"/>
        <v>6.3</v>
      </c>
      <c r="V18" s="3">
        <f t="shared" si="13"/>
        <v>6.3</v>
      </c>
      <c r="W18" s="3">
        <f>IF($I18&lt;&gt;"",IF($K18&gt;V$11,IF($K18&lt;W$11,$K18-V$11,30),0)*ROUND(($L18+$T17+SUM($V18:V18))*$R$5/3000,2),"")</f>
        <v>0</v>
      </c>
      <c r="X18" s="3"/>
      <c r="Y18" s="3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</row>
    <row r="19" spans="1:82" x14ac:dyDescent="0.25">
      <c r="D19" s="5"/>
      <c r="E19" t="str">
        <f t="shared" si="14"/>
        <v>vie</v>
      </c>
      <c r="F19" s="22">
        <f t="shared" si="0"/>
        <v>8</v>
      </c>
      <c r="G19" s="22">
        <f t="shared" si="1"/>
        <v>5.5799999999999992</v>
      </c>
      <c r="H19" s="22">
        <f t="shared" si="2"/>
        <v>0</v>
      </c>
      <c r="I19">
        <f t="shared" si="3"/>
        <v>8</v>
      </c>
      <c r="J19" s="5">
        <f>IF($I19&lt;&gt;"",IF($D19="",DATE(YEAR($K$7),MONTH($K$7)+($A$1*($F19-1))+SUM($B$12:$B19),DAY($K$7)),$D19),"")</f>
        <v>44211</v>
      </c>
      <c r="K19" s="9">
        <f t="shared" si="4"/>
        <v>31</v>
      </c>
      <c r="L19" s="3">
        <f t="shared" si="5"/>
        <v>519.67999999999972</v>
      </c>
      <c r="M19" s="3">
        <f>IF($I19&lt;&gt;"",IF($A19="Gracia Parcial",IF(AND($C19&lt;$U19+$P19+$Q19+$R19+$T18,$C19&gt;0),$C19,$U19+$P19+$Q19+$R19+$T18),IF($A19="Gracia Total",0,IF($A19="Prepago",$C19,IF(ISNUMBER($C19),$C19*VALUE(MID($C$1,MONTH($J19),1)),$N$5*VALUE(MID($C$1,MONTH($J19),1))))))-IF($I20="",ARREGLO,0),"")</f>
        <v>107.22000000000003</v>
      </c>
      <c r="N19" s="3">
        <f t="shared" si="6"/>
        <v>101.64000000000003</v>
      </c>
      <c r="O19" s="3">
        <f t="shared" si="15"/>
        <v>5.5799999999999992</v>
      </c>
      <c r="P19" s="8">
        <f t="shared" si="7"/>
        <v>0</v>
      </c>
      <c r="Q19" s="8">
        <f t="shared" si="8"/>
        <v>0</v>
      </c>
      <c r="R19" s="3">
        <f t="shared" si="9"/>
        <v>0</v>
      </c>
      <c r="S19" s="3">
        <f t="shared" si="10"/>
        <v>418.03999999999968</v>
      </c>
      <c r="T19" s="3">
        <f t="shared" si="11"/>
        <v>0</v>
      </c>
      <c r="U19" s="3">
        <f t="shared" si="12"/>
        <v>5.5799999999999992</v>
      </c>
      <c r="V19" s="3">
        <f t="shared" si="13"/>
        <v>5.3999999999999995</v>
      </c>
      <c r="W19" s="3">
        <f>IF($I19&lt;&gt;"",IF($K19&gt;V$11,IF($K19&lt;W$11,$K19-V$11,30),0)*ROUND(($L19+$T18+SUM($V19:V19))*$R$5/3000,2),"")</f>
        <v>0.18</v>
      </c>
      <c r="X19" s="3"/>
      <c r="Y19" s="3"/>
      <c r="Z19" s="3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</row>
    <row r="20" spans="1:82" s="10" customFormat="1" x14ac:dyDescent="0.25">
      <c r="A20"/>
      <c r="B20"/>
      <c r="C20" s="20"/>
      <c r="D20" s="5"/>
      <c r="E20" t="str">
        <f t="shared" si="14"/>
        <v>lun</v>
      </c>
      <c r="F20" s="22">
        <f t="shared" si="0"/>
        <v>9</v>
      </c>
      <c r="G20" s="22">
        <f t="shared" si="1"/>
        <v>4.34</v>
      </c>
      <c r="H20" s="22">
        <f t="shared" si="2"/>
        <v>0</v>
      </c>
      <c r="I20">
        <f t="shared" si="3"/>
        <v>9</v>
      </c>
      <c r="J20" s="5">
        <f>IF($I20&lt;&gt;"",IF($D20="",DATE(YEAR($K$7),MONTH($K$7)+($A$1*($F20-1))+SUM($B$12:$B20),DAY($K$7)),$D20),"")</f>
        <v>44242</v>
      </c>
      <c r="K20" s="9">
        <f t="shared" si="4"/>
        <v>31</v>
      </c>
      <c r="L20" s="3">
        <f t="shared" si="5"/>
        <v>418.03999999999968</v>
      </c>
      <c r="M20" s="3">
        <f>IF($I20&lt;&gt;"",IF($A20="Gracia Parcial",IF(AND($C20&lt;$U20+$P20+$Q20+$R20+$T19,$C20&gt;0),$C20,$U20+$P20+$Q20+$R20+$T19),IF($A20="Gracia Total",0,IF($A20="Prepago",$C20,IF(ISNUMBER($C20),$C20*VALUE(MID($C$1,MONTH($J20),1)),$N$5*VALUE(MID($C$1,MONTH($J20),1))))))-IF($I21="",ARREGLO,0),"")</f>
        <v>107.22000000000003</v>
      </c>
      <c r="N20" s="3">
        <f t="shared" si="6"/>
        <v>102.88000000000002</v>
      </c>
      <c r="O20" s="3">
        <f t="shared" si="15"/>
        <v>4.34</v>
      </c>
      <c r="P20" s="8">
        <f t="shared" si="7"/>
        <v>0</v>
      </c>
      <c r="Q20" s="8">
        <f t="shared" si="8"/>
        <v>0</v>
      </c>
      <c r="R20" s="3">
        <f t="shared" si="9"/>
        <v>0</v>
      </c>
      <c r="S20" s="3">
        <f t="shared" si="10"/>
        <v>315.15999999999963</v>
      </c>
      <c r="T20" s="3">
        <f t="shared" si="11"/>
        <v>0</v>
      </c>
      <c r="U20" s="3">
        <f t="shared" si="12"/>
        <v>4.34</v>
      </c>
      <c r="V20" s="3">
        <f t="shared" si="13"/>
        <v>4.2</v>
      </c>
      <c r="W20" s="3">
        <f>IF($I20&lt;&gt;"",IF($K20&gt;V$11,IF($K20&lt;W$11,$K20-V$11,30),0)*ROUND(($L20+$T19+SUM($V20:V20))*$R$5/3000,2),"")</f>
        <v>0.14000000000000001</v>
      </c>
      <c r="X20" s="3"/>
      <c r="Y20" s="3"/>
      <c r="Z20" s="3"/>
      <c r="AA20" s="3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</row>
    <row r="21" spans="1:82" x14ac:dyDescent="0.25">
      <c r="D21" s="5"/>
      <c r="E21" t="str">
        <f t="shared" si="14"/>
        <v>lun</v>
      </c>
      <c r="F21" s="22">
        <f t="shared" si="0"/>
        <v>10</v>
      </c>
      <c r="G21" s="22">
        <f t="shared" si="1"/>
        <v>3.08</v>
      </c>
      <c r="H21" s="22">
        <f t="shared" si="2"/>
        <v>0</v>
      </c>
      <c r="I21">
        <f t="shared" si="3"/>
        <v>10</v>
      </c>
      <c r="J21" s="5">
        <f>IF($I21&lt;&gt;"",IF($D21="",DATE(YEAR($K$7),MONTH($K$7)+($A$1*($F21-1))+SUM($B$12:$B21),DAY($K$7)),$D21),"")</f>
        <v>44270</v>
      </c>
      <c r="K21" s="9">
        <f t="shared" si="4"/>
        <v>28</v>
      </c>
      <c r="L21" s="3">
        <f t="shared" si="5"/>
        <v>315.15999999999963</v>
      </c>
      <c r="M21" s="3">
        <f>IF($I21&lt;&gt;"",IF($A21="Gracia Parcial",IF(AND($C21&lt;$U21+$P21+$Q21+$R21+$T20,$C21&gt;0),$C21,$U21+$P21+$Q21+$R21+$T20),IF($A21="Gracia Total",0,IF($A21="Prepago",$C21,IF(ISNUMBER($C21),$C21*VALUE(MID($C$1,MONTH($J21),1)),$N$5*VALUE(MID($C$1,MONTH($J21),1))))))-IF($I22="",ARREGLO,0),"")</f>
        <v>107.22000000000003</v>
      </c>
      <c r="N21" s="3">
        <f t="shared" si="6"/>
        <v>104.14000000000003</v>
      </c>
      <c r="O21" s="3">
        <f t="shared" si="15"/>
        <v>3.08</v>
      </c>
      <c r="P21" s="8">
        <f t="shared" si="7"/>
        <v>0</v>
      </c>
      <c r="Q21" s="8">
        <f t="shared" si="8"/>
        <v>0</v>
      </c>
      <c r="R21" s="3">
        <f t="shared" si="9"/>
        <v>0</v>
      </c>
      <c r="S21" s="3">
        <f t="shared" si="10"/>
        <v>211.01999999999958</v>
      </c>
      <c r="T21" s="3">
        <f t="shared" si="11"/>
        <v>0</v>
      </c>
      <c r="U21" s="3">
        <f t="shared" si="12"/>
        <v>3.08</v>
      </c>
      <c r="V21" s="3">
        <f t="shared" si="13"/>
        <v>3.08</v>
      </c>
      <c r="W21" s="3">
        <f>IF($I21&lt;&gt;"",IF($K21&gt;V$11,IF($K21&lt;W$11,$K21-V$11,30),0)*ROUND(($L21+$T20+SUM($V21:V21))*$R$5/3000,2),"")</f>
        <v>0</v>
      </c>
      <c r="X21" s="3"/>
      <c r="Y21" s="3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</row>
    <row r="22" spans="1:82" x14ac:dyDescent="0.25">
      <c r="D22" s="5"/>
      <c r="E22" t="str">
        <f t="shared" si="14"/>
        <v>jue</v>
      </c>
      <c r="F22" s="22">
        <f t="shared" si="0"/>
        <v>11</v>
      </c>
      <c r="G22" s="22">
        <f t="shared" si="1"/>
        <v>2.17</v>
      </c>
      <c r="H22" s="22">
        <f t="shared" si="2"/>
        <v>0</v>
      </c>
      <c r="I22">
        <f t="shared" si="3"/>
        <v>11</v>
      </c>
      <c r="J22" s="5">
        <f>IF($I22&lt;&gt;"",IF($D22="",DATE(YEAR($K$7),MONTH($K$7)+($A$1*($F22-1))+SUM($B$12:$B22),DAY($K$7)),$D22),"")</f>
        <v>44301</v>
      </c>
      <c r="K22" s="9">
        <f t="shared" si="4"/>
        <v>31</v>
      </c>
      <c r="L22" s="3">
        <f t="shared" si="5"/>
        <v>211.01999999999958</v>
      </c>
      <c r="M22" s="3">
        <f>IF($I22&lt;&gt;"",IF($A22="Gracia Parcial",IF(AND($C22&lt;$U22+$P22+$Q22+$R22+$T21,$C22&gt;0),$C22,$U22+$P22+$Q22+$R22+$T21),IF($A22="Gracia Total",0,IF($A22="Prepago",$C22,IF(ISNUMBER($C22),$C22*VALUE(MID($C$1,MONTH($J22),1)),$N$5*VALUE(MID($C$1,MONTH($J22),1))))))-IF($I23="",ARREGLO,0),"")</f>
        <v>107.22000000000003</v>
      </c>
      <c r="N22" s="3">
        <f t="shared" si="6"/>
        <v>105.05000000000003</v>
      </c>
      <c r="O22" s="3">
        <f t="shared" si="15"/>
        <v>2.17</v>
      </c>
      <c r="P22" s="8">
        <f t="shared" si="7"/>
        <v>0</v>
      </c>
      <c r="Q22" s="8">
        <f t="shared" si="8"/>
        <v>0</v>
      </c>
      <c r="R22" s="3">
        <f t="shared" si="9"/>
        <v>0</v>
      </c>
      <c r="S22" s="3">
        <f t="shared" si="10"/>
        <v>105.96999999999956</v>
      </c>
      <c r="T22" s="3">
        <f t="shared" si="11"/>
        <v>0</v>
      </c>
      <c r="U22" s="3">
        <f t="shared" si="12"/>
        <v>2.17</v>
      </c>
      <c r="V22" s="3">
        <f t="shared" si="13"/>
        <v>2.1</v>
      </c>
      <c r="W22" s="3">
        <f>IF($I22&lt;&gt;"",IF($K22&gt;V$11,IF($K22&lt;W$11,$K22-V$11,30),0)*ROUND(($L22+$T21+SUM($V22:V22))*$R$5/3000,2),"")</f>
        <v>7.0000000000000007E-2</v>
      </c>
      <c r="X22" s="3"/>
      <c r="Y22" s="3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</row>
    <row r="23" spans="1:82" x14ac:dyDescent="0.25">
      <c r="D23" s="5"/>
      <c r="E23" t="str">
        <f t="shared" si="14"/>
        <v>sáb</v>
      </c>
      <c r="F23" s="22">
        <f t="shared" si="0"/>
        <v>12</v>
      </c>
      <c r="G23" s="22">
        <f t="shared" si="1"/>
        <v>1.2</v>
      </c>
      <c r="H23" s="22">
        <f t="shared" si="2"/>
        <v>0</v>
      </c>
      <c r="I23">
        <f t="shared" si="3"/>
        <v>12</v>
      </c>
      <c r="J23" s="5">
        <f>IF($I23&lt;&gt;"",IF($D23="",DATE(YEAR($K$7),MONTH($K$7)+($A$1*($F23-1))+SUM($B$12:$B23),DAY($K$7)),$D23),"")</f>
        <v>44331</v>
      </c>
      <c r="K23" s="9">
        <f t="shared" si="4"/>
        <v>30</v>
      </c>
      <c r="L23" s="3">
        <f t="shared" si="5"/>
        <v>105.96999999999956</v>
      </c>
      <c r="M23" s="3">
        <f>IF($I23&lt;&gt;"",IF($A23="Gracia Parcial",IF(AND($C23&lt;$U23+$P23+$Q23+$R23+$T22,$C23&gt;0),$C23,$U23+$P23+$Q23+$R23+$T22),IF($A23="Gracia Total",0,IF($A23="Prepago",$C23,IF(ISNUMBER($C23),$C23*VALUE(MID($C$1,MONTH($J23),1)),$N$5*VALUE(MID($C$1,MONTH($J23),1))))))-IF($I24="",ARREGLO,0),"")</f>
        <v>107.17000000000003</v>
      </c>
      <c r="N23" s="3">
        <f t="shared" si="6"/>
        <v>105.97000000000003</v>
      </c>
      <c r="O23" s="3">
        <f t="shared" si="15"/>
        <v>1.2</v>
      </c>
      <c r="P23" s="8">
        <f t="shared" si="7"/>
        <v>0</v>
      </c>
      <c r="Q23" s="8">
        <f t="shared" si="8"/>
        <v>0</v>
      </c>
      <c r="R23" s="3">
        <f t="shared" si="9"/>
        <v>0</v>
      </c>
      <c r="S23" s="3">
        <f t="shared" si="10"/>
        <v>-4.6895820560166612E-13</v>
      </c>
      <c r="T23" s="3">
        <f t="shared" si="11"/>
        <v>0</v>
      </c>
      <c r="U23" s="3">
        <f t="shared" si="12"/>
        <v>1.2</v>
      </c>
      <c r="V23" s="3">
        <f t="shared" si="13"/>
        <v>1.2</v>
      </c>
      <c r="W23" s="3">
        <f>IF($I23&lt;&gt;"",IF($K23&gt;V$11,IF($K23&lt;W$11,$K23-V$11,30),0)*ROUND(($L23+$T22+SUM($V23:V23))*$R$5/3000,2),"")</f>
        <v>0</v>
      </c>
      <c r="X23" s="3"/>
      <c r="Y23" s="3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</row>
    <row r="24" spans="1:82" x14ac:dyDescent="0.25">
      <c r="D24" s="5"/>
      <c r="E24" t="str">
        <f t="shared" si="14"/>
        <v/>
      </c>
      <c r="F24" s="22" t="str">
        <f t="shared" si="0"/>
        <v/>
      </c>
      <c r="G24" s="22" t="str">
        <f t="shared" si="1"/>
        <v/>
      </c>
      <c r="H24" s="22" t="str">
        <f t="shared" si="2"/>
        <v/>
      </c>
      <c r="I24" t="str">
        <f t="shared" si="3"/>
        <v/>
      </c>
      <c r="J24" s="5" t="str">
        <f>IF($I24&lt;&gt;"",IF($D24="",DATE(YEAR($K$7),MONTH($K$7)+($A$1*($F24-1))+SUM($B$12:$B24),DAY($K$7)),$D24),"")</f>
        <v/>
      </c>
      <c r="K24" s="9" t="str">
        <f t="shared" si="4"/>
        <v/>
      </c>
      <c r="L24" s="3" t="str">
        <f t="shared" si="5"/>
        <v/>
      </c>
      <c r="M24" s="3" t="str">
        <f>IF($I24&lt;&gt;"",IF($A24="Gracia Parcial",IF(AND($C24&lt;$U24+$P24+$Q24+$R24+$T23,$C24&gt;0),$C24,$U24+$P24+$Q24+$R24+$T23),IF($A24="Gracia Total",0,IF($A24="Prepago",$C24,IF(ISNUMBER($C24),$C24*VALUE(MID($C$1,MONTH($J24),1)),$N$5*VALUE(MID($C$1,MONTH($J24),1))))))-IF($I25="",ARREGLO,0),"")</f>
        <v/>
      </c>
      <c r="N24" s="3" t="str">
        <f t="shared" si="6"/>
        <v/>
      </c>
      <c r="O24" s="3" t="str">
        <f t="shared" si="15"/>
        <v/>
      </c>
      <c r="P24" s="8" t="str">
        <f t="shared" si="7"/>
        <v/>
      </c>
      <c r="Q24" s="8" t="str">
        <f t="shared" si="8"/>
        <v/>
      </c>
      <c r="R24" s="3" t="str">
        <f t="shared" si="9"/>
        <v/>
      </c>
      <c r="S24" s="3" t="str">
        <f t="shared" si="10"/>
        <v/>
      </c>
      <c r="T24" s="3" t="str">
        <f t="shared" si="11"/>
        <v/>
      </c>
      <c r="U24" s="3" t="str">
        <f t="shared" si="12"/>
        <v/>
      </c>
      <c r="V24" s="3" t="str">
        <f t="shared" si="13"/>
        <v/>
      </c>
      <c r="W24" s="3" t="str">
        <f>IF($I24&lt;&gt;"",IF($K24&gt;V$11,IF($K24&lt;W$11,$K24-V$11,30),0)*ROUND(($L24+$T23+SUM($V24:V24))*$R$5/3000,2),"")</f>
        <v/>
      </c>
      <c r="X24" s="3"/>
      <c r="Y24" s="3"/>
      <c r="Z24" s="3"/>
      <c r="AA24" s="3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</row>
    <row r="25" spans="1:82" x14ac:dyDescent="0.25">
      <c r="D25" s="5"/>
      <c r="E25" t="str">
        <f t="shared" si="14"/>
        <v/>
      </c>
      <c r="F25" s="22" t="str">
        <f t="shared" si="0"/>
        <v/>
      </c>
      <c r="G25" s="22" t="str">
        <f t="shared" si="1"/>
        <v/>
      </c>
      <c r="H25" s="22" t="str">
        <f t="shared" si="2"/>
        <v/>
      </c>
      <c r="I25" t="str">
        <f t="shared" si="3"/>
        <v/>
      </c>
      <c r="J25" s="5" t="str">
        <f>IF($I25&lt;&gt;"",IF($D25="",DATE(YEAR($K$7),MONTH($K$7)+($A$1*($F25-1))+SUM($B$12:$B25),DAY($K$7)),$D25),"")</f>
        <v/>
      </c>
      <c r="K25" s="9" t="str">
        <f t="shared" si="4"/>
        <v/>
      </c>
      <c r="L25" s="3" t="str">
        <f t="shared" si="5"/>
        <v/>
      </c>
      <c r="M25" s="3" t="str">
        <f>IF($I25&lt;&gt;"",IF($A25="Gracia Parcial",IF(AND($C25&lt;$U25+$P25+$Q25+$R25+$T24,$C25&gt;0),$C25,$U25+$P25+$Q25+$R25+$T24),IF($A25="Gracia Total",0,IF($A25="Prepago",$C25,IF(ISNUMBER($C25),$C25*VALUE(MID($C$1,MONTH($J25),1)),$N$5*VALUE(MID($C$1,MONTH($J25),1))))))-IF($I26="",ARREGLO,0),"")</f>
        <v/>
      </c>
      <c r="N25" s="3" t="str">
        <f t="shared" si="6"/>
        <v/>
      </c>
      <c r="O25" s="3" t="str">
        <f t="shared" si="15"/>
        <v/>
      </c>
      <c r="P25" s="8" t="str">
        <f t="shared" si="7"/>
        <v/>
      </c>
      <c r="Q25" s="8" t="str">
        <f t="shared" si="8"/>
        <v/>
      </c>
      <c r="R25" s="3" t="str">
        <f t="shared" si="9"/>
        <v/>
      </c>
      <c r="S25" s="3" t="str">
        <f t="shared" si="10"/>
        <v/>
      </c>
      <c r="T25" s="3" t="str">
        <f t="shared" si="11"/>
        <v/>
      </c>
      <c r="U25" s="3" t="str">
        <f t="shared" si="12"/>
        <v/>
      </c>
      <c r="V25" s="3" t="str">
        <f t="shared" si="13"/>
        <v/>
      </c>
      <c r="W25" s="3" t="str">
        <f>IF($I25&lt;&gt;"",IF($K25&gt;V$11,IF($K25&lt;W$11,$K25-V$11,30),0)*ROUND(($L25+$T24+SUM($V25:V25))*$R$5/3000,2),"")</f>
        <v/>
      </c>
      <c r="X25" s="3"/>
      <c r="Y25" s="3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</row>
    <row r="26" spans="1:82" x14ac:dyDescent="0.25">
      <c r="D26" s="5"/>
      <c r="E26" t="str">
        <f t="shared" si="14"/>
        <v/>
      </c>
      <c r="F26" s="22" t="str">
        <f t="shared" si="0"/>
        <v/>
      </c>
      <c r="G26" s="22" t="str">
        <f t="shared" si="1"/>
        <v/>
      </c>
      <c r="H26" s="22" t="str">
        <f t="shared" si="2"/>
        <v/>
      </c>
      <c r="I26" t="str">
        <f t="shared" si="3"/>
        <v/>
      </c>
      <c r="J26" s="5" t="str">
        <f>IF($I26&lt;&gt;"",IF($D26="",DATE(YEAR($K$7),MONTH($K$7)+($A$1*($F26-1))+SUM($B$12:$B26),DAY($K$7)),$D26),"")</f>
        <v/>
      </c>
      <c r="K26" s="9" t="str">
        <f t="shared" si="4"/>
        <v/>
      </c>
      <c r="L26" s="3" t="str">
        <f t="shared" si="5"/>
        <v/>
      </c>
      <c r="M26" s="3" t="str">
        <f>IF($I26&lt;&gt;"",IF($A26="Gracia Parcial",IF(AND($C26&lt;$U26+$P26+$Q26+$R26+$T25,$C26&gt;0),$C26,$U26+$P26+$Q26+$R26+$T25),IF($A26="Gracia Total",0,IF($A26="Prepago",$C26,IF(ISNUMBER($C26),$C26*VALUE(MID($C$1,MONTH($J26),1)),$N$5*VALUE(MID($C$1,MONTH($J26),1))))))-IF($I27="",ARREGLO,0),"")</f>
        <v/>
      </c>
      <c r="N26" s="3" t="str">
        <f t="shared" si="6"/>
        <v/>
      </c>
      <c r="O26" s="3" t="str">
        <f t="shared" si="15"/>
        <v/>
      </c>
      <c r="P26" s="8" t="str">
        <f t="shared" si="7"/>
        <v/>
      </c>
      <c r="Q26" s="8" t="str">
        <f t="shared" si="8"/>
        <v/>
      </c>
      <c r="R26" s="3" t="str">
        <f t="shared" si="9"/>
        <v/>
      </c>
      <c r="S26" s="3" t="str">
        <f t="shared" si="10"/>
        <v/>
      </c>
      <c r="T26" s="3" t="str">
        <f t="shared" si="11"/>
        <v/>
      </c>
      <c r="U26" s="3" t="str">
        <f t="shared" si="12"/>
        <v/>
      </c>
      <c r="V26" s="3" t="str">
        <f t="shared" si="13"/>
        <v/>
      </c>
      <c r="W26" s="3" t="str">
        <f>IF($I26&lt;&gt;"",IF($K26&gt;V$11,IF($K26&lt;W$11,$K26-V$11,30),0)*ROUND(($L26+$T25+SUM($V26:V26))*$R$5/3000,2),"")</f>
        <v/>
      </c>
      <c r="X26" s="3"/>
      <c r="Y26" s="3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</row>
    <row r="27" spans="1:82" x14ac:dyDescent="0.25">
      <c r="D27" s="5"/>
      <c r="E27" t="str">
        <f t="shared" si="14"/>
        <v/>
      </c>
      <c r="F27" s="22" t="str">
        <f t="shared" si="0"/>
        <v/>
      </c>
      <c r="G27" s="22" t="str">
        <f t="shared" si="1"/>
        <v/>
      </c>
      <c r="H27" s="22" t="str">
        <f t="shared" si="2"/>
        <v/>
      </c>
      <c r="I27" t="str">
        <f t="shared" si="3"/>
        <v/>
      </c>
      <c r="J27" s="5" t="str">
        <f>IF($I27&lt;&gt;"",IF($D27="",DATE(YEAR($K$7),MONTH($K$7)+($A$1*($F27-1))+SUM($B$12:$B27),DAY($K$7)),$D27),"")</f>
        <v/>
      </c>
      <c r="K27" s="9" t="str">
        <f t="shared" si="4"/>
        <v/>
      </c>
      <c r="L27" s="3" t="str">
        <f t="shared" si="5"/>
        <v/>
      </c>
      <c r="M27" s="3" t="str">
        <f>IF($I27&lt;&gt;"",IF($A27="Gracia Parcial",IF(AND($C27&lt;$U27+$P27+$Q27+$R27+$T26,$C27&gt;0),$C27,$U27+$P27+$Q27+$R27+$T26),IF($A27="Gracia Total",0,IF($A27="Prepago",$C27,IF(ISNUMBER($C27),$C27*VALUE(MID($C$1,MONTH($J27),1)),$N$5*VALUE(MID($C$1,MONTH($J27),1))))))-IF($I28="",ARREGLO,0),"")</f>
        <v/>
      </c>
      <c r="N27" s="3" t="str">
        <f t="shared" si="6"/>
        <v/>
      </c>
      <c r="O27" s="3" t="str">
        <f t="shared" si="15"/>
        <v/>
      </c>
      <c r="P27" s="8" t="str">
        <f t="shared" si="7"/>
        <v/>
      </c>
      <c r="Q27" s="8" t="str">
        <f t="shared" si="8"/>
        <v/>
      </c>
      <c r="R27" s="3" t="str">
        <f t="shared" si="9"/>
        <v/>
      </c>
      <c r="S27" s="3" t="str">
        <f t="shared" si="10"/>
        <v/>
      </c>
      <c r="T27" s="3" t="str">
        <f t="shared" si="11"/>
        <v/>
      </c>
      <c r="U27" s="3" t="str">
        <f t="shared" si="12"/>
        <v/>
      </c>
      <c r="V27" s="3" t="str">
        <f t="shared" si="13"/>
        <v/>
      </c>
      <c r="W27" s="3" t="str">
        <f>IF($I27&lt;&gt;"",IF($K27&gt;V$11,IF($K27&lt;W$11,$K27-V$11,30),0)*ROUND(($L27+$T26+SUM($V27:V27))*$R$5/3000,2),"")</f>
        <v/>
      </c>
      <c r="X27" s="3"/>
      <c r="Y27" s="3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</row>
    <row r="28" spans="1:82" x14ac:dyDescent="0.25">
      <c r="D28" s="5"/>
      <c r="E28" t="str">
        <f t="shared" si="14"/>
        <v/>
      </c>
      <c r="F28" s="22" t="str">
        <f t="shared" si="0"/>
        <v/>
      </c>
      <c r="G28" s="22" t="str">
        <f t="shared" si="1"/>
        <v/>
      </c>
      <c r="H28" s="22" t="str">
        <f t="shared" si="2"/>
        <v/>
      </c>
      <c r="I28" t="str">
        <f t="shared" si="3"/>
        <v/>
      </c>
      <c r="J28" s="5" t="str">
        <f>IF($I28&lt;&gt;"",IF($D28="",DATE(YEAR($K$7),MONTH($K$7)+($A$1*($F28-1))+SUM($B$12:$B28),DAY($K$7)),$D28),"")</f>
        <v/>
      </c>
      <c r="K28" s="9" t="str">
        <f t="shared" si="4"/>
        <v/>
      </c>
      <c r="L28" s="3" t="str">
        <f t="shared" si="5"/>
        <v/>
      </c>
      <c r="M28" s="3" t="str">
        <f>IF($I28&lt;&gt;"",IF($A28="Gracia Parcial",IF(AND($C28&lt;$U28+$P28+$Q28+$R28+$T27,$C28&gt;0),$C28,$U28+$P28+$Q28+$R28+$T27),IF($A28="Gracia Total",0,IF($A28="Prepago",$C28,IF(ISNUMBER($C28),$C28*VALUE(MID($C$1,MONTH($J28),1)),$N$5*VALUE(MID($C$1,MONTH($J28),1))))))-IF($I29="",ARREGLO,0),"")</f>
        <v/>
      </c>
      <c r="N28" s="3" t="str">
        <f t="shared" si="6"/>
        <v/>
      </c>
      <c r="O28" s="3" t="str">
        <f t="shared" si="15"/>
        <v/>
      </c>
      <c r="P28" s="8" t="str">
        <f t="shared" si="7"/>
        <v/>
      </c>
      <c r="Q28" s="8" t="str">
        <f t="shared" si="8"/>
        <v/>
      </c>
      <c r="R28" s="3" t="str">
        <f t="shared" si="9"/>
        <v/>
      </c>
      <c r="S28" s="3" t="str">
        <f t="shared" si="10"/>
        <v/>
      </c>
      <c r="T28" s="3" t="str">
        <f t="shared" si="11"/>
        <v/>
      </c>
      <c r="U28" s="3" t="str">
        <f t="shared" si="12"/>
        <v/>
      </c>
      <c r="V28" s="3" t="str">
        <f t="shared" si="13"/>
        <v/>
      </c>
      <c r="W28" s="3" t="str">
        <f>IF($I28&lt;&gt;"",IF($K28&gt;V$11,IF($K28&lt;W$11,$K28-V$11,30),0)*ROUND(($L28+$T27+SUM($V28:V28))*$R$5/3000,2),"")</f>
        <v/>
      </c>
      <c r="X28" s="3"/>
      <c r="Y28" s="3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</row>
    <row r="29" spans="1:82" x14ac:dyDescent="0.25">
      <c r="D29" s="5"/>
      <c r="E29" t="str">
        <f t="shared" si="14"/>
        <v/>
      </c>
      <c r="F29" s="22" t="str">
        <f t="shared" si="0"/>
        <v/>
      </c>
      <c r="G29" s="22" t="str">
        <f t="shared" si="1"/>
        <v/>
      </c>
      <c r="H29" s="22" t="str">
        <f t="shared" si="2"/>
        <v/>
      </c>
      <c r="I29" t="str">
        <f t="shared" si="3"/>
        <v/>
      </c>
      <c r="J29" s="5" t="str">
        <f>IF($I29&lt;&gt;"",IF($D29="",DATE(YEAR($K$7),MONTH($K$7)+($A$1*($F29-1))+SUM($B$12:$B29),DAY($K$7)),$D29),"")</f>
        <v/>
      </c>
      <c r="K29" s="9" t="str">
        <f t="shared" si="4"/>
        <v/>
      </c>
      <c r="L29" s="3" t="str">
        <f t="shared" si="5"/>
        <v/>
      </c>
      <c r="M29" s="3" t="str">
        <f>IF($I29&lt;&gt;"",IF($A29="Gracia Parcial",IF(AND($C29&lt;$U29+$P29+$Q29+$R29+$T28,$C29&gt;0),$C29,$U29+$P29+$Q29+$R29+$T28),IF($A29="Gracia Total",0,IF($A29="Prepago",$C29,IF(ISNUMBER($C29),$C29*VALUE(MID($C$1,MONTH($J29),1)),$N$5*VALUE(MID($C$1,MONTH($J29),1))))))-IF($I30="",ARREGLO,0),"")</f>
        <v/>
      </c>
      <c r="N29" s="3" t="str">
        <f t="shared" si="6"/>
        <v/>
      </c>
      <c r="O29" s="3" t="str">
        <f t="shared" si="15"/>
        <v/>
      </c>
      <c r="P29" s="8" t="str">
        <f t="shared" si="7"/>
        <v/>
      </c>
      <c r="Q29" s="8" t="str">
        <f t="shared" si="8"/>
        <v/>
      </c>
      <c r="R29" s="3" t="str">
        <f t="shared" si="9"/>
        <v/>
      </c>
      <c r="S29" s="3" t="str">
        <f t="shared" si="10"/>
        <v/>
      </c>
      <c r="T29" s="3" t="str">
        <f t="shared" si="11"/>
        <v/>
      </c>
      <c r="U29" s="3" t="str">
        <f t="shared" si="12"/>
        <v/>
      </c>
      <c r="V29" s="3" t="str">
        <f t="shared" si="13"/>
        <v/>
      </c>
      <c r="W29" s="3" t="str">
        <f>IF($I29&lt;&gt;"",IF($K29&gt;V$11,IF($K29&lt;W$11,$K29-V$11,30),0)*ROUND(($L29+$T28+SUM($V29:V29))*$R$5/3000,2),"")</f>
        <v/>
      </c>
      <c r="X29" s="3"/>
      <c r="Y29" s="3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</row>
    <row r="30" spans="1:82" x14ac:dyDescent="0.25">
      <c r="D30" s="5"/>
      <c r="E30" t="str">
        <f t="shared" si="14"/>
        <v/>
      </c>
      <c r="F30" s="22" t="str">
        <f t="shared" si="0"/>
        <v/>
      </c>
      <c r="G30" s="22" t="str">
        <f t="shared" si="1"/>
        <v/>
      </c>
      <c r="H30" s="22" t="str">
        <f t="shared" si="2"/>
        <v/>
      </c>
      <c r="I30" t="str">
        <f t="shared" si="3"/>
        <v/>
      </c>
      <c r="J30" s="5" t="str">
        <f>IF($I30&lt;&gt;"",IF($D30="",DATE(YEAR($K$7),MONTH($K$7)+($A$1*($F30-1))+SUM($B$12:$B30),DAY($K$7)),$D30),"")</f>
        <v/>
      </c>
      <c r="K30" s="9" t="str">
        <f t="shared" si="4"/>
        <v/>
      </c>
      <c r="L30" s="3" t="str">
        <f t="shared" si="5"/>
        <v/>
      </c>
      <c r="M30" s="3" t="str">
        <f>IF($I30&lt;&gt;"",IF($A30="Gracia Parcial",IF(AND($C30&lt;$U30+$P30+$Q30+$R30+$T29,$C30&gt;0),$C30,$U30+$P30+$Q30+$R30+$T29),IF($A30="Gracia Total",0,IF($A30="Prepago",$C30,IF(ISNUMBER($C30),$C30*VALUE(MID($C$1,MONTH($J30),1)),$N$5*VALUE(MID($C$1,MONTH($J30),1))))))-IF($I31="",ARREGLO,0),"")</f>
        <v/>
      </c>
      <c r="N30" s="3" t="str">
        <f t="shared" si="6"/>
        <v/>
      </c>
      <c r="O30" s="3" t="str">
        <f t="shared" si="15"/>
        <v/>
      </c>
      <c r="P30" s="8" t="str">
        <f t="shared" si="7"/>
        <v/>
      </c>
      <c r="Q30" s="8" t="str">
        <f t="shared" si="8"/>
        <v/>
      </c>
      <c r="R30" s="3" t="str">
        <f t="shared" si="9"/>
        <v/>
      </c>
      <c r="S30" s="3" t="str">
        <f t="shared" si="10"/>
        <v/>
      </c>
      <c r="T30" s="3" t="str">
        <f t="shared" si="11"/>
        <v/>
      </c>
      <c r="U30" s="3" t="str">
        <f t="shared" si="12"/>
        <v/>
      </c>
      <c r="V30" s="3" t="str">
        <f t="shared" si="13"/>
        <v/>
      </c>
      <c r="W30" s="3" t="str">
        <f>IF($I30&lt;&gt;"",IF($K30&gt;V$11,IF($K30&lt;W$11,$K30-V$11,30),0)*ROUND(($L30+$T29+SUM($V30:V30))*$R$5/3000,2),"")</f>
        <v/>
      </c>
      <c r="X30" s="3"/>
      <c r="Y30" s="3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</row>
    <row r="31" spans="1:82" x14ac:dyDescent="0.25">
      <c r="D31" s="5"/>
      <c r="E31" t="str">
        <f t="shared" si="14"/>
        <v/>
      </c>
      <c r="F31" s="22" t="str">
        <f t="shared" si="0"/>
        <v/>
      </c>
      <c r="G31" s="22" t="str">
        <f t="shared" si="1"/>
        <v/>
      </c>
      <c r="H31" s="22" t="str">
        <f t="shared" si="2"/>
        <v/>
      </c>
      <c r="I31" t="str">
        <f t="shared" si="3"/>
        <v/>
      </c>
      <c r="J31" s="5" t="str">
        <f>IF($I31&lt;&gt;"",IF($D31="",DATE(YEAR($K$7),MONTH($K$7)+($A$1*($F31-1))+SUM($B$12:$B31),DAY($K$7)),$D31),"")</f>
        <v/>
      </c>
      <c r="K31" s="9" t="str">
        <f t="shared" si="4"/>
        <v/>
      </c>
      <c r="L31" s="3" t="str">
        <f t="shared" si="5"/>
        <v/>
      </c>
      <c r="M31" s="3" t="str">
        <f>IF($I31&lt;&gt;"",IF($A31="Gracia Parcial",IF(AND($C31&lt;$U31+$P31+$Q31+$R31+$T30,$C31&gt;0),$C31,$U31+$P31+$Q31+$R31+$T30),IF($A31="Gracia Total",0,IF($A31="Prepago",$C31,IF(ISNUMBER($C31),$C31*VALUE(MID($C$1,MONTH($J31),1)),$N$5*VALUE(MID($C$1,MONTH($J31),1))))))-IF($I32="",ARREGLO,0),"")</f>
        <v/>
      </c>
      <c r="N31" s="3" t="str">
        <f t="shared" si="6"/>
        <v/>
      </c>
      <c r="O31" s="3" t="str">
        <f t="shared" si="15"/>
        <v/>
      </c>
      <c r="P31" s="8" t="str">
        <f t="shared" si="7"/>
        <v/>
      </c>
      <c r="Q31" s="8" t="str">
        <f t="shared" si="8"/>
        <v/>
      </c>
      <c r="R31" s="3" t="str">
        <f t="shared" si="9"/>
        <v/>
      </c>
      <c r="S31" s="3" t="str">
        <f t="shared" si="10"/>
        <v/>
      </c>
      <c r="T31" s="3" t="str">
        <f t="shared" si="11"/>
        <v/>
      </c>
      <c r="U31" s="3" t="str">
        <f t="shared" si="12"/>
        <v/>
      </c>
      <c r="V31" s="3" t="str">
        <f t="shared" si="13"/>
        <v/>
      </c>
      <c r="W31" s="3" t="str">
        <f>IF($I31&lt;&gt;"",IF($K31&gt;V$11,IF($K31&lt;W$11,$K31-V$11,30),0)*ROUND(($L31+$T30+SUM($V31:V31))*$R$5/3000,2),"")</f>
        <v/>
      </c>
      <c r="X31" s="3"/>
      <c r="Y31" s="3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</row>
    <row r="32" spans="1:82" x14ac:dyDescent="0.25">
      <c r="D32" s="5"/>
      <c r="E32" t="str">
        <f t="shared" si="14"/>
        <v/>
      </c>
      <c r="F32" s="22" t="str">
        <f t="shared" si="0"/>
        <v/>
      </c>
      <c r="G32" s="22" t="str">
        <f t="shared" si="1"/>
        <v/>
      </c>
      <c r="H32" s="22" t="str">
        <f t="shared" si="2"/>
        <v/>
      </c>
      <c r="I32" t="str">
        <f t="shared" si="3"/>
        <v/>
      </c>
      <c r="J32" s="5" t="str">
        <f>IF($I32&lt;&gt;"",IF($D32="",DATE(YEAR($K$7),MONTH($K$7)+($A$1*($F32-1))+SUM($B$12:$B32),DAY($K$7)),$D32),"")</f>
        <v/>
      </c>
      <c r="K32" s="9" t="str">
        <f t="shared" si="4"/>
        <v/>
      </c>
      <c r="L32" s="3" t="str">
        <f t="shared" si="5"/>
        <v/>
      </c>
      <c r="M32" s="3" t="str">
        <f>IF($I32&lt;&gt;"",IF($A32="Gracia Parcial",IF(AND($C32&lt;$U32+$P32+$Q32+$R32+$T31,$C32&gt;0),$C32,$U32+$P32+$Q32+$R32+$T31),IF($A32="Gracia Total",0,IF($A32="Prepago",$C32,IF(ISNUMBER($C32),$C32*VALUE(MID($C$1,MONTH($J32),1)),$N$5*VALUE(MID($C$1,MONTH($J32),1))))))-IF($I33="",ARREGLO,0),"")</f>
        <v/>
      </c>
      <c r="N32" s="3" t="str">
        <f t="shared" si="6"/>
        <v/>
      </c>
      <c r="O32" s="3" t="str">
        <f t="shared" si="15"/>
        <v/>
      </c>
      <c r="P32" s="8" t="str">
        <f t="shared" si="7"/>
        <v/>
      </c>
      <c r="Q32" s="8" t="str">
        <f t="shared" si="8"/>
        <v/>
      </c>
      <c r="R32" s="3" t="str">
        <f t="shared" si="9"/>
        <v/>
      </c>
      <c r="S32" s="3" t="str">
        <f t="shared" si="10"/>
        <v/>
      </c>
      <c r="T32" s="3" t="str">
        <f t="shared" si="11"/>
        <v/>
      </c>
      <c r="U32" s="3" t="str">
        <f t="shared" si="12"/>
        <v/>
      </c>
      <c r="V32" s="3" t="str">
        <f t="shared" si="13"/>
        <v/>
      </c>
      <c r="W32" s="3" t="str">
        <f>IF($I32&lt;&gt;"",IF($K32&gt;V$11,IF($K32&lt;W$11,$K32-V$11,30),0)*ROUND(($L32+$T31+SUM($V32:V32))*$R$5/3000,2),"")</f>
        <v/>
      </c>
      <c r="X32" s="3"/>
      <c r="Y32" s="3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</row>
    <row r="33" spans="4:82" x14ac:dyDescent="0.25">
      <c r="D33" s="5"/>
      <c r="E33" t="str">
        <f t="shared" si="14"/>
        <v/>
      </c>
      <c r="F33" s="22" t="str">
        <f t="shared" si="0"/>
        <v/>
      </c>
      <c r="G33" s="22" t="str">
        <f t="shared" si="1"/>
        <v/>
      </c>
      <c r="H33" s="22" t="str">
        <f t="shared" si="2"/>
        <v/>
      </c>
      <c r="I33" t="str">
        <f t="shared" si="3"/>
        <v/>
      </c>
      <c r="J33" s="5" t="str">
        <f>IF($I33&lt;&gt;"",IF($D33="",DATE(YEAR($K$7),MONTH($K$7)+($A$1*($F33-1))+SUM($B$12:$B33),DAY($K$7)),$D33),"")</f>
        <v/>
      </c>
      <c r="K33" s="9" t="str">
        <f t="shared" si="4"/>
        <v/>
      </c>
      <c r="L33" s="3" t="str">
        <f t="shared" si="5"/>
        <v/>
      </c>
      <c r="M33" s="3" t="str">
        <f>IF($I33&lt;&gt;"",IF($A33="Gracia Parcial",IF(AND($C33&lt;$U33+$P33+$Q33+$R33+$T32,$C33&gt;0),$C33,$U33+$P33+$Q33+$R33+$T32),IF($A33="Gracia Total",0,IF($A33="Prepago",$C33,IF(ISNUMBER($C33),$C33*VALUE(MID($C$1,MONTH($J33),1)),$N$5*VALUE(MID($C$1,MONTH($J33),1))))))-IF($I34="",ARREGLO,0),"")</f>
        <v/>
      </c>
      <c r="N33" s="3" t="str">
        <f t="shared" si="6"/>
        <v/>
      </c>
      <c r="O33" s="3" t="str">
        <f t="shared" si="15"/>
        <v/>
      </c>
      <c r="P33" s="8" t="str">
        <f t="shared" si="7"/>
        <v/>
      </c>
      <c r="Q33" s="8" t="str">
        <f t="shared" si="8"/>
        <v/>
      </c>
      <c r="R33" s="3" t="str">
        <f t="shared" si="9"/>
        <v/>
      </c>
      <c r="S33" s="3" t="str">
        <f t="shared" si="10"/>
        <v/>
      </c>
      <c r="T33" s="3" t="str">
        <f t="shared" si="11"/>
        <v/>
      </c>
      <c r="U33" s="3" t="str">
        <f t="shared" si="12"/>
        <v/>
      </c>
      <c r="V33" s="3" t="str">
        <f t="shared" si="13"/>
        <v/>
      </c>
      <c r="W33" s="3" t="str">
        <f>IF($I33&lt;&gt;"",IF($K33&gt;V$11,IF($K33&lt;W$11,$K33-V$11,30),0)*ROUND(($L33+$T32+SUM($V33:V33))*$R$5/3000,2),"")</f>
        <v/>
      </c>
      <c r="X33" s="3"/>
      <c r="Y33" s="3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</row>
    <row r="34" spans="4:82" x14ac:dyDescent="0.25">
      <c r="D34" s="5"/>
      <c r="E34" t="str">
        <f t="shared" si="14"/>
        <v/>
      </c>
      <c r="F34" s="22" t="str">
        <f t="shared" si="0"/>
        <v/>
      </c>
      <c r="G34" s="22" t="str">
        <f t="shared" si="1"/>
        <v/>
      </c>
      <c r="H34" s="22" t="str">
        <f t="shared" si="2"/>
        <v/>
      </c>
      <c r="I34" t="str">
        <f t="shared" si="3"/>
        <v/>
      </c>
      <c r="J34" s="5" t="str">
        <f>IF($I34&lt;&gt;"",IF($D34="",DATE(YEAR($K$7),MONTH($K$7)+($A$1*($F34-1))+SUM($B$12:$B34),DAY($K$7)),$D34),"")</f>
        <v/>
      </c>
      <c r="K34" s="9" t="str">
        <f t="shared" si="4"/>
        <v/>
      </c>
      <c r="L34" s="3" t="str">
        <f t="shared" si="5"/>
        <v/>
      </c>
      <c r="M34" s="3" t="str">
        <f>IF($I34&lt;&gt;"",IF($A34="Gracia Parcial",IF(AND($C34&lt;$U34+$P34+$Q34+$R34+$T33,$C34&gt;0),$C34,$U34+$P34+$Q34+$R34+$T33),IF($A34="Gracia Total",0,IF($A34="Prepago",$C34,IF(ISNUMBER($C34),$C34*VALUE(MID($C$1,MONTH($J34),1)),$N$5*VALUE(MID($C$1,MONTH($J34),1))))))-IF($I35="",ARREGLO,0),"")</f>
        <v/>
      </c>
      <c r="N34" s="3" t="str">
        <f t="shared" si="6"/>
        <v/>
      </c>
      <c r="O34" s="3" t="str">
        <f t="shared" si="15"/>
        <v/>
      </c>
      <c r="P34" s="8" t="str">
        <f t="shared" si="7"/>
        <v/>
      </c>
      <c r="Q34" s="8" t="str">
        <f t="shared" si="8"/>
        <v/>
      </c>
      <c r="R34" s="3" t="str">
        <f t="shared" si="9"/>
        <v/>
      </c>
      <c r="S34" s="3" t="str">
        <f t="shared" si="10"/>
        <v/>
      </c>
      <c r="T34" s="3" t="str">
        <f t="shared" si="11"/>
        <v/>
      </c>
      <c r="U34" s="3" t="str">
        <f t="shared" si="12"/>
        <v/>
      </c>
      <c r="V34" s="3" t="str">
        <f t="shared" si="13"/>
        <v/>
      </c>
      <c r="W34" s="3" t="str">
        <f>IF($I34&lt;&gt;"",IF($K34&gt;V$11,IF($K34&lt;W$11,$K34-V$11,30),0)*ROUND(($L34+$T33+SUM($V34:V34))*$R$5/3000,2),"")</f>
        <v/>
      </c>
      <c r="X34" s="3"/>
      <c r="Y34" s="3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</row>
    <row r="35" spans="4:82" x14ac:dyDescent="0.25">
      <c r="D35" s="5"/>
      <c r="E35" t="str">
        <f t="shared" si="14"/>
        <v/>
      </c>
      <c r="F35" s="22" t="str">
        <f t="shared" si="0"/>
        <v/>
      </c>
      <c r="G35" s="22" t="str">
        <f t="shared" si="1"/>
        <v/>
      </c>
      <c r="H35" s="22" t="str">
        <f t="shared" si="2"/>
        <v/>
      </c>
      <c r="I35" t="str">
        <f t="shared" si="3"/>
        <v/>
      </c>
      <c r="J35" s="5" t="str">
        <f>IF($I35&lt;&gt;"",IF($D35="",DATE(YEAR($K$7),MONTH($K$7)+($A$1*($F35-1))+SUM($B$12:$B35),DAY($K$7)),$D35),"")</f>
        <v/>
      </c>
      <c r="K35" s="9" t="str">
        <f t="shared" si="4"/>
        <v/>
      </c>
      <c r="L35" s="3" t="str">
        <f t="shared" si="5"/>
        <v/>
      </c>
      <c r="M35" s="3" t="str">
        <f>IF($I35&lt;&gt;"",IF($A35="Gracia Parcial",IF(AND($C35&lt;$U35+$P35+$Q35+$R35+$T34,$C35&gt;0),$C35,$U35+$P35+$Q35+$R35+$T34),IF($A35="Gracia Total",0,IF($A35="Prepago",$C35,IF(ISNUMBER($C35),$C35*VALUE(MID($C$1,MONTH($J35),1)),$N$5*VALUE(MID($C$1,MONTH($J35),1))))))-IF($I36="",ARREGLO,0),"")</f>
        <v/>
      </c>
      <c r="N35" s="3" t="str">
        <f t="shared" si="6"/>
        <v/>
      </c>
      <c r="O35" s="3" t="str">
        <f t="shared" si="15"/>
        <v/>
      </c>
      <c r="P35" s="8" t="str">
        <f t="shared" si="7"/>
        <v/>
      </c>
      <c r="Q35" s="8" t="str">
        <f t="shared" si="8"/>
        <v/>
      </c>
      <c r="R35" s="3" t="str">
        <f t="shared" si="9"/>
        <v/>
      </c>
      <c r="S35" s="3" t="str">
        <f t="shared" si="10"/>
        <v/>
      </c>
      <c r="T35" s="3" t="str">
        <f t="shared" si="11"/>
        <v/>
      </c>
      <c r="U35" s="3" t="str">
        <f t="shared" si="12"/>
        <v/>
      </c>
      <c r="V35" s="3" t="str">
        <f t="shared" si="13"/>
        <v/>
      </c>
      <c r="W35" s="3" t="str">
        <f>IF($I35&lt;&gt;"",IF($K35&gt;V$11,IF($K35&lt;W$11,$K35-V$11,30),0)*ROUND(($L35+$T34+SUM($V35:V35))*$R$5/3000,2),"")</f>
        <v/>
      </c>
      <c r="X35" s="3"/>
      <c r="Y35" s="3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</row>
    <row r="36" spans="4:82" x14ac:dyDescent="0.25">
      <c r="D36" s="5"/>
      <c r="E36" t="str">
        <f t="shared" si="14"/>
        <v/>
      </c>
      <c r="F36" s="22" t="str">
        <f t="shared" si="0"/>
        <v/>
      </c>
      <c r="G36" s="22" t="str">
        <f t="shared" si="1"/>
        <v/>
      </c>
      <c r="H36" s="22" t="str">
        <f t="shared" si="2"/>
        <v/>
      </c>
      <c r="I36" t="str">
        <f t="shared" si="3"/>
        <v/>
      </c>
      <c r="J36" s="5" t="str">
        <f>IF($I36&lt;&gt;"",IF($D36="",DATE(YEAR($K$7),MONTH($K$7)+($A$1*($F36-1))+SUM($B$12:$B36),DAY($K$7)),$D36),"")</f>
        <v/>
      </c>
      <c r="K36" s="9" t="str">
        <f t="shared" si="4"/>
        <v/>
      </c>
      <c r="L36" s="3" t="str">
        <f t="shared" si="5"/>
        <v/>
      </c>
      <c r="M36" s="3" t="str">
        <f>IF($I36&lt;&gt;"",IF($A36="Gracia Parcial",IF(AND($C36&lt;$U36+$P36+$Q36+$R36+$T35,$C36&gt;0),$C36,$U36+$P36+$Q36+$R36+$T35),IF($A36="Gracia Total",0,IF($A36="Prepago",$C36,IF(ISNUMBER($C36),$C36*VALUE(MID($C$1,MONTH($J36),1)),$N$5*VALUE(MID($C$1,MONTH($J36),1))))))-IF($I37="",ARREGLO,0),"")</f>
        <v/>
      </c>
      <c r="N36" s="3" t="str">
        <f t="shared" si="6"/>
        <v/>
      </c>
      <c r="O36" s="3" t="str">
        <f t="shared" si="15"/>
        <v/>
      </c>
      <c r="P36" s="8" t="str">
        <f t="shared" si="7"/>
        <v/>
      </c>
      <c r="Q36" s="8" t="str">
        <f t="shared" si="8"/>
        <v/>
      </c>
      <c r="R36" s="3" t="str">
        <f t="shared" si="9"/>
        <v/>
      </c>
      <c r="S36" s="3" t="str">
        <f t="shared" si="10"/>
        <v/>
      </c>
      <c r="T36" s="3" t="str">
        <f t="shared" si="11"/>
        <v/>
      </c>
      <c r="U36" s="3" t="str">
        <f t="shared" si="12"/>
        <v/>
      </c>
      <c r="V36" s="3" t="str">
        <f t="shared" si="13"/>
        <v/>
      </c>
      <c r="W36" s="3" t="str">
        <f>IF($I36&lt;&gt;"",IF($K36&gt;V$11,IF($K36&lt;W$11,$K36-V$11,30),0)*ROUND(($L36+$T35+SUM($V36:V36))*$R$5/3000,2),"")</f>
        <v/>
      </c>
      <c r="X36" s="3"/>
      <c r="Y36" s="3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</row>
    <row r="37" spans="4:82" x14ac:dyDescent="0.25">
      <c r="D37" s="5"/>
      <c r="E37" t="str">
        <f t="shared" si="14"/>
        <v/>
      </c>
      <c r="F37" s="22" t="str">
        <f t="shared" si="0"/>
        <v/>
      </c>
      <c r="G37" s="22" t="str">
        <f t="shared" si="1"/>
        <v/>
      </c>
      <c r="H37" s="22" t="str">
        <f t="shared" si="2"/>
        <v/>
      </c>
      <c r="I37" t="str">
        <f t="shared" si="3"/>
        <v/>
      </c>
      <c r="J37" s="5" t="str">
        <f>IF($I37&lt;&gt;"",IF($D37="",DATE(YEAR($K$7),MONTH($K$7)+($A$1*($F37-1))+SUM($B$12:$B37),DAY($K$7)),$D37),"")</f>
        <v/>
      </c>
      <c r="K37" s="9" t="str">
        <f t="shared" si="4"/>
        <v/>
      </c>
      <c r="L37" s="3" t="str">
        <f t="shared" si="5"/>
        <v/>
      </c>
      <c r="M37" s="3" t="str">
        <f>IF($I37&lt;&gt;"",IF($A37="Gracia Parcial",IF(AND($C37&lt;$U37+$P37+$Q37+$R37+$T36,$C37&gt;0),$C37,$U37+$P37+$Q37+$R37+$T36),IF($A37="Gracia Total",0,IF($A37="Prepago",$C37,IF(ISNUMBER($C37),$C37*VALUE(MID($C$1,MONTH($J37),1)),$N$5*VALUE(MID($C$1,MONTH($J37),1))))))-IF($I38="",ARREGLO,0),"")</f>
        <v/>
      </c>
      <c r="N37" s="3" t="str">
        <f t="shared" si="6"/>
        <v/>
      </c>
      <c r="O37" s="3" t="str">
        <f t="shared" si="15"/>
        <v/>
      </c>
      <c r="P37" s="8" t="str">
        <f t="shared" si="7"/>
        <v/>
      </c>
      <c r="Q37" s="8" t="str">
        <f t="shared" si="8"/>
        <v/>
      </c>
      <c r="R37" s="3" t="str">
        <f t="shared" si="9"/>
        <v/>
      </c>
      <c r="S37" s="3" t="str">
        <f t="shared" si="10"/>
        <v/>
      </c>
      <c r="T37" s="3" t="str">
        <f t="shared" si="11"/>
        <v/>
      </c>
      <c r="U37" s="3" t="str">
        <f t="shared" si="12"/>
        <v/>
      </c>
      <c r="V37" s="3" t="str">
        <f t="shared" si="13"/>
        <v/>
      </c>
      <c r="W37" s="3" t="str">
        <f>IF($I37&lt;&gt;"",IF($K37&gt;V$11,IF($K37&lt;W$11,$K37-V$11,30),0)*ROUND(($L37+$T36+SUM($V37:V37))*$R$5/3000,2),"")</f>
        <v/>
      </c>
      <c r="X37" s="3"/>
      <c r="Y37" s="3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</row>
    <row r="38" spans="4:82" x14ac:dyDescent="0.25">
      <c r="D38" s="5"/>
      <c r="E38" t="str">
        <f t="shared" si="14"/>
        <v/>
      </c>
      <c r="F38" s="22" t="str">
        <f t="shared" si="0"/>
        <v/>
      </c>
      <c r="G38" s="22" t="str">
        <f t="shared" si="1"/>
        <v/>
      </c>
      <c r="H38" s="22" t="str">
        <f t="shared" si="2"/>
        <v/>
      </c>
      <c r="I38" t="str">
        <f t="shared" si="3"/>
        <v/>
      </c>
      <c r="J38" s="5" t="str">
        <f>IF($I38&lt;&gt;"",IF($D38="",DATE(YEAR($K$7),MONTH($K$7)+($A$1*($F38-1))+SUM($B$12:$B38),DAY($K$7)),$D38),"")</f>
        <v/>
      </c>
      <c r="K38" s="9" t="str">
        <f t="shared" si="4"/>
        <v/>
      </c>
      <c r="L38" s="3" t="str">
        <f t="shared" si="5"/>
        <v/>
      </c>
      <c r="M38" s="3" t="str">
        <f>IF($I38&lt;&gt;"",IF($A38="Gracia Parcial",IF(AND($C38&lt;$U38+$P38+$Q38+$R38+$T37,$C38&gt;0),$C38,$U38+$P38+$Q38+$R38+$T37),IF($A38="Gracia Total",0,IF($A38="Prepago",$C38,IF(ISNUMBER($C38),$C38*VALUE(MID($C$1,MONTH($J38),1)),$N$5*VALUE(MID($C$1,MONTH($J38),1))))))-IF($I39="",ARREGLO,0),"")</f>
        <v/>
      </c>
      <c r="N38" s="3" t="str">
        <f t="shared" si="6"/>
        <v/>
      </c>
      <c r="O38" s="3" t="str">
        <f t="shared" si="15"/>
        <v/>
      </c>
      <c r="P38" s="8" t="str">
        <f t="shared" si="7"/>
        <v/>
      </c>
      <c r="Q38" s="8" t="str">
        <f t="shared" si="8"/>
        <v/>
      </c>
      <c r="R38" s="3" t="str">
        <f t="shared" si="9"/>
        <v/>
      </c>
      <c r="S38" s="3" t="str">
        <f t="shared" si="10"/>
        <v/>
      </c>
      <c r="T38" s="3" t="str">
        <f t="shared" si="11"/>
        <v/>
      </c>
      <c r="U38" s="3" t="str">
        <f t="shared" si="12"/>
        <v/>
      </c>
      <c r="V38" s="3" t="str">
        <f t="shared" si="13"/>
        <v/>
      </c>
      <c r="W38" s="3" t="str">
        <f>IF($I38&lt;&gt;"",IF($K38&gt;V$11,IF($K38&lt;W$11,$K38-V$11,30),0)*ROUND(($L38+$T37+SUM($V38:V38))*$R$5/3000,2),"")</f>
        <v/>
      </c>
      <c r="X38" s="3"/>
      <c r="Y38" s="3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</row>
    <row r="39" spans="4:82" x14ac:dyDescent="0.25">
      <c r="D39" s="5"/>
      <c r="E39" t="str">
        <f t="shared" si="14"/>
        <v/>
      </c>
      <c r="F39" s="22" t="str">
        <f t="shared" si="0"/>
        <v/>
      </c>
      <c r="G39" s="22" t="str">
        <f t="shared" si="1"/>
        <v/>
      </c>
      <c r="H39" s="22" t="str">
        <f t="shared" si="2"/>
        <v/>
      </c>
      <c r="I39" t="str">
        <f t="shared" si="3"/>
        <v/>
      </c>
      <c r="J39" s="5" t="str">
        <f>IF($I39&lt;&gt;"",IF($D39="",DATE(YEAR($K$7),MONTH($K$7)+($A$1*($F39-1))+SUM($B$12:$B39),DAY($K$7)),$D39),"")</f>
        <v/>
      </c>
      <c r="K39" s="9" t="str">
        <f t="shared" si="4"/>
        <v/>
      </c>
      <c r="L39" s="3" t="str">
        <f t="shared" si="5"/>
        <v/>
      </c>
      <c r="M39" s="3" t="str">
        <f>IF($I39&lt;&gt;"",IF($A39="Gracia Parcial",IF(AND($C39&lt;$U39+$P39+$Q39+$R39+$T38,$C39&gt;0),$C39,$U39+$P39+$Q39+$R39+$T38),IF($A39="Gracia Total",0,IF($A39="Prepago",$C39,IF(ISNUMBER($C39),$C39*VALUE(MID($C$1,MONTH($J39),1)),$N$5*VALUE(MID($C$1,MONTH($J39),1))))))-IF($I40="",ARREGLO,0),"")</f>
        <v/>
      </c>
      <c r="N39" s="3" t="str">
        <f t="shared" si="6"/>
        <v/>
      </c>
      <c r="O39" s="3" t="str">
        <f t="shared" si="15"/>
        <v/>
      </c>
      <c r="P39" s="8" t="str">
        <f t="shared" si="7"/>
        <v/>
      </c>
      <c r="Q39" s="8" t="str">
        <f t="shared" si="8"/>
        <v/>
      </c>
      <c r="R39" s="3" t="str">
        <f t="shared" si="9"/>
        <v/>
      </c>
      <c r="S39" s="3" t="str">
        <f t="shared" si="10"/>
        <v/>
      </c>
      <c r="T39" s="3" t="str">
        <f t="shared" si="11"/>
        <v/>
      </c>
      <c r="U39" s="3" t="str">
        <f t="shared" si="12"/>
        <v/>
      </c>
      <c r="V39" s="3" t="str">
        <f t="shared" si="13"/>
        <v/>
      </c>
      <c r="W39" s="3" t="str">
        <f>IF($I39&lt;&gt;"",IF($K39&gt;V$11,IF($K39&lt;W$11,$K39-V$11,30),0)*ROUND(($L39+$T38+SUM($V39:V39))*$R$5/3000,2),"")</f>
        <v/>
      </c>
      <c r="X39" s="3"/>
      <c r="Y39" s="3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</row>
    <row r="40" spans="4:82" x14ac:dyDescent="0.25">
      <c r="D40" s="5"/>
      <c r="E40" t="str">
        <f t="shared" si="14"/>
        <v/>
      </c>
      <c r="F40" s="22" t="str">
        <f t="shared" si="0"/>
        <v/>
      </c>
      <c r="G40" s="22" t="str">
        <f t="shared" si="1"/>
        <v/>
      </c>
      <c r="H40" s="22" t="str">
        <f t="shared" si="2"/>
        <v/>
      </c>
      <c r="I40" t="str">
        <f t="shared" si="3"/>
        <v/>
      </c>
      <c r="J40" s="5" t="str">
        <f>IF($I40&lt;&gt;"",IF($D40="",DATE(YEAR($K$7),MONTH($K$7)+($A$1*($F40-1))+SUM($B$12:$B40),DAY($K$7)),$D40),"")</f>
        <v/>
      </c>
      <c r="K40" s="9" t="str">
        <f t="shared" si="4"/>
        <v/>
      </c>
      <c r="L40" s="3" t="str">
        <f t="shared" si="5"/>
        <v/>
      </c>
      <c r="M40" s="3" t="str">
        <f>IF($I40&lt;&gt;"",IF($A40="Gracia Parcial",IF(AND($C40&lt;$U40+$P40+$Q40+$R40+$T39,$C40&gt;0),$C40,$U40+$P40+$Q40+$R40+$T39),IF($A40="Gracia Total",0,IF($A40="Prepago",$C40,IF(ISNUMBER($C40),$C40*VALUE(MID($C$1,MONTH($J40),1)),$N$5*VALUE(MID($C$1,MONTH($J40),1))))))-IF($I41="",ARREGLO,0),"")</f>
        <v/>
      </c>
      <c r="N40" s="3" t="str">
        <f t="shared" si="6"/>
        <v/>
      </c>
      <c r="O40" s="3" t="str">
        <f t="shared" si="15"/>
        <v/>
      </c>
      <c r="P40" s="8" t="str">
        <f t="shared" si="7"/>
        <v/>
      </c>
      <c r="Q40" s="8" t="str">
        <f t="shared" si="8"/>
        <v/>
      </c>
      <c r="R40" s="3" t="str">
        <f t="shared" si="9"/>
        <v/>
      </c>
      <c r="S40" s="3" t="str">
        <f t="shared" si="10"/>
        <v/>
      </c>
      <c r="T40" s="3" t="str">
        <f t="shared" si="11"/>
        <v/>
      </c>
      <c r="U40" s="3" t="str">
        <f t="shared" si="12"/>
        <v/>
      </c>
      <c r="V40" s="3" t="str">
        <f t="shared" si="13"/>
        <v/>
      </c>
      <c r="W40" s="3" t="str">
        <f>IF($I40&lt;&gt;"",IF($K40&gt;V$11,IF($K40&lt;W$11,$K40-V$11,30),0)*ROUND(($L40+$T39+SUM($V40:V40))*$R$5/3000,2),"")</f>
        <v/>
      </c>
      <c r="X40" s="3"/>
      <c r="Y40" s="3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</row>
    <row r="41" spans="4:82" x14ac:dyDescent="0.25">
      <c r="D41" s="5"/>
      <c r="E41" t="str">
        <f t="shared" si="14"/>
        <v/>
      </c>
      <c r="F41" s="22" t="str">
        <f t="shared" si="0"/>
        <v/>
      </c>
      <c r="G41" s="22" t="str">
        <f t="shared" si="1"/>
        <v/>
      </c>
      <c r="H41" s="22" t="str">
        <f t="shared" si="2"/>
        <v/>
      </c>
      <c r="I41" t="str">
        <f t="shared" si="3"/>
        <v/>
      </c>
      <c r="J41" s="5" t="str">
        <f>IF($I41&lt;&gt;"",IF($D41="",DATE(YEAR($K$7),MONTH($K$7)+($A$1*($F41-1))+SUM($B$12:$B41),DAY($K$7)),$D41),"")</f>
        <v/>
      </c>
      <c r="K41" s="9" t="str">
        <f t="shared" si="4"/>
        <v/>
      </c>
      <c r="L41" s="3" t="str">
        <f t="shared" si="5"/>
        <v/>
      </c>
      <c r="M41" s="3" t="str">
        <f>IF($I41&lt;&gt;"",IF($A41="Gracia Parcial",IF(AND($C41&lt;$U41+$P41+$Q41+$R41+$T40,$C41&gt;0),$C41,$U41+$P41+$Q41+$R41+$T40),IF($A41="Gracia Total",0,IF($A41="Prepago",$C41,IF(ISNUMBER($C41),$C41*VALUE(MID($C$1,MONTH($J41),1)),$N$5*VALUE(MID($C$1,MONTH($J41),1))))))-IF($I42="",ARREGLO,0),"")</f>
        <v/>
      </c>
      <c r="N41" s="3" t="str">
        <f t="shared" si="6"/>
        <v/>
      </c>
      <c r="O41" s="3" t="str">
        <f t="shared" si="15"/>
        <v/>
      </c>
      <c r="P41" s="8" t="str">
        <f t="shared" si="7"/>
        <v/>
      </c>
      <c r="Q41" s="8" t="str">
        <f t="shared" si="8"/>
        <v/>
      </c>
      <c r="R41" s="3" t="str">
        <f t="shared" si="9"/>
        <v/>
      </c>
      <c r="S41" s="3" t="str">
        <f t="shared" si="10"/>
        <v/>
      </c>
      <c r="T41" s="3" t="str">
        <f t="shared" si="11"/>
        <v/>
      </c>
      <c r="U41" s="3" t="str">
        <f t="shared" si="12"/>
        <v/>
      </c>
      <c r="V41" s="3" t="str">
        <f t="shared" si="13"/>
        <v/>
      </c>
      <c r="W41" s="3" t="str">
        <f>IF($I41&lt;&gt;"",IF($K41&gt;V$11,IF($K41&lt;W$11,$K41-V$11,30),0)*ROUND(($L41+$T40+SUM($V41:V41))*$R$5/3000,2),"")</f>
        <v/>
      </c>
      <c r="X41" s="3"/>
      <c r="Y41" s="3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</row>
    <row r="42" spans="4:82" x14ac:dyDescent="0.25">
      <c r="D42" s="5"/>
      <c r="E42" t="str">
        <f t="shared" si="14"/>
        <v/>
      </c>
      <c r="F42" s="22" t="str">
        <f t="shared" si="0"/>
        <v/>
      </c>
      <c r="G42" s="22" t="str">
        <f t="shared" si="1"/>
        <v/>
      </c>
      <c r="H42" s="22" t="str">
        <f t="shared" si="2"/>
        <v/>
      </c>
      <c r="I42" t="str">
        <f t="shared" si="3"/>
        <v/>
      </c>
      <c r="J42" s="5" t="str">
        <f>IF($I42&lt;&gt;"",IF($D42="",DATE(YEAR($K$7),MONTH($K$7)+($A$1*($F42-1))+SUM($B$12:$B42),DAY($K$7)),$D42),"")</f>
        <v/>
      </c>
      <c r="K42" s="9" t="str">
        <f t="shared" si="4"/>
        <v/>
      </c>
      <c r="L42" s="3" t="str">
        <f t="shared" si="5"/>
        <v/>
      </c>
      <c r="M42" s="3" t="str">
        <f>IF($I42&lt;&gt;"",IF($A42="Gracia Parcial",IF(AND($C42&lt;$U42+$P42+$Q42+$R42+$T41,$C42&gt;0),$C42,$U42+$P42+$Q42+$R42+$T41),IF($A42="Gracia Total",0,IF($A42="Prepago",$C42,IF(ISNUMBER($C42),$C42*VALUE(MID($C$1,MONTH($J42),1)),$N$5*VALUE(MID($C$1,MONTH($J42),1))))))-IF($I43="",ARREGLO,0),"")</f>
        <v/>
      </c>
      <c r="N42" s="3" t="str">
        <f t="shared" si="6"/>
        <v/>
      </c>
      <c r="O42" s="3" t="str">
        <f t="shared" si="15"/>
        <v/>
      </c>
      <c r="P42" s="8" t="str">
        <f t="shared" si="7"/>
        <v/>
      </c>
      <c r="Q42" s="8" t="str">
        <f t="shared" si="8"/>
        <v/>
      </c>
      <c r="R42" s="3" t="str">
        <f t="shared" si="9"/>
        <v/>
      </c>
      <c r="S42" s="3" t="str">
        <f t="shared" si="10"/>
        <v/>
      </c>
      <c r="T42" s="3" t="str">
        <f t="shared" si="11"/>
        <v/>
      </c>
      <c r="U42" s="3" t="str">
        <f t="shared" si="12"/>
        <v/>
      </c>
      <c r="V42" s="3" t="str">
        <f t="shared" si="13"/>
        <v/>
      </c>
      <c r="W42" s="3" t="str">
        <f>IF($I42&lt;&gt;"",IF($K42&gt;V$11,IF($K42&lt;W$11,$K42-V$11,30),0)*ROUND(($L42+$T41+SUM($V42:V42))*$R$5/3000,2),"")</f>
        <v/>
      </c>
      <c r="X42" s="3"/>
      <c r="Y42" s="3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</row>
    <row r="43" spans="4:82" x14ac:dyDescent="0.25">
      <c r="D43" s="5"/>
      <c r="E43" t="str">
        <f t="shared" si="14"/>
        <v/>
      </c>
      <c r="F43" s="22" t="str">
        <f t="shared" si="0"/>
        <v/>
      </c>
      <c r="G43" s="22" t="str">
        <f t="shared" si="1"/>
        <v/>
      </c>
      <c r="H43" s="22" t="str">
        <f t="shared" si="2"/>
        <v/>
      </c>
      <c r="I43" t="str">
        <f t="shared" si="3"/>
        <v/>
      </c>
      <c r="J43" s="5" t="str">
        <f>IF($I43&lt;&gt;"",IF($D43="",DATE(YEAR($K$7),MONTH($K$7)+($A$1*($F43-1))+SUM($B$12:$B43),DAY($K$7)),$D43),"")</f>
        <v/>
      </c>
      <c r="K43" s="9" t="str">
        <f t="shared" si="4"/>
        <v/>
      </c>
      <c r="L43" s="3" t="str">
        <f t="shared" si="5"/>
        <v/>
      </c>
      <c r="M43" s="3" t="str">
        <f>IF($I43&lt;&gt;"",IF($A43="Gracia Parcial",IF(AND($C43&lt;$U43+$P43+$Q43+$R43+$T42,$C43&gt;0),$C43,$U43+$P43+$Q43+$R43+$T42),IF($A43="Gracia Total",0,IF($A43="Prepago",$C43,IF(ISNUMBER($C43),$C43*VALUE(MID($C$1,MONTH($J43),1)),$N$5*VALUE(MID($C$1,MONTH($J43),1))))))-IF($I44="",ARREGLO,0),"")</f>
        <v/>
      </c>
      <c r="N43" s="3" t="str">
        <f t="shared" si="6"/>
        <v/>
      </c>
      <c r="O43" s="3" t="str">
        <f t="shared" si="15"/>
        <v/>
      </c>
      <c r="P43" s="8" t="str">
        <f t="shared" si="7"/>
        <v/>
      </c>
      <c r="Q43" s="8" t="str">
        <f t="shared" si="8"/>
        <v/>
      </c>
      <c r="R43" s="3" t="str">
        <f t="shared" si="9"/>
        <v/>
      </c>
      <c r="S43" s="3" t="str">
        <f t="shared" si="10"/>
        <v/>
      </c>
      <c r="T43" s="3" t="str">
        <f t="shared" si="11"/>
        <v/>
      </c>
      <c r="U43" s="3" t="str">
        <f t="shared" si="12"/>
        <v/>
      </c>
      <c r="V43" s="3" t="str">
        <f t="shared" si="13"/>
        <v/>
      </c>
      <c r="W43" s="3" t="str">
        <f>IF($I43&lt;&gt;"",IF($K43&gt;V$11,IF($K43&lt;W$11,$K43-V$11,30),0)*ROUND(($L43+$T42+SUM($V43:V43))*$R$5/3000,2),"")</f>
        <v/>
      </c>
      <c r="X43" s="3"/>
      <c r="Y43" s="3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</row>
    <row r="44" spans="4:82" x14ac:dyDescent="0.25">
      <c r="D44" s="5"/>
      <c r="E44" t="str">
        <f t="shared" si="14"/>
        <v/>
      </c>
      <c r="F44" s="22" t="str">
        <f t="shared" ref="F44:F75" si="16">IF($I44&lt;&gt;"",IF($A44="Prepago",$F43,$F43+1),"")</f>
        <v/>
      </c>
      <c r="G44" s="22" t="str">
        <f t="shared" ref="G44:G75" si="17">IF($I44&lt;&gt;"",IF(ISNUMBER($C44),-$N44+$U44-$O44,ABS($U44)+$P44+$Q44+$R44),"")</f>
        <v/>
      </c>
      <c r="H44" s="22" t="str">
        <f t="shared" ref="H44:H75" si="18">IF(I44&lt;&gt;"",IF(COUNTA($V44:$XFD44)*30&lt;$K44,1,0),"")</f>
        <v/>
      </c>
      <c r="I44" t="str">
        <f t="shared" ref="I44:I75" si="19">IF($I43&lt;NCUOTAS+CUOTAADICIONAL+PGRACIA,$I43+1,"")</f>
        <v/>
      </c>
      <c r="J44" s="5" t="str">
        <f>IF($I44&lt;&gt;"",IF($D44="",DATE(YEAR($K$7),MONTH($K$7)+($A$1*($F44-1))+SUM($B$12:$B44),DAY($K$7)),$D44),"")</f>
        <v/>
      </c>
      <c r="K44" s="9" t="str">
        <f t="shared" ref="K44:K75" si="20">IF($I44&lt;&gt;"",$J44-$J43,"")</f>
        <v/>
      </c>
      <c r="L44" s="3" t="str">
        <f t="shared" ref="L44:L75" si="21">IF($I44&lt;&gt;"",$S43,"")</f>
        <v/>
      </c>
      <c r="M44" s="3" t="str">
        <f>IF($I44&lt;&gt;"",IF($A44="Gracia Parcial",IF(AND($C44&lt;$U44+$P44+$Q44+$R44+$T43,$C44&gt;0),$C44,$U44+$P44+$Q44+$R44+$T43),IF($A44="Gracia Total",0,IF($A44="Prepago",$C44,IF(ISNUMBER($C44),$C44*VALUE(MID($C$1,MONTH($J44),1)),$N$5*VALUE(MID($C$1,MONTH($J44),1))))))-IF($I45="",ARREGLO,0),"")</f>
        <v/>
      </c>
      <c r="N44" s="3" t="str">
        <f t="shared" ref="N44:N75" si="22">IF($I44&lt;&gt;"",IF($M44-$O44&gt;0,$M44-$O44-$P44-$Q44-$R44,0),"")</f>
        <v/>
      </c>
      <c r="O44" s="3" t="str">
        <f t="shared" ref="O44:O75" si="23">IF($I44&lt;&gt;"",IF($M44&gt;=$U44+$T43+$P44+$Q44+$R44,$U44+$T43,$M44-$P44-$Q44-$R44),"")</f>
        <v/>
      </c>
      <c r="P44" s="8" t="str">
        <f t="shared" ref="P44:P75" si="24">IF($I44&lt;&gt;"",IF($A44="Prepago",0,$Q$6+$Q$6*$B44),"")</f>
        <v/>
      </c>
      <c r="Q44" s="8" t="str">
        <f t="shared" ref="Q44:Q75" si="25">IF($I44&lt;&gt;"",IF($A44="Prepago",0,$Q$7+$Q$7*$B44),"")</f>
        <v/>
      </c>
      <c r="R44" s="3" t="str">
        <f t="shared" ref="R44:R75" si="26">IF($I44&lt;&gt;"",IF($A44="Prepago",0,$Q$8+$Q$8*$B44),"")</f>
        <v/>
      </c>
      <c r="S44" s="3" t="str">
        <f t="shared" ref="S44:S75" si="27">IF($I44&lt;&gt;"",$L44-$N44,"")</f>
        <v/>
      </c>
      <c r="T44" s="3" t="str">
        <f t="shared" ref="T44:T75" si="28">IF($I44&lt;&gt;"",+$T43+SUM($V44:$CD44)-$O44,"")</f>
        <v/>
      </c>
      <c r="U44" s="3" t="str">
        <f t="shared" ref="U44:U75" si="29">IF($I44&lt;&gt;"",SUM($V44:$XFD44),"")</f>
        <v/>
      </c>
      <c r="V44" s="3" t="str">
        <f t="shared" ref="V44:V75" si="30">IF($I44&lt;&gt;"",IF($K44&gt;V$11,30,$K44)*ROUND(($L44+$T43)*$R$5/3000,2),"")</f>
        <v/>
      </c>
      <c r="W44" s="3" t="str">
        <f>IF($I44&lt;&gt;"",IF($K44&gt;V$11,IF($K44&lt;W$11,$K44-V$11,30),0)*ROUND(($L44+$T43+SUM($V44:V44))*$R$5/3000,2),"")</f>
        <v/>
      </c>
      <c r="X44" s="3"/>
      <c r="Y44" s="3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</row>
    <row r="45" spans="4:82" x14ac:dyDescent="0.25">
      <c r="D45" s="5"/>
      <c r="E45" t="str">
        <f t="shared" si="14"/>
        <v/>
      </c>
      <c r="F45" s="22" t="str">
        <f t="shared" si="16"/>
        <v/>
      </c>
      <c r="G45" s="22" t="str">
        <f t="shared" si="17"/>
        <v/>
      </c>
      <c r="H45" s="22" t="str">
        <f t="shared" si="18"/>
        <v/>
      </c>
      <c r="I45" t="str">
        <f t="shared" si="19"/>
        <v/>
      </c>
      <c r="J45" s="5" t="str">
        <f>IF($I45&lt;&gt;"",IF($D45="",DATE(YEAR($K$7),MONTH($K$7)+($A$1*($F45-1))+SUM($B$12:$B45),DAY($K$7)),$D45),"")</f>
        <v/>
      </c>
      <c r="K45" s="9" t="str">
        <f t="shared" si="20"/>
        <v/>
      </c>
      <c r="L45" s="3" t="str">
        <f t="shared" si="21"/>
        <v/>
      </c>
      <c r="M45" s="3" t="str">
        <f>IF($I45&lt;&gt;"",IF($A45="Gracia Parcial",IF(AND($C45&lt;$U45+$P45+$Q45+$R45+$T44,$C45&gt;0),$C45,$U45+$P45+$Q45+$R45+$T44),IF($A45="Gracia Total",0,IF($A45="Prepago",$C45,IF(ISNUMBER($C45),$C45*VALUE(MID($C$1,MONTH($J45),1)),$N$5*VALUE(MID($C$1,MONTH($J45),1))))))-IF($I46="",ARREGLO,0),"")</f>
        <v/>
      </c>
      <c r="N45" s="3" t="str">
        <f t="shared" si="22"/>
        <v/>
      </c>
      <c r="O45" s="3" t="str">
        <f t="shared" si="23"/>
        <v/>
      </c>
      <c r="P45" s="8" t="str">
        <f t="shared" si="24"/>
        <v/>
      </c>
      <c r="Q45" s="8" t="str">
        <f t="shared" si="25"/>
        <v/>
      </c>
      <c r="R45" s="3" t="str">
        <f t="shared" si="26"/>
        <v/>
      </c>
      <c r="S45" s="3" t="str">
        <f t="shared" si="27"/>
        <v/>
      </c>
      <c r="T45" s="3" t="str">
        <f t="shared" si="28"/>
        <v/>
      </c>
      <c r="U45" s="3" t="str">
        <f t="shared" si="29"/>
        <v/>
      </c>
      <c r="V45" s="3" t="str">
        <f t="shared" si="30"/>
        <v/>
      </c>
      <c r="W45" s="3" t="str">
        <f>IF($I45&lt;&gt;"",IF($K45&gt;V$11,IF($K45&lt;W$11,$K45-V$11,30),0)*ROUND(($L45+$T44+SUM($V45:V45))*$R$5/3000,2),"")</f>
        <v/>
      </c>
      <c r="X45" s="3"/>
      <c r="Y45" s="3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</row>
    <row r="46" spans="4:82" x14ac:dyDescent="0.25">
      <c r="D46" s="5"/>
      <c r="E46" t="str">
        <f t="shared" si="14"/>
        <v/>
      </c>
      <c r="F46" s="22" t="str">
        <f t="shared" si="16"/>
        <v/>
      </c>
      <c r="G46" s="22" t="str">
        <f t="shared" si="17"/>
        <v/>
      </c>
      <c r="H46" s="22" t="str">
        <f t="shared" si="18"/>
        <v/>
      </c>
      <c r="I46" t="str">
        <f t="shared" si="19"/>
        <v/>
      </c>
      <c r="J46" s="5" t="str">
        <f>IF($I46&lt;&gt;"",IF($D46="",DATE(YEAR($K$7),MONTH($K$7)+($A$1*($F46-1))+SUM($B$12:$B46),DAY($K$7)),$D46),"")</f>
        <v/>
      </c>
      <c r="K46" s="9" t="str">
        <f t="shared" si="20"/>
        <v/>
      </c>
      <c r="L46" s="3" t="str">
        <f t="shared" si="21"/>
        <v/>
      </c>
      <c r="M46" s="3" t="str">
        <f>IF($I46&lt;&gt;"",IF($A46="Gracia Parcial",IF(AND($C46&lt;$U46+$P46+$Q46+$R46+$T45,$C46&gt;0),$C46,$U46+$P46+$Q46+$R46+$T45),IF($A46="Gracia Total",0,IF($A46="Prepago",$C46,IF(ISNUMBER($C46),$C46*VALUE(MID($C$1,MONTH($J46),1)),$N$5*VALUE(MID($C$1,MONTH($J46),1))))))-IF($I47="",ARREGLO,0),"")</f>
        <v/>
      </c>
      <c r="N46" s="3" t="str">
        <f t="shared" si="22"/>
        <v/>
      </c>
      <c r="O46" s="3" t="str">
        <f t="shared" si="23"/>
        <v/>
      </c>
      <c r="P46" s="8" t="str">
        <f t="shared" si="24"/>
        <v/>
      </c>
      <c r="Q46" s="8" t="str">
        <f t="shared" si="25"/>
        <v/>
      </c>
      <c r="R46" s="3" t="str">
        <f t="shared" si="26"/>
        <v/>
      </c>
      <c r="S46" s="3" t="str">
        <f t="shared" si="27"/>
        <v/>
      </c>
      <c r="T46" s="3" t="str">
        <f t="shared" si="28"/>
        <v/>
      </c>
      <c r="U46" s="3" t="str">
        <f t="shared" si="29"/>
        <v/>
      </c>
      <c r="V46" s="3" t="str">
        <f t="shared" si="30"/>
        <v/>
      </c>
      <c r="W46" s="3" t="str">
        <f>IF($I46&lt;&gt;"",IF($K46&gt;V$11,IF($K46&lt;W$11,$K46-V$11,30),0)*ROUND(($L46+$T45+SUM($V46:V46))*$R$5/3000,2),"")</f>
        <v/>
      </c>
      <c r="X46" s="3"/>
      <c r="Y46" s="3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</row>
    <row r="47" spans="4:82" x14ac:dyDescent="0.25">
      <c r="D47" s="5"/>
      <c r="E47" t="str">
        <f t="shared" si="14"/>
        <v/>
      </c>
      <c r="F47" s="22" t="str">
        <f t="shared" si="16"/>
        <v/>
      </c>
      <c r="G47" s="22" t="str">
        <f t="shared" si="17"/>
        <v/>
      </c>
      <c r="H47" s="22" t="str">
        <f t="shared" si="18"/>
        <v/>
      </c>
      <c r="I47" t="str">
        <f t="shared" si="19"/>
        <v/>
      </c>
      <c r="J47" s="5" t="str">
        <f>IF($I47&lt;&gt;"",IF($D47="",DATE(YEAR($K$7),MONTH($K$7)+($A$1*($F47-1))+SUM($B$12:$B47),DAY($K$7)),$D47),"")</f>
        <v/>
      </c>
      <c r="K47" s="9" t="str">
        <f t="shared" si="20"/>
        <v/>
      </c>
      <c r="L47" s="3" t="str">
        <f t="shared" si="21"/>
        <v/>
      </c>
      <c r="M47" s="3" t="str">
        <f>IF($I47&lt;&gt;"",IF($A47="Gracia Parcial",IF(AND($C47&lt;$U47+$P47+$Q47+$R47+$T46,$C47&gt;0),$C47,$U47+$P47+$Q47+$R47+$T46),IF($A47="Gracia Total",0,IF($A47="Prepago",$C47,IF(ISNUMBER($C47),$C47*VALUE(MID($C$1,MONTH($J47),1)),$N$5*VALUE(MID($C$1,MONTH($J47),1))))))-IF($I48="",ARREGLO,0),"")</f>
        <v/>
      </c>
      <c r="N47" s="3" t="str">
        <f t="shared" si="22"/>
        <v/>
      </c>
      <c r="O47" s="3" t="str">
        <f t="shared" si="23"/>
        <v/>
      </c>
      <c r="P47" s="8" t="str">
        <f t="shared" si="24"/>
        <v/>
      </c>
      <c r="Q47" s="8" t="str">
        <f t="shared" si="25"/>
        <v/>
      </c>
      <c r="R47" s="3" t="str">
        <f t="shared" si="26"/>
        <v/>
      </c>
      <c r="S47" s="3" t="str">
        <f t="shared" si="27"/>
        <v/>
      </c>
      <c r="T47" s="3" t="str">
        <f t="shared" si="28"/>
        <v/>
      </c>
      <c r="U47" s="3" t="str">
        <f t="shared" si="29"/>
        <v/>
      </c>
      <c r="V47" s="3" t="str">
        <f t="shared" si="30"/>
        <v/>
      </c>
      <c r="W47" s="3" t="str">
        <f>IF($I47&lt;&gt;"",IF($K47&gt;V$11,IF($K47&lt;W$11,$K47-V$11,30),0)*ROUND(($L47+$T46+SUM($V47:V47))*$R$5/3000,2),"")</f>
        <v/>
      </c>
      <c r="X47" s="3"/>
      <c r="Y47" s="3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</row>
    <row r="48" spans="4:82" x14ac:dyDescent="0.25">
      <c r="D48" s="5"/>
      <c r="E48" t="str">
        <f t="shared" si="14"/>
        <v/>
      </c>
      <c r="F48" s="22" t="str">
        <f t="shared" si="16"/>
        <v/>
      </c>
      <c r="G48" s="22" t="str">
        <f t="shared" si="17"/>
        <v/>
      </c>
      <c r="H48" s="22" t="str">
        <f t="shared" si="18"/>
        <v/>
      </c>
      <c r="I48" t="str">
        <f t="shared" si="19"/>
        <v/>
      </c>
      <c r="J48" s="5" t="str">
        <f>IF($I48&lt;&gt;"",IF($D48="",DATE(YEAR($K$7),MONTH($K$7)+($A$1*($F48-1))+SUM($B$12:$B48),DAY($K$7)),$D48),"")</f>
        <v/>
      </c>
      <c r="K48" s="9" t="str">
        <f t="shared" si="20"/>
        <v/>
      </c>
      <c r="L48" s="3" t="str">
        <f t="shared" si="21"/>
        <v/>
      </c>
      <c r="M48" s="3" t="str">
        <f>IF($I48&lt;&gt;"",IF($A48="Gracia Parcial",IF(AND($C48&lt;$U48+$P48+$Q48+$R48+$T47,$C48&gt;0),$C48,$U48+$P48+$Q48+$R48+$T47),IF($A48="Gracia Total",0,IF($A48="Prepago",$C48,IF(ISNUMBER($C48),$C48*VALUE(MID($C$1,MONTH($J48),1)),$N$5*VALUE(MID($C$1,MONTH($J48),1))))))-IF($I49="",ARREGLO,0),"")</f>
        <v/>
      </c>
      <c r="N48" s="3" t="str">
        <f t="shared" si="22"/>
        <v/>
      </c>
      <c r="O48" s="3" t="str">
        <f t="shared" si="23"/>
        <v/>
      </c>
      <c r="P48" s="8" t="str">
        <f t="shared" si="24"/>
        <v/>
      </c>
      <c r="Q48" s="8" t="str">
        <f t="shared" si="25"/>
        <v/>
      </c>
      <c r="R48" s="3" t="str">
        <f t="shared" si="26"/>
        <v/>
      </c>
      <c r="S48" s="3" t="str">
        <f t="shared" si="27"/>
        <v/>
      </c>
      <c r="T48" s="3" t="str">
        <f t="shared" si="28"/>
        <v/>
      </c>
      <c r="U48" s="3" t="str">
        <f t="shared" si="29"/>
        <v/>
      </c>
      <c r="V48" s="3" t="str">
        <f t="shared" si="30"/>
        <v/>
      </c>
      <c r="W48" s="3" t="str">
        <f>IF($I48&lt;&gt;"",IF($K48&gt;V$11,IF($K48&lt;W$11,$K48-V$11,30),0)*ROUND(($L48+$T47+SUM($V48:V48))*$R$5/3000,2),"")</f>
        <v/>
      </c>
      <c r="X48" s="3"/>
      <c r="Y48" s="3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</row>
    <row r="49" spans="4:82" x14ac:dyDescent="0.25">
      <c r="D49" s="5"/>
      <c r="E49" t="str">
        <f t="shared" si="14"/>
        <v/>
      </c>
      <c r="F49" s="22" t="str">
        <f t="shared" si="16"/>
        <v/>
      </c>
      <c r="G49" s="22" t="str">
        <f t="shared" si="17"/>
        <v/>
      </c>
      <c r="H49" s="22" t="str">
        <f t="shared" si="18"/>
        <v/>
      </c>
      <c r="I49" t="str">
        <f t="shared" si="19"/>
        <v/>
      </c>
      <c r="J49" s="5" t="str">
        <f>IF($I49&lt;&gt;"",IF($D49="",DATE(YEAR($K$7),MONTH($K$7)+($A$1*($F49-1))+SUM($B$12:$B49),DAY($K$7)),$D49),"")</f>
        <v/>
      </c>
      <c r="K49" s="9" t="str">
        <f t="shared" si="20"/>
        <v/>
      </c>
      <c r="L49" s="3" t="str">
        <f t="shared" si="21"/>
        <v/>
      </c>
      <c r="M49" s="3" t="str">
        <f>IF($I49&lt;&gt;"",IF($A49="Gracia Parcial",IF(AND($C49&lt;$U49+$P49+$Q49+$R49+$T48,$C49&gt;0),$C49,$U49+$P49+$Q49+$R49+$T48),IF($A49="Gracia Total",0,IF($A49="Prepago",$C49,IF(ISNUMBER($C49),$C49*VALUE(MID($C$1,MONTH($J49),1)),$N$5*VALUE(MID($C$1,MONTH($J49),1))))))-IF($I50="",ARREGLO,0),"")</f>
        <v/>
      </c>
      <c r="N49" s="3" t="str">
        <f t="shared" si="22"/>
        <v/>
      </c>
      <c r="O49" s="3" t="str">
        <f t="shared" si="23"/>
        <v/>
      </c>
      <c r="P49" s="8" t="str">
        <f t="shared" si="24"/>
        <v/>
      </c>
      <c r="Q49" s="8" t="str">
        <f t="shared" si="25"/>
        <v/>
      </c>
      <c r="R49" s="3" t="str">
        <f t="shared" si="26"/>
        <v/>
      </c>
      <c r="S49" s="3" t="str">
        <f t="shared" si="27"/>
        <v/>
      </c>
      <c r="T49" s="3" t="str">
        <f t="shared" si="28"/>
        <v/>
      </c>
      <c r="U49" s="3" t="str">
        <f t="shared" si="29"/>
        <v/>
      </c>
      <c r="V49" s="3" t="str">
        <f t="shared" si="30"/>
        <v/>
      </c>
      <c r="W49" s="3" t="str">
        <f>IF($I49&lt;&gt;"",IF($K49&gt;V$11,IF($K49&lt;W$11,$K49-V$11,30),0)*ROUND(($L49+$T48+SUM($V49:V49))*$R$5/3000,2),"")</f>
        <v/>
      </c>
      <c r="X49" s="3"/>
      <c r="Y49" s="3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</row>
    <row r="50" spans="4:82" x14ac:dyDescent="0.25">
      <c r="D50" s="5"/>
      <c r="E50" t="str">
        <f t="shared" si="14"/>
        <v/>
      </c>
      <c r="F50" s="22" t="str">
        <f t="shared" si="16"/>
        <v/>
      </c>
      <c r="G50" s="22" t="str">
        <f t="shared" si="17"/>
        <v/>
      </c>
      <c r="H50" s="22" t="str">
        <f t="shared" si="18"/>
        <v/>
      </c>
      <c r="I50" t="str">
        <f t="shared" si="19"/>
        <v/>
      </c>
      <c r="J50" s="5" t="str">
        <f>IF($I50&lt;&gt;"",IF($D50="",DATE(YEAR($K$7),MONTH($K$7)+($A$1*($F50-1))+SUM($B$12:$B50),DAY($K$7)),$D50),"")</f>
        <v/>
      </c>
      <c r="K50" s="9" t="str">
        <f t="shared" si="20"/>
        <v/>
      </c>
      <c r="L50" s="3" t="str">
        <f t="shared" si="21"/>
        <v/>
      </c>
      <c r="M50" s="3" t="str">
        <f>IF($I50&lt;&gt;"",IF($A50="Gracia Parcial",IF(AND($C50&lt;$U50+$P50+$Q50+$R50+$T49,$C50&gt;0),$C50,$U50+$P50+$Q50+$R50+$T49),IF($A50="Gracia Total",0,IF($A50="Prepago",$C50,IF(ISNUMBER($C50),$C50*VALUE(MID($C$1,MONTH($J50),1)),$N$5*VALUE(MID($C$1,MONTH($J50),1))))))-IF($I51="",ARREGLO,0),"")</f>
        <v/>
      </c>
      <c r="N50" s="3" t="str">
        <f t="shared" si="22"/>
        <v/>
      </c>
      <c r="O50" s="3" t="str">
        <f t="shared" si="23"/>
        <v/>
      </c>
      <c r="P50" s="8" t="str">
        <f t="shared" si="24"/>
        <v/>
      </c>
      <c r="Q50" s="8" t="str">
        <f t="shared" si="25"/>
        <v/>
      </c>
      <c r="R50" s="3" t="str">
        <f t="shared" si="26"/>
        <v/>
      </c>
      <c r="S50" s="3" t="str">
        <f t="shared" si="27"/>
        <v/>
      </c>
      <c r="T50" s="3" t="str">
        <f t="shared" si="28"/>
        <v/>
      </c>
      <c r="U50" s="3" t="str">
        <f t="shared" si="29"/>
        <v/>
      </c>
      <c r="V50" s="3" t="str">
        <f t="shared" si="30"/>
        <v/>
      </c>
      <c r="W50" s="3" t="str">
        <f>IF($I50&lt;&gt;"",IF($K50&gt;V$11,IF($K50&lt;W$11,$K50-V$11,30),0)*ROUND(($L50+$T49+SUM($V50:V50))*$R$5/3000,2),"")</f>
        <v/>
      </c>
      <c r="X50" s="3"/>
      <c r="Y50" s="3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</row>
    <row r="51" spans="4:82" x14ac:dyDescent="0.25">
      <c r="D51" s="5"/>
      <c r="E51" t="str">
        <f t="shared" si="14"/>
        <v/>
      </c>
      <c r="F51" s="22" t="str">
        <f t="shared" si="16"/>
        <v/>
      </c>
      <c r="G51" s="22" t="str">
        <f t="shared" si="17"/>
        <v/>
      </c>
      <c r="H51" s="22" t="str">
        <f t="shared" si="18"/>
        <v/>
      </c>
      <c r="I51" t="str">
        <f t="shared" si="19"/>
        <v/>
      </c>
      <c r="J51" s="5" t="str">
        <f>IF($I51&lt;&gt;"",IF($D51="",DATE(YEAR($K$7),MONTH($K$7)+($A$1*($F51-1))+SUM($B$12:$B51),DAY($K$7)),$D51),"")</f>
        <v/>
      </c>
      <c r="K51" s="9" t="str">
        <f t="shared" si="20"/>
        <v/>
      </c>
      <c r="L51" s="3" t="str">
        <f t="shared" si="21"/>
        <v/>
      </c>
      <c r="M51" s="3" t="str">
        <f>IF($I51&lt;&gt;"",IF($A51="Gracia Parcial",IF(AND($C51&lt;$U51+$P51+$Q51+$R51+$T50,$C51&gt;0),$C51,$U51+$P51+$Q51+$R51+$T50),IF($A51="Gracia Total",0,IF($A51="Prepago",$C51,IF(ISNUMBER($C51),$C51*VALUE(MID($C$1,MONTH($J51),1)),$N$5*VALUE(MID($C$1,MONTH($J51),1))))))-IF($I52="",ARREGLO,0),"")</f>
        <v/>
      </c>
      <c r="N51" s="3" t="str">
        <f t="shared" si="22"/>
        <v/>
      </c>
      <c r="O51" s="3" t="str">
        <f t="shared" si="23"/>
        <v/>
      </c>
      <c r="P51" s="8" t="str">
        <f t="shared" si="24"/>
        <v/>
      </c>
      <c r="Q51" s="8" t="str">
        <f t="shared" si="25"/>
        <v/>
      </c>
      <c r="R51" s="3" t="str">
        <f t="shared" si="26"/>
        <v/>
      </c>
      <c r="S51" s="3" t="str">
        <f t="shared" si="27"/>
        <v/>
      </c>
      <c r="T51" s="3" t="str">
        <f t="shared" si="28"/>
        <v/>
      </c>
      <c r="U51" s="3" t="str">
        <f t="shared" si="29"/>
        <v/>
      </c>
      <c r="V51" s="3" t="str">
        <f t="shared" si="30"/>
        <v/>
      </c>
      <c r="W51" s="3" t="str">
        <f>IF($I51&lt;&gt;"",IF($K51&gt;V$11,IF($K51&lt;W$11,$K51-V$11,30),0)*ROUND(($L51+$T50+SUM($V51:V51))*$R$5/3000,2),"")</f>
        <v/>
      </c>
      <c r="X51" s="3"/>
      <c r="Y51" s="3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</row>
    <row r="52" spans="4:82" x14ac:dyDescent="0.25">
      <c r="D52" s="5"/>
      <c r="E52" t="str">
        <f t="shared" si="14"/>
        <v/>
      </c>
      <c r="F52" s="22" t="str">
        <f t="shared" si="16"/>
        <v/>
      </c>
      <c r="G52" s="22" t="str">
        <f t="shared" si="17"/>
        <v/>
      </c>
      <c r="H52" s="22" t="str">
        <f t="shared" si="18"/>
        <v/>
      </c>
      <c r="I52" t="str">
        <f t="shared" si="19"/>
        <v/>
      </c>
      <c r="J52" s="5" t="str">
        <f>IF($I52&lt;&gt;"",IF($D52="",DATE(YEAR($K$7),MONTH($K$7)+($A$1*($F52-1))+SUM($B$12:$B52),DAY($K$7)),$D52),"")</f>
        <v/>
      </c>
      <c r="K52" s="9" t="str">
        <f t="shared" si="20"/>
        <v/>
      </c>
      <c r="L52" s="3" t="str">
        <f t="shared" si="21"/>
        <v/>
      </c>
      <c r="M52" s="3" t="str">
        <f>IF($I52&lt;&gt;"",IF($A52="Gracia Parcial",IF(AND($C52&lt;$U52+$P52+$Q52+$R52+$T51,$C52&gt;0),$C52,$U52+$P52+$Q52+$R52+$T51),IF($A52="Gracia Total",0,IF($A52="Prepago",$C52,IF(ISNUMBER($C52),$C52*VALUE(MID($C$1,MONTH($J52),1)),$N$5*VALUE(MID($C$1,MONTH($J52),1))))))-IF($I53="",ARREGLO,0),"")</f>
        <v/>
      </c>
      <c r="N52" s="3" t="str">
        <f t="shared" si="22"/>
        <v/>
      </c>
      <c r="O52" s="3" t="str">
        <f t="shared" si="23"/>
        <v/>
      </c>
      <c r="P52" s="8" t="str">
        <f t="shared" si="24"/>
        <v/>
      </c>
      <c r="Q52" s="8" t="str">
        <f t="shared" si="25"/>
        <v/>
      </c>
      <c r="R52" s="3" t="str">
        <f t="shared" si="26"/>
        <v/>
      </c>
      <c r="S52" s="3" t="str">
        <f t="shared" si="27"/>
        <v/>
      </c>
      <c r="T52" s="3" t="str">
        <f t="shared" si="28"/>
        <v/>
      </c>
      <c r="U52" s="3" t="str">
        <f t="shared" si="29"/>
        <v/>
      </c>
      <c r="V52" s="3" t="str">
        <f t="shared" si="30"/>
        <v/>
      </c>
      <c r="W52" s="3" t="str">
        <f>IF($I52&lt;&gt;"",IF($K52&gt;V$11,IF($K52&lt;W$11,$K52-V$11,30),0)*ROUND(($L52+$T51+SUM($V52:V52))*$R$5/3000,2),"")</f>
        <v/>
      </c>
      <c r="X52" s="3"/>
      <c r="Y52" s="3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</row>
    <row r="53" spans="4:82" x14ac:dyDescent="0.25">
      <c r="D53" s="5"/>
      <c r="E53" t="str">
        <f t="shared" si="14"/>
        <v/>
      </c>
      <c r="F53" s="22" t="str">
        <f t="shared" si="16"/>
        <v/>
      </c>
      <c r="G53" s="22" t="str">
        <f t="shared" si="17"/>
        <v/>
      </c>
      <c r="H53" s="22" t="str">
        <f t="shared" si="18"/>
        <v/>
      </c>
      <c r="I53" t="str">
        <f t="shared" si="19"/>
        <v/>
      </c>
      <c r="J53" s="5" t="str">
        <f>IF($I53&lt;&gt;"",IF($D53="",DATE(YEAR($K$7),MONTH($K$7)+($A$1*($F53-1))+SUM($B$12:$B53),DAY($K$7)),$D53),"")</f>
        <v/>
      </c>
      <c r="K53" s="9" t="str">
        <f t="shared" si="20"/>
        <v/>
      </c>
      <c r="L53" s="3" t="str">
        <f t="shared" si="21"/>
        <v/>
      </c>
      <c r="M53" s="3" t="str">
        <f>IF($I53&lt;&gt;"",IF($A53="Gracia Parcial",IF(AND($C53&lt;$U53+$P53+$Q53+$R53+$T52,$C53&gt;0),$C53,$U53+$P53+$Q53+$R53+$T52),IF($A53="Gracia Total",0,IF($A53="Prepago",$C53,IF(ISNUMBER($C53),$C53*VALUE(MID($C$1,MONTH($J53),1)),$N$5*VALUE(MID($C$1,MONTH($J53),1))))))-IF($I54="",ARREGLO,0),"")</f>
        <v/>
      </c>
      <c r="N53" s="3" t="str">
        <f t="shared" si="22"/>
        <v/>
      </c>
      <c r="O53" s="3" t="str">
        <f t="shared" si="23"/>
        <v/>
      </c>
      <c r="P53" s="8" t="str">
        <f t="shared" si="24"/>
        <v/>
      </c>
      <c r="Q53" s="8" t="str">
        <f t="shared" si="25"/>
        <v/>
      </c>
      <c r="R53" s="3" t="str">
        <f t="shared" si="26"/>
        <v/>
      </c>
      <c r="S53" s="3" t="str">
        <f t="shared" si="27"/>
        <v/>
      </c>
      <c r="T53" s="3" t="str">
        <f t="shared" si="28"/>
        <v/>
      </c>
      <c r="U53" s="3" t="str">
        <f t="shared" si="29"/>
        <v/>
      </c>
      <c r="V53" s="3" t="str">
        <f t="shared" si="30"/>
        <v/>
      </c>
      <c r="W53" s="3" t="str">
        <f>IF($I53&lt;&gt;"",IF($K53&gt;V$11,IF($K53&lt;W$11,$K53-V$11,30),0)*ROUND(($L53+$T52+SUM($V53:V53))*$R$5/3000,2),"")</f>
        <v/>
      </c>
      <c r="X53" s="3"/>
      <c r="Y53" s="3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</row>
    <row r="54" spans="4:82" x14ac:dyDescent="0.25">
      <c r="D54" s="5"/>
      <c r="E54" t="str">
        <f t="shared" si="14"/>
        <v/>
      </c>
      <c r="F54" s="22" t="str">
        <f t="shared" si="16"/>
        <v/>
      </c>
      <c r="G54" s="22" t="str">
        <f t="shared" si="17"/>
        <v/>
      </c>
      <c r="H54" s="22" t="str">
        <f t="shared" si="18"/>
        <v/>
      </c>
      <c r="I54" t="str">
        <f t="shared" si="19"/>
        <v/>
      </c>
      <c r="J54" s="5" t="str">
        <f>IF($I54&lt;&gt;"",IF($D54="",DATE(YEAR($K$7),MONTH($K$7)+($A$1*($F54-1))+SUM($B$12:$B54),DAY($K$7)),$D54),"")</f>
        <v/>
      </c>
      <c r="K54" s="9" t="str">
        <f t="shared" si="20"/>
        <v/>
      </c>
      <c r="L54" s="3" t="str">
        <f t="shared" si="21"/>
        <v/>
      </c>
      <c r="M54" s="3" t="str">
        <f>IF($I54&lt;&gt;"",IF($A54="Gracia Parcial",IF(AND($C54&lt;$U54+$P54+$Q54+$R54+$T53,$C54&gt;0),$C54,$U54+$P54+$Q54+$R54+$T53),IF($A54="Gracia Total",0,IF($A54="Prepago",$C54,IF(ISNUMBER($C54),$C54*VALUE(MID($C$1,MONTH($J54),1)),$N$5*VALUE(MID($C$1,MONTH($J54),1))))))-IF($I55="",ARREGLO,0),"")</f>
        <v/>
      </c>
      <c r="N54" s="3" t="str">
        <f t="shared" si="22"/>
        <v/>
      </c>
      <c r="O54" s="3" t="str">
        <f t="shared" si="23"/>
        <v/>
      </c>
      <c r="P54" s="8" t="str">
        <f t="shared" si="24"/>
        <v/>
      </c>
      <c r="Q54" s="8" t="str">
        <f t="shared" si="25"/>
        <v/>
      </c>
      <c r="R54" s="3" t="str">
        <f t="shared" si="26"/>
        <v/>
      </c>
      <c r="S54" s="3" t="str">
        <f t="shared" si="27"/>
        <v/>
      </c>
      <c r="T54" s="3" t="str">
        <f t="shared" si="28"/>
        <v/>
      </c>
      <c r="U54" s="3" t="str">
        <f t="shared" si="29"/>
        <v/>
      </c>
      <c r="V54" s="3" t="str">
        <f t="shared" si="30"/>
        <v/>
      </c>
      <c r="W54" s="3" t="str">
        <f>IF($I54&lt;&gt;"",IF($K54&gt;V$11,IF($K54&lt;W$11,$K54-V$11,30),0)*ROUND(($L54+$T53+SUM($V54:V54))*$R$5/3000,2),"")</f>
        <v/>
      </c>
      <c r="X54" s="3"/>
      <c r="Y54" s="3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</row>
    <row r="55" spans="4:82" x14ac:dyDescent="0.25">
      <c r="D55" s="5"/>
      <c r="E55" t="str">
        <f t="shared" si="14"/>
        <v/>
      </c>
      <c r="F55" s="22" t="str">
        <f t="shared" si="16"/>
        <v/>
      </c>
      <c r="G55" s="22" t="str">
        <f t="shared" si="17"/>
        <v/>
      </c>
      <c r="H55" s="22" t="str">
        <f t="shared" si="18"/>
        <v/>
      </c>
      <c r="I55" t="str">
        <f t="shared" si="19"/>
        <v/>
      </c>
      <c r="J55" s="5" t="str">
        <f>IF($I55&lt;&gt;"",IF($D55="",DATE(YEAR($K$7),MONTH($K$7)+($A$1*($F55-1))+SUM($B$12:$B55),DAY($K$7)),$D55),"")</f>
        <v/>
      </c>
      <c r="K55" s="9" t="str">
        <f t="shared" si="20"/>
        <v/>
      </c>
      <c r="L55" s="3" t="str">
        <f t="shared" si="21"/>
        <v/>
      </c>
      <c r="M55" s="3" t="str">
        <f>IF($I55&lt;&gt;"",IF($A55="Gracia Parcial",IF(AND($C55&lt;$U55+$P55+$Q55+$R55+$T54,$C55&gt;0),$C55,$U55+$P55+$Q55+$R55+$T54),IF($A55="Gracia Total",0,IF($A55="Prepago",$C55,IF(ISNUMBER($C55),$C55*VALUE(MID($C$1,MONTH($J55),1)),$N$5*VALUE(MID($C$1,MONTH($J55),1))))))-IF($I56="",ARREGLO,0),"")</f>
        <v/>
      </c>
      <c r="N55" s="3" t="str">
        <f t="shared" si="22"/>
        <v/>
      </c>
      <c r="O55" s="3" t="str">
        <f t="shared" si="23"/>
        <v/>
      </c>
      <c r="P55" s="8" t="str">
        <f t="shared" si="24"/>
        <v/>
      </c>
      <c r="Q55" s="8" t="str">
        <f t="shared" si="25"/>
        <v/>
      </c>
      <c r="R55" s="3" t="str">
        <f t="shared" si="26"/>
        <v/>
      </c>
      <c r="S55" s="3" t="str">
        <f t="shared" si="27"/>
        <v/>
      </c>
      <c r="T55" s="3" t="str">
        <f t="shared" si="28"/>
        <v/>
      </c>
      <c r="U55" s="3" t="str">
        <f t="shared" si="29"/>
        <v/>
      </c>
      <c r="V55" s="3" t="str">
        <f t="shared" si="30"/>
        <v/>
      </c>
      <c r="W55" s="3" t="str">
        <f>IF($I55&lt;&gt;"",IF($K55&gt;V$11,IF($K55&lt;W$11,$K55-V$11,30),0)*ROUND(($L55+$T54+SUM($V55:V55))*$R$5/3000,2),"")</f>
        <v/>
      </c>
      <c r="X55" s="3"/>
      <c r="Y55" s="3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</row>
    <row r="56" spans="4:82" x14ac:dyDescent="0.25">
      <c r="D56" s="5"/>
      <c r="E56" t="str">
        <f t="shared" si="14"/>
        <v/>
      </c>
      <c r="F56" s="22" t="str">
        <f t="shared" si="16"/>
        <v/>
      </c>
      <c r="G56" s="22" t="str">
        <f t="shared" si="17"/>
        <v/>
      </c>
      <c r="H56" s="22" t="str">
        <f t="shared" si="18"/>
        <v/>
      </c>
      <c r="I56" t="str">
        <f t="shared" si="19"/>
        <v/>
      </c>
      <c r="J56" s="5" t="str">
        <f>IF($I56&lt;&gt;"",IF($D56="",DATE(YEAR($K$7),MONTH($K$7)+($A$1*($F56-1))+SUM($B$12:$B56),DAY($K$7)),$D56),"")</f>
        <v/>
      </c>
      <c r="K56" s="9" t="str">
        <f t="shared" si="20"/>
        <v/>
      </c>
      <c r="L56" s="3" t="str">
        <f t="shared" si="21"/>
        <v/>
      </c>
      <c r="M56" s="3" t="str">
        <f>IF($I56&lt;&gt;"",IF($A56="Gracia Parcial",IF(AND($C56&lt;$U56+$P56+$Q56+$R56+$T55,$C56&gt;0),$C56,$U56+$P56+$Q56+$R56+$T55),IF($A56="Gracia Total",0,IF($A56="Prepago",$C56,IF(ISNUMBER($C56),$C56*VALUE(MID($C$1,MONTH($J56),1)),$N$5*VALUE(MID($C$1,MONTH($J56),1))))))-IF($I57="",ARREGLO,0),"")</f>
        <v/>
      </c>
      <c r="N56" s="3" t="str">
        <f t="shared" si="22"/>
        <v/>
      </c>
      <c r="O56" s="3" t="str">
        <f t="shared" si="23"/>
        <v/>
      </c>
      <c r="P56" s="8" t="str">
        <f t="shared" si="24"/>
        <v/>
      </c>
      <c r="Q56" s="8" t="str">
        <f t="shared" si="25"/>
        <v/>
      </c>
      <c r="R56" s="3" t="str">
        <f t="shared" si="26"/>
        <v/>
      </c>
      <c r="S56" s="3" t="str">
        <f t="shared" si="27"/>
        <v/>
      </c>
      <c r="T56" s="3" t="str">
        <f t="shared" si="28"/>
        <v/>
      </c>
      <c r="U56" s="3" t="str">
        <f t="shared" si="29"/>
        <v/>
      </c>
      <c r="V56" s="3" t="str">
        <f t="shared" si="30"/>
        <v/>
      </c>
      <c r="W56" s="3" t="str">
        <f>IF($I56&lt;&gt;"",IF($K56&gt;V$11,IF($K56&lt;W$11,$K56-V$11,30),0)*ROUND(($L56+$T55+SUM($V56:V56))*$R$5/3000,2),"")</f>
        <v/>
      </c>
      <c r="X56" s="3"/>
      <c r="Y56" s="3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</row>
    <row r="57" spans="4:82" x14ac:dyDescent="0.25">
      <c r="D57" s="5"/>
      <c r="E57" t="str">
        <f t="shared" si="14"/>
        <v/>
      </c>
      <c r="F57" s="22" t="str">
        <f t="shared" si="16"/>
        <v/>
      </c>
      <c r="G57" s="22" t="str">
        <f t="shared" si="17"/>
        <v/>
      </c>
      <c r="H57" s="22" t="str">
        <f t="shared" si="18"/>
        <v/>
      </c>
      <c r="I57" t="str">
        <f t="shared" si="19"/>
        <v/>
      </c>
      <c r="J57" s="5" t="str">
        <f>IF($I57&lt;&gt;"",IF($D57="",DATE(YEAR($K$7),MONTH($K$7)+($A$1*($F57-1))+SUM($B$12:$B57),DAY($K$7)),$D57),"")</f>
        <v/>
      </c>
      <c r="K57" s="9" t="str">
        <f t="shared" si="20"/>
        <v/>
      </c>
      <c r="L57" s="3" t="str">
        <f t="shared" si="21"/>
        <v/>
      </c>
      <c r="M57" s="3" t="str">
        <f>IF($I57&lt;&gt;"",IF($A57="Gracia Parcial",IF(AND($C57&lt;$U57+$P57+$Q57+$R57+$T56,$C57&gt;0),$C57,$U57+$P57+$Q57+$R57+$T56),IF($A57="Gracia Total",0,IF($A57="Prepago",$C57,IF(ISNUMBER($C57),$C57*VALUE(MID($C$1,MONTH($J57),1)),$N$5*VALUE(MID($C$1,MONTH($J57),1))))))-IF($I58="",ARREGLO,0),"")</f>
        <v/>
      </c>
      <c r="N57" s="3" t="str">
        <f t="shared" si="22"/>
        <v/>
      </c>
      <c r="O57" s="3" t="str">
        <f t="shared" si="23"/>
        <v/>
      </c>
      <c r="P57" s="8" t="str">
        <f t="shared" si="24"/>
        <v/>
      </c>
      <c r="Q57" s="8" t="str">
        <f t="shared" si="25"/>
        <v/>
      </c>
      <c r="R57" s="3" t="str">
        <f t="shared" si="26"/>
        <v/>
      </c>
      <c r="S57" s="3" t="str">
        <f t="shared" si="27"/>
        <v/>
      </c>
      <c r="T57" s="3" t="str">
        <f t="shared" si="28"/>
        <v/>
      </c>
      <c r="U57" s="3" t="str">
        <f t="shared" si="29"/>
        <v/>
      </c>
      <c r="V57" s="3" t="str">
        <f t="shared" si="30"/>
        <v/>
      </c>
      <c r="W57" s="3" t="str">
        <f>IF($I57&lt;&gt;"",IF($K57&gt;V$11,IF($K57&lt;W$11,$K57-V$11,30),0)*ROUND(($L57+$T56+SUM($V57:V57))*$R$5/3000,2),"")</f>
        <v/>
      </c>
      <c r="X57" s="3"/>
      <c r="Y57" s="3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</row>
    <row r="58" spans="4:82" x14ac:dyDescent="0.25">
      <c r="D58" s="5"/>
      <c r="E58" t="str">
        <f t="shared" si="14"/>
        <v/>
      </c>
      <c r="F58" s="22" t="str">
        <f t="shared" si="16"/>
        <v/>
      </c>
      <c r="G58" s="22" t="str">
        <f t="shared" si="17"/>
        <v/>
      </c>
      <c r="H58" s="22" t="str">
        <f t="shared" si="18"/>
        <v/>
      </c>
      <c r="I58" t="str">
        <f t="shared" si="19"/>
        <v/>
      </c>
      <c r="J58" s="5" t="str">
        <f>IF($I58&lt;&gt;"",IF($D58="",DATE(YEAR($K$7),MONTH($K$7)+($A$1*($F58-1))+SUM($B$12:$B58),DAY($K$7)),$D58),"")</f>
        <v/>
      </c>
      <c r="K58" s="9" t="str">
        <f t="shared" si="20"/>
        <v/>
      </c>
      <c r="L58" s="3" t="str">
        <f t="shared" si="21"/>
        <v/>
      </c>
      <c r="M58" s="3" t="str">
        <f>IF($I58&lt;&gt;"",IF($A58="Gracia Parcial",IF(AND($C58&lt;$U58+$P58+$Q58+$R58+$T57,$C58&gt;0),$C58,$U58+$P58+$Q58+$R58+$T57),IF($A58="Gracia Total",0,IF($A58="Prepago",$C58,IF(ISNUMBER($C58),$C58*VALUE(MID($C$1,MONTH($J58),1)),$N$5*VALUE(MID($C$1,MONTH($J58),1))))))-IF($I59="",ARREGLO,0),"")</f>
        <v/>
      </c>
      <c r="N58" s="3" t="str">
        <f t="shared" si="22"/>
        <v/>
      </c>
      <c r="O58" s="3" t="str">
        <f t="shared" si="23"/>
        <v/>
      </c>
      <c r="P58" s="8" t="str">
        <f t="shared" si="24"/>
        <v/>
      </c>
      <c r="Q58" s="8" t="str">
        <f t="shared" si="25"/>
        <v/>
      </c>
      <c r="R58" s="3" t="str">
        <f t="shared" si="26"/>
        <v/>
      </c>
      <c r="S58" s="3" t="str">
        <f t="shared" si="27"/>
        <v/>
      </c>
      <c r="T58" s="3" t="str">
        <f t="shared" si="28"/>
        <v/>
      </c>
      <c r="U58" s="3" t="str">
        <f t="shared" si="29"/>
        <v/>
      </c>
      <c r="V58" s="3" t="str">
        <f t="shared" si="30"/>
        <v/>
      </c>
      <c r="W58" s="3" t="str">
        <f>IF($I58&lt;&gt;"",IF($K58&gt;V$11,IF($K58&lt;W$11,$K58-V$11,30),0)*ROUND(($L58+$T57+SUM($V58:V58))*$R$5/3000,2),"")</f>
        <v/>
      </c>
      <c r="X58" s="3"/>
      <c r="Y58" s="3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</row>
    <row r="59" spans="4:82" x14ac:dyDescent="0.25">
      <c r="D59" s="5"/>
      <c r="E59" t="str">
        <f t="shared" si="14"/>
        <v/>
      </c>
      <c r="F59" s="22" t="str">
        <f t="shared" si="16"/>
        <v/>
      </c>
      <c r="G59" s="22" t="str">
        <f t="shared" si="17"/>
        <v/>
      </c>
      <c r="H59" s="22" t="str">
        <f t="shared" si="18"/>
        <v/>
      </c>
      <c r="I59" t="str">
        <f t="shared" si="19"/>
        <v/>
      </c>
      <c r="J59" s="5" t="str">
        <f>IF($I59&lt;&gt;"",IF($D59="",DATE(YEAR($K$7),MONTH($K$7)+($A$1*($F59-1))+SUM($B$12:$B59),DAY($K$7)),$D59),"")</f>
        <v/>
      </c>
      <c r="K59" s="9" t="str">
        <f t="shared" si="20"/>
        <v/>
      </c>
      <c r="L59" s="3" t="str">
        <f t="shared" si="21"/>
        <v/>
      </c>
      <c r="M59" s="3" t="str">
        <f>IF($I59&lt;&gt;"",IF($A59="Gracia Parcial",IF(AND($C59&lt;$U59+$P59+$Q59+$R59+$T58,$C59&gt;0),$C59,$U59+$P59+$Q59+$R59+$T58),IF($A59="Gracia Total",0,IF($A59="Prepago",$C59,IF(ISNUMBER($C59),$C59*VALUE(MID($C$1,MONTH($J59),1)),$N$5*VALUE(MID($C$1,MONTH($J59),1))))))-IF($I60="",ARREGLO,0),"")</f>
        <v/>
      </c>
      <c r="N59" s="3" t="str">
        <f t="shared" si="22"/>
        <v/>
      </c>
      <c r="O59" s="3" t="str">
        <f t="shared" si="23"/>
        <v/>
      </c>
      <c r="P59" s="8" t="str">
        <f t="shared" si="24"/>
        <v/>
      </c>
      <c r="Q59" s="8" t="str">
        <f t="shared" si="25"/>
        <v/>
      </c>
      <c r="R59" s="3" t="str">
        <f t="shared" si="26"/>
        <v/>
      </c>
      <c r="S59" s="3" t="str">
        <f t="shared" si="27"/>
        <v/>
      </c>
      <c r="T59" s="3" t="str">
        <f t="shared" si="28"/>
        <v/>
      </c>
      <c r="U59" s="3" t="str">
        <f t="shared" si="29"/>
        <v/>
      </c>
      <c r="V59" s="3" t="str">
        <f t="shared" si="30"/>
        <v/>
      </c>
      <c r="W59" s="3" t="str">
        <f>IF($I59&lt;&gt;"",IF($K59&gt;V$11,IF($K59&lt;W$11,$K59-V$11,30),0)*ROUND(($L59+$T58+SUM($V59:V59))*$R$5/3000,2),"")</f>
        <v/>
      </c>
      <c r="X59" s="3"/>
      <c r="Y59" s="3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</row>
    <row r="60" spans="4:82" x14ac:dyDescent="0.25">
      <c r="D60" s="5"/>
      <c r="E60" t="str">
        <f t="shared" si="14"/>
        <v/>
      </c>
      <c r="F60" s="22" t="str">
        <f t="shared" si="16"/>
        <v/>
      </c>
      <c r="G60" s="22" t="str">
        <f t="shared" si="17"/>
        <v/>
      </c>
      <c r="H60" s="22" t="str">
        <f t="shared" si="18"/>
        <v/>
      </c>
      <c r="I60" t="str">
        <f t="shared" si="19"/>
        <v/>
      </c>
      <c r="J60" s="5" t="str">
        <f>IF($I60&lt;&gt;"",IF($D60="",DATE(YEAR($K$7),MONTH($K$7)+($A$1*($F60-1))+SUM($B$12:$B60),DAY($K$7)),$D60),"")</f>
        <v/>
      </c>
      <c r="K60" s="9" t="str">
        <f t="shared" si="20"/>
        <v/>
      </c>
      <c r="L60" s="3" t="str">
        <f t="shared" si="21"/>
        <v/>
      </c>
      <c r="M60" s="3" t="str">
        <f>IF($I60&lt;&gt;"",IF($A60="Gracia Parcial",IF(AND($C60&lt;$U60+$P60+$Q60+$R60+$T59,$C60&gt;0),$C60,$U60+$P60+$Q60+$R60+$T59),IF($A60="Gracia Total",0,IF($A60="Prepago",$C60,IF(ISNUMBER($C60),$C60*VALUE(MID($C$1,MONTH($J60),1)),$N$5*VALUE(MID($C$1,MONTH($J60),1))))))-IF($I61="",ARREGLO,0),"")</f>
        <v/>
      </c>
      <c r="N60" s="3" t="str">
        <f t="shared" si="22"/>
        <v/>
      </c>
      <c r="O60" s="3" t="str">
        <f t="shared" si="23"/>
        <v/>
      </c>
      <c r="P60" s="8" t="str">
        <f t="shared" si="24"/>
        <v/>
      </c>
      <c r="Q60" s="8" t="str">
        <f t="shared" si="25"/>
        <v/>
      </c>
      <c r="R60" s="3" t="str">
        <f t="shared" si="26"/>
        <v/>
      </c>
      <c r="S60" s="3" t="str">
        <f t="shared" si="27"/>
        <v/>
      </c>
      <c r="T60" s="3" t="str">
        <f t="shared" si="28"/>
        <v/>
      </c>
      <c r="U60" s="3" t="str">
        <f t="shared" si="29"/>
        <v/>
      </c>
      <c r="V60" s="3" t="str">
        <f t="shared" si="30"/>
        <v/>
      </c>
      <c r="W60" s="3" t="str">
        <f>IF($I60&lt;&gt;"",IF($K60&gt;V$11,IF($K60&lt;W$11,$K60-V$11,30),0)*ROUND(($L60+$T59+SUM($V60:V60))*$R$5/3000,2),"")</f>
        <v/>
      </c>
      <c r="X60" s="3"/>
      <c r="Y60" s="3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</row>
    <row r="61" spans="4:82" x14ac:dyDescent="0.25">
      <c r="D61" s="5"/>
      <c r="E61" t="str">
        <f t="shared" si="14"/>
        <v/>
      </c>
      <c r="F61" s="22" t="str">
        <f t="shared" si="16"/>
        <v/>
      </c>
      <c r="G61" s="22" t="str">
        <f t="shared" si="17"/>
        <v/>
      </c>
      <c r="H61" s="22" t="str">
        <f t="shared" si="18"/>
        <v/>
      </c>
      <c r="I61" t="str">
        <f t="shared" si="19"/>
        <v/>
      </c>
      <c r="J61" s="5" t="str">
        <f>IF($I61&lt;&gt;"",IF($D61="",DATE(YEAR($K$7),MONTH($K$7)+($A$1*($F61-1))+SUM($B$12:$B61),DAY($K$7)),$D61),"")</f>
        <v/>
      </c>
      <c r="K61" s="9" t="str">
        <f t="shared" si="20"/>
        <v/>
      </c>
      <c r="L61" s="3" t="str">
        <f t="shared" si="21"/>
        <v/>
      </c>
      <c r="M61" s="3" t="str">
        <f>IF($I61&lt;&gt;"",IF($A61="Gracia Parcial",IF(AND($C61&lt;$U61+$P61+$Q61+$R61+$T60,$C61&gt;0),$C61,$U61+$P61+$Q61+$R61+$T60),IF($A61="Gracia Total",0,IF($A61="Prepago",$C61,IF(ISNUMBER($C61),$C61*VALUE(MID($C$1,MONTH($J61),1)),$N$5*VALUE(MID($C$1,MONTH($J61),1))))))-IF($I62="",ARREGLO,0),"")</f>
        <v/>
      </c>
      <c r="N61" s="3" t="str">
        <f t="shared" si="22"/>
        <v/>
      </c>
      <c r="O61" s="3" t="str">
        <f t="shared" si="23"/>
        <v/>
      </c>
      <c r="P61" s="8" t="str">
        <f t="shared" si="24"/>
        <v/>
      </c>
      <c r="Q61" s="8" t="str">
        <f t="shared" si="25"/>
        <v/>
      </c>
      <c r="R61" s="3" t="str">
        <f t="shared" si="26"/>
        <v/>
      </c>
      <c r="S61" s="3" t="str">
        <f t="shared" si="27"/>
        <v/>
      </c>
      <c r="T61" s="3" t="str">
        <f t="shared" si="28"/>
        <v/>
      </c>
      <c r="U61" s="3" t="str">
        <f t="shared" si="29"/>
        <v/>
      </c>
      <c r="V61" s="3" t="str">
        <f t="shared" si="30"/>
        <v/>
      </c>
      <c r="W61" s="3" t="str">
        <f>IF($I61&lt;&gt;"",IF($K61&gt;V$11,IF($K61&lt;W$11,$K61-V$11,30),0)*ROUND(($L61+$T60+SUM($V61:V61))*$R$5/3000,2),"")</f>
        <v/>
      </c>
      <c r="X61" s="3"/>
      <c r="Y61" s="3"/>
    </row>
    <row r="62" spans="4:82" x14ac:dyDescent="0.25">
      <c r="D62" s="5"/>
      <c r="E62" t="str">
        <f t="shared" si="14"/>
        <v/>
      </c>
      <c r="F62" s="22" t="str">
        <f t="shared" si="16"/>
        <v/>
      </c>
      <c r="G62" s="22" t="str">
        <f t="shared" si="17"/>
        <v/>
      </c>
      <c r="H62" s="22" t="str">
        <f t="shared" si="18"/>
        <v/>
      </c>
      <c r="I62" t="str">
        <f t="shared" si="19"/>
        <v/>
      </c>
      <c r="J62" s="5" t="str">
        <f>IF($I62&lt;&gt;"",IF($D62="",DATE(YEAR($K$7),MONTH($K$7)+($A$1*($F62-1))+SUM($B$12:$B62),DAY($K$7)),$D62),"")</f>
        <v/>
      </c>
      <c r="K62" s="9" t="str">
        <f t="shared" si="20"/>
        <v/>
      </c>
      <c r="L62" s="3" t="str">
        <f t="shared" si="21"/>
        <v/>
      </c>
      <c r="M62" s="3" t="str">
        <f>IF($I62&lt;&gt;"",IF($A62="Gracia Parcial",IF(AND($C62&lt;$U62+$P62+$Q62+$R62+$T61,$C62&gt;0),$C62,$U62+$P62+$Q62+$R62+$T61),IF($A62="Gracia Total",0,IF($A62="Prepago",$C62,IF(ISNUMBER($C62),$C62*VALUE(MID($C$1,MONTH($J62),1)),$N$5*VALUE(MID($C$1,MONTH($J62),1))))))-IF($I63="",ARREGLO,0),"")</f>
        <v/>
      </c>
      <c r="N62" s="3" t="str">
        <f t="shared" si="22"/>
        <v/>
      </c>
      <c r="O62" s="3" t="str">
        <f t="shared" si="23"/>
        <v/>
      </c>
      <c r="P62" s="8" t="str">
        <f t="shared" si="24"/>
        <v/>
      </c>
      <c r="Q62" s="8" t="str">
        <f t="shared" si="25"/>
        <v/>
      </c>
      <c r="R62" s="3" t="str">
        <f t="shared" si="26"/>
        <v/>
      </c>
      <c r="S62" s="3" t="str">
        <f t="shared" si="27"/>
        <v/>
      </c>
      <c r="T62" s="3" t="str">
        <f t="shared" si="28"/>
        <v/>
      </c>
      <c r="U62" s="3" t="str">
        <f t="shared" si="29"/>
        <v/>
      </c>
      <c r="V62" s="3" t="str">
        <f t="shared" si="30"/>
        <v/>
      </c>
      <c r="W62" s="3" t="str">
        <f>IF($I62&lt;&gt;"",IF($K62&gt;V$11,IF($K62&lt;W$11,$K62-V$11,30),0)*ROUND(($L62+$T61+SUM($V62:V62))*$R$5/3000,2),"")</f>
        <v/>
      </c>
      <c r="X62" s="3"/>
      <c r="Y62" s="3"/>
    </row>
    <row r="63" spans="4:82" x14ac:dyDescent="0.25">
      <c r="D63" s="5"/>
      <c r="E63" t="str">
        <f t="shared" si="14"/>
        <v/>
      </c>
      <c r="F63" s="22" t="str">
        <f t="shared" si="16"/>
        <v/>
      </c>
      <c r="G63" s="22" t="str">
        <f t="shared" si="17"/>
        <v/>
      </c>
      <c r="H63" s="22" t="str">
        <f t="shared" si="18"/>
        <v/>
      </c>
      <c r="I63" t="str">
        <f t="shared" si="19"/>
        <v/>
      </c>
      <c r="J63" s="5" t="str">
        <f>IF($I63&lt;&gt;"",IF($D63="",DATE(YEAR($K$7),MONTH($K$7)+($A$1*($F63-1))+SUM($B$12:$B63),DAY($K$7)),$D63),"")</f>
        <v/>
      </c>
      <c r="K63" s="9" t="str">
        <f t="shared" si="20"/>
        <v/>
      </c>
      <c r="L63" s="3" t="str">
        <f t="shared" si="21"/>
        <v/>
      </c>
      <c r="M63" s="3" t="str">
        <f>IF($I63&lt;&gt;"",IF($A63="Gracia Parcial",IF(AND($C63&lt;$U63+$P63+$Q63+$R63+$T62,$C63&gt;0),$C63,$U63+$P63+$Q63+$R63+$T62),IF($A63="Gracia Total",0,IF($A63="Prepago",$C63,IF(ISNUMBER($C63),$C63*VALUE(MID($C$1,MONTH($J63),1)),$N$5*VALUE(MID($C$1,MONTH($J63),1))))))-IF($I64="",ARREGLO,0),"")</f>
        <v/>
      </c>
      <c r="N63" s="3" t="str">
        <f t="shared" si="22"/>
        <v/>
      </c>
      <c r="O63" s="3" t="str">
        <f t="shared" si="23"/>
        <v/>
      </c>
      <c r="P63" s="8" t="str">
        <f t="shared" si="24"/>
        <v/>
      </c>
      <c r="Q63" s="8" t="str">
        <f t="shared" si="25"/>
        <v/>
      </c>
      <c r="R63" s="3" t="str">
        <f t="shared" si="26"/>
        <v/>
      </c>
      <c r="S63" s="3" t="str">
        <f t="shared" si="27"/>
        <v/>
      </c>
      <c r="T63" s="3" t="str">
        <f t="shared" si="28"/>
        <v/>
      </c>
      <c r="U63" s="3" t="str">
        <f t="shared" si="29"/>
        <v/>
      </c>
      <c r="V63" s="3" t="str">
        <f t="shared" si="30"/>
        <v/>
      </c>
      <c r="W63" s="3" t="str">
        <f>IF($I63&lt;&gt;"",IF($K63&gt;V$11,IF($K63&lt;W$11,$K63-V$11,30),0)*ROUND(($L63+$T62+SUM($V63:V63))*$R$5/3000,2),"")</f>
        <v/>
      </c>
      <c r="X63" s="3"/>
      <c r="Y63" s="3"/>
    </row>
    <row r="64" spans="4:82" x14ac:dyDescent="0.25">
      <c r="D64" s="5"/>
      <c r="E64" t="str">
        <f t="shared" si="14"/>
        <v/>
      </c>
      <c r="F64" s="22" t="str">
        <f t="shared" si="16"/>
        <v/>
      </c>
      <c r="G64" s="22" t="str">
        <f t="shared" si="17"/>
        <v/>
      </c>
      <c r="H64" s="22" t="str">
        <f t="shared" si="18"/>
        <v/>
      </c>
      <c r="I64" t="str">
        <f t="shared" si="19"/>
        <v/>
      </c>
      <c r="J64" s="5" t="str">
        <f>IF($I64&lt;&gt;"",IF($D64="",DATE(YEAR($K$7),MONTH($K$7)+($A$1*($F64-1))+SUM($B$12:$B64),DAY($K$7)),$D64),"")</f>
        <v/>
      </c>
      <c r="K64" s="9" t="str">
        <f t="shared" si="20"/>
        <v/>
      </c>
      <c r="L64" s="3" t="str">
        <f t="shared" si="21"/>
        <v/>
      </c>
      <c r="M64" s="3" t="str">
        <f>IF($I64&lt;&gt;"",IF($A64="Gracia Parcial",IF(AND($C64&lt;$U64+$P64+$Q64+$R64+$T63,$C64&gt;0),$C64,$U64+$P64+$Q64+$R64+$T63),IF($A64="Gracia Total",0,IF($A64="Prepago",$C64,IF(ISNUMBER($C64),$C64*VALUE(MID($C$1,MONTH($J64),1)),$N$5*VALUE(MID($C$1,MONTH($J64),1))))))-IF($I65="",ARREGLO,0),"")</f>
        <v/>
      </c>
      <c r="N64" s="3" t="str">
        <f t="shared" si="22"/>
        <v/>
      </c>
      <c r="O64" s="3" t="str">
        <f t="shared" si="23"/>
        <v/>
      </c>
      <c r="P64" s="8" t="str">
        <f t="shared" si="24"/>
        <v/>
      </c>
      <c r="Q64" s="8" t="str">
        <f t="shared" si="25"/>
        <v/>
      </c>
      <c r="R64" s="3" t="str">
        <f t="shared" si="26"/>
        <v/>
      </c>
      <c r="S64" s="3" t="str">
        <f t="shared" si="27"/>
        <v/>
      </c>
      <c r="T64" s="3" t="str">
        <f t="shared" si="28"/>
        <v/>
      </c>
      <c r="U64" s="3" t="str">
        <f t="shared" si="29"/>
        <v/>
      </c>
      <c r="V64" s="3" t="str">
        <f t="shared" si="30"/>
        <v/>
      </c>
      <c r="W64" s="3" t="str">
        <f>IF($I64&lt;&gt;"",IF($K64&gt;V$11,IF($K64&lt;W$11,$K64-V$11,30),0)*ROUND(($L64+$T63+SUM($V64:V64))*$R$5/3000,2),"")</f>
        <v/>
      </c>
      <c r="X64" s="3"/>
      <c r="Y64" s="3"/>
    </row>
    <row r="65" spans="4:25" x14ac:dyDescent="0.25">
      <c r="D65" s="5"/>
      <c r="E65" t="str">
        <f t="shared" si="14"/>
        <v/>
      </c>
      <c r="F65" s="22" t="str">
        <f t="shared" si="16"/>
        <v/>
      </c>
      <c r="G65" s="22" t="str">
        <f t="shared" si="17"/>
        <v/>
      </c>
      <c r="H65" s="22" t="str">
        <f t="shared" si="18"/>
        <v/>
      </c>
      <c r="I65" t="str">
        <f t="shared" si="19"/>
        <v/>
      </c>
      <c r="J65" s="5" t="str">
        <f>IF($I65&lt;&gt;"",IF($D65="",DATE(YEAR($K$7),MONTH($K$7)+($A$1*($F65-1))+SUM($B$12:$B65),DAY($K$7)),$D65),"")</f>
        <v/>
      </c>
      <c r="K65" s="9" t="str">
        <f t="shared" si="20"/>
        <v/>
      </c>
      <c r="L65" s="3" t="str">
        <f t="shared" si="21"/>
        <v/>
      </c>
      <c r="M65" s="3" t="str">
        <f>IF($I65&lt;&gt;"",IF($A65="Gracia Parcial",IF(AND($C65&lt;$U65+$P65+$Q65+$R65+$T64,$C65&gt;0),$C65,$U65+$P65+$Q65+$R65+$T64),IF($A65="Gracia Total",0,IF($A65="Prepago",$C65,IF(ISNUMBER($C65),$C65*VALUE(MID($C$1,MONTH($J65),1)),$N$5*VALUE(MID($C$1,MONTH($J65),1))))))-IF($I66="",ARREGLO,0),"")</f>
        <v/>
      </c>
      <c r="N65" s="3" t="str">
        <f t="shared" si="22"/>
        <v/>
      </c>
      <c r="O65" s="3" t="str">
        <f t="shared" si="23"/>
        <v/>
      </c>
      <c r="P65" s="8" t="str">
        <f t="shared" si="24"/>
        <v/>
      </c>
      <c r="Q65" s="8" t="str">
        <f t="shared" si="25"/>
        <v/>
      </c>
      <c r="R65" s="3" t="str">
        <f t="shared" si="26"/>
        <v/>
      </c>
      <c r="S65" s="3" t="str">
        <f t="shared" si="27"/>
        <v/>
      </c>
      <c r="T65" s="3" t="str">
        <f t="shared" si="28"/>
        <v/>
      </c>
      <c r="U65" s="3" t="str">
        <f t="shared" si="29"/>
        <v/>
      </c>
      <c r="V65" s="3" t="str">
        <f t="shared" si="30"/>
        <v/>
      </c>
      <c r="W65" s="3" t="str">
        <f>IF($I65&lt;&gt;"",IF($K65&gt;V$11,IF($K65&lt;W$11,$K65-V$11,30),0)*ROUND(($L65+$T64+SUM($V65:V65))*$R$5/3000,2),"")</f>
        <v/>
      </c>
      <c r="X65" s="3"/>
      <c r="Y65" s="3"/>
    </row>
    <row r="66" spans="4:25" x14ac:dyDescent="0.25">
      <c r="D66" s="5"/>
      <c r="E66" t="str">
        <f t="shared" si="14"/>
        <v/>
      </c>
      <c r="F66" s="22" t="str">
        <f t="shared" si="16"/>
        <v/>
      </c>
      <c r="G66" s="22" t="str">
        <f t="shared" si="17"/>
        <v/>
      </c>
      <c r="H66" s="22" t="str">
        <f t="shared" si="18"/>
        <v/>
      </c>
      <c r="I66" t="str">
        <f t="shared" si="19"/>
        <v/>
      </c>
      <c r="J66" s="5" t="str">
        <f>IF($I66&lt;&gt;"",IF($D66="",DATE(YEAR($K$7),MONTH($K$7)+($A$1*($F66-1))+SUM($B$12:$B66),DAY($K$7)),$D66),"")</f>
        <v/>
      </c>
      <c r="K66" s="9" t="str">
        <f t="shared" si="20"/>
        <v/>
      </c>
      <c r="L66" s="3" t="str">
        <f t="shared" si="21"/>
        <v/>
      </c>
      <c r="M66" s="3" t="str">
        <f>IF($I66&lt;&gt;"",IF($A66="Gracia Parcial",IF(AND($C66&lt;$U66+$P66+$Q66+$R66+$T65,$C66&gt;0),$C66,$U66+$P66+$Q66+$R66+$T65),IF($A66="Gracia Total",0,IF($A66="Prepago",$C66,IF(ISNUMBER($C66),$C66*VALUE(MID($C$1,MONTH($J66),1)),$N$5*VALUE(MID($C$1,MONTH($J66),1))))))-IF($I67="",ARREGLO,0),"")</f>
        <v/>
      </c>
      <c r="N66" s="3" t="str">
        <f t="shared" si="22"/>
        <v/>
      </c>
      <c r="O66" s="3" t="str">
        <f t="shared" si="23"/>
        <v/>
      </c>
      <c r="P66" s="8" t="str">
        <f t="shared" si="24"/>
        <v/>
      </c>
      <c r="Q66" s="8" t="str">
        <f t="shared" si="25"/>
        <v/>
      </c>
      <c r="R66" s="3" t="str">
        <f t="shared" si="26"/>
        <v/>
      </c>
      <c r="S66" s="3" t="str">
        <f t="shared" si="27"/>
        <v/>
      </c>
      <c r="T66" s="3" t="str">
        <f t="shared" si="28"/>
        <v/>
      </c>
      <c r="U66" s="3" t="str">
        <f t="shared" si="29"/>
        <v/>
      </c>
      <c r="V66" s="3" t="str">
        <f t="shared" si="30"/>
        <v/>
      </c>
      <c r="W66" s="3" t="str">
        <f>IF($I66&lt;&gt;"",IF($K66&gt;V$11,IF($K66&lt;W$11,$K66-V$11,30),0)*ROUND(($L66+$T65+SUM($V66:V66))*$R$5/3000,2),"")</f>
        <v/>
      </c>
      <c r="X66" s="3"/>
      <c r="Y66" s="3"/>
    </row>
    <row r="67" spans="4:25" x14ac:dyDescent="0.25">
      <c r="D67" s="5"/>
      <c r="E67" t="str">
        <f t="shared" si="14"/>
        <v/>
      </c>
      <c r="F67" s="22" t="str">
        <f t="shared" si="16"/>
        <v/>
      </c>
      <c r="G67" s="22" t="str">
        <f t="shared" si="17"/>
        <v/>
      </c>
      <c r="H67" s="22" t="str">
        <f t="shared" si="18"/>
        <v/>
      </c>
      <c r="I67" t="str">
        <f t="shared" si="19"/>
        <v/>
      </c>
      <c r="J67" s="5" t="str">
        <f>IF($I67&lt;&gt;"",IF($D67="",DATE(YEAR($K$7),MONTH($K$7)+($A$1*($F67-1))+SUM($B$12:$B67),DAY($K$7)),$D67),"")</f>
        <v/>
      </c>
      <c r="K67" s="9" t="str">
        <f t="shared" si="20"/>
        <v/>
      </c>
      <c r="L67" s="3" t="str">
        <f t="shared" si="21"/>
        <v/>
      </c>
      <c r="M67" s="3" t="str">
        <f>IF($I67&lt;&gt;"",IF($A67="Gracia Parcial",IF(AND($C67&lt;$U67+$P67+$Q67+$R67+$T66,$C67&gt;0),$C67,$U67+$P67+$Q67+$R67+$T66),IF($A67="Gracia Total",0,IF($A67="Prepago",$C67,IF(ISNUMBER($C67),$C67*VALUE(MID($C$1,MONTH($J67),1)),$N$5*VALUE(MID($C$1,MONTH($J67),1))))))-IF($I68="",ARREGLO,0),"")</f>
        <v/>
      </c>
      <c r="N67" s="3" t="str">
        <f t="shared" si="22"/>
        <v/>
      </c>
      <c r="O67" s="3" t="str">
        <f t="shared" si="23"/>
        <v/>
      </c>
      <c r="P67" s="8" t="str">
        <f t="shared" si="24"/>
        <v/>
      </c>
      <c r="Q67" s="8" t="str">
        <f t="shared" si="25"/>
        <v/>
      </c>
      <c r="R67" s="3" t="str">
        <f t="shared" si="26"/>
        <v/>
      </c>
      <c r="S67" s="3" t="str">
        <f t="shared" si="27"/>
        <v/>
      </c>
      <c r="T67" s="3" t="str">
        <f t="shared" si="28"/>
        <v/>
      </c>
      <c r="U67" s="3" t="str">
        <f t="shared" si="29"/>
        <v/>
      </c>
      <c r="V67" s="3" t="str">
        <f t="shared" si="30"/>
        <v/>
      </c>
      <c r="W67" s="3" t="str">
        <f>IF($I67&lt;&gt;"",IF($K67&gt;V$11,IF($K67&lt;W$11,$K67-V$11,30),0)*ROUND(($L67+$T66+SUM($V67:V67))*$R$5/3000,2),"")</f>
        <v/>
      </c>
      <c r="X67" s="3"/>
      <c r="Y67" s="3"/>
    </row>
    <row r="68" spans="4:25" x14ac:dyDescent="0.25">
      <c r="D68" s="5"/>
      <c r="E68" t="str">
        <f t="shared" si="14"/>
        <v/>
      </c>
      <c r="F68" s="22" t="str">
        <f t="shared" si="16"/>
        <v/>
      </c>
      <c r="G68" s="22" t="str">
        <f t="shared" si="17"/>
        <v/>
      </c>
      <c r="H68" s="22" t="str">
        <f t="shared" si="18"/>
        <v/>
      </c>
      <c r="I68" t="str">
        <f t="shared" si="19"/>
        <v/>
      </c>
      <c r="J68" s="5" t="str">
        <f>IF($I68&lt;&gt;"",IF($D68="",DATE(YEAR($K$7),MONTH($K$7)+($A$1*($F68-1))+SUM($B$12:$B68),DAY($K$7)),$D68),"")</f>
        <v/>
      </c>
      <c r="K68" s="9" t="str">
        <f t="shared" si="20"/>
        <v/>
      </c>
      <c r="L68" s="3" t="str">
        <f t="shared" si="21"/>
        <v/>
      </c>
      <c r="M68" s="3" t="str">
        <f>IF($I68&lt;&gt;"",IF($A68="Gracia Parcial",IF(AND($C68&lt;$U68+$P68+$Q68+$R68+$T67,$C68&gt;0),$C68,$U68+$P68+$Q68+$R68+$T67),IF($A68="Gracia Total",0,IF($A68="Prepago",$C68,IF(ISNUMBER($C68),$C68*VALUE(MID($C$1,MONTH($J68),1)),$N$5*VALUE(MID($C$1,MONTH($J68),1))))))-IF($I69="",ARREGLO,0),"")</f>
        <v/>
      </c>
      <c r="N68" s="3" t="str">
        <f t="shared" si="22"/>
        <v/>
      </c>
      <c r="O68" s="3" t="str">
        <f t="shared" si="23"/>
        <v/>
      </c>
      <c r="P68" s="8" t="str">
        <f t="shared" si="24"/>
        <v/>
      </c>
      <c r="Q68" s="8" t="str">
        <f t="shared" si="25"/>
        <v/>
      </c>
      <c r="R68" s="3" t="str">
        <f t="shared" si="26"/>
        <v/>
      </c>
      <c r="S68" s="3" t="str">
        <f t="shared" si="27"/>
        <v/>
      </c>
      <c r="T68" s="3" t="str">
        <f t="shared" si="28"/>
        <v/>
      </c>
      <c r="U68" s="3" t="str">
        <f t="shared" si="29"/>
        <v/>
      </c>
      <c r="V68" s="3" t="str">
        <f t="shared" si="30"/>
        <v/>
      </c>
      <c r="W68" s="3" t="str">
        <f>IF($I68&lt;&gt;"",IF($K68&gt;V$11,IF($K68&lt;W$11,$K68-V$11,30),0)*ROUND(($L68+$T67+SUM($V68:V68))*$R$5/3000,2),"")</f>
        <v/>
      </c>
      <c r="X68" s="3"/>
      <c r="Y68" s="3"/>
    </row>
    <row r="69" spans="4:25" x14ac:dyDescent="0.25">
      <c r="D69" s="5"/>
      <c r="E69" t="str">
        <f t="shared" si="14"/>
        <v/>
      </c>
      <c r="F69" s="22" t="str">
        <f t="shared" si="16"/>
        <v/>
      </c>
      <c r="G69" s="22" t="str">
        <f t="shared" si="17"/>
        <v/>
      </c>
      <c r="H69" s="22" t="str">
        <f t="shared" si="18"/>
        <v/>
      </c>
      <c r="I69" t="str">
        <f t="shared" si="19"/>
        <v/>
      </c>
      <c r="J69" s="5" t="str">
        <f>IF($I69&lt;&gt;"",IF($D69="",DATE(YEAR($K$7),MONTH($K$7)+($A$1*($F69-1))+SUM($B$12:$B69),DAY($K$7)),$D69),"")</f>
        <v/>
      </c>
      <c r="K69" s="9" t="str">
        <f t="shared" si="20"/>
        <v/>
      </c>
      <c r="L69" s="3" t="str">
        <f t="shared" si="21"/>
        <v/>
      </c>
      <c r="M69" s="3" t="str">
        <f>IF($I69&lt;&gt;"",IF($A69="Gracia Parcial",IF(AND($C69&lt;$U69+$P69+$Q69+$R69+$T68,$C69&gt;0),$C69,$U69+$P69+$Q69+$R69+$T68),IF($A69="Gracia Total",0,IF($A69="Prepago",$C69,IF(ISNUMBER($C69),$C69*VALUE(MID($C$1,MONTH($J69),1)),$N$5*VALUE(MID($C$1,MONTH($J69),1))))))-IF($I70="",ARREGLO,0),"")</f>
        <v/>
      </c>
      <c r="N69" s="3" t="str">
        <f t="shared" si="22"/>
        <v/>
      </c>
      <c r="O69" s="3" t="str">
        <f t="shared" si="23"/>
        <v/>
      </c>
      <c r="P69" s="8" t="str">
        <f t="shared" si="24"/>
        <v/>
      </c>
      <c r="Q69" s="8" t="str">
        <f t="shared" si="25"/>
        <v/>
      </c>
      <c r="R69" s="3" t="str">
        <f t="shared" si="26"/>
        <v/>
      </c>
      <c r="S69" s="3" t="str">
        <f t="shared" si="27"/>
        <v/>
      </c>
      <c r="T69" s="3" t="str">
        <f t="shared" si="28"/>
        <v/>
      </c>
      <c r="U69" s="3" t="str">
        <f t="shared" si="29"/>
        <v/>
      </c>
      <c r="V69" s="3" t="str">
        <f t="shared" si="30"/>
        <v/>
      </c>
      <c r="W69" s="3" t="str">
        <f>IF($I69&lt;&gt;"",IF($K69&gt;V$11,IF($K69&lt;W$11,$K69-V$11,30),0)*ROUND(($L69+$T68+SUM($V69:V69))*$R$5/3000,2),"")</f>
        <v/>
      </c>
      <c r="X69" s="3"/>
      <c r="Y69" s="3"/>
    </row>
    <row r="70" spans="4:25" x14ac:dyDescent="0.25">
      <c r="D70" s="5"/>
      <c r="E70" t="str">
        <f t="shared" si="14"/>
        <v/>
      </c>
      <c r="F70" s="22" t="str">
        <f t="shared" si="16"/>
        <v/>
      </c>
      <c r="G70" s="22" t="str">
        <f t="shared" si="17"/>
        <v/>
      </c>
      <c r="H70" s="22" t="str">
        <f t="shared" si="18"/>
        <v/>
      </c>
      <c r="I70" t="str">
        <f t="shared" si="19"/>
        <v/>
      </c>
      <c r="J70" s="5" t="str">
        <f>IF($I70&lt;&gt;"",IF($D70="",DATE(YEAR($K$7),MONTH($K$7)+($A$1*($F70-1))+SUM($B$12:$B70),DAY($K$7)),$D70),"")</f>
        <v/>
      </c>
      <c r="K70" s="9" t="str">
        <f t="shared" si="20"/>
        <v/>
      </c>
      <c r="L70" s="3" t="str">
        <f t="shared" si="21"/>
        <v/>
      </c>
      <c r="M70" s="3" t="str">
        <f>IF($I70&lt;&gt;"",IF($A70="Gracia Parcial",IF(AND($C70&lt;$U70+$P70+$Q70+$R70+$T69,$C70&gt;0),$C70,$U70+$P70+$Q70+$R70+$T69),IF($A70="Gracia Total",0,IF($A70="Prepago",$C70,IF(ISNUMBER($C70),$C70*VALUE(MID($C$1,MONTH($J70),1)),$N$5*VALUE(MID($C$1,MONTH($J70),1))))))-IF($I71="",ARREGLO,0),"")</f>
        <v/>
      </c>
      <c r="N70" s="3" t="str">
        <f t="shared" si="22"/>
        <v/>
      </c>
      <c r="O70" s="3" t="str">
        <f t="shared" si="23"/>
        <v/>
      </c>
      <c r="P70" s="8" t="str">
        <f t="shared" si="24"/>
        <v/>
      </c>
      <c r="Q70" s="8" t="str">
        <f t="shared" si="25"/>
        <v/>
      </c>
      <c r="R70" s="3" t="str">
        <f t="shared" si="26"/>
        <v/>
      </c>
      <c r="S70" s="3" t="str">
        <f t="shared" si="27"/>
        <v/>
      </c>
      <c r="T70" s="3" t="str">
        <f t="shared" si="28"/>
        <v/>
      </c>
      <c r="U70" s="3" t="str">
        <f t="shared" si="29"/>
        <v/>
      </c>
      <c r="V70" s="3" t="str">
        <f t="shared" si="30"/>
        <v/>
      </c>
      <c r="W70" s="3" t="str">
        <f>IF($I70&lt;&gt;"",IF($K70&gt;V$11,IF($K70&lt;W$11,$K70-V$11,30),0)*ROUND(($L70+$T69+SUM($V70:V70))*$R$5/3000,2),"")</f>
        <v/>
      </c>
      <c r="X70" s="3"/>
      <c r="Y70" s="3"/>
    </row>
    <row r="71" spans="4:25" x14ac:dyDescent="0.25">
      <c r="D71" s="5"/>
      <c r="E71" t="str">
        <f t="shared" si="14"/>
        <v/>
      </c>
      <c r="F71" s="22" t="str">
        <f t="shared" si="16"/>
        <v/>
      </c>
      <c r="G71" s="22" t="str">
        <f t="shared" si="17"/>
        <v/>
      </c>
      <c r="H71" s="22" t="str">
        <f t="shared" si="18"/>
        <v/>
      </c>
      <c r="I71" t="str">
        <f t="shared" si="19"/>
        <v/>
      </c>
      <c r="J71" s="5" t="str">
        <f>IF($I71&lt;&gt;"",IF($D71="",DATE(YEAR($K$7),MONTH($K$7)+($A$1*($F71-1))+SUM($B$12:$B71),DAY($K$7)),$D71),"")</f>
        <v/>
      </c>
      <c r="K71" s="9" t="str">
        <f t="shared" si="20"/>
        <v/>
      </c>
      <c r="L71" s="3" t="str">
        <f t="shared" si="21"/>
        <v/>
      </c>
      <c r="M71" s="3" t="str">
        <f>IF($I71&lt;&gt;"",IF($A71="Gracia Parcial",IF(AND($C71&lt;$U71+$P71+$Q71+$R71+$T70,$C71&gt;0),$C71,$U71+$P71+$Q71+$R71+$T70),IF($A71="Gracia Total",0,IF($A71="Prepago",$C71,IF(ISNUMBER($C71),$C71*VALUE(MID($C$1,MONTH($J71),1)),$N$5*VALUE(MID($C$1,MONTH($J71),1))))))-IF($I72="",ARREGLO,0),"")</f>
        <v/>
      </c>
      <c r="N71" s="3" t="str">
        <f t="shared" si="22"/>
        <v/>
      </c>
      <c r="O71" s="3" t="str">
        <f t="shared" si="23"/>
        <v/>
      </c>
      <c r="P71" s="8" t="str">
        <f t="shared" si="24"/>
        <v/>
      </c>
      <c r="Q71" s="8" t="str">
        <f t="shared" si="25"/>
        <v/>
      </c>
      <c r="R71" s="3" t="str">
        <f t="shared" si="26"/>
        <v/>
      </c>
      <c r="S71" s="3" t="str">
        <f t="shared" si="27"/>
        <v/>
      </c>
      <c r="T71" s="3" t="str">
        <f t="shared" si="28"/>
        <v/>
      </c>
      <c r="U71" s="3" t="str">
        <f t="shared" si="29"/>
        <v/>
      </c>
      <c r="V71" s="3" t="str">
        <f t="shared" si="30"/>
        <v/>
      </c>
      <c r="W71" s="3" t="str">
        <f>IF($I71&lt;&gt;"",IF($K71&gt;V$11,IF($K71&lt;W$11,$K71-V$11,30),0)*ROUND(($L71+$T70+SUM($V71:V71))*$R$5/3000,2),"")</f>
        <v/>
      </c>
      <c r="X71" s="3"/>
      <c r="Y71" s="3"/>
    </row>
    <row r="72" spans="4:25" x14ac:dyDescent="0.25">
      <c r="D72" s="5"/>
      <c r="E72" t="str">
        <f t="shared" si="14"/>
        <v/>
      </c>
      <c r="F72" s="22" t="str">
        <f t="shared" si="16"/>
        <v/>
      </c>
      <c r="G72" s="22" t="str">
        <f t="shared" si="17"/>
        <v/>
      </c>
      <c r="H72" s="22" t="str">
        <f t="shared" si="18"/>
        <v/>
      </c>
      <c r="I72" t="str">
        <f t="shared" si="19"/>
        <v/>
      </c>
      <c r="J72" s="5" t="str">
        <f>IF($I72&lt;&gt;"",IF($D72="",DATE(YEAR($K$7),MONTH($K$7)+($A$1*($F72-1))+SUM($B$12:$B72),DAY($K$7)),$D72),"")</f>
        <v/>
      </c>
      <c r="K72" s="9" t="str">
        <f t="shared" si="20"/>
        <v/>
      </c>
      <c r="L72" s="3" t="str">
        <f t="shared" si="21"/>
        <v/>
      </c>
      <c r="M72" s="3" t="str">
        <f>IF($I72&lt;&gt;"",IF($A72="Gracia Parcial",IF(AND($C72&lt;$U72+$P72+$Q72+$R72+$T71,$C72&gt;0),$C72,$U72+$P72+$Q72+$R72+$T71),IF($A72="Gracia Total",0,IF($A72="Prepago",$C72,IF(ISNUMBER($C72),$C72*VALUE(MID($C$1,MONTH($J72),1)),$N$5*VALUE(MID($C$1,MONTH($J72),1))))))-IF($I73="",ARREGLO,0),"")</f>
        <v/>
      </c>
      <c r="N72" s="3" t="str">
        <f t="shared" si="22"/>
        <v/>
      </c>
      <c r="O72" s="3" t="str">
        <f t="shared" si="23"/>
        <v/>
      </c>
      <c r="P72" s="8" t="str">
        <f t="shared" si="24"/>
        <v/>
      </c>
      <c r="Q72" s="8" t="str">
        <f t="shared" si="25"/>
        <v/>
      </c>
      <c r="R72" s="3" t="str">
        <f t="shared" si="26"/>
        <v/>
      </c>
      <c r="S72" s="3" t="str">
        <f t="shared" si="27"/>
        <v/>
      </c>
      <c r="T72" s="3" t="str">
        <f t="shared" si="28"/>
        <v/>
      </c>
      <c r="U72" s="3" t="str">
        <f t="shared" si="29"/>
        <v/>
      </c>
      <c r="V72" s="3" t="str">
        <f t="shared" si="30"/>
        <v/>
      </c>
      <c r="W72" s="3" t="str">
        <f>IF($I72&lt;&gt;"",IF($K72&gt;V$11,IF($K72&lt;W$11,$K72-V$11,30),0)*ROUND(($L72+$T71+SUM($V72:V72))*$R$5/3000,2),"")</f>
        <v/>
      </c>
      <c r="X72" s="3"/>
      <c r="Y72" s="3"/>
    </row>
    <row r="73" spans="4:25" x14ac:dyDescent="0.25">
      <c r="D73" s="5"/>
      <c r="E73" t="str">
        <f t="shared" si="14"/>
        <v/>
      </c>
      <c r="F73" s="22" t="str">
        <f t="shared" si="16"/>
        <v/>
      </c>
      <c r="G73" s="22" t="str">
        <f t="shared" si="17"/>
        <v/>
      </c>
      <c r="H73" s="22" t="str">
        <f t="shared" si="18"/>
        <v/>
      </c>
      <c r="I73" t="str">
        <f t="shared" si="19"/>
        <v/>
      </c>
      <c r="J73" s="5" t="str">
        <f>IF($I73&lt;&gt;"",IF($D73="",DATE(YEAR($K$7),MONTH($K$7)+($A$1*($F73-1))+SUM($B$12:$B73),DAY($K$7)),$D73),"")</f>
        <v/>
      </c>
      <c r="K73" s="9" t="str">
        <f t="shared" si="20"/>
        <v/>
      </c>
      <c r="L73" s="3" t="str">
        <f t="shared" si="21"/>
        <v/>
      </c>
      <c r="M73" s="3" t="str">
        <f>IF($I73&lt;&gt;"",IF($A73="Gracia Parcial",IF(AND($C73&lt;$U73+$P73+$Q73+$R73+$T72,$C73&gt;0),$C73,$U73+$P73+$Q73+$R73+$T72),IF($A73="Gracia Total",0,IF($A73="Prepago",$C73,IF(ISNUMBER($C73),$C73*VALUE(MID($C$1,MONTH($J73),1)),$N$5*VALUE(MID($C$1,MONTH($J73),1))))))-IF($I74="",ARREGLO,0),"")</f>
        <v/>
      </c>
      <c r="N73" s="3" t="str">
        <f t="shared" si="22"/>
        <v/>
      </c>
      <c r="O73" s="3" t="str">
        <f t="shared" si="23"/>
        <v/>
      </c>
      <c r="P73" s="8" t="str">
        <f t="shared" si="24"/>
        <v/>
      </c>
      <c r="Q73" s="8" t="str">
        <f t="shared" si="25"/>
        <v/>
      </c>
      <c r="R73" s="3" t="str">
        <f t="shared" si="26"/>
        <v/>
      </c>
      <c r="S73" s="3" t="str">
        <f t="shared" si="27"/>
        <v/>
      </c>
      <c r="T73" s="3" t="str">
        <f t="shared" si="28"/>
        <v/>
      </c>
      <c r="U73" s="3" t="str">
        <f t="shared" si="29"/>
        <v/>
      </c>
      <c r="V73" s="3" t="str">
        <f t="shared" si="30"/>
        <v/>
      </c>
      <c r="W73" s="3" t="str">
        <f>IF($I73&lt;&gt;"",IF($K73&gt;V$11,IF($K73&lt;W$11,$K73-V$11,30),0)*ROUND(($L73+$T72+SUM($V73:V73))*$R$5/3000,2),"")</f>
        <v/>
      </c>
      <c r="X73" s="3"/>
      <c r="Y73" s="3"/>
    </row>
    <row r="74" spans="4:25" x14ac:dyDescent="0.25">
      <c r="D74" s="5"/>
      <c r="E74" t="str">
        <f t="shared" si="14"/>
        <v/>
      </c>
      <c r="F74" s="22" t="str">
        <f t="shared" si="16"/>
        <v/>
      </c>
      <c r="G74" s="22" t="str">
        <f t="shared" si="17"/>
        <v/>
      </c>
      <c r="H74" s="22" t="str">
        <f t="shared" si="18"/>
        <v/>
      </c>
      <c r="I74" t="str">
        <f t="shared" si="19"/>
        <v/>
      </c>
      <c r="J74" s="5" t="str">
        <f>IF($I74&lt;&gt;"",IF($D74="",DATE(YEAR($K$7),MONTH($K$7)+($A$1*($F74-1))+SUM($B$12:$B74),DAY($K$7)),$D74),"")</f>
        <v/>
      </c>
      <c r="K74" s="9" t="str">
        <f t="shared" si="20"/>
        <v/>
      </c>
      <c r="L74" s="3" t="str">
        <f t="shared" si="21"/>
        <v/>
      </c>
      <c r="M74" s="3" t="str">
        <f>IF($I74&lt;&gt;"",IF($A74="Gracia Parcial",IF(AND($C74&lt;$U74+$P74+$Q74+$R74+$T73,$C74&gt;0),$C74,$U74+$P74+$Q74+$R74+$T73),IF($A74="Gracia Total",0,IF($A74="Prepago",$C74,IF(ISNUMBER($C74),$C74*VALUE(MID($C$1,MONTH($J74),1)),$N$5*VALUE(MID($C$1,MONTH($J74),1))))))-IF($I75="",ARREGLO,0),"")</f>
        <v/>
      </c>
      <c r="N74" s="3" t="str">
        <f t="shared" si="22"/>
        <v/>
      </c>
      <c r="O74" s="3" t="str">
        <f t="shared" si="23"/>
        <v/>
      </c>
      <c r="P74" s="8" t="str">
        <f t="shared" si="24"/>
        <v/>
      </c>
      <c r="Q74" s="8" t="str">
        <f t="shared" si="25"/>
        <v/>
      </c>
      <c r="R74" s="3" t="str">
        <f t="shared" si="26"/>
        <v/>
      </c>
      <c r="S74" s="3" t="str">
        <f t="shared" si="27"/>
        <v/>
      </c>
      <c r="T74" s="3" t="str">
        <f t="shared" si="28"/>
        <v/>
      </c>
      <c r="U74" s="3" t="str">
        <f t="shared" si="29"/>
        <v/>
      </c>
      <c r="V74" s="3" t="str">
        <f t="shared" si="30"/>
        <v/>
      </c>
      <c r="W74" s="3" t="str">
        <f>IF($I74&lt;&gt;"",IF($K74&gt;V$11,IF($K74&lt;W$11,$K74-V$11,30),0)*ROUND(($L74+$T73+SUM($V74:V74))*$R$5/3000,2),"")</f>
        <v/>
      </c>
      <c r="X74" s="3"/>
      <c r="Y74" s="3"/>
    </row>
    <row r="75" spans="4:25" x14ac:dyDescent="0.25">
      <c r="D75" s="5"/>
      <c r="E75" t="str">
        <f t="shared" si="14"/>
        <v/>
      </c>
      <c r="F75" s="22" t="str">
        <f t="shared" si="16"/>
        <v/>
      </c>
      <c r="G75" s="22" t="str">
        <f t="shared" si="17"/>
        <v/>
      </c>
      <c r="H75" s="22" t="str">
        <f t="shared" si="18"/>
        <v/>
      </c>
      <c r="I75" t="str">
        <f t="shared" si="19"/>
        <v/>
      </c>
      <c r="J75" s="5" t="str">
        <f>IF($I75&lt;&gt;"",IF($D75="",DATE(YEAR($K$7),MONTH($K$7)+($A$1*($F75-1))+SUM($B$12:$B75),DAY($K$7)),$D75),"")</f>
        <v/>
      </c>
      <c r="K75" s="9" t="str">
        <f t="shared" si="20"/>
        <v/>
      </c>
      <c r="L75" s="3" t="str">
        <f t="shared" si="21"/>
        <v/>
      </c>
      <c r="M75" s="3" t="str">
        <f>IF($I75&lt;&gt;"",IF($A75="Gracia Parcial",IF(AND($C75&lt;$U75+$P75+$Q75+$R75+$T74,$C75&gt;0),$C75,$U75+$P75+$Q75+$R75+$T74),IF($A75="Gracia Total",0,IF($A75="Prepago",$C75,IF(ISNUMBER($C75),$C75*VALUE(MID($C$1,MONTH($J75),1)),$N$5*VALUE(MID($C$1,MONTH($J75),1))))))-IF($I76="",ARREGLO,0),"")</f>
        <v/>
      </c>
      <c r="N75" s="3" t="str">
        <f t="shared" si="22"/>
        <v/>
      </c>
      <c r="O75" s="3" t="str">
        <f t="shared" si="23"/>
        <v/>
      </c>
      <c r="P75" s="8" t="str">
        <f t="shared" si="24"/>
        <v/>
      </c>
      <c r="Q75" s="8" t="str">
        <f t="shared" si="25"/>
        <v/>
      </c>
      <c r="R75" s="3" t="str">
        <f t="shared" si="26"/>
        <v/>
      </c>
      <c r="S75" s="3" t="str">
        <f t="shared" si="27"/>
        <v/>
      </c>
      <c r="T75" s="3" t="str">
        <f t="shared" si="28"/>
        <v/>
      </c>
      <c r="U75" s="3" t="str">
        <f t="shared" si="29"/>
        <v/>
      </c>
      <c r="V75" s="3" t="str">
        <f t="shared" si="30"/>
        <v/>
      </c>
      <c r="W75" s="3" t="str">
        <f>IF($I75&lt;&gt;"",IF($K75&gt;V$11,IF($K75&lt;W$11,$K75-V$11,30),0)*ROUND(($L75+$T74+SUM($V75:V75))*$R$5/3000,2),"")</f>
        <v/>
      </c>
      <c r="X75" s="3"/>
      <c r="Y75" s="3"/>
    </row>
    <row r="76" spans="4:25" x14ac:dyDescent="0.25">
      <c r="D76" s="5"/>
      <c r="E76" t="str">
        <f t="shared" si="14"/>
        <v/>
      </c>
      <c r="F76" s="22" t="str">
        <f t="shared" ref="F76:F107" si="31">IF($I76&lt;&gt;"",IF($A76="Prepago",$F75,$F75+1),"")</f>
        <v/>
      </c>
      <c r="G76" s="22" t="str">
        <f t="shared" ref="G76:G107" si="32">IF($I76&lt;&gt;"",IF(ISNUMBER($C76),-$N76+$U76-$O76,ABS($U76)+$P76+$Q76+$R76),"")</f>
        <v/>
      </c>
      <c r="H76" s="22" t="str">
        <f t="shared" ref="H76:H107" si="33">IF(I76&lt;&gt;"",IF(COUNTA($V76:$XFD76)*30&lt;$K76,1,0),"")</f>
        <v/>
      </c>
      <c r="I76" t="str">
        <f t="shared" ref="I76:I107" si="34">IF($I75&lt;NCUOTAS+CUOTAADICIONAL+PGRACIA,$I75+1,"")</f>
        <v/>
      </c>
      <c r="J76" s="5" t="str">
        <f>IF($I76&lt;&gt;"",IF($D76="",DATE(YEAR($K$7),MONTH($K$7)+($A$1*($F76-1))+SUM($B$12:$B76),DAY($K$7)),$D76),"")</f>
        <v/>
      </c>
      <c r="K76" s="9" t="str">
        <f t="shared" ref="K76:K107" si="35">IF($I76&lt;&gt;"",$J76-$J75,"")</f>
        <v/>
      </c>
      <c r="L76" s="3" t="str">
        <f t="shared" ref="L76:L107" si="36">IF($I76&lt;&gt;"",$S75,"")</f>
        <v/>
      </c>
      <c r="M76" s="3" t="str">
        <f>IF($I76&lt;&gt;"",IF($A76="Gracia Parcial",IF(AND($C76&lt;$U76+$P76+$Q76+$R76+$T75,$C76&gt;0),$C76,$U76+$P76+$Q76+$R76+$T75),IF($A76="Gracia Total",0,IF($A76="Prepago",$C76,IF(ISNUMBER($C76),$C76*VALUE(MID($C$1,MONTH($J76),1)),$N$5*VALUE(MID($C$1,MONTH($J76),1))))))-IF($I77="",ARREGLO,0),"")</f>
        <v/>
      </c>
      <c r="N76" s="3" t="str">
        <f t="shared" ref="N76:N107" si="37">IF($I76&lt;&gt;"",IF($M76-$O76&gt;0,$M76-$O76-$P76-$Q76-$R76,0),"")</f>
        <v/>
      </c>
      <c r="O76" s="3" t="str">
        <f t="shared" ref="O76:O107" si="38">IF($I76&lt;&gt;"",IF($M76&gt;=$U76+$T75+$P76+$Q76+$R76,$U76+$T75,$M76-$P76-$Q76-$R76),"")</f>
        <v/>
      </c>
      <c r="P76" s="8" t="str">
        <f t="shared" ref="P76:P107" si="39">IF($I76&lt;&gt;"",IF($A76="Prepago",0,$Q$6+$Q$6*$B76),"")</f>
        <v/>
      </c>
      <c r="Q76" s="8" t="str">
        <f t="shared" ref="Q76:Q107" si="40">IF($I76&lt;&gt;"",IF($A76="Prepago",0,$Q$7+$Q$7*$B76),"")</f>
        <v/>
      </c>
      <c r="R76" s="3" t="str">
        <f t="shared" ref="R76:R107" si="41">IF($I76&lt;&gt;"",IF($A76="Prepago",0,$Q$8+$Q$8*$B76),"")</f>
        <v/>
      </c>
      <c r="S76" s="3" t="str">
        <f t="shared" ref="S76:S107" si="42">IF($I76&lt;&gt;"",$L76-$N76,"")</f>
        <v/>
      </c>
      <c r="T76" s="3" t="str">
        <f t="shared" ref="T76:T107" si="43">IF($I76&lt;&gt;"",+$T75+SUM($V76:$CD76)-$O76,"")</f>
        <v/>
      </c>
      <c r="U76" s="3" t="str">
        <f t="shared" ref="U76:U107" si="44">IF($I76&lt;&gt;"",SUM($V76:$XFD76),"")</f>
        <v/>
      </c>
      <c r="V76" s="3" t="str">
        <f t="shared" ref="V76:V107" si="45">IF($I76&lt;&gt;"",IF($K76&gt;V$11,30,$K76)*ROUND(($L76+$T75)*$R$5/3000,2),"")</f>
        <v/>
      </c>
      <c r="W76" s="3" t="str">
        <f>IF($I76&lt;&gt;"",IF($K76&gt;V$11,IF($K76&lt;W$11,$K76-V$11,30),0)*ROUND(($L76+$T75+SUM($V76:V76))*$R$5/3000,2),"")</f>
        <v/>
      </c>
      <c r="X76" s="3"/>
      <c r="Y76" s="3"/>
    </row>
    <row r="77" spans="4:25" x14ac:dyDescent="0.25">
      <c r="D77" s="5"/>
      <c r="E77" t="str">
        <f t="shared" ref="E77:E140" si="46">IF($I77&lt;&gt;"",TEXT(J77,"DDD"),"")</f>
        <v/>
      </c>
      <c r="F77" s="22" t="str">
        <f t="shared" si="31"/>
        <v/>
      </c>
      <c r="G77" s="22" t="str">
        <f t="shared" si="32"/>
        <v/>
      </c>
      <c r="H77" s="22" t="str">
        <f t="shared" si="33"/>
        <v/>
      </c>
      <c r="I77" t="str">
        <f t="shared" si="34"/>
        <v/>
      </c>
      <c r="J77" s="5" t="str">
        <f>IF($I77&lt;&gt;"",IF($D77="",DATE(YEAR($K$7),MONTH($K$7)+($A$1*($F77-1))+SUM($B$12:$B77),DAY($K$7)),$D77),"")</f>
        <v/>
      </c>
      <c r="K77" s="9" t="str">
        <f t="shared" si="35"/>
        <v/>
      </c>
      <c r="L77" s="3" t="str">
        <f t="shared" si="36"/>
        <v/>
      </c>
      <c r="M77" s="3" t="str">
        <f>IF($I77&lt;&gt;"",IF($A77="Gracia Parcial",IF(AND($C77&lt;$U77+$P77+$Q77+$R77+$T76,$C77&gt;0),$C77,$U77+$P77+$Q77+$R77+$T76),IF($A77="Gracia Total",0,IF($A77="Prepago",$C77,IF(ISNUMBER($C77),$C77*VALUE(MID($C$1,MONTH($J77),1)),$N$5*VALUE(MID($C$1,MONTH($J77),1))))))-IF($I78="",ARREGLO,0),"")</f>
        <v/>
      </c>
      <c r="N77" s="3" t="str">
        <f t="shared" si="37"/>
        <v/>
      </c>
      <c r="O77" s="3" t="str">
        <f t="shared" si="38"/>
        <v/>
      </c>
      <c r="P77" s="8" t="str">
        <f t="shared" si="39"/>
        <v/>
      </c>
      <c r="Q77" s="8" t="str">
        <f t="shared" si="40"/>
        <v/>
      </c>
      <c r="R77" s="3" t="str">
        <f t="shared" si="41"/>
        <v/>
      </c>
      <c r="S77" s="3" t="str">
        <f t="shared" si="42"/>
        <v/>
      </c>
      <c r="T77" s="3" t="str">
        <f t="shared" si="43"/>
        <v/>
      </c>
      <c r="U77" s="3" t="str">
        <f t="shared" si="44"/>
        <v/>
      </c>
      <c r="V77" s="3" t="str">
        <f t="shared" si="45"/>
        <v/>
      </c>
      <c r="W77" s="3" t="str">
        <f>IF($I77&lt;&gt;"",IF($K77&gt;V$11,IF($K77&lt;W$11,$K77-V$11,30),0)*ROUND(($L77+$T76+SUM($V77:V77))*$R$5/3000,2),"")</f>
        <v/>
      </c>
      <c r="X77" s="3"/>
      <c r="Y77" s="3"/>
    </row>
    <row r="78" spans="4:25" x14ac:dyDescent="0.25">
      <c r="D78" s="5"/>
      <c r="E78" t="str">
        <f t="shared" si="46"/>
        <v/>
      </c>
      <c r="F78" s="22" t="str">
        <f t="shared" si="31"/>
        <v/>
      </c>
      <c r="G78" s="22" t="str">
        <f t="shared" si="32"/>
        <v/>
      </c>
      <c r="H78" s="22" t="str">
        <f t="shared" si="33"/>
        <v/>
      </c>
      <c r="I78" t="str">
        <f t="shared" si="34"/>
        <v/>
      </c>
      <c r="J78" s="5" t="str">
        <f>IF($I78&lt;&gt;"",IF($D78="",DATE(YEAR($K$7),MONTH($K$7)+($A$1*($F78-1))+SUM($B$12:$B78),DAY($K$7)),$D78),"")</f>
        <v/>
      </c>
      <c r="K78" s="9" t="str">
        <f t="shared" si="35"/>
        <v/>
      </c>
      <c r="L78" s="3" t="str">
        <f t="shared" si="36"/>
        <v/>
      </c>
      <c r="M78" s="3" t="str">
        <f>IF($I78&lt;&gt;"",IF($A78="Gracia Parcial",IF(AND($C78&lt;$U78+$P78+$Q78+$R78+$T77,$C78&gt;0),$C78,$U78+$P78+$Q78+$R78+$T77),IF($A78="Gracia Total",0,IF($A78="Prepago",$C78,IF(ISNUMBER($C78),$C78*VALUE(MID($C$1,MONTH($J78),1)),$N$5*VALUE(MID($C$1,MONTH($J78),1))))))-IF($I79="",ARREGLO,0),"")</f>
        <v/>
      </c>
      <c r="N78" s="3" t="str">
        <f t="shared" si="37"/>
        <v/>
      </c>
      <c r="O78" s="3" t="str">
        <f t="shared" si="38"/>
        <v/>
      </c>
      <c r="P78" s="8" t="str">
        <f t="shared" si="39"/>
        <v/>
      </c>
      <c r="Q78" s="8" t="str">
        <f t="shared" si="40"/>
        <v/>
      </c>
      <c r="R78" s="3" t="str">
        <f t="shared" si="41"/>
        <v/>
      </c>
      <c r="S78" s="3" t="str">
        <f t="shared" si="42"/>
        <v/>
      </c>
      <c r="T78" s="3" t="str">
        <f t="shared" si="43"/>
        <v/>
      </c>
      <c r="U78" s="3" t="str">
        <f t="shared" si="44"/>
        <v/>
      </c>
      <c r="V78" s="3" t="str">
        <f t="shared" si="45"/>
        <v/>
      </c>
      <c r="W78" s="3" t="str">
        <f>IF($I78&lt;&gt;"",IF($K78&gt;V$11,IF($K78&lt;W$11,$K78-V$11,30),0)*ROUND(($L78+$T77+SUM($V78:V78))*$R$5/3000,2),"")</f>
        <v/>
      </c>
      <c r="X78" s="3"/>
      <c r="Y78" s="3"/>
    </row>
    <row r="79" spans="4:25" x14ac:dyDescent="0.25">
      <c r="D79" s="5"/>
      <c r="E79" t="str">
        <f t="shared" si="46"/>
        <v/>
      </c>
      <c r="F79" s="22" t="str">
        <f t="shared" si="31"/>
        <v/>
      </c>
      <c r="G79" s="22" t="str">
        <f t="shared" si="32"/>
        <v/>
      </c>
      <c r="H79" s="22" t="str">
        <f t="shared" si="33"/>
        <v/>
      </c>
      <c r="I79" t="str">
        <f t="shared" si="34"/>
        <v/>
      </c>
      <c r="J79" s="5" t="str">
        <f>IF($I79&lt;&gt;"",IF($D79="",DATE(YEAR($K$7),MONTH($K$7)+($A$1*($F79-1))+SUM($B$12:$B79),DAY($K$7)),$D79),"")</f>
        <v/>
      </c>
      <c r="K79" s="9" t="str">
        <f t="shared" si="35"/>
        <v/>
      </c>
      <c r="L79" s="3" t="str">
        <f t="shared" si="36"/>
        <v/>
      </c>
      <c r="M79" s="3" t="str">
        <f>IF($I79&lt;&gt;"",IF($A79="Gracia Parcial",IF(AND($C79&lt;$U79+$P79+$Q79+$R79+$T78,$C79&gt;0),$C79,$U79+$P79+$Q79+$R79+$T78),IF($A79="Gracia Total",0,IF($A79="Prepago",$C79,IF(ISNUMBER($C79),$C79*VALUE(MID($C$1,MONTH($J79),1)),$N$5*VALUE(MID($C$1,MONTH($J79),1))))))-IF($I80="",ARREGLO,0),"")</f>
        <v/>
      </c>
      <c r="N79" s="3" t="str">
        <f t="shared" si="37"/>
        <v/>
      </c>
      <c r="O79" s="3" t="str">
        <f t="shared" si="38"/>
        <v/>
      </c>
      <c r="P79" s="8" t="str">
        <f t="shared" si="39"/>
        <v/>
      </c>
      <c r="Q79" s="8" t="str">
        <f t="shared" si="40"/>
        <v/>
      </c>
      <c r="R79" s="3" t="str">
        <f t="shared" si="41"/>
        <v/>
      </c>
      <c r="S79" s="3" t="str">
        <f t="shared" si="42"/>
        <v/>
      </c>
      <c r="T79" s="3" t="str">
        <f t="shared" si="43"/>
        <v/>
      </c>
      <c r="U79" s="3" t="str">
        <f t="shared" si="44"/>
        <v/>
      </c>
      <c r="V79" s="3" t="str">
        <f t="shared" si="45"/>
        <v/>
      </c>
      <c r="W79" s="3" t="str">
        <f>IF($I79&lt;&gt;"",IF($K79&gt;V$11,IF($K79&lt;W$11,$K79-V$11,30),0)*ROUND(($L79+$T78+SUM($V79:V79))*$R$5/3000,2),"")</f>
        <v/>
      </c>
      <c r="X79" s="3"/>
      <c r="Y79" s="3"/>
    </row>
    <row r="80" spans="4:25" x14ac:dyDescent="0.25">
      <c r="D80" s="5"/>
      <c r="E80" t="str">
        <f t="shared" si="46"/>
        <v/>
      </c>
      <c r="F80" s="22" t="str">
        <f t="shared" si="31"/>
        <v/>
      </c>
      <c r="G80" s="22" t="str">
        <f t="shared" si="32"/>
        <v/>
      </c>
      <c r="H80" s="22" t="str">
        <f t="shared" si="33"/>
        <v/>
      </c>
      <c r="I80" t="str">
        <f t="shared" si="34"/>
        <v/>
      </c>
      <c r="J80" s="5" t="str">
        <f>IF($I80&lt;&gt;"",IF($D80="",DATE(YEAR($K$7),MONTH($K$7)+($A$1*($F80-1))+SUM($B$12:$B80),DAY($K$7)),$D80),"")</f>
        <v/>
      </c>
      <c r="K80" s="9" t="str">
        <f t="shared" si="35"/>
        <v/>
      </c>
      <c r="L80" s="3" t="str">
        <f t="shared" si="36"/>
        <v/>
      </c>
      <c r="M80" s="3" t="str">
        <f>IF($I80&lt;&gt;"",IF($A80="Gracia Parcial",IF(AND($C80&lt;$U80+$P80+$Q80+$R80+$T79,$C80&gt;0),$C80,$U80+$P80+$Q80+$R80+$T79),IF($A80="Gracia Total",0,IF($A80="Prepago",$C80,IF(ISNUMBER($C80),$C80*VALUE(MID($C$1,MONTH($J80),1)),$N$5*VALUE(MID($C$1,MONTH($J80),1))))))-IF($I81="",ARREGLO,0),"")</f>
        <v/>
      </c>
      <c r="N80" s="3" t="str">
        <f t="shared" si="37"/>
        <v/>
      </c>
      <c r="O80" s="3" t="str">
        <f t="shared" si="38"/>
        <v/>
      </c>
      <c r="P80" s="8" t="str">
        <f t="shared" si="39"/>
        <v/>
      </c>
      <c r="Q80" s="8" t="str">
        <f t="shared" si="40"/>
        <v/>
      </c>
      <c r="R80" s="3" t="str">
        <f t="shared" si="41"/>
        <v/>
      </c>
      <c r="S80" s="3" t="str">
        <f t="shared" si="42"/>
        <v/>
      </c>
      <c r="T80" s="3" t="str">
        <f t="shared" si="43"/>
        <v/>
      </c>
      <c r="U80" s="3" t="str">
        <f t="shared" si="44"/>
        <v/>
      </c>
      <c r="V80" s="3" t="str">
        <f t="shared" si="45"/>
        <v/>
      </c>
      <c r="W80" s="3" t="str">
        <f>IF($I80&lt;&gt;"",IF($K80&gt;V$11,IF($K80&lt;W$11,$K80-V$11,30),0)*ROUND(($L80+$T79+SUM($V80:V80))*$R$5/3000,2),"")</f>
        <v/>
      </c>
      <c r="X80" s="3"/>
      <c r="Y80" s="3"/>
    </row>
    <row r="81" spans="4:25" x14ac:dyDescent="0.25">
      <c r="D81" s="5"/>
      <c r="E81" t="str">
        <f t="shared" si="46"/>
        <v/>
      </c>
      <c r="F81" s="22" t="str">
        <f t="shared" si="31"/>
        <v/>
      </c>
      <c r="G81" s="22" t="str">
        <f t="shared" si="32"/>
        <v/>
      </c>
      <c r="H81" s="22" t="str">
        <f t="shared" si="33"/>
        <v/>
      </c>
      <c r="I81" t="str">
        <f t="shared" si="34"/>
        <v/>
      </c>
      <c r="J81" s="5" t="str">
        <f>IF($I81&lt;&gt;"",IF($D81="",DATE(YEAR($K$7),MONTH($K$7)+($A$1*($F81-1))+SUM($B$12:$B81),DAY($K$7)),$D81),"")</f>
        <v/>
      </c>
      <c r="K81" s="9" t="str">
        <f t="shared" si="35"/>
        <v/>
      </c>
      <c r="L81" s="3" t="str">
        <f t="shared" si="36"/>
        <v/>
      </c>
      <c r="M81" s="3" t="str">
        <f>IF($I81&lt;&gt;"",IF($A81="Gracia Parcial",IF(AND($C81&lt;$U81+$P81+$Q81+$R81+$T80,$C81&gt;0),$C81,$U81+$P81+$Q81+$R81+$T80),IF($A81="Gracia Total",0,IF($A81="Prepago",$C81,IF(ISNUMBER($C81),$C81*VALUE(MID($C$1,MONTH($J81),1)),$N$5*VALUE(MID($C$1,MONTH($J81),1))))))-IF($I82="",ARREGLO,0),"")</f>
        <v/>
      </c>
      <c r="N81" s="3" t="str">
        <f t="shared" si="37"/>
        <v/>
      </c>
      <c r="O81" s="3" t="str">
        <f t="shared" si="38"/>
        <v/>
      </c>
      <c r="P81" s="8" t="str">
        <f t="shared" si="39"/>
        <v/>
      </c>
      <c r="Q81" s="8" t="str">
        <f t="shared" si="40"/>
        <v/>
      </c>
      <c r="R81" s="3" t="str">
        <f t="shared" si="41"/>
        <v/>
      </c>
      <c r="S81" s="3" t="str">
        <f t="shared" si="42"/>
        <v/>
      </c>
      <c r="T81" s="3" t="str">
        <f t="shared" si="43"/>
        <v/>
      </c>
      <c r="U81" s="3" t="str">
        <f t="shared" si="44"/>
        <v/>
      </c>
      <c r="V81" s="3" t="str">
        <f t="shared" si="45"/>
        <v/>
      </c>
      <c r="W81" s="3" t="str">
        <f>IF($I81&lt;&gt;"",IF($K81&gt;V$11,IF($K81&lt;W$11,$K81-V$11,30),0)*ROUND(($L81+$T80+SUM($V81:V81))*$R$5/3000,2),"")</f>
        <v/>
      </c>
      <c r="X81" s="3"/>
      <c r="Y81" s="3"/>
    </row>
    <row r="82" spans="4:25" x14ac:dyDescent="0.25">
      <c r="D82" s="5"/>
      <c r="E82" t="str">
        <f t="shared" si="46"/>
        <v/>
      </c>
      <c r="F82" s="22" t="str">
        <f t="shared" si="31"/>
        <v/>
      </c>
      <c r="G82" s="22" t="str">
        <f t="shared" si="32"/>
        <v/>
      </c>
      <c r="H82" s="22" t="str">
        <f t="shared" si="33"/>
        <v/>
      </c>
      <c r="I82" t="str">
        <f t="shared" si="34"/>
        <v/>
      </c>
      <c r="J82" s="5" t="str">
        <f>IF($I82&lt;&gt;"",IF($D82="",DATE(YEAR($K$7),MONTH($K$7)+($A$1*($F82-1))+SUM($B$12:$B82),DAY($K$7)),$D82),"")</f>
        <v/>
      </c>
      <c r="K82" s="9" t="str">
        <f t="shared" si="35"/>
        <v/>
      </c>
      <c r="L82" s="3" t="str">
        <f t="shared" si="36"/>
        <v/>
      </c>
      <c r="M82" s="3" t="str">
        <f>IF($I82&lt;&gt;"",IF($A82="Gracia Parcial",IF(AND($C82&lt;$U82+$P82+$Q82+$R82+$T81,$C82&gt;0),$C82,$U82+$P82+$Q82+$R82+$T81),IF($A82="Gracia Total",0,IF($A82="Prepago",$C82,IF(ISNUMBER($C82),$C82*VALUE(MID($C$1,MONTH($J82),1)),$N$5*VALUE(MID($C$1,MONTH($J82),1))))))-IF($I83="",ARREGLO,0),"")</f>
        <v/>
      </c>
      <c r="N82" s="3" t="str">
        <f t="shared" si="37"/>
        <v/>
      </c>
      <c r="O82" s="3" t="str">
        <f t="shared" si="38"/>
        <v/>
      </c>
      <c r="P82" s="8" t="str">
        <f t="shared" si="39"/>
        <v/>
      </c>
      <c r="Q82" s="8" t="str">
        <f t="shared" si="40"/>
        <v/>
      </c>
      <c r="R82" s="3" t="str">
        <f t="shared" si="41"/>
        <v/>
      </c>
      <c r="S82" s="3" t="str">
        <f t="shared" si="42"/>
        <v/>
      </c>
      <c r="T82" s="3" t="str">
        <f t="shared" si="43"/>
        <v/>
      </c>
      <c r="U82" s="3" t="str">
        <f t="shared" si="44"/>
        <v/>
      </c>
      <c r="V82" s="3" t="str">
        <f t="shared" si="45"/>
        <v/>
      </c>
      <c r="W82" s="3" t="str">
        <f>IF($I82&lt;&gt;"",IF($K82&gt;V$11,IF($K82&lt;W$11,$K82-V$11,30),0)*ROUND(($L82+$T81+SUM($V82:V82))*$R$5/3000,2),"")</f>
        <v/>
      </c>
      <c r="X82" s="3"/>
      <c r="Y82" s="3"/>
    </row>
    <row r="83" spans="4:25" x14ac:dyDescent="0.25">
      <c r="D83" s="5"/>
      <c r="E83" t="str">
        <f t="shared" si="46"/>
        <v/>
      </c>
      <c r="F83" s="22" t="str">
        <f t="shared" si="31"/>
        <v/>
      </c>
      <c r="G83" s="22" t="str">
        <f t="shared" si="32"/>
        <v/>
      </c>
      <c r="H83" s="22" t="str">
        <f t="shared" si="33"/>
        <v/>
      </c>
      <c r="I83" t="str">
        <f t="shared" si="34"/>
        <v/>
      </c>
      <c r="J83" s="5" t="str">
        <f>IF($I83&lt;&gt;"",IF($D83="",DATE(YEAR($K$7),MONTH($K$7)+($A$1*($F83-1))+SUM($B$12:$B83),DAY($K$7)),$D83),"")</f>
        <v/>
      </c>
      <c r="K83" s="9" t="str">
        <f t="shared" si="35"/>
        <v/>
      </c>
      <c r="L83" s="3" t="str">
        <f t="shared" si="36"/>
        <v/>
      </c>
      <c r="M83" s="3" t="str">
        <f>IF($I83&lt;&gt;"",IF($A83="Gracia Parcial",IF(AND($C83&lt;$U83+$P83+$Q83+$R83+$T82,$C83&gt;0),$C83,$U83+$P83+$Q83+$R83+$T82),IF($A83="Gracia Total",0,IF($A83="Prepago",$C83,IF(ISNUMBER($C83),$C83*VALUE(MID($C$1,MONTH($J83),1)),$N$5*VALUE(MID($C$1,MONTH($J83),1))))))-IF($I84="",ARREGLO,0),"")</f>
        <v/>
      </c>
      <c r="N83" s="3" t="str">
        <f t="shared" si="37"/>
        <v/>
      </c>
      <c r="O83" s="3" t="str">
        <f t="shared" si="38"/>
        <v/>
      </c>
      <c r="P83" s="8" t="str">
        <f t="shared" si="39"/>
        <v/>
      </c>
      <c r="Q83" s="8" t="str">
        <f t="shared" si="40"/>
        <v/>
      </c>
      <c r="R83" s="3" t="str">
        <f t="shared" si="41"/>
        <v/>
      </c>
      <c r="S83" s="3" t="str">
        <f t="shared" si="42"/>
        <v/>
      </c>
      <c r="T83" s="3" t="str">
        <f t="shared" si="43"/>
        <v/>
      </c>
      <c r="U83" s="3" t="str">
        <f t="shared" si="44"/>
        <v/>
      </c>
      <c r="V83" s="3" t="str">
        <f t="shared" si="45"/>
        <v/>
      </c>
      <c r="W83" s="3" t="str">
        <f>IF($I83&lt;&gt;"",IF($K83&gt;V$11,IF($K83&lt;W$11,$K83-V$11,30),0)*ROUND(($L83+$T82+SUM($V83:V83))*$R$5/3000,2),"")</f>
        <v/>
      </c>
      <c r="X83" s="3"/>
      <c r="Y83" s="3"/>
    </row>
    <row r="84" spans="4:25" x14ac:dyDescent="0.25">
      <c r="D84" s="5"/>
      <c r="E84" t="str">
        <f t="shared" si="46"/>
        <v/>
      </c>
      <c r="F84" s="22" t="str">
        <f t="shared" si="31"/>
        <v/>
      </c>
      <c r="G84" s="22" t="str">
        <f t="shared" si="32"/>
        <v/>
      </c>
      <c r="H84" s="22" t="str">
        <f t="shared" si="33"/>
        <v/>
      </c>
      <c r="I84" t="str">
        <f t="shared" si="34"/>
        <v/>
      </c>
      <c r="J84" s="5" t="str">
        <f>IF($I84&lt;&gt;"",IF($D84="",DATE(YEAR($K$7),MONTH($K$7)+($A$1*($F84-1))+SUM($B$12:$B84),DAY($K$7)),$D84),"")</f>
        <v/>
      </c>
      <c r="K84" s="9" t="str">
        <f t="shared" si="35"/>
        <v/>
      </c>
      <c r="L84" s="3" t="str">
        <f t="shared" si="36"/>
        <v/>
      </c>
      <c r="M84" s="3" t="str">
        <f>IF($I84&lt;&gt;"",IF($A84="Gracia Parcial",IF(AND($C84&lt;$U84+$P84+$Q84+$R84+$T83,$C84&gt;0),$C84,$U84+$P84+$Q84+$R84+$T83),IF($A84="Gracia Total",0,IF($A84="Prepago",$C84,IF(ISNUMBER($C84),$C84*VALUE(MID($C$1,MONTH($J84),1)),$N$5*VALUE(MID($C$1,MONTH($J84),1))))))-IF($I85="",ARREGLO,0),"")</f>
        <v/>
      </c>
      <c r="N84" s="3" t="str">
        <f t="shared" si="37"/>
        <v/>
      </c>
      <c r="O84" s="3" t="str">
        <f t="shared" si="38"/>
        <v/>
      </c>
      <c r="P84" s="8" t="str">
        <f t="shared" si="39"/>
        <v/>
      </c>
      <c r="Q84" s="8" t="str">
        <f t="shared" si="40"/>
        <v/>
      </c>
      <c r="R84" s="3" t="str">
        <f t="shared" si="41"/>
        <v/>
      </c>
      <c r="S84" s="3" t="str">
        <f t="shared" si="42"/>
        <v/>
      </c>
      <c r="T84" s="3" t="str">
        <f t="shared" si="43"/>
        <v/>
      </c>
      <c r="U84" s="3" t="str">
        <f t="shared" si="44"/>
        <v/>
      </c>
      <c r="V84" s="3" t="str">
        <f t="shared" si="45"/>
        <v/>
      </c>
      <c r="W84" s="3" t="str">
        <f>IF($I84&lt;&gt;"",IF($K84&gt;V$11,IF($K84&lt;W$11,$K84-V$11,30),0)*ROUND(($L84+$T83+SUM($V84:V84))*$R$5/3000,2),"")</f>
        <v/>
      </c>
      <c r="X84" s="3"/>
      <c r="Y84" s="3"/>
    </row>
    <row r="85" spans="4:25" x14ac:dyDescent="0.25">
      <c r="D85" s="5"/>
      <c r="E85" t="str">
        <f t="shared" si="46"/>
        <v/>
      </c>
      <c r="F85" s="22" t="str">
        <f t="shared" si="31"/>
        <v/>
      </c>
      <c r="G85" s="22" t="str">
        <f t="shared" si="32"/>
        <v/>
      </c>
      <c r="H85" s="22" t="str">
        <f t="shared" si="33"/>
        <v/>
      </c>
      <c r="I85" t="str">
        <f t="shared" si="34"/>
        <v/>
      </c>
      <c r="J85" s="5" t="str">
        <f>IF($I85&lt;&gt;"",IF($D85="",DATE(YEAR($K$7),MONTH($K$7)+($A$1*($F85-1))+SUM($B$12:$B85),DAY($K$7)),$D85),"")</f>
        <v/>
      </c>
      <c r="K85" s="9" t="str">
        <f t="shared" si="35"/>
        <v/>
      </c>
      <c r="L85" s="3" t="str">
        <f t="shared" si="36"/>
        <v/>
      </c>
      <c r="M85" s="3" t="str">
        <f>IF($I85&lt;&gt;"",IF($A85="Gracia Parcial",IF(AND($C85&lt;$U85+$P85+$Q85+$R85+$T84,$C85&gt;0),$C85,$U85+$P85+$Q85+$R85+$T84),IF($A85="Gracia Total",0,IF($A85="Prepago",$C85,IF(ISNUMBER($C85),$C85*VALUE(MID($C$1,MONTH($J85),1)),$N$5*VALUE(MID($C$1,MONTH($J85),1))))))-IF($I86="",ARREGLO,0),"")</f>
        <v/>
      </c>
      <c r="N85" s="3" t="str">
        <f t="shared" si="37"/>
        <v/>
      </c>
      <c r="O85" s="3" t="str">
        <f t="shared" si="38"/>
        <v/>
      </c>
      <c r="P85" s="8" t="str">
        <f t="shared" si="39"/>
        <v/>
      </c>
      <c r="Q85" s="8" t="str">
        <f t="shared" si="40"/>
        <v/>
      </c>
      <c r="R85" s="3" t="str">
        <f t="shared" si="41"/>
        <v/>
      </c>
      <c r="S85" s="3" t="str">
        <f t="shared" si="42"/>
        <v/>
      </c>
      <c r="T85" s="3" t="str">
        <f t="shared" si="43"/>
        <v/>
      </c>
      <c r="U85" s="3" t="str">
        <f t="shared" si="44"/>
        <v/>
      </c>
      <c r="V85" s="3" t="str">
        <f t="shared" si="45"/>
        <v/>
      </c>
      <c r="W85" s="3" t="str">
        <f>IF($I85&lt;&gt;"",IF($K85&gt;V$11,IF($K85&lt;W$11,$K85-V$11,30),0)*ROUND(($L85+$T84+SUM($V85:V85))*$R$5/3000,2),"")</f>
        <v/>
      </c>
      <c r="X85" s="3"/>
      <c r="Y85" s="3"/>
    </row>
    <row r="86" spans="4:25" x14ac:dyDescent="0.25">
      <c r="D86" s="5"/>
      <c r="E86" t="str">
        <f t="shared" si="46"/>
        <v/>
      </c>
      <c r="F86" s="22" t="str">
        <f t="shared" si="31"/>
        <v/>
      </c>
      <c r="G86" s="22" t="str">
        <f t="shared" si="32"/>
        <v/>
      </c>
      <c r="H86" s="22" t="str">
        <f t="shared" si="33"/>
        <v/>
      </c>
      <c r="I86" t="str">
        <f t="shared" si="34"/>
        <v/>
      </c>
      <c r="J86" s="5" t="str">
        <f>IF($I86&lt;&gt;"",IF($D86="",DATE(YEAR($K$7),MONTH($K$7)+($A$1*($F86-1))+SUM($B$12:$B86),DAY($K$7)),$D86),"")</f>
        <v/>
      </c>
      <c r="K86" s="9" t="str">
        <f t="shared" si="35"/>
        <v/>
      </c>
      <c r="L86" s="3" t="str">
        <f t="shared" si="36"/>
        <v/>
      </c>
      <c r="M86" s="3" t="str">
        <f>IF($I86&lt;&gt;"",IF($A86="Gracia Parcial",IF(AND($C86&lt;$U86+$P86+$Q86+$R86+$T85,$C86&gt;0),$C86,$U86+$P86+$Q86+$R86+$T85),IF($A86="Gracia Total",0,IF($A86="Prepago",$C86,IF(ISNUMBER($C86),$C86*VALUE(MID($C$1,MONTH($J86),1)),$N$5*VALUE(MID($C$1,MONTH($J86),1))))))-IF($I87="",ARREGLO,0),"")</f>
        <v/>
      </c>
      <c r="N86" s="3" t="str">
        <f t="shared" si="37"/>
        <v/>
      </c>
      <c r="O86" s="3" t="str">
        <f t="shared" si="38"/>
        <v/>
      </c>
      <c r="P86" s="8" t="str">
        <f t="shared" si="39"/>
        <v/>
      </c>
      <c r="Q86" s="8" t="str">
        <f t="shared" si="40"/>
        <v/>
      </c>
      <c r="R86" s="3" t="str">
        <f t="shared" si="41"/>
        <v/>
      </c>
      <c r="S86" s="3" t="str">
        <f t="shared" si="42"/>
        <v/>
      </c>
      <c r="T86" s="3" t="str">
        <f t="shared" si="43"/>
        <v/>
      </c>
      <c r="U86" s="3" t="str">
        <f t="shared" si="44"/>
        <v/>
      </c>
      <c r="V86" s="3" t="str">
        <f t="shared" si="45"/>
        <v/>
      </c>
      <c r="W86" s="3" t="str">
        <f>IF($I86&lt;&gt;"",IF($K86&gt;V$11,IF($K86&lt;W$11,$K86-V$11,30),0)*ROUND(($L86+$T85+SUM($V86:V86))*$R$5/3000,2),"")</f>
        <v/>
      </c>
      <c r="X86" s="3"/>
      <c r="Y86" s="3"/>
    </row>
    <row r="87" spans="4:25" x14ac:dyDescent="0.25">
      <c r="D87" s="5"/>
      <c r="E87" t="str">
        <f t="shared" si="46"/>
        <v/>
      </c>
      <c r="F87" s="22" t="str">
        <f t="shared" si="31"/>
        <v/>
      </c>
      <c r="G87" s="22" t="str">
        <f t="shared" si="32"/>
        <v/>
      </c>
      <c r="H87" s="22" t="str">
        <f t="shared" si="33"/>
        <v/>
      </c>
      <c r="I87" t="str">
        <f t="shared" si="34"/>
        <v/>
      </c>
      <c r="J87" s="5" t="str">
        <f>IF($I87&lt;&gt;"",IF($D87="",DATE(YEAR($K$7),MONTH($K$7)+($A$1*($F87-1))+SUM($B$12:$B87),DAY($K$7)),$D87),"")</f>
        <v/>
      </c>
      <c r="K87" s="9" t="str">
        <f t="shared" si="35"/>
        <v/>
      </c>
      <c r="L87" s="3" t="str">
        <f t="shared" si="36"/>
        <v/>
      </c>
      <c r="M87" s="3" t="str">
        <f>IF($I87&lt;&gt;"",IF($A87="Gracia Parcial",IF(AND($C87&lt;$U87+$P87+$Q87+$R87+$T86,$C87&gt;0),$C87,$U87+$P87+$Q87+$R87+$T86),IF($A87="Gracia Total",0,IF($A87="Prepago",$C87,IF(ISNUMBER($C87),$C87*VALUE(MID($C$1,MONTH($J87),1)),$N$5*VALUE(MID($C$1,MONTH($J87),1))))))-IF($I88="",ARREGLO,0),"")</f>
        <v/>
      </c>
      <c r="N87" s="3" t="str">
        <f t="shared" si="37"/>
        <v/>
      </c>
      <c r="O87" s="3" t="str">
        <f t="shared" si="38"/>
        <v/>
      </c>
      <c r="P87" s="8" t="str">
        <f t="shared" si="39"/>
        <v/>
      </c>
      <c r="Q87" s="8" t="str">
        <f t="shared" si="40"/>
        <v/>
      </c>
      <c r="R87" s="3" t="str">
        <f t="shared" si="41"/>
        <v/>
      </c>
      <c r="S87" s="3" t="str">
        <f t="shared" si="42"/>
        <v/>
      </c>
      <c r="T87" s="3" t="str">
        <f t="shared" si="43"/>
        <v/>
      </c>
      <c r="U87" s="3" t="str">
        <f t="shared" si="44"/>
        <v/>
      </c>
      <c r="V87" s="3" t="str">
        <f t="shared" si="45"/>
        <v/>
      </c>
      <c r="W87" s="3" t="str">
        <f>IF($I87&lt;&gt;"",IF($K87&gt;V$11,IF($K87&lt;W$11,$K87-V$11,30),0)*ROUND(($L87+$T86+SUM($V87:V87))*$R$5/3000,2),"")</f>
        <v/>
      </c>
      <c r="X87" s="3"/>
      <c r="Y87" s="3"/>
    </row>
    <row r="88" spans="4:25" x14ac:dyDescent="0.25">
      <c r="D88" s="5"/>
      <c r="E88" t="str">
        <f t="shared" si="46"/>
        <v/>
      </c>
      <c r="F88" s="22" t="str">
        <f t="shared" si="31"/>
        <v/>
      </c>
      <c r="G88" s="22" t="str">
        <f t="shared" si="32"/>
        <v/>
      </c>
      <c r="H88" s="22" t="str">
        <f t="shared" si="33"/>
        <v/>
      </c>
      <c r="I88" t="str">
        <f t="shared" si="34"/>
        <v/>
      </c>
      <c r="J88" s="5" t="str">
        <f>IF($I88&lt;&gt;"",IF($D88="",DATE(YEAR($K$7),MONTH($K$7)+($A$1*($F88-1))+SUM($B$12:$B88),DAY($K$7)),$D88),"")</f>
        <v/>
      </c>
      <c r="K88" s="9" t="str">
        <f t="shared" si="35"/>
        <v/>
      </c>
      <c r="L88" s="3" t="str">
        <f t="shared" si="36"/>
        <v/>
      </c>
      <c r="M88" s="3" t="str">
        <f>IF($I88&lt;&gt;"",IF($A88="Gracia Parcial",IF(AND($C88&lt;$U88+$P88+$Q88+$R88+$T87,$C88&gt;0),$C88,$U88+$P88+$Q88+$R88+$T87),IF($A88="Gracia Total",0,IF($A88="Prepago",$C88,IF(ISNUMBER($C88),$C88*VALUE(MID($C$1,MONTH($J88),1)),$N$5*VALUE(MID($C$1,MONTH($J88),1))))))-IF($I89="",ARREGLO,0),"")</f>
        <v/>
      </c>
      <c r="N88" s="3" t="str">
        <f t="shared" si="37"/>
        <v/>
      </c>
      <c r="O88" s="3" t="str">
        <f t="shared" si="38"/>
        <v/>
      </c>
      <c r="P88" s="8" t="str">
        <f t="shared" si="39"/>
        <v/>
      </c>
      <c r="Q88" s="8" t="str">
        <f t="shared" si="40"/>
        <v/>
      </c>
      <c r="R88" s="3" t="str">
        <f t="shared" si="41"/>
        <v/>
      </c>
      <c r="S88" s="3" t="str">
        <f t="shared" si="42"/>
        <v/>
      </c>
      <c r="T88" s="3" t="str">
        <f t="shared" si="43"/>
        <v/>
      </c>
      <c r="U88" s="3" t="str">
        <f t="shared" si="44"/>
        <v/>
      </c>
      <c r="V88" s="3" t="str">
        <f t="shared" si="45"/>
        <v/>
      </c>
      <c r="W88" s="3" t="str">
        <f>IF($I88&lt;&gt;"",IF($K88&gt;V$11,IF($K88&lt;W$11,$K88-V$11,30),0)*ROUND(($L88+$T87+SUM($V88:V88))*$R$5/3000,2),"")</f>
        <v/>
      </c>
      <c r="X88" s="3"/>
      <c r="Y88" s="3"/>
    </row>
    <row r="89" spans="4:25" x14ac:dyDescent="0.25">
      <c r="D89" s="5"/>
      <c r="E89" t="str">
        <f t="shared" si="46"/>
        <v/>
      </c>
      <c r="F89" s="22" t="str">
        <f t="shared" si="31"/>
        <v/>
      </c>
      <c r="G89" s="22" t="str">
        <f t="shared" si="32"/>
        <v/>
      </c>
      <c r="H89" s="22" t="str">
        <f t="shared" si="33"/>
        <v/>
      </c>
      <c r="I89" t="str">
        <f t="shared" si="34"/>
        <v/>
      </c>
      <c r="J89" s="5" t="str">
        <f>IF($I89&lt;&gt;"",IF($D89="",DATE(YEAR($K$7),MONTH($K$7)+($A$1*($F89-1))+SUM($B$12:$B89),DAY($K$7)),$D89),"")</f>
        <v/>
      </c>
      <c r="K89" s="9" t="str">
        <f t="shared" si="35"/>
        <v/>
      </c>
      <c r="L89" s="3" t="str">
        <f t="shared" si="36"/>
        <v/>
      </c>
      <c r="M89" s="3" t="str">
        <f>IF($I89&lt;&gt;"",IF($A89="Gracia Parcial",IF(AND($C89&lt;$U89+$P89+$Q89+$R89+$T88,$C89&gt;0),$C89,$U89+$P89+$Q89+$R89+$T88),IF($A89="Gracia Total",0,IF($A89="Prepago",$C89,IF(ISNUMBER($C89),$C89*VALUE(MID($C$1,MONTH($J89),1)),$N$5*VALUE(MID($C$1,MONTH($J89),1))))))-IF($I90="",ARREGLO,0),"")</f>
        <v/>
      </c>
      <c r="N89" s="3" t="str">
        <f t="shared" si="37"/>
        <v/>
      </c>
      <c r="O89" s="3" t="str">
        <f t="shared" si="38"/>
        <v/>
      </c>
      <c r="P89" s="8" t="str">
        <f t="shared" si="39"/>
        <v/>
      </c>
      <c r="Q89" s="8" t="str">
        <f t="shared" si="40"/>
        <v/>
      </c>
      <c r="R89" s="3" t="str">
        <f t="shared" si="41"/>
        <v/>
      </c>
      <c r="S89" s="3" t="str">
        <f t="shared" si="42"/>
        <v/>
      </c>
      <c r="T89" s="3" t="str">
        <f t="shared" si="43"/>
        <v/>
      </c>
      <c r="U89" s="3" t="str">
        <f t="shared" si="44"/>
        <v/>
      </c>
      <c r="V89" s="3" t="str">
        <f t="shared" si="45"/>
        <v/>
      </c>
      <c r="W89" s="3" t="str">
        <f>IF($I89&lt;&gt;"",IF($K89&gt;V$11,IF($K89&lt;W$11,$K89-V$11,30),0)*ROUND(($L89+$T88+SUM($V89:V89))*$R$5/3000,2),"")</f>
        <v/>
      </c>
      <c r="X89" s="3"/>
      <c r="Y89" s="3"/>
    </row>
    <row r="90" spans="4:25" x14ac:dyDescent="0.25">
      <c r="D90" s="5"/>
      <c r="E90" t="str">
        <f t="shared" si="46"/>
        <v/>
      </c>
      <c r="F90" s="22" t="str">
        <f t="shared" si="31"/>
        <v/>
      </c>
      <c r="G90" s="22" t="str">
        <f t="shared" si="32"/>
        <v/>
      </c>
      <c r="H90" s="22" t="str">
        <f t="shared" si="33"/>
        <v/>
      </c>
      <c r="I90" t="str">
        <f t="shared" si="34"/>
        <v/>
      </c>
      <c r="J90" s="5" t="str">
        <f>IF($I90&lt;&gt;"",IF($D90="",DATE(YEAR($K$7),MONTH($K$7)+($A$1*($F90-1))+SUM($B$12:$B90),DAY($K$7)),$D90),"")</f>
        <v/>
      </c>
      <c r="K90" s="9" t="str">
        <f t="shared" si="35"/>
        <v/>
      </c>
      <c r="L90" s="3" t="str">
        <f t="shared" si="36"/>
        <v/>
      </c>
      <c r="M90" s="3" t="str">
        <f>IF($I90&lt;&gt;"",IF($A90="Gracia Parcial",IF(AND($C90&lt;$U90+$P90+$Q90+$R90+$T89,$C90&gt;0),$C90,$U90+$P90+$Q90+$R90+$T89),IF($A90="Gracia Total",0,IF($A90="Prepago",$C90,IF(ISNUMBER($C90),$C90*VALUE(MID($C$1,MONTH($J90),1)),$N$5*VALUE(MID($C$1,MONTH($J90),1))))))-IF($I91="",ARREGLO,0),"")</f>
        <v/>
      </c>
      <c r="N90" s="3" t="str">
        <f t="shared" si="37"/>
        <v/>
      </c>
      <c r="O90" s="3" t="str">
        <f t="shared" si="38"/>
        <v/>
      </c>
      <c r="P90" s="8" t="str">
        <f t="shared" si="39"/>
        <v/>
      </c>
      <c r="Q90" s="8" t="str">
        <f t="shared" si="40"/>
        <v/>
      </c>
      <c r="R90" s="3" t="str">
        <f t="shared" si="41"/>
        <v/>
      </c>
      <c r="S90" s="3" t="str">
        <f t="shared" si="42"/>
        <v/>
      </c>
      <c r="T90" s="3" t="str">
        <f t="shared" si="43"/>
        <v/>
      </c>
      <c r="U90" s="3" t="str">
        <f t="shared" si="44"/>
        <v/>
      </c>
      <c r="V90" s="3" t="str">
        <f t="shared" si="45"/>
        <v/>
      </c>
      <c r="W90" s="3" t="str">
        <f>IF($I90&lt;&gt;"",IF($K90&gt;V$11,IF($K90&lt;W$11,$K90-V$11,30),0)*ROUND(($L90+$T89+SUM($V90:V90))*$R$5/3000,2),"")</f>
        <v/>
      </c>
      <c r="X90" s="3"/>
      <c r="Y90" s="3"/>
    </row>
    <row r="91" spans="4:25" x14ac:dyDescent="0.25">
      <c r="D91" s="5"/>
      <c r="E91" t="str">
        <f t="shared" si="46"/>
        <v/>
      </c>
      <c r="F91" s="22" t="str">
        <f t="shared" si="31"/>
        <v/>
      </c>
      <c r="G91" s="22" t="str">
        <f t="shared" si="32"/>
        <v/>
      </c>
      <c r="H91" s="22" t="str">
        <f t="shared" si="33"/>
        <v/>
      </c>
      <c r="I91" t="str">
        <f t="shared" si="34"/>
        <v/>
      </c>
      <c r="J91" s="5" t="str">
        <f>IF($I91&lt;&gt;"",IF($D91="",DATE(YEAR($K$7),MONTH($K$7)+($A$1*($F91-1))+SUM($B$12:$B91),DAY($K$7)),$D91),"")</f>
        <v/>
      </c>
      <c r="K91" s="9" t="str">
        <f t="shared" si="35"/>
        <v/>
      </c>
      <c r="L91" s="3" t="str">
        <f t="shared" si="36"/>
        <v/>
      </c>
      <c r="M91" s="3" t="str">
        <f>IF($I91&lt;&gt;"",IF($A91="Gracia Parcial",IF(AND($C91&lt;$U91+$P91+$Q91+$R91+$T90,$C91&gt;0),$C91,$U91+$P91+$Q91+$R91+$T90),IF($A91="Gracia Total",0,IF($A91="Prepago",$C91,IF(ISNUMBER($C91),$C91*VALUE(MID($C$1,MONTH($J91),1)),$N$5*VALUE(MID($C$1,MONTH($J91),1))))))-IF($I92="",ARREGLO,0),"")</f>
        <v/>
      </c>
      <c r="N91" s="3" t="str">
        <f t="shared" si="37"/>
        <v/>
      </c>
      <c r="O91" s="3" t="str">
        <f t="shared" si="38"/>
        <v/>
      </c>
      <c r="P91" s="8" t="str">
        <f t="shared" si="39"/>
        <v/>
      </c>
      <c r="Q91" s="8" t="str">
        <f t="shared" si="40"/>
        <v/>
      </c>
      <c r="R91" s="3" t="str">
        <f t="shared" si="41"/>
        <v/>
      </c>
      <c r="S91" s="3" t="str">
        <f t="shared" si="42"/>
        <v/>
      </c>
      <c r="T91" s="3" t="str">
        <f t="shared" si="43"/>
        <v/>
      </c>
      <c r="U91" s="3" t="str">
        <f t="shared" si="44"/>
        <v/>
      </c>
      <c r="V91" s="3" t="str">
        <f t="shared" si="45"/>
        <v/>
      </c>
      <c r="W91" s="3" t="str">
        <f>IF($I91&lt;&gt;"",IF($K91&gt;V$11,IF($K91&lt;W$11,$K91-V$11,30),0)*ROUND(($L91+$T90+SUM($V91:V91))*$R$5/3000,2),"")</f>
        <v/>
      </c>
      <c r="X91" s="3"/>
      <c r="Y91" s="3"/>
    </row>
    <row r="92" spans="4:25" x14ac:dyDescent="0.25">
      <c r="D92" s="5"/>
      <c r="E92" t="str">
        <f t="shared" si="46"/>
        <v/>
      </c>
      <c r="F92" s="22" t="str">
        <f t="shared" si="31"/>
        <v/>
      </c>
      <c r="G92" s="22" t="str">
        <f t="shared" si="32"/>
        <v/>
      </c>
      <c r="H92" s="22" t="str">
        <f t="shared" si="33"/>
        <v/>
      </c>
      <c r="I92" t="str">
        <f t="shared" si="34"/>
        <v/>
      </c>
      <c r="J92" s="5" t="str">
        <f>IF($I92&lt;&gt;"",IF($D92="",DATE(YEAR($K$7),MONTH($K$7)+($A$1*($F92-1))+SUM($B$12:$B92),DAY($K$7)),$D92),"")</f>
        <v/>
      </c>
      <c r="K92" s="9" t="str">
        <f t="shared" si="35"/>
        <v/>
      </c>
      <c r="L92" s="3" t="str">
        <f t="shared" si="36"/>
        <v/>
      </c>
      <c r="M92" s="3" t="str">
        <f>IF($I92&lt;&gt;"",IF($A92="Gracia Parcial",IF(AND($C92&lt;$U92+$P92+$Q92+$R92+$T91,$C92&gt;0),$C92,$U92+$P92+$Q92+$R92+$T91),IF($A92="Gracia Total",0,IF($A92="Prepago",$C92,IF(ISNUMBER($C92),$C92*VALUE(MID($C$1,MONTH($J92),1)),$N$5*VALUE(MID($C$1,MONTH($J92),1))))))-IF($I93="",ARREGLO,0),"")</f>
        <v/>
      </c>
      <c r="N92" s="3" t="str">
        <f t="shared" si="37"/>
        <v/>
      </c>
      <c r="O92" s="3" t="str">
        <f t="shared" si="38"/>
        <v/>
      </c>
      <c r="P92" s="8" t="str">
        <f t="shared" si="39"/>
        <v/>
      </c>
      <c r="Q92" s="8" t="str">
        <f t="shared" si="40"/>
        <v/>
      </c>
      <c r="R92" s="3" t="str">
        <f t="shared" si="41"/>
        <v/>
      </c>
      <c r="S92" s="3" t="str">
        <f t="shared" si="42"/>
        <v/>
      </c>
      <c r="T92" s="3" t="str">
        <f t="shared" si="43"/>
        <v/>
      </c>
      <c r="U92" s="3" t="str">
        <f t="shared" si="44"/>
        <v/>
      </c>
      <c r="V92" s="3" t="str">
        <f t="shared" si="45"/>
        <v/>
      </c>
      <c r="W92" s="3" t="str">
        <f>IF($I92&lt;&gt;"",IF($K92&gt;V$11,IF($K92&lt;W$11,$K92-V$11,30),0)*ROUND(($L92+$T91+SUM($V92:V92))*$R$5/3000,2),"")</f>
        <v/>
      </c>
      <c r="X92" s="3"/>
      <c r="Y92" s="3"/>
    </row>
    <row r="93" spans="4:25" x14ac:dyDescent="0.25">
      <c r="D93" s="5"/>
      <c r="E93" t="str">
        <f t="shared" si="46"/>
        <v/>
      </c>
      <c r="F93" s="22" t="str">
        <f t="shared" si="31"/>
        <v/>
      </c>
      <c r="G93" s="22" t="str">
        <f t="shared" si="32"/>
        <v/>
      </c>
      <c r="H93" s="22" t="str">
        <f t="shared" si="33"/>
        <v/>
      </c>
      <c r="I93" t="str">
        <f t="shared" si="34"/>
        <v/>
      </c>
      <c r="J93" s="5" t="str">
        <f>IF($I93&lt;&gt;"",IF($D93="",DATE(YEAR($K$7),MONTH($K$7)+($A$1*($F93-1))+SUM($B$12:$B93),DAY($K$7)),$D93),"")</f>
        <v/>
      </c>
      <c r="K93" s="9" t="str">
        <f t="shared" si="35"/>
        <v/>
      </c>
      <c r="L93" s="3" t="str">
        <f t="shared" si="36"/>
        <v/>
      </c>
      <c r="M93" s="3" t="str">
        <f>IF($I93&lt;&gt;"",IF($A93="Gracia Parcial",IF(AND($C93&lt;$U93+$P93+$Q93+$R93+$T92,$C93&gt;0),$C93,$U93+$P93+$Q93+$R93+$T92),IF($A93="Gracia Total",0,IF($A93="Prepago",$C93,IF(ISNUMBER($C93),$C93*VALUE(MID($C$1,MONTH($J93),1)),$N$5*VALUE(MID($C$1,MONTH($J93),1))))))-IF($I94="",ARREGLO,0),"")</f>
        <v/>
      </c>
      <c r="N93" s="3" t="str">
        <f t="shared" si="37"/>
        <v/>
      </c>
      <c r="O93" s="3" t="str">
        <f t="shared" si="38"/>
        <v/>
      </c>
      <c r="P93" s="8" t="str">
        <f t="shared" si="39"/>
        <v/>
      </c>
      <c r="Q93" s="8" t="str">
        <f t="shared" si="40"/>
        <v/>
      </c>
      <c r="R93" s="3" t="str">
        <f t="shared" si="41"/>
        <v/>
      </c>
      <c r="S93" s="3" t="str">
        <f t="shared" si="42"/>
        <v/>
      </c>
      <c r="T93" s="3" t="str">
        <f t="shared" si="43"/>
        <v/>
      </c>
      <c r="U93" s="3" t="str">
        <f t="shared" si="44"/>
        <v/>
      </c>
      <c r="V93" s="3" t="str">
        <f t="shared" si="45"/>
        <v/>
      </c>
      <c r="W93" s="3" t="str">
        <f>IF($I93&lt;&gt;"",IF($K93&gt;V$11,IF($K93&lt;W$11,$K93-V$11,30),0)*ROUND(($L93+$T92+SUM($V93:V93))*$R$5/3000,2),"")</f>
        <v/>
      </c>
      <c r="X93" s="3"/>
      <c r="Y93" s="3"/>
    </row>
    <row r="94" spans="4:25" x14ac:dyDescent="0.25">
      <c r="D94" s="5"/>
      <c r="E94" t="str">
        <f t="shared" si="46"/>
        <v/>
      </c>
      <c r="F94" s="22" t="str">
        <f t="shared" si="31"/>
        <v/>
      </c>
      <c r="G94" s="22" t="str">
        <f t="shared" si="32"/>
        <v/>
      </c>
      <c r="H94" s="22" t="str">
        <f t="shared" si="33"/>
        <v/>
      </c>
      <c r="I94" t="str">
        <f t="shared" si="34"/>
        <v/>
      </c>
      <c r="J94" s="5" t="str">
        <f>IF($I94&lt;&gt;"",IF($D94="",DATE(YEAR($K$7),MONTH($K$7)+($A$1*($F94-1))+SUM($B$12:$B94),DAY($K$7)),$D94),"")</f>
        <v/>
      </c>
      <c r="K94" s="9" t="str">
        <f t="shared" si="35"/>
        <v/>
      </c>
      <c r="L94" s="3" t="str">
        <f t="shared" si="36"/>
        <v/>
      </c>
      <c r="M94" s="3" t="str">
        <f>IF($I94&lt;&gt;"",IF($A94="Gracia Parcial",IF(AND($C94&lt;$U94+$P94+$Q94+$R94+$T93,$C94&gt;0),$C94,$U94+$P94+$Q94+$R94+$T93),IF($A94="Gracia Total",0,IF($A94="Prepago",$C94,IF(ISNUMBER($C94),$C94*VALUE(MID($C$1,MONTH($J94),1)),$N$5*VALUE(MID($C$1,MONTH($J94),1))))))-IF($I95="",ARREGLO,0),"")</f>
        <v/>
      </c>
      <c r="N94" s="3" t="str">
        <f t="shared" si="37"/>
        <v/>
      </c>
      <c r="O94" s="3" t="str">
        <f t="shared" si="38"/>
        <v/>
      </c>
      <c r="P94" s="8" t="str">
        <f t="shared" si="39"/>
        <v/>
      </c>
      <c r="Q94" s="8" t="str">
        <f t="shared" si="40"/>
        <v/>
      </c>
      <c r="R94" s="3" t="str">
        <f t="shared" si="41"/>
        <v/>
      </c>
      <c r="S94" s="3" t="str">
        <f t="shared" si="42"/>
        <v/>
      </c>
      <c r="T94" s="3" t="str">
        <f t="shared" si="43"/>
        <v/>
      </c>
      <c r="U94" s="3" t="str">
        <f t="shared" si="44"/>
        <v/>
      </c>
      <c r="V94" s="3" t="str">
        <f t="shared" si="45"/>
        <v/>
      </c>
      <c r="W94" s="3" t="str">
        <f>IF($I94&lt;&gt;"",IF($K94&gt;V$11,IF($K94&lt;W$11,$K94-V$11,30),0)*ROUND(($L94+$T93+SUM($V94:V94))*$R$5/3000,2),"")</f>
        <v/>
      </c>
      <c r="X94" s="3"/>
      <c r="Y94" s="3"/>
    </row>
    <row r="95" spans="4:25" x14ac:dyDescent="0.25">
      <c r="D95" s="5"/>
      <c r="E95" t="str">
        <f t="shared" si="46"/>
        <v/>
      </c>
      <c r="F95" s="22" t="str">
        <f t="shared" si="31"/>
        <v/>
      </c>
      <c r="G95" s="22" t="str">
        <f t="shared" si="32"/>
        <v/>
      </c>
      <c r="H95" s="22" t="str">
        <f t="shared" si="33"/>
        <v/>
      </c>
      <c r="I95" t="str">
        <f t="shared" si="34"/>
        <v/>
      </c>
      <c r="J95" s="5" t="str">
        <f>IF($I95&lt;&gt;"",IF($D95="",DATE(YEAR($K$7),MONTH($K$7)+($A$1*($F95-1))+SUM($B$12:$B95),DAY($K$7)),$D95),"")</f>
        <v/>
      </c>
      <c r="K95" s="9" t="str">
        <f t="shared" si="35"/>
        <v/>
      </c>
      <c r="L95" s="3" t="str">
        <f t="shared" si="36"/>
        <v/>
      </c>
      <c r="M95" s="3" t="str">
        <f>IF($I95&lt;&gt;"",IF($A95="Gracia Parcial",IF(AND($C95&lt;$U95+$P95+$Q95+$R95+$T94,$C95&gt;0),$C95,$U95+$P95+$Q95+$R95+$T94),IF($A95="Gracia Total",0,IF($A95="Prepago",$C95,IF(ISNUMBER($C95),$C95*VALUE(MID($C$1,MONTH($J95),1)),$N$5*VALUE(MID($C$1,MONTH($J95),1))))))-IF($I96="",ARREGLO,0),"")</f>
        <v/>
      </c>
      <c r="N95" s="3" t="str">
        <f t="shared" si="37"/>
        <v/>
      </c>
      <c r="O95" s="3" t="str">
        <f t="shared" si="38"/>
        <v/>
      </c>
      <c r="P95" s="8" t="str">
        <f t="shared" si="39"/>
        <v/>
      </c>
      <c r="Q95" s="8" t="str">
        <f t="shared" si="40"/>
        <v/>
      </c>
      <c r="R95" s="3" t="str">
        <f t="shared" si="41"/>
        <v/>
      </c>
      <c r="S95" s="3" t="str">
        <f t="shared" si="42"/>
        <v/>
      </c>
      <c r="T95" s="3" t="str">
        <f t="shared" si="43"/>
        <v/>
      </c>
      <c r="U95" s="3" t="str">
        <f t="shared" si="44"/>
        <v/>
      </c>
      <c r="V95" s="3" t="str">
        <f t="shared" si="45"/>
        <v/>
      </c>
      <c r="W95" s="3" t="str">
        <f>IF($I95&lt;&gt;"",IF($K95&gt;V$11,IF($K95&lt;W$11,$K95-V$11,30),0)*ROUND(($L95+$T94+SUM($V95:V95))*$R$5/3000,2),"")</f>
        <v/>
      </c>
      <c r="X95" s="3"/>
      <c r="Y95" s="3"/>
    </row>
    <row r="96" spans="4:25" x14ac:dyDescent="0.25">
      <c r="D96" s="5"/>
      <c r="E96" t="str">
        <f t="shared" si="46"/>
        <v/>
      </c>
      <c r="F96" s="22" t="str">
        <f t="shared" si="31"/>
        <v/>
      </c>
      <c r="G96" s="22" t="str">
        <f t="shared" si="32"/>
        <v/>
      </c>
      <c r="H96" s="22" t="str">
        <f t="shared" si="33"/>
        <v/>
      </c>
      <c r="I96" t="str">
        <f t="shared" si="34"/>
        <v/>
      </c>
      <c r="J96" s="5" t="str">
        <f>IF($I96&lt;&gt;"",IF($D96="",DATE(YEAR($K$7),MONTH($K$7)+($A$1*($F96-1))+SUM($B$12:$B96),DAY($K$7)),$D96),"")</f>
        <v/>
      </c>
      <c r="K96" s="9" t="str">
        <f t="shared" si="35"/>
        <v/>
      </c>
      <c r="L96" s="3" t="str">
        <f t="shared" si="36"/>
        <v/>
      </c>
      <c r="M96" s="3" t="str">
        <f>IF($I96&lt;&gt;"",IF($A96="Gracia Parcial",IF(AND($C96&lt;$U96+$P96+$Q96+$R96+$T95,$C96&gt;0),$C96,$U96+$P96+$Q96+$R96+$T95),IF($A96="Gracia Total",0,IF($A96="Prepago",$C96,IF(ISNUMBER($C96),$C96*VALUE(MID($C$1,MONTH($J96),1)),$N$5*VALUE(MID($C$1,MONTH($J96),1))))))-IF($I97="",ARREGLO,0),"")</f>
        <v/>
      </c>
      <c r="N96" s="3" t="str">
        <f t="shared" si="37"/>
        <v/>
      </c>
      <c r="O96" s="3" t="str">
        <f t="shared" si="38"/>
        <v/>
      </c>
      <c r="P96" s="8" t="str">
        <f t="shared" si="39"/>
        <v/>
      </c>
      <c r="Q96" s="8" t="str">
        <f t="shared" si="40"/>
        <v/>
      </c>
      <c r="R96" s="3" t="str">
        <f t="shared" si="41"/>
        <v/>
      </c>
      <c r="S96" s="3" t="str">
        <f t="shared" si="42"/>
        <v/>
      </c>
      <c r="T96" s="3" t="str">
        <f t="shared" si="43"/>
        <v/>
      </c>
      <c r="U96" s="3" t="str">
        <f t="shared" si="44"/>
        <v/>
      </c>
      <c r="V96" s="3" t="str">
        <f t="shared" si="45"/>
        <v/>
      </c>
      <c r="W96" s="3" t="str">
        <f>IF($I96&lt;&gt;"",IF($K96&gt;V$11,IF($K96&lt;W$11,$K96-V$11,30),0)*ROUND(($L96+$T95+SUM($V96:V96))*$R$5/3000,2),"")</f>
        <v/>
      </c>
      <c r="X96" s="3"/>
      <c r="Y96" s="3"/>
    </row>
    <row r="97" spans="4:25" x14ac:dyDescent="0.25">
      <c r="D97" s="5"/>
      <c r="E97" t="str">
        <f t="shared" si="46"/>
        <v/>
      </c>
      <c r="F97" s="22" t="str">
        <f t="shared" si="31"/>
        <v/>
      </c>
      <c r="G97" s="22" t="str">
        <f t="shared" si="32"/>
        <v/>
      </c>
      <c r="H97" s="22" t="str">
        <f t="shared" si="33"/>
        <v/>
      </c>
      <c r="I97" t="str">
        <f t="shared" si="34"/>
        <v/>
      </c>
      <c r="J97" s="5" t="str">
        <f>IF($I97&lt;&gt;"",IF($D97="",DATE(YEAR($K$7),MONTH($K$7)+($A$1*($F97-1))+SUM($B$12:$B97),DAY($K$7)),$D97),"")</f>
        <v/>
      </c>
      <c r="K97" s="9" t="str">
        <f t="shared" si="35"/>
        <v/>
      </c>
      <c r="L97" s="3" t="str">
        <f t="shared" si="36"/>
        <v/>
      </c>
      <c r="M97" s="3" t="str">
        <f>IF($I97&lt;&gt;"",IF($A97="Gracia Parcial",IF(AND($C97&lt;$U97+$P97+$Q97+$R97+$T96,$C97&gt;0),$C97,$U97+$P97+$Q97+$R97+$T96),IF($A97="Gracia Total",0,IF($A97="Prepago",$C97,IF(ISNUMBER($C97),$C97*VALUE(MID($C$1,MONTH($J97),1)),$N$5*VALUE(MID($C$1,MONTH($J97),1))))))-IF($I98="",ARREGLO,0),"")</f>
        <v/>
      </c>
      <c r="N97" s="3" t="str">
        <f t="shared" si="37"/>
        <v/>
      </c>
      <c r="O97" s="3" t="str">
        <f t="shared" si="38"/>
        <v/>
      </c>
      <c r="P97" s="8" t="str">
        <f t="shared" si="39"/>
        <v/>
      </c>
      <c r="Q97" s="8" t="str">
        <f t="shared" si="40"/>
        <v/>
      </c>
      <c r="R97" s="3" t="str">
        <f t="shared" si="41"/>
        <v/>
      </c>
      <c r="S97" s="3" t="str">
        <f t="shared" si="42"/>
        <v/>
      </c>
      <c r="T97" s="3" t="str">
        <f t="shared" si="43"/>
        <v/>
      </c>
      <c r="U97" s="3" t="str">
        <f t="shared" si="44"/>
        <v/>
      </c>
      <c r="V97" s="3" t="str">
        <f t="shared" si="45"/>
        <v/>
      </c>
      <c r="W97" s="3" t="str">
        <f>IF($I97&lt;&gt;"",IF($K97&gt;V$11,IF($K97&lt;W$11,$K97-V$11,30),0)*ROUND(($L97+$T96+SUM($V97:V97))*$R$5/3000,2),"")</f>
        <v/>
      </c>
      <c r="X97" s="3"/>
      <c r="Y97" s="3"/>
    </row>
    <row r="98" spans="4:25" x14ac:dyDescent="0.25">
      <c r="D98" s="5"/>
      <c r="E98" t="str">
        <f t="shared" si="46"/>
        <v/>
      </c>
      <c r="F98" s="22" t="str">
        <f t="shared" si="31"/>
        <v/>
      </c>
      <c r="G98" s="22" t="str">
        <f t="shared" si="32"/>
        <v/>
      </c>
      <c r="H98" s="22" t="str">
        <f t="shared" si="33"/>
        <v/>
      </c>
      <c r="I98" t="str">
        <f t="shared" si="34"/>
        <v/>
      </c>
      <c r="J98" s="5" t="str">
        <f>IF($I98&lt;&gt;"",IF($D98="",DATE(YEAR($K$7),MONTH($K$7)+($A$1*($F98-1))+SUM($B$12:$B98),DAY($K$7)),$D98),"")</f>
        <v/>
      </c>
      <c r="K98" s="9" t="str">
        <f t="shared" si="35"/>
        <v/>
      </c>
      <c r="L98" s="3" t="str">
        <f t="shared" si="36"/>
        <v/>
      </c>
      <c r="M98" s="3" t="str">
        <f>IF($I98&lt;&gt;"",IF($A98="Gracia Parcial",IF(AND($C98&lt;$U98+$P98+$Q98+$R98+$T97,$C98&gt;0),$C98,$U98+$P98+$Q98+$R98+$T97),IF($A98="Gracia Total",0,IF($A98="Prepago",$C98,IF(ISNUMBER($C98),$C98*VALUE(MID($C$1,MONTH($J98),1)),$N$5*VALUE(MID($C$1,MONTH($J98),1))))))-IF($I99="",ARREGLO,0),"")</f>
        <v/>
      </c>
      <c r="N98" s="3" t="str">
        <f t="shared" si="37"/>
        <v/>
      </c>
      <c r="O98" s="3" t="str">
        <f t="shared" si="38"/>
        <v/>
      </c>
      <c r="P98" s="8" t="str">
        <f t="shared" si="39"/>
        <v/>
      </c>
      <c r="Q98" s="8" t="str">
        <f t="shared" si="40"/>
        <v/>
      </c>
      <c r="R98" s="3" t="str">
        <f t="shared" si="41"/>
        <v/>
      </c>
      <c r="S98" s="3" t="str">
        <f t="shared" si="42"/>
        <v/>
      </c>
      <c r="T98" s="3" t="str">
        <f t="shared" si="43"/>
        <v/>
      </c>
      <c r="U98" s="3" t="str">
        <f t="shared" si="44"/>
        <v/>
      </c>
      <c r="V98" s="3" t="str">
        <f t="shared" si="45"/>
        <v/>
      </c>
      <c r="W98" s="3" t="str">
        <f>IF($I98&lt;&gt;"",IF($K98&gt;V$11,IF($K98&lt;W$11,$K98-V$11,30),0)*ROUND(($L98+$T97+SUM($V98:V98))*$R$5/3000,2),"")</f>
        <v/>
      </c>
      <c r="X98" s="3"/>
      <c r="Y98" s="3"/>
    </row>
    <row r="99" spans="4:25" x14ac:dyDescent="0.25">
      <c r="D99" s="5"/>
      <c r="E99" t="str">
        <f t="shared" si="46"/>
        <v/>
      </c>
      <c r="F99" s="22" t="str">
        <f t="shared" si="31"/>
        <v/>
      </c>
      <c r="G99" s="22" t="str">
        <f t="shared" si="32"/>
        <v/>
      </c>
      <c r="H99" s="22" t="str">
        <f t="shared" si="33"/>
        <v/>
      </c>
      <c r="I99" t="str">
        <f t="shared" si="34"/>
        <v/>
      </c>
      <c r="J99" s="5" t="str">
        <f>IF($I99&lt;&gt;"",IF($D99="",DATE(YEAR($K$7),MONTH($K$7)+($A$1*($F99-1))+SUM($B$12:$B99),DAY($K$7)),$D99),"")</f>
        <v/>
      </c>
      <c r="K99" s="9" t="str">
        <f t="shared" si="35"/>
        <v/>
      </c>
      <c r="L99" s="3" t="str">
        <f t="shared" si="36"/>
        <v/>
      </c>
      <c r="M99" s="3" t="str">
        <f>IF($I99&lt;&gt;"",IF($A99="Gracia Parcial",IF(AND($C99&lt;$U99+$P99+$Q99+$R99+$T98,$C99&gt;0),$C99,$U99+$P99+$Q99+$R99+$T98),IF($A99="Gracia Total",0,IF($A99="Prepago",$C99,IF(ISNUMBER($C99),$C99*VALUE(MID($C$1,MONTH($J99),1)),$N$5*VALUE(MID($C$1,MONTH($J99),1))))))-IF($I100="",ARREGLO,0),"")</f>
        <v/>
      </c>
      <c r="N99" s="3" t="str">
        <f t="shared" si="37"/>
        <v/>
      </c>
      <c r="O99" s="3" t="str">
        <f t="shared" si="38"/>
        <v/>
      </c>
      <c r="P99" s="8" t="str">
        <f t="shared" si="39"/>
        <v/>
      </c>
      <c r="Q99" s="8" t="str">
        <f t="shared" si="40"/>
        <v/>
      </c>
      <c r="R99" s="3" t="str">
        <f t="shared" si="41"/>
        <v/>
      </c>
      <c r="S99" s="3" t="str">
        <f t="shared" si="42"/>
        <v/>
      </c>
      <c r="T99" s="3" t="str">
        <f t="shared" si="43"/>
        <v/>
      </c>
      <c r="U99" s="3" t="str">
        <f t="shared" si="44"/>
        <v/>
      </c>
      <c r="V99" s="3" t="str">
        <f t="shared" si="45"/>
        <v/>
      </c>
      <c r="W99" s="3" t="str">
        <f>IF($I99&lt;&gt;"",IF($K99&gt;V$11,IF($K99&lt;W$11,$K99-V$11,30),0)*ROUND(($L99+$T98+SUM($V99:V99))*$R$5/3000,2),"")</f>
        <v/>
      </c>
      <c r="X99" s="3"/>
      <c r="Y99" s="3"/>
    </row>
    <row r="100" spans="4:25" x14ac:dyDescent="0.25">
      <c r="D100" s="5"/>
      <c r="E100" t="str">
        <f t="shared" si="46"/>
        <v/>
      </c>
      <c r="F100" s="22" t="str">
        <f t="shared" si="31"/>
        <v/>
      </c>
      <c r="G100" s="22" t="str">
        <f t="shared" si="32"/>
        <v/>
      </c>
      <c r="H100" s="22" t="str">
        <f t="shared" si="33"/>
        <v/>
      </c>
      <c r="I100" t="str">
        <f t="shared" si="34"/>
        <v/>
      </c>
      <c r="J100" s="5" t="str">
        <f>IF($I100&lt;&gt;"",IF($D100="",DATE(YEAR($K$7),MONTH($K$7)+($A$1*($F100-1))+SUM($B$12:$B100),DAY($K$7)),$D100),"")</f>
        <v/>
      </c>
      <c r="K100" s="9" t="str">
        <f t="shared" si="35"/>
        <v/>
      </c>
      <c r="L100" s="3" t="str">
        <f t="shared" si="36"/>
        <v/>
      </c>
      <c r="M100" s="3" t="str">
        <f>IF($I100&lt;&gt;"",IF($A100="Gracia Parcial",IF(AND($C100&lt;$U100+$P100+$Q100+$R100+$T99,$C100&gt;0),$C100,$U100+$P100+$Q100+$R100+$T99),IF($A100="Gracia Total",0,IF($A100="Prepago",$C100,IF(ISNUMBER($C100),$C100*VALUE(MID($C$1,MONTH($J100),1)),$N$5*VALUE(MID($C$1,MONTH($J100),1))))))-IF($I101="",ARREGLO,0),"")</f>
        <v/>
      </c>
      <c r="N100" s="3" t="str">
        <f t="shared" si="37"/>
        <v/>
      </c>
      <c r="O100" s="3" t="str">
        <f t="shared" si="38"/>
        <v/>
      </c>
      <c r="P100" s="8" t="str">
        <f t="shared" si="39"/>
        <v/>
      </c>
      <c r="Q100" s="8" t="str">
        <f t="shared" si="40"/>
        <v/>
      </c>
      <c r="R100" s="3" t="str">
        <f t="shared" si="41"/>
        <v/>
      </c>
      <c r="S100" s="3" t="str">
        <f t="shared" si="42"/>
        <v/>
      </c>
      <c r="T100" s="3" t="str">
        <f t="shared" si="43"/>
        <v/>
      </c>
      <c r="U100" s="3" t="str">
        <f t="shared" si="44"/>
        <v/>
      </c>
      <c r="V100" s="3" t="str">
        <f t="shared" si="45"/>
        <v/>
      </c>
      <c r="W100" s="3" t="str">
        <f>IF($I100&lt;&gt;"",IF($K100&gt;V$11,IF($K100&lt;W$11,$K100-V$11,30),0)*ROUND(($L100+$T99+SUM($V100:V100))*$R$5/3000,2),"")</f>
        <v/>
      </c>
      <c r="X100" s="3"/>
      <c r="Y100" s="3"/>
    </row>
    <row r="101" spans="4:25" x14ac:dyDescent="0.25">
      <c r="D101" s="5"/>
      <c r="E101" t="str">
        <f t="shared" si="46"/>
        <v/>
      </c>
      <c r="F101" s="22" t="str">
        <f t="shared" si="31"/>
        <v/>
      </c>
      <c r="G101" s="22" t="str">
        <f t="shared" si="32"/>
        <v/>
      </c>
      <c r="H101" s="22" t="str">
        <f t="shared" si="33"/>
        <v/>
      </c>
      <c r="I101" t="str">
        <f t="shared" si="34"/>
        <v/>
      </c>
      <c r="J101" s="5" t="str">
        <f>IF($I101&lt;&gt;"",IF($D101="",DATE(YEAR($K$7),MONTH($K$7)+($A$1*($F101-1))+SUM($B$12:$B101),DAY($K$7)),$D101),"")</f>
        <v/>
      </c>
      <c r="K101" s="9" t="str">
        <f t="shared" si="35"/>
        <v/>
      </c>
      <c r="L101" s="3" t="str">
        <f t="shared" si="36"/>
        <v/>
      </c>
      <c r="M101" s="3" t="str">
        <f>IF($I101&lt;&gt;"",IF($A101="Gracia Parcial",IF(AND($C101&lt;$U101+$P101+$Q101+$R101+$T100,$C101&gt;0),$C101,$U101+$P101+$Q101+$R101+$T100),IF($A101="Gracia Total",0,IF($A101="Prepago",$C101,IF(ISNUMBER($C101),$C101*VALUE(MID($C$1,MONTH($J101),1)),$N$5*VALUE(MID($C$1,MONTH($J101),1))))))-IF($I102="",ARREGLO,0),"")</f>
        <v/>
      </c>
      <c r="N101" s="3" t="str">
        <f t="shared" si="37"/>
        <v/>
      </c>
      <c r="O101" s="3" t="str">
        <f t="shared" si="38"/>
        <v/>
      </c>
      <c r="P101" s="8" t="str">
        <f t="shared" si="39"/>
        <v/>
      </c>
      <c r="Q101" s="8" t="str">
        <f t="shared" si="40"/>
        <v/>
      </c>
      <c r="R101" s="3" t="str">
        <f t="shared" si="41"/>
        <v/>
      </c>
      <c r="S101" s="3" t="str">
        <f t="shared" si="42"/>
        <v/>
      </c>
      <c r="T101" s="3" t="str">
        <f t="shared" si="43"/>
        <v/>
      </c>
      <c r="U101" s="3" t="str">
        <f t="shared" si="44"/>
        <v/>
      </c>
      <c r="V101" s="3" t="str">
        <f t="shared" si="45"/>
        <v/>
      </c>
      <c r="W101" s="3" t="str">
        <f>IF($I101&lt;&gt;"",IF($K101&gt;V$11,IF($K101&lt;W$11,$K101-V$11,30),0)*ROUND(($L101+$T100+SUM($V101:V101))*$R$5/3000,2),"")</f>
        <v/>
      </c>
      <c r="X101" s="3"/>
      <c r="Y101" s="3"/>
    </row>
    <row r="102" spans="4:25" x14ac:dyDescent="0.25">
      <c r="D102" s="5"/>
      <c r="E102" t="str">
        <f t="shared" si="46"/>
        <v/>
      </c>
      <c r="F102" s="22" t="str">
        <f t="shared" si="31"/>
        <v/>
      </c>
      <c r="G102" s="22" t="str">
        <f t="shared" si="32"/>
        <v/>
      </c>
      <c r="H102" s="22" t="str">
        <f t="shared" si="33"/>
        <v/>
      </c>
      <c r="I102" t="str">
        <f t="shared" si="34"/>
        <v/>
      </c>
      <c r="J102" s="5" t="str">
        <f>IF($I102&lt;&gt;"",IF($D102="",DATE(YEAR($K$7),MONTH($K$7)+($A$1*($F102-1))+SUM($B$12:$B102),DAY($K$7)),$D102),"")</f>
        <v/>
      </c>
      <c r="K102" s="9" t="str">
        <f t="shared" si="35"/>
        <v/>
      </c>
      <c r="L102" s="3" t="str">
        <f t="shared" si="36"/>
        <v/>
      </c>
      <c r="M102" s="3" t="str">
        <f>IF($I102&lt;&gt;"",IF($A102="Gracia Parcial",IF(AND($C102&lt;$U102+$P102+$Q102+$R102+$T101,$C102&gt;0),$C102,$U102+$P102+$Q102+$R102+$T101),IF($A102="Gracia Total",0,IF($A102="Prepago",$C102,IF(ISNUMBER($C102),$C102*VALUE(MID($C$1,MONTH($J102),1)),$N$5*VALUE(MID($C$1,MONTH($J102),1))))))-IF($I103="",ARREGLO,0),"")</f>
        <v/>
      </c>
      <c r="N102" s="3" t="str">
        <f t="shared" si="37"/>
        <v/>
      </c>
      <c r="O102" s="3" t="str">
        <f t="shared" si="38"/>
        <v/>
      </c>
      <c r="P102" s="8" t="str">
        <f t="shared" si="39"/>
        <v/>
      </c>
      <c r="Q102" s="8" t="str">
        <f t="shared" si="40"/>
        <v/>
      </c>
      <c r="R102" s="3" t="str">
        <f t="shared" si="41"/>
        <v/>
      </c>
      <c r="S102" s="3" t="str">
        <f t="shared" si="42"/>
        <v/>
      </c>
      <c r="T102" s="3" t="str">
        <f t="shared" si="43"/>
        <v/>
      </c>
      <c r="U102" s="3" t="str">
        <f t="shared" si="44"/>
        <v/>
      </c>
      <c r="V102" s="3" t="str">
        <f t="shared" si="45"/>
        <v/>
      </c>
      <c r="W102" s="3" t="str">
        <f>IF($I102&lt;&gt;"",IF($K102&gt;V$11,IF($K102&lt;W$11,$K102-V$11,30),0)*ROUND(($L102+$T101+SUM($V102:V102))*$R$5/3000,2),"")</f>
        <v/>
      </c>
      <c r="X102" s="3"/>
      <c r="Y102" s="3"/>
    </row>
    <row r="103" spans="4:25" x14ac:dyDescent="0.25">
      <c r="D103" s="5"/>
      <c r="E103" t="str">
        <f t="shared" si="46"/>
        <v/>
      </c>
      <c r="F103" s="22" t="str">
        <f t="shared" si="31"/>
        <v/>
      </c>
      <c r="G103" s="22" t="str">
        <f t="shared" si="32"/>
        <v/>
      </c>
      <c r="H103" s="22" t="str">
        <f t="shared" si="33"/>
        <v/>
      </c>
      <c r="I103" t="str">
        <f t="shared" si="34"/>
        <v/>
      </c>
      <c r="J103" s="5" t="str">
        <f>IF($I103&lt;&gt;"",IF($D103="",DATE(YEAR($K$7),MONTH($K$7)+($A$1*($F103-1))+SUM($B$12:$B103),DAY($K$7)),$D103),"")</f>
        <v/>
      </c>
      <c r="K103" s="9" t="str">
        <f t="shared" si="35"/>
        <v/>
      </c>
      <c r="L103" s="3" t="str">
        <f t="shared" si="36"/>
        <v/>
      </c>
      <c r="M103" s="3" t="str">
        <f>IF($I103&lt;&gt;"",IF($A103="Gracia Parcial",IF(AND($C103&lt;$U103+$P103+$Q103+$R103+$T102,$C103&gt;0),$C103,$U103+$P103+$Q103+$R103+$T102),IF($A103="Gracia Total",0,IF($A103="Prepago",$C103,IF(ISNUMBER($C103),$C103*VALUE(MID($C$1,MONTH($J103),1)),$N$5*VALUE(MID($C$1,MONTH($J103),1))))))-IF($I104="",ARREGLO,0),"")</f>
        <v/>
      </c>
      <c r="N103" s="3" t="str">
        <f t="shared" si="37"/>
        <v/>
      </c>
      <c r="O103" s="3" t="str">
        <f t="shared" si="38"/>
        <v/>
      </c>
      <c r="P103" s="8" t="str">
        <f t="shared" si="39"/>
        <v/>
      </c>
      <c r="Q103" s="8" t="str">
        <f t="shared" si="40"/>
        <v/>
      </c>
      <c r="R103" s="3" t="str">
        <f t="shared" si="41"/>
        <v/>
      </c>
      <c r="S103" s="3" t="str">
        <f t="shared" si="42"/>
        <v/>
      </c>
      <c r="T103" s="3" t="str">
        <f t="shared" si="43"/>
        <v/>
      </c>
      <c r="U103" s="3" t="str">
        <f t="shared" si="44"/>
        <v/>
      </c>
      <c r="V103" s="3" t="str">
        <f t="shared" si="45"/>
        <v/>
      </c>
      <c r="W103" s="3" t="str">
        <f>IF($I103&lt;&gt;"",IF($K103&gt;V$11,IF($K103&lt;W$11,$K103-V$11,30),0)*ROUND(($L103+$T102+SUM($V103:V103))*$R$5/3000,2),"")</f>
        <v/>
      </c>
      <c r="X103" s="3"/>
      <c r="Y103" s="3"/>
    </row>
    <row r="104" spans="4:25" x14ac:dyDescent="0.25">
      <c r="D104" s="5"/>
      <c r="E104" t="str">
        <f t="shared" si="46"/>
        <v/>
      </c>
      <c r="F104" s="22" t="str">
        <f t="shared" si="31"/>
        <v/>
      </c>
      <c r="G104" s="22" t="str">
        <f t="shared" si="32"/>
        <v/>
      </c>
      <c r="H104" s="22" t="str">
        <f t="shared" si="33"/>
        <v/>
      </c>
      <c r="I104" t="str">
        <f t="shared" si="34"/>
        <v/>
      </c>
      <c r="J104" s="5" t="str">
        <f>IF($I104&lt;&gt;"",IF($D104="",DATE(YEAR($K$7),MONTH($K$7)+($A$1*($F104-1))+SUM($B$12:$B104),DAY($K$7)),$D104),"")</f>
        <v/>
      </c>
      <c r="K104" s="9" t="str">
        <f t="shared" si="35"/>
        <v/>
      </c>
      <c r="L104" s="3" t="str">
        <f t="shared" si="36"/>
        <v/>
      </c>
      <c r="M104" s="3" t="str">
        <f>IF($I104&lt;&gt;"",IF($A104="Gracia Parcial",IF(AND($C104&lt;$U104+$P104+$Q104+$R104+$T103,$C104&gt;0),$C104,$U104+$P104+$Q104+$R104+$T103),IF($A104="Gracia Total",0,IF($A104="Prepago",$C104,IF(ISNUMBER($C104),$C104*VALUE(MID($C$1,MONTH($J104),1)),$N$5*VALUE(MID($C$1,MONTH($J104),1))))))-IF($I105="",ARREGLO,0),"")</f>
        <v/>
      </c>
      <c r="N104" s="3" t="str">
        <f t="shared" si="37"/>
        <v/>
      </c>
      <c r="O104" s="3" t="str">
        <f t="shared" si="38"/>
        <v/>
      </c>
      <c r="P104" s="8" t="str">
        <f t="shared" si="39"/>
        <v/>
      </c>
      <c r="Q104" s="8" t="str">
        <f t="shared" si="40"/>
        <v/>
      </c>
      <c r="R104" s="3" t="str">
        <f t="shared" si="41"/>
        <v/>
      </c>
      <c r="S104" s="3" t="str">
        <f t="shared" si="42"/>
        <v/>
      </c>
      <c r="T104" s="3" t="str">
        <f t="shared" si="43"/>
        <v/>
      </c>
      <c r="U104" s="3" t="str">
        <f t="shared" si="44"/>
        <v/>
      </c>
      <c r="V104" s="3" t="str">
        <f t="shared" si="45"/>
        <v/>
      </c>
      <c r="W104" s="3" t="str">
        <f>IF($I104&lt;&gt;"",IF($K104&gt;V$11,IF($K104&lt;W$11,$K104-V$11,30),0)*ROUND(($L104+$T103+SUM($V104:V104))*$R$5/3000,2),"")</f>
        <v/>
      </c>
      <c r="X104" s="3"/>
      <c r="Y104" s="3"/>
    </row>
    <row r="105" spans="4:25" x14ac:dyDescent="0.25">
      <c r="D105" s="5"/>
      <c r="E105" t="str">
        <f t="shared" si="46"/>
        <v/>
      </c>
      <c r="F105" s="22" t="str">
        <f t="shared" si="31"/>
        <v/>
      </c>
      <c r="G105" s="22" t="str">
        <f t="shared" si="32"/>
        <v/>
      </c>
      <c r="H105" s="22" t="str">
        <f t="shared" si="33"/>
        <v/>
      </c>
      <c r="I105" t="str">
        <f t="shared" si="34"/>
        <v/>
      </c>
      <c r="J105" s="5" t="str">
        <f>IF($I105&lt;&gt;"",IF($D105="",DATE(YEAR($K$7),MONTH($K$7)+($A$1*($F105-1))+SUM($B$12:$B105),DAY($K$7)),$D105),"")</f>
        <v/>
      </c>
      <c r="K105" s="9" t="str">
        <f t="shared" si="35"/>
        <v/>
      </c>
      <c r="L105" s="3" t="str">
        <f t="shared" si="36"/>
        <v/>
      </c>
      <c r="M105" s="3" t="str">
        <f>IF($I105&lt;&gt;"",IF($A105="Gracia Parcial",IF(AND($C105&lt;$U105+$P105+$Q105+$R105+$T104,$C105&gt;0),$C105,$U105+$P105+$Q105+$R105+$T104),IF($A105="Gracia Total",0,IF($A105="Prepago",$C105,IF(ISNUMBER($C105),$C105*VALUE(MID($C$1,MONTH($J105),1)),$N$5*VALUE(MID($C$1,MONTH($J105),1))))))-IF($I106="",ARREGLO,0),"")</f>
        <v/>
      </c>
      <c r="N105" s="3" t="str">
        <f t="shared" si="37"/>
        <v/>
      </c>
      <c r="O105" s="3" t="str">
        <f t="shared" si="38"/>
        <v/>
      </c>
      <c r="P105" s="8" t="str">
        <f t="shared" si="39"/>
        <v/>
      </c>
      <c r="Q105" s="8" t="str">
        <f t="shared" si="40"/>
        <v/>
      </c>
      <c r="R105" s="3" t="str">
        <f t="shared" si="41"/>
        <v/>
      </c>
      <c r="S105" s="3" t="str">
        <f t="shared" si="42"/>
        <v/>
      </c>
      <c r="T105" s="3" t="str">
        <f t="shared" si="43"/>
        <v/>
      </c>
      <c r="U105" s="3" t="str">
        <f t="shared" si="44"/>
        <v/>
      </c>
      <c r="V105" s="3" t="str">
        <f t="shared" si="45"/>
        <v/>
      </c>
      <c r="W105" s="3" t="str">
        <f>IF($I105&lt;&gt;"",IF($K105&gt;V$11,IF($K105&lt;W$11,$K105-V$11,30),0)*ROUND(($L105+$T104+SUM($V105:V105))*$R$5/3000,2),"")</f>
        <v/>
      </c>
      <c r="X105" s="3"/>
      <c r="Y105" s="3"/>
    </row>
    <row r="106" spans="4:25" x14ac:dyDescent="0.25">
      <c r="D106" s="5"/>
      <c r="E106" t="str">
        <f t="shared" si="46"/>
        <v/>
      </c>
      <c r="F106" s="22" t="str">
        <f t="shared" si="31"/>
        <v/>
      </c>
      <c r="G106" s="22" t="str">
        <f t="shared" si="32"/>
        <v/>
      </c>
      <c r="H106" s="22" t="str">
        <f t="shared" si="33"/>
        <v/>
      </c>
      <c r="I106" t="str">
        <f t="shared" si="34"/>
        <v/>
      </c>
      <c r="J106" s="5" t="str">
        <f>IF($I106&lt;&gt;"",IF($D106="",DATE(YEAR($K$7),MONTH($K$7)+($A$1*($F106-1))+SUM($B$12:$B106),DAY($K$7)),$D106),"")</f>
        <v/>
      </c>
      <c r="K106" s="9" t="str">
        <f t="shared" si="35"/>
        <v/>
      </c>
      <c r="L106" s="3" t="str">
        <f t="shared" si="36"/>
        <v/>
      </c>
      <c r="M106" s="3" t="str">
        <f>IF($I106&lt;&gt;"",IF($A106="Gracia Parcial",IF(AND($C106&lt;$U106+$P106+$Q106+$R106+$T105,$C106&gt;0),$C106,$U106+$P106+$Q106+$R106+$T105),IF($A106="Gracia Total",0,IF($A106="Prepago",$C106,IF(ISNUMBER($C106),$C106*VALUE(MID($C$1,MONTH($J106),1)),$N$5*VALUE(MID($C$1,MONTH($J106),1))))))-IF($I107="",ARREGLO,0),"")</f>
        <v/>
      </c>
      <c r="N106" s="3" t="str">
        <f t="shared" si="37"/>
        <v/>
      </c>
      <c r="O106" s="3" t="str">
        <f t="shared" si="38"/>
        <v/>
      </c>
      <c r="P106" s="8" t="str">
        <f t="shared" si="39"/>
        <v/>
      </c>
      <c r="Q106" s="8" t="str">
        <f t="shared" si="40"/>
        <v/>
      </c>
      <c r="R106" s="3" t="str">
        <f t="shared" si="41"/>
        <v/>
      </c>
      <c r="S106" s="3" t="str">
        <f t="shared" si="42"/>
        <v/>
      </c>
      <c r="T106" s="3" t="str">
        <f t="shared" si="43"/>
        <v/>
      </c>
      <c r="U106" s="3" t="str">
        <f t="shared" si="44"/>
        <v/>
      </c>
      <c r="V106" s="3" t="str">
        <f t="shared" si="45"/>
        <v/>
      </c>
      <c r="W106" s="3" t="str">
        <f>IF($I106&lt;&gt;"",IF($K106&gt;V$11,IF($K106&lt;W$11,$K106-V$11,30),0)*ROUND(($L106+$T105+SUM($V106:V106))*$R$5/3000,2),"")</f>
        <v/>
      </c>
      <c r="X106" s="3"/>
      <c r="Y106" s="3"/>
    </row>
    <row r="107" spans="4:25" x14ac:dyDescent="0.25">
      <c r="D107" s="5"/>
      <c r="E107" t="str">
        <f t="shared" si="46"/>
        <v/>
      </c>
      <c r="F107" s="22" t="str">
        <f t="shared" si="31"/>
        <v/>
      </c>
      <c r="G107" s="22" t="str">
        <f t="shared" si="32"/>
        <v/>
      </c>
      <c r="H107" s="22" t="str">
        <f t="shared" si="33"/>
        <v/>
      </c>
      <c r="I107" t="str">
        <f t="shared" si="34"/>
        <v/>
      </c>
      <c r="J107" s="5" t="str">
        <f>IF($I107&lt;&gt;"",IF($D107="",DATE(YEAR($K$7),MONTH($K$7)+($A$1*($F107-1))+SUM($B$12:$B107),DAY($K$7)),$D107),"")</f>
        <v/>
      </c>
      <c r="K107" s="9" t="str">
        <f t="shared" si="35"/>
        <v/>
      </c>
      <c r="L107" s="3" t="str">
        <f t="shared" si="36"/>
        <v/>
      </c>
      <c r="M107" s="3" t="str">
        <f>IF($I107&lt;&gt;"",IF($A107="Gracia Parcial",IF(AND($C107&lt;$U107+$P107+$Q107+$R107+$T106,$C107&gt;0),$C107,$U107+$P107+$Q107+$R107+$T106),IF($A107="Gracia Total",0,IF($A107="Prepago",$C107,IF(ISNUMBER($C107),$C107*VALUE(MID($C$1,MONTH($J107),1)),$N$5*VALUE(MID($C$1,MONTH($J107),1))))))-IF($I108="",ARREGLO,0),"")</f>
        <v/>
      </c>
      <c r="N107" s="3" t="str">
        <f t="shared" si="37"/>
        <v/>
      </c>
      <c r="O107" s="3" t="str">
        <f t="shared" si="38"/>
        <v/>
      </c>
      <c r="P107" s="8" t="str">
        <f t="shared" si="39"/>
        <v/>
      </c>
      <c r="Q107" s="8" t="str">
        <f t="shared" si="40"/>
        <v/>
      </c>
      <c r="R107" s="3" t="str">
        <f t="shared" si="41"/>
        <v/>
      </c>
      <c r="S107" s="3" t="str">
        <f t="shared" si="42"/>
        <v/>
      </c>
      <c r="T107" s="3" t="str">
        <f t="shared" si="43"/>
        <v/>
      </c>
      <c r="U107" s="3" t="str">
        <f t="shared" si="44"/>
        <v/>
      </c>
      <c r="V107" s="3" t="str">
        <f t="shared" si="45"/>
        <v/>
      </c>
      <c r="W107" s="3" t="str">
        <f>IF($I107&lt;&gt;"",IF($K107&gt;V$11,IF($K107&lt;W$11,$K107-V$11,30),0)*ROUND(($L107+$T106+SUM($V107:V107))*$R$5/3000,2),"")</f>
        <v/>
      </c>
      <c r="X107" s="3"/>
      <c r="Y107" s="3"/>
    </row>
    <row r="108" spans="4:25" x14ac:dyDescent="0.25">
      <c r="D108" s="5"/>
      <c r="E108" t="str">
        <f t="shared" si="46"/>
        <v/>
      </c>
      <c r="F108" s="22" t="str">
        <f t="shared" ref="F108:F139" si="47">IF($I108&lt;&gt;"",IF($A108="Prepago",$F107,$F107+1),"")</f>
        <v/>
      </c>
      <c r="G108" s="22" t="str">
        <f t="shared" ref="G108:G139" si="48">IF($I108&lt;&gt;"",IF(ISNUMBER($C108),-$N108+$U108-$O108,ABS($U108)+$P108+$Q108+$R108),"")</f>
        <v/>
      </c>
      <c r="H108" s="22" t="str">
        <f t="shared" ref="H108:H139" si="49">IF(I108&lt;&gt;"",IF(COUNTA($V108:$XFD108)*30&lt;$K108,1,0),"")</f>
        <v/>
      </c>
      <c r="I108" t="str">
        <f t="shared" ref="I108:I139" si="50">IF($I107&lt;NCUOTAS+CUOTAADICIONAL+PGRACIA,$I107+1,"")</f>
        <v/>
      </c>
      <c r="J108" s="5" t="str">
        <f>IF($I108&lt;&gt;"",IF($D108="",DATE(YEAR($K$7),MONTH($K$7)+($A$1*($F108-1))+SUM($B$12:$B108),DAY($K$7)),$D108),"")</f>
        <v/>
      </c>
      <c r="K108" s="9" t="str">
        <f t="shared" ref="K108:K139" si="51">IF($I108&lt;&gt;"",$J108-$J107,"")</f>
        <v/>
      </c>
      <c r="L108" s="3" t="str">
        <f t="shared" ref="L108:L139" si="52">IF($I108&lt;&gt;"",$S107,"")</f>
        <v/>
      </c>
      <c r="M108" s="3" t="str">
        <f>IF($I108&lt;&gt;"",IF($A108="Gracia Parcial",IF(AND($C108&lt;$U108+$P108+$Q108+$R108+$T107,$C108&gt;0),$C108,$U108+$P108+$Q108+$R108+$T107),IF($A108="Gracia Total",0,IF($A108="Prepago",$C108,IF(ISNUMBER($C108),$C108*VALUE(MID($C$1,MONTH($J108),1)),$N$5*VALUE(MID($C$1,MONTH($J108),1))))))-IF($I109="",ARREGLO,0),"")</f>
        <v/>
      </c>
      <c r="N108" s="3" t="str">
        <f t="shared" ref="N108:N139" si="53">IF($I108&lt;&gt;"",IF($M108-$O108&gt;0,$M108-$O108-$P108-$Q108-$R108,0),"")</f>
        <v/>
      </c>
      <c r="O108" s="3" t="str">
        <f t="shared" ref="O108:O139" si="54">IF($I108&lt;&gt;"",IF($M108&gt;=$U108+$T107+$P108+$Q108+$R108,$U108+$T107,$M108-$P108-$Q108-$R108),"")</f>
        <v/>
      </c>
      <c r="P108" s="8" t="str">
        <f t="shared" ref="P108:P139" si="55">IF($I108&lt;&gt;"",IF($A108="Prepago",0,$Q$6+$Q$6*$B108),"")</f>
        <v/>
      </c>
      <c r="Q108" s="8" t="str">
        <f t="shared" ref="Q108:Q139" si="56">IF($I108&lt;&gt;"",IF($A108="Prepago",0,$Q$7+$Q$7*$B108),"")</f>
        <v/>
      </c>
      <c r="R108" s="3" t="str">
        <f t="shared" ref="R108:R139" si="57">IF($I108&lt;&gt;"",IF($A108="Prepago",0,$Q$8+$Q$8*$B108),"")</f>
        <v/>
      </c>
      <c r="S108" s="3" t="str">
        <f t="shared" ref="S108:S139" si="58">IF($I108&lt;&gt;"",$L108-$N108,"")</f>
        <v/>
      </c>
      <c r="T108" s="3" t="str">
        <f t="shared" ref="T108:T139" si="59">IF($I108&lt;&gt;"",+$T107+SUM($V108:$CD108)-$O108,"")</f>
        <v/>
      </c>
      <c r="U108" s="3" t="str">
        <f t="shared" ref="U108:U139" si="60">IF($I108&lt;&gt;"",SUM($V108:$XFD108),"")</f>
        <v/>
      </c>
      <c r="V108" s="3" t="str">
        <f t="shared" ref="V108:V139" si="61">IF($I108&lt;&gt;"",IF($K108&gt;V$11,30,$K108)*ROUND(($L108+$T107)*$R$5/3000,2),"")</f>
        <v/>
      </c>
      <c r="W108" s="3" t="str">
        <f>IF($I108&lt;&gt;"",IF($K108&gt;V$11,IF($K108&lt;W$11,$K108-V$11,30),0)*ROUND(($L108+$T107+SUM($V108:V108))*$R$5/3000,2),"")</f>
        <v/>
      </c>
      <c r="X108" s="3"/>
      <c r="Y108" s="3"/>
    </row>
    <row r="109" spans="4:25" x14ac:dyDescent="0.25">
      <c r="D109" s="5"/>
      <c r="E109" t="str">
        <f t="shared" si="46"/>
        <v/>
      </c>
      <c r="F109" s="22" t="str">
        <f t="shared" si="47"/>
        <v/>
      </c>
      <c r="G109" s="22" t="str">
        <f t="shared" si="48"/>
        <v/>
      </c>
      <c r="H109" s="22" t="str">
        <f t="shared" si="49"/>
        <v/>
      </c>
      <c r="I109" t="str">
        <f t="shared" si="50"/>
        <v/>
      </c>
      <c r="J109" s="5" t="str">
        <f>IF($I109&lt;&gt;"",IF($D109="",DATE(YEAR($K$7),MONTH($K$7)+($A$1*($F109-1))+SUM($B$12:$B109),DAY($K$7)),$D109),"")</f>
        <v/>
      </c>
      <c r="K109" s="9" t="str">
        <f t="shared" si="51"/>
        <v/>
      </c>
      <c r="L109" s="3" t="str">
        <f t="shared" si="52"/>
        <v/>
      </c>
      <c r="M109" s="3" t="str">
        <f>IF($I109&lt;&gt;"",IF($A109="Gracia Parcial",IF(AND($C109&lt;$U109+$P109+$Q109+$R109+$T108,$C109&gt;0),$C109,$U109+$P109+$Q109+$R109+$T108),IF($A109="Gracia Total",0,IF($A109="Prepago",$C109,IF(ISNUMBER($C109),$C109*VALUE(MID($C$1,MONTH($J109),1)),$N$5*VALUE(MID($C$1,MONTH($J109),1))))))-IF($I110="",ARREGLO,0),"")</f>
        <v/>
      </c>
      <c r="N109" s="3" t="str">
        <f t="shared" si="53"/>
        <v/>
      </c>
      <c r="O109" s="3" t="str">
        <f t="shared" si="54"/>
        <v/>
      </c>
      <c r="P109" s="8" t="str">
        <f t="shared" si="55"/>
        <v/>
      </c>
      <c r="Q109" s="8" t="str">
        <f t="shared" si="56"/>
        <v/>
      </c>
      <c r="R109" s="3" t="str">
        <f t="shared" si="57"/>
        <v/>
      </c>
      <c r="S109" s="3" t="str">
        <f t="shared" si="58"/>
        <v/>
      </c>
      <c r="T109" s="3" t="str">
        <f t="shared" si="59"/>
        <v/>
      </c>
      <c r="U109" s="3" t="str">
        <f t="shared" si="60"/>
        <v/>
      </c>
      <c r="V109" s="3" t="str">
        <f t="shared" si="61"/>
        <v/>
      </c>
      <c r="W109" s="3" t="str">
        <f>IF($I109&lt;&gt;"",IF($K109&gt;V$11,IF($K109&lt;W$11,$K109-V$11,30),0)*ROUND(($L109+$T108+SUM($V109:V109))*$R$5/3000,2),"")</f>
        <v/>
      </c>
      <c r="X109" s="3"/>
      <c r="Y109" s="3"/>
    </row>
    <row r="110" spans="4:25" x14ac:dyDescent="0.25">
      <c r="D110" s="5"/>
      <c r="E110" t="str">
        <f t="shared" si="46"/>
        <v/>
      </c>
      <c r="F110" s="22" t="str">
        <f t="shared" si="47"/>
        <v/>
      </c>
      <c r="G110" s="22" t="str">
        <f t="shared" si="48"/>
        <v/>
      </c>
      <c r="H110" s="22" t="str">
        <f t="shared" si="49"/>
        <v/>
      </c>
      <c r="I110" t="str">
        <f t="shared" si="50"/>
        <v/>
      </c>
      <c r="J110" s="5" t="str">
        <f>IF($I110&lt;&gt;"",IF($D110="",DATE(YEAR($K$7),MONTH($K$7)+($A$1*($F110-1))+SUM($B$12:$B110),DAY($K$7)),$D110),"")</f>
        <v/>
      </c>
      <c r="K110" s="9" t="str">
        <f t="shared" si="51"/>
        <v/>
      </c>
      <c r="L110" s="3" t="str">
        <f t="shared" si="52"/>
        <v/>
      </c>
      <c r="M110" s="3" t="str">
        <f>IF($I110&lt;&gt;"",IF($A110="Gracia Parcial",IF(AND($C110&lt;$U110+$P110+$Q110+$R110+$T109,$C110&gt;0),$C110,$U110+$P110+$Q110+$R110+$T109),IF($A110="Gracia Total",0,IF($A110="Prepago",$C110,IF(ISNUMBER($C110),$C110*VALUE(MID($C$1,MONTH($J110),1)),$N$5*VALUE(MID($C$1,MONTH($J110),1))))))-IF($I111="",ARREGLO,0),"")</f>
        <v/>
      </c>
      <c r="N110" s="3" t="str">
        <f t="shared" si="53"/>
        <v/>
      </c>
      <c r="O110" s="3" t="str">
        <f t="shared" si="54"/>
        <v/>
      </c>
      <c r="P110" s="8" t="str">
        <f t="shared" si="55"/>
        <v/>
      </c>
      <c r="Q110" s="8" t="str">
        <f t="shared" si="56"/>
        <v/>
      </c>
      <c r="R110" s="3" t="str">
        <f t="shared" si="57"/>
        <v/>
      </c>
      <c r="S110" s="3" t="str">
        <f t="shared" si="58"/>
        <v/>
      </c>
      <c r="T110" s="3" t="str">
        <f t="shared" si="59"/>
        <v/>
      </c>
      <c r="U110" s="3" t="str">
        <f t="shared" si="60"/>
        <v/>
      </c>
      <c r="V110" s="3" t="str">
        <f t="shared" si="61"/>
        <v/>
      </c>
      <c r="W110" s="3" t="str">
        <f>IF($I110&lt;&gt;"",IF($K110&gt;V$11,IF($K110&lt;W$11,$K110-V$11,30),0)*ROUND(($L110+$T109+SUM($V110:V110))*$R$5/3000,2),"")</f>
        <v/>
      </c>
      <c r="X110" s="3"/>
      <c r="Y110" s="3"/>
    </row>
    <row r="111" spans="4:25" x14ac:dyDescent="0.25">
      <c r="D111" s="5"/>
      <c r="E111" t="str">
        <f t="shared" si="46"/>
        <v/>
      </c>
      <c r="F111" s="22" t="str">
        <f t="shared" si="47"/>
        <v/>
      </c>
      <c r="G111" s="22" t="str">
        <f t="shared" si="48"/>
        <v/>
      </c>
      <c r="H111" s="22" t="str">
        <f t="shared" si="49"/>
        <v/>
      </c>
      <c r="I111" t="str">
        <f t="shared" si="50"/>
        <v/>
      </c>
      <c r="J111" s="5" t="str">
        <f>IF($I111&lt;&gt;"",IF($D111="",DATE(YEAR($K$7),MONTH($K$7)+($A$1*($F111-1))+SUM($B$12:$B111),DAY($K$7)),$D111),"")</f>
        <v/>
      </c>
      <c r="K111" s="9" t="str">
        <f t="shared" si="51"/>
        <v/>
      </c>
      <c r="L111" s="3" t="str">
        <f t="shared" si="52"/>
        <v/>
      </c>
      <c r="M111" s="3" t="str">
        <f>IF($I111&lt;&gt;"",IF($A111="Gracia Parcial",IF(AND($C111&lt;$U111+$P111+$Q111+$R111+$T110,$C111&gt;0),$C111,$U111+$P111+$Q111+$R111+$T110),IF($A111="Gracia Total",0,IF($A111="Prepago",$C111,IF(ISNUMBER($C111),$C111*VALUE(MID($C$1,MONTH($J111),1)),$N$5*VALUE(MID($C$1,MONTH($J111),1))))))-IF($I112="",ARREGLO,0),"")</f>
        <v/>
      </c>
      <c r="N111" s="3" t="str">
        <f t="shared" si="53"/>
        <v/>
      </c>
      <c r="O111" s="3" t="str">
        <f t="shared" si="54"/>
        <v/>
      </c>
      <c r="P111" s="8" t="str">
        <f t="shared" si="55"/>
        <v/>
      </c>
      <c r="Q111" s="8" t="str">
        <f t="shared" si="56"/>
        <v/>
      </c>
      <c r="R111" s="3" t="str">
        <f t="shared" si="57"/>
        <v/>
      </c>
      <c r="S111" s="3" t="str">
        <f t="shared" si="58"/>
        <v/>
      </c>
      <c r="T111" s="3" t="str">
        <f t="shared" si="59"/>
        <v/>
      </c>
      <c r="U111" s="3" t="str">
        <f t="shared" si="60"/>
        <v/>
      </c>
      <c r="V111" s="3" t="str">
        <f t="shared" si="61"/>
        <v/>
      </c>
      <c r="W111" s="3" t="str">
        <f>IF($I111&lt;&gt;"",IF($K111&gt;V$11,IF($K111&lt;W$11,$K111-V$11,30),0)*ROUND(($L111+$T110+SUM($V111:V111))*$R$5/3000,2),"")</f>
        <v/>
      </c>
      <c r="X111" s="3"/>
      <c r="Y111" s="3"/>
    </row>
    <row r="112" spans="4:25" x14ac:dyDescent="0.25">
      <c r="D112" s="5"/>
      <c r="E112" t="str">
        <f t="shared" si="46"/>
        <v/>
      </c>
      <c r="F112" s="22" t="str">
        <f t="shared" si="47"/>
        <v/>
      </c>
      <c r="G112" s="22" t="str">
        <f t="shared" si="48"/>
        <v/>
      </c>
      <c r="H112" s="22" t="str">
        <f t="shared" si="49"/>
        <v/>
      </c>
      <c r="I112" t="str">
        <f t="shared" si="50"/>
        <v/>
      </c>
      <c r="J112" s="5" t="str">
        <f>IF($I112&lt;&gt;"",IF($D112="",DATE(YEAR($K$7),MONTH($K$7)+($A$1*($F112-1))+SUM($B$12:$B112),DAY($K$7)),$D112),"")</f>
        <v/>
      </c>
      <c r="K112" s="9" t="str">
        <f t="shared" si="51"/>
        <v/>
      </c>
      <c r="L112" s="3" t="str">
        <f t="shared" si="52"/>
        <v/>
      </c>
      <c r="M112" s="3" t="str">
        <f>IF($I112&lt;&gt;"",IF($A112="Gracia Parcial",IF(AND($C112&lt;$U112+$P112+$Q112+$R112+$T111,$C112&gt;0),$C112,$U112+$P112+$Q112+$R112+$T111),IF($A112="Gracia Total",0,IF($A112="Prepago",$C112,IF(ISNUMBER($C112),$C112*VALUE(MID($C$1,MONTH($J112),1)),$N$5*VALUE(MID($C$1,MONTH($J112),1))))))-IF($I113="",ARREGLO,0),"")</f>
        <v/>
      </c>
      <c r="N112" s="3" t="str">
        <f t="shared" si="53"/>
        <v/>
      </c>
      <c r="O112" s="3" t="str">
        <f t="shared" si="54"/>
        <v/>
      </c>
      <c r="P112" s="8" t="str">
        <f t="shared" si="55"/>
        <v/>
      </c>
      <c r="Q112" s="8" t="str">
        <f t="shared" si="56"/>
        <v/>
      </c>
      <c r="R112" s="3" t="str">
        <f t="shared" si="57"/>
        <v/>
      </c>
      <c r="S112" s="3" t="str">
        <f t="shared" si="58"/>
        <v/>
      </c>
      <c r="T112" s="3" t="str">
        <f t="shared" si="59"/>
        <v/>
      </c>
      <c r="U112" s="3" t="str">
        <f t="shared" si="60"/>
        <v/>
      </c>
      <c r="V112" s="3" t="str">
        <f t="shared" si="61"/>
        <v/>
      </c>
      <c r="W112" s="3" t="str">
        <f>IF($I112&lt;&gt;"",IF($K112&gt;V$11,IF($K112&lt;W$11,$K112-V$11,30),0)*ROUND(($L112+$T111+SUM($V112:V112))*$R$5/3000,2),"")</f>
        <v/>
      </c>
      <c r="X112" s="3"/>
      <c r="Y112" s="3"/>
    </row>
    <row r="113" spans="4:25" x14ac:dyDescent="0.25">
      <c r="D113" s="5"/>
      <c r="E113" t="str">
        <f t="shared" si="46"/>
        <v/>
      </c>
      <c r="F113" s="22" t="str">
        <f t="shared" si="47"/>
        <v/>
      </c>
      <c r="G113" s="22" t="str">
        <f t="shared" si="48"/>
        <v/>
      </c>
      <c r="H113" s="22" t="str">
        <f t="shared" si="49"/>
        <v/>
      </c>
      <c r="I113" t="str">
        <f t="shared" si="50"/>
        <v/>
      </c>
      <c r="J113" s="5" t="str">
        <f>IF($I113&lt;&gt;"",IF($D113="",DATE(YEAR($K$7),MONTH($K$7)+($A$1*($F113-1))+SUM($B$12:$B113),DAY($K$7)),$D113),"")</f>
        <v/>
      </c>
      <c r="K113" s="9" t="str">
        <f t="shared" si="51"/>
        <v/>
      </c>
      <c r="L113" s="3" t="str">
        <f t="shared" si="52"/>
        <v/>
      </c>
      <c r="M113" s="3" t="str">
        <f>IF($I113&lt;&gt;"",IF($A113="Gracia Parcial",IF(AND($C113&lt;$U113+$P113+$Q113+$R113+$T112,$C113&gt;0),$C113,$U113+$P113+$Q113+$R113+$T112),IF($A113="Gracia Total",0,IF($A113="Prepago",$C113,IF(ISNUMBER($C113),$C113*VALUE(MID($C$1,MONTH($J113),1)),$N$5*VALUE(MID($C$1,MONTH($J113),1))))))-IF($I114="",ARREGLO,0),"")</f>
        <v/>
      </c>
      <c r="N113" s="3" t="str">
        <f t="shared" si="53"/>
        <v/>
      </c>
      <c r="O113" s="3" t="str">
        <f t="shared" si="54"/>
        <v/>
      </c>
      <c r="P113" s="8" t="str">
        <f t="shared" si="55"/>
        <v/>
      </c>
      <c r="Q113" s="8" t="str">
        <f t="shared" si="56"/>
        <v/>
      </c>
      <c r="R113" s="3" t="str">
        <f t="shared" si="57"/>
        <v/>
      </c>
      <c r="S113" s="3" t="str">
        <f t="shared" si="58"/>
        <v/>
      </c>
      <c r="T113" s="3" t="str">
        <f t="shared" si="59"/>
        <v/>
      </c>
      <c r="U113" s="3" t="str">
        <f t="shared" si="60"/>
        <v/>
      </c>
      <c r="V113" s="3" t="str">
        <f t="shared" si="61"/>
        <v/>
      </c>
      <c r="W113" s="3" t="str">
        <f>IF($I113&lt;&gt;"",IF($K113&gt;V$11,IF($K113&lt;W$11,$K113-V$11,30),0)*ROUND(($L113+$T112+SUM($V113:V113))*$R$5/3000,2),"")</f>
        <v/>
      </c>
      <c r="X113" s="3"/>
      <c r="Y113" s="3"/>
    </row>
    <row r="114" spans="4:25" x14ac:dyDescent="0.25">
      <c r="D114" s="5"/>
      <c r="E114" t="str">
        <f t="shared" si="46"/>
        <v/>
      </c>
      <c r="F114" s="22" t="str">
        <f t="shared" si="47"/>
        <v/>
      </c>
      <c r="G114" s="22" t="str">
        <f t="shared" si="48"/>
        <v/>
      </c>
      <c r="H114" s="22" t="str">
        <f t="shared" si="49"/>
        <v/>
      </c>
      <c r="I114" t="str">
        <f t="shared" si="50"/>
        <v/>
      </c>
      <c r="J114" s="5" t="str">
        <f>IF($I114&lt;&gt;"",IF($D114="",DATE(YEAR($K$7),MONTH($K$7)+($A$1*($F114-1))+SUM($B$12:$B114),DAY($K$7)),$D114),"")</f>
        <v/>
      </c>
      <c r="K114" s="9" t="str">
        <f t="shared" si="51"/>
        <v/>
      </c>
      <c r="L114" s="3" t="str">
        <f t="shared" si="52"/>
        <v/>
      </c>
      <c r="M114" s="3" t="str">
        <f>IF($I114&lt;&gt;"",IF($A114="Gracia Parcial",IF(AND($C114&lt;$U114+$P114+$Q114+$R114+$T113,$C114&gt;0),$C114,$U114+$P114+$Q114+$R114+$T113),IF($A114="Gracia Total",0,IF($A114="Prepago",$C114,IF(ISNUMBER($C114),$C114*VALUE(MID($C$1,MONTH($J114),1)),$N$5*VALUE(MID($C$1,MONTH($J114),1))))))-IF($I115="",ARREGLO,0),"")</f>
        <v/>
      </c>
      <c r="N114" s="3" t="str">
        <f t="shared" si="53"/>
        <v/>
      </c>
      <c r="O114" s="3" t="str">
        <f t="shared" si="54"/>
        <v/>
      </c>
      <c r="P114" s="8" t="str">
        <f t="shared" si="55"/>
        <v/>
      </c>
      <c r="Q114" s="8" t="str">
        <f t="shared" si="56"/>
        <v/>
      </c>
      <c r="R114" s="3" t="str">
        <f t="shared" si="57"/>
        <v/>
      </c>
      <c r="S114" s="3" t="str">
        <f t="shared" si="58"/>
        <v/>
      </c>
      <c r="T114" s="3" t="str">
        <f t="shared" si="59"/>
        <v/>
      </c>
      <c r="U114" s="3" t="str">
        <f t="shared" si="60"/>
        <v/>
      </c>
      <c r="V114" s="3" t="str">
        <f t="shared" si="61"/>
        <v/>
      </c>
      <c r="W114" s="3" t="str">
        <f>IF($I114&lt;&gt;"",IF($K114&gt;V$11,IF($K114&lt;W$11,$K114-V$11,30),0)*ROUND(($L114+$T113+SUM($V114:V114))*$R$5/3000,2),"")</f>
        <v/>
      </c>
      <c r="X114" s="3"/>
      <c r="Y114" s="3"/>
    </row>
    <row r="115" spans="4:25" x14ac:dyDescent="0.25">
      <c r="D115" s="5"/>
      <c r="E115" t="str">
        <f t="shared" si="46"/>
        <v/>
      </c>
      <c r="F115" s="22" t="str">
        <f t="shared" si="47"/>
        <v/>
      </c>
      <c r="G115" s="22" t="str">
        <f t="shared" si="48"/>
        <v/>
      </c>
      <c r="H115" s="22" t="str">
        <f t="shared" si="49"/>
        <v/>
      </c>
      <c r="I115" t="str">
        <f t="shared" si="50"/>
        <v/>
      </c>
      <c r="J115" s="5" t="str">
        <f>IF($I115&lt;&gt;"",IF($D115="",DATE(YEAR($K$7),MONTH($K$7)+($A$1*($F115-1))+SUM($B$12:$B115),DAY($K$7)),$D115),"")</f>
        <v/>
      </c>
      <c r="K115" s="9" t="str">
        <f t="shared" si="51"/>
        <v/>
      </c>
      <c r="L115" s="3" t="str">
        <f t="shared" si="52"/>
        <v/>
      </c>
      <c r="M115" s="3" t="str">
        <f>IF($I115&lt;&gt;"",IF($A115="Gracia Parcial",IF(AND($C115&lt;$U115+$P115+$Q115+$R115+$T114,$C115&gt;0),$C115,$U115+$P115+$Q115+$R115+$T114),IF($A115="Gracia Total",0,IF($A115="Prepago",$C115,IF(ISNUMBER($C115),$C115*VALUE(MID($C$1,MONTH($J115),1)),$N$5*VALUE(MID($C$1,MONTH($J115),1))))))-IF($I116="",ARREGLO,0),"")</f>
        <v/>
      </c>
      <c r="N115" s="3" t="str">
        <f t="shared" si="53"/>
        <v/>
      </c>
      <c r="O115" s="3" t="str">
        <f t="shared" si="54"/>
        <v/>
      </c>
      <c r="P115" s="8" t="str">
        <f t="shared" si="55"/>
        <v/>
      </c>
      <c r="Q115" s="8" t="str">
        <f t="shared" si="56"/>
        <v/>
      </c>
      <c r="R115" s="3" t="str">
        <f t="shared" si="57"/>
        <v/>
      </c>
      <c r="S115" s="3" t="str">
        <f t="shared" si="58"/>
        <v/>
      </c>
      <c r="T115" s="3" t="str">
        <f t="shared" si="59"/>
        <v/>
      </c>
      <c r="U115" s="3" t="str">
        <f t="shared" si="60"/>
        <v/>
      </c>
      <c r="V115" s="3" t="str">
        <f t="shared" si="61"/>
        <v/>
      </c>
      <c r="W115" s="3" t="str">
        <f>IF($I115&lt;&gt;"",IF($K115&gt;V$11,IF($K115&lt;W$11,$K115-V$11,30),0)*ROUND(($L115+$T114+SUM($V115:V115))*$R$5/3000,2),"")</f>
        <v/>
      </c>
      <c r="X115" s="3"/>
      <c r="Y115" s="3"/>
    </row>
    <row r="116" spans="4:25" x14ac:dyDescent="0.25">
      <c r="D116" s="5"/>
      <c r="E116" t="str">
        <f t="shared" si="46"/>
        <v/>
      </c>
      <c r="F116" s="22" t="str">
        <f t="shared" si="47"/>
        <v/>
      </c>
      <c r="G116" s="22" t="str">
        <f t="shared" si="48"/>
        <v/>
      </c>
      <c r="H116" s="22" t="str">
        <f t="shared" si="49"/>
        <v/>
      </c>
      <c r="I116" t="str">
        <f t="shared" si="50"/>
        <v/>
      </c>
      <c r="J116" s="5" t="str">
        <f>IF($I116&lt;&gt;"",IF($D116="",DATE(YEAR($K$7),MONTH($K$7)+($A$1*($F116-1))+SUM($B$12:$B116),DAY($K$7)),$D116),"")</f>
        <v/>
      </c>
      <c r="K116" s="9" t="str">
        <f t="shared" si="51"/>
        <v/>
      </c>
      <c r="L116" s="3" t="str">
        <f t="shared" si="52"/>
        <v/>
      </c>
      <c r="M116" s="3" t="str">
        <f>IF($I116&lt;&gt;"",IF($A116="Gracia Parcial",IF(AND($C116&lt;$U116+$P116+$Q116+$R116+$T115,$C116&gt;0),$C116,$U116+$P116+$Q116+$R116+$T115),IF($A116="Gracia Total",0,IF($A116="Prepago",$C116,IF(ISNUMBER($C116),$C116*VALUE(MID($C$1,MONTH($J116),1)),$N$5*VALUE(MID($C$1,MONTH($J116),1))))))-IF($I117="",ARREGLO,0),"")</f>
        <v/>
      </c>
      <c r="N116" s="3" t="str">
        <f t="shared" si="53"/>
        <v/>
      </c>
      <c r="O116" s="3" t="str">
        <f t="shared" si="54"/>
        <v/>
      </c>
      <c r="P116" s="8" t="str">
        <f t="shared" si="55"/>
        <v/>
      </c>
      <c r="Q116" s="8" t="str">
        <f t="shared" si="56"/>
        <v/>
      </c>
      <c r="R116" s="3" t="str">
        <f t="shared" si="57"/>
        <v/>
      </c>
      <c r="S116" s="3" t="str">
        <f t="shared" si="58"/>
        <v/>
      </c>
      <c r="T116" s="3" t="str">
        <f t="shared" si="59"/>
        <v/>
      </c>
      <c r="U116" s="3" t="str">
        <f t="shared" si="60"/>
        <v/>
      </c>
      <c r="V116" s="3" t="str">
        <f t="shared" si="61"/>
        <v/>
      </c>
      <c r="W116" s="3" t="str">
        <f>IF($I116&lt;&gt;"",IF($K116&gt;V$11,IF($K116&lt;W$11,$K116-V$11,30),0)*ROUND(($L116+$T115+SUM($V116:V116))*$R$5/3000,2),"")</f>
        <v/>
      </c>
      <c r="X116" s="3"/>
      <c r="Y116" s="3"/>
    </row>
    <row r="117" spans="4:25" x14ac:dyDescent="0.25">
      <c r="D117" s="5"/>
      <c r="E117" t="str">
        <f t="shared" si="46"/>
        <v/>
      </c>
      <c r="F117" s="22" t="str">
        <f t="shared" si="47"/>
        <v/>
      </c>
      <c r="G117" s="22" t="str">
        <f t="shared" si="48"/>
        <v/>
      </c>
      <c r="H117" s="22" t="str">
        <f t="shared" si="49"/>
        <v/>
      </c>
      <c r="I117" t="str">
        <f t="shared" si="50"/>
        <v/>
      </c>
      <c r="J117" s="5" t="str">
        <f>IF($I117&lt;&gt;"",IF($D117="",DATE(YEAR($K$7),MONTH($K$7)+($A$1*($F117-1))+SUM($B$12:$B117),DAY($K$7)),$D117),"")</f>
        <v/>
      </c>
      <c r="K117" s="9" t="str">
        <f t="shared" si="51"/>
        <v/>
      </c>
      <c r="L117" s="3" t="str">
        <f t="shared" si="52"/>
        <v/>
      </c>
      <c r="M117" s="3" t="str">
        <f>IF($I117&lt;&gt;"",IF($A117="Gracia Parcial",IF(AND($C117&lt;$U117+$P117+$Q117+$R117+$T116,$C117&gt;0),$C117,$U117+$P117+$Q117+$R117+$T116),IF($A117="Gracia Total",0,IF($A117="Prepago",$C117,IF(ISNUMBER($C117),$C117*VALUE(MID($C$1,MONTH($J117),1)),$N$5*VALUE(MID($C$1,MONTH($J117),1))))))-IF($I118="",ARREGLO,0),"")</f>
        <v/>
      </c>
      <c r="N117" s="3" t="str">
        <f t="shared" si="53"/>
        <v/>
      </c>
      <c r="O117" s="3" t="str">
        <f t="shared" si="54"/>
        <v/>
      </c>
      <c r="P117" s="8" t="str">
        <f t="shared" si="55"/>
        <v/>
      </c>
      <c r="Q117" s="8" t="str">
        <f t="shared" si="56"/>
        <v/>
      </c>
      <c r="R117" s="3" t="str">
        <f t="shared" si="57"/>
        <v/>
      </c>
      <c r="S117" s="3" t="str">
        <f t="shared" si="58"/>
        <v/>
      </c>
      <c r="T117" s="3" t="str">
        <f t="shared" si="59"/>
        <v/>
      </c>
      <c r="U117" s="3" t="str">
        <f t="shared" si="60"/>
        <v/>
      </c>
      <c r="V117" s="3" t="str">
        <f t="shared" si="61"/>
        <v/>
      </c>
      <c r="W117" s="3" t="str">
        <f>IF($I117&lt;&gt;"",IF($K117&gt;V$11,IF($K117&lt;W$11,$K117-V$11,30),0)*ROUND(($L117+$T116+SUM($V117:V117))*$R$5/3000,2),"")</f>
        <v/>
      </c>
      <c r="X117" s="3"/>
      <c r="Y117" s="3"/>
    </row>
    <row r="118" spans="4:25" x14ac:dyDescent="0.25">
      <c r="D118" s="5"/>
      <c r="E118" t="str">
        <f t="shared" si="46"/>
        <v/>
      </c>
      <c r="F118" s="22" t="str">
        <f t="shared" si="47"/>
        <v/>
      </c>
      <c r="G118" s="22" t="str">
        <f t="shared" si="48"/>
        <v/>
      </c>
      <c r="H118" s="22" t="str">
        <f t="shared" si="49"/>
        <v/>
      </c>
      <c r="I118" t="str">
        <f t="shared" si="50"/>
        <v/>
      </c>
      <c r="J118" s="5" t="str">
        <f>IF($I118&lt;&gt;"",IF($D118="",DATE(YEAR($K$7),MONTH($K$7)+($A$1*($F118-1))+SUM($B$12:$B118),DAY($K$7)),$D118),"")</f>
        <v/>
      </c>
      <c r="K118" s="9" t="str">
        <f t="shared" si="51"/>
        <v/>
      </c>
      <c r="L118" s="3" t="str">
        <f t="shared" si="52"/>
        <v/>
      </c>
      <c r="M118" s="3" t="str">
        <f>IF($I118&lt;&gt;"",IF($A118="Gracia Parcial",IF(AND($C118&lt;$U118+$P118+$Q118+$R118+$T117,$C118&gt;0),$C118,$U118+$P118+$Q118+$R118+$T117),IF($A118="Gracia Total",0,IF($A118="Prepago",$C118,IF(ISNUMBER($C118),$C118*VALUE(MID($C$1,MONTH($J118),1)),$N$5*VALUE(MID($C$1,MONTH($J118),1))))))-IF($I119="",ARREGLO,0),"")</f>
        <v/>
      </c>
      <c r="N118" s="3" t="str">
        <f t="shared" si="53"/>
        <v/>
      </c>
      <c r="O118" s="3" t="str">
        <f t="shared" si="54"/>
        <v/>
      </c>
      <c r="P118" s="8" t="str">
        <f t="shared" si="55"/>
        <v/>
      </c>
      <c r="Q118" s="8" t="str">
        <f t="shared" si="56"/>
        <v/>
      </c>
      <c r="R118" s="3" t="str">
        <f t="shared" si="57"/>
        <v/>
      </c>
      <c r="S118" s="3" t="str">
        <f t="shared" si="58"/>
        <v/>
      </c>
      <c r="T118" s="3" t="str">
        <f t="shared" si="59"/>
        <v/>
      </c>
      <c r="U118" s="3" t="str">
        <f t="shared" si="60"/>
        <v/>
      </c>
      <c r="V118" s="3" t="str">
        <f t="shared" si="61"/>
        <v/>
      </c>
      <c r="W118" s="3" t="str">
        <f>IF($I118&lt;&gt;"",IF($K118&gt;V$11,IF($K118&lt;W$11,$K118-V$11,30),0)*ROUND(($L118+$T117+SUM($V118:V118))*$R$5/3000,2),"")</f>
        <v/>
      </c>
      <c r="X118" s="3"/>
      <c r="Y118" s="3"/>
    </row>
    <row r="119" spans="4:25" x14ac:dyDescent="0.25">
      <c r="D119" s="5"/>
      <c r="E119" t="str">
        <f t="shared" si="46"/>
        <v/>
      </c>
      <c r="F119" s="22" t="str">
        <f t="shared" si="47"/>
        <v/>
      </c>
      <c r="G119" s="22" t="str">
        <f t="shared" si="48"/>
        <v/>
      </c>
      <c r="H119" s="22" t="str">
        <f t="shared" si="49"/>
        <v/>
      </c>
      <c r="I119" t="str">
        <f t="shared" si="50"/>
        <v/>
      </c>
      <c r="J119" s="5" t="str">
        <f>IF($I119&lt;&gt;"",IF($D119="",DATE(YEAR($K$7),MONTH($K$7)+($A$1*($F119-1))+SUM($B$12:$B119),DAY($K$7)),$D119),"")</f>
        <v/>
      </c>
      <c r="K119" s="9" t="str">
        <f t="shared" si="51"/>
        <v/>
      </c>
      <c r="L119" s="3" t="str">
        <f t="shared" si="52"/>
        <v/>
      </c>
      <c r="M119" s="3" t="str">
        <f>IF($I119&lt;&gt;"",IF($A119="Gracia Parcial",IF(AND($C119&lt;$U119+$P119+$Q119+$R119+$T118,$C119&gt;0),$C119,$U119+$P119+$Q119+$R119+$T118),IF($A119="Gracia Total",0,IF($A119="Prepago",$C119,IF(ISNUMBER($C119),$C119*VALUE(MID($C$1,MONTH($J119),1)),$N$5*VALUE(MID($C$1,MONTH($J119),1))))))-IF($I120="",ARREGLO,0),"")</f>
        <v/>
      </c>
      <c r="N119" s="3" t="str">
        <f t="shared" si="53"/>
        <v/>
      </c>
      <c r="O119" s="3" t="str">
        <f t="shared" si="54"/>
        <v/>
      </c>
      <c r="P119" s="8" t="str">
        <f t="shared" si="55"/>
        <v/>
      </c>
      <c r="Q119" s="8" t="str">
        <f t="shared" si="56"/>
        <v/>
      </c>
      <c r="R119" s="3" t="str">
        <f t="shared" si="57"/>
        <v/>
      </c>
      <c r="S119" s="3" t="str">
        <f t="shared" si="58"/>
        <v/>
      </c>
      <c r="T119" s="3" t="str">
        <f t="shared" si="59"/>
        <v/>
      </c>
      <c r="U119" s="3" t="str">
        <f t="shared" si="60"/>
        <v/>
      </c>
      <c r="V119" s="3" t="str">
        <f t="shared" si="61"/>
        <v/>
      </c>
      <c r="W119" s="3" t="str">
        <f>IF($I119&lt;&gt;"",IF($K119&gt;V$11,IF($K119&lt;W$11,$K119-V$11,30),0)*ROUND(($L119+$T118+SUM($V119:V119))*$R$5/3000,2),"")</f>
        <v/>
      </c>
      <c r="X119" s="3"/>
      <c r="Y119" s="3"/>
    </row>
    <row r="120" spans="4:25" x14ac:dyDescent="0.25">
      <c r="D120" s="5"/>
      <c r="E120" t="str">
        <f t="shared" si="46"/>
        <v/>
      </c>
      <c r="F120" s="22" t="str">
        <f t="shared" si="47"/>
        <v/>
      </c>
      <c r="G120" s="22" t="str">
        <f t="shared" si="48"/>
        <v/>
      </c>
      <c r="H120" s="22" t="str">
        <f t="shared" si="49"/>
        <v/>
      </c>
      <c r="I120" t="str">
        <f t="shared" si="50"/>
        <v/>
      </c>
      <c r="J120" s="5" t="str">
        <f>IF($I120&lt;&gt;"",IF($D120="",DATE(YEAR($K$7),MONTH($K$7)+($A$1*($F120-1))+SUM($B$12:$B120),DAY($K$7)),$D120),"")</f>
        <v/>
      </c>
      <c r="K120" s="9" t="str">
        <f t="shared" si="51"/>
        <v/>
      </c>
      <c r="L120" s="3" t="str">
        <f t="shared" si="52"/>
        <v/>
      </c>
      <c r="M120" s="3" t="str">
        <f>IF($I120&lt;&gt;"",IF($A120="Gracia Parcial",IF(AND($C120&lt;$U120+$P120+$Q120+$R120+$T119,$C120&gt;0),$C120,$U120+$P120+$Q120+$R120+$T119),IF($A120="Gracia Total",0,IF($A120="Prepago",$C120,IF(ISNUMBER($C120),$C120*VALUE(MID($C$1,MONTH($J120),1)),$N$5*VALUE(MID($C$1,MONTH($J120),1))))))-IF($I121="",ARREGLO,0),"")</f>
        <v/>
      </c>
      <c r="N120" s="3" t="str">
        <f t="shared" si="53"/>
        <v/>
      </c>
      <c r="O120" s="3" t="str">
        <f t="shared" si="54"/>
        <v/>
      </c>
      <c r="P120" s="8" t="str">
        <f t="shared" si="55"/>
        <v/>
      </c>
      <c r="Q120" s="8" t="str">
        <f t="shared" si="56"/>
        <v/>
      </c>
      <c r="R120" s="3" t="str">
        <f t="shared" si="57"/>
        <v/>
      </c>
      <c r="S120" s="3" t="str">
        <f t="shared" si="58"/>
        <v/>
      </c>
      <c r="T120" s="3" t="str">
        <f t="shared" si="59"/>
        <v/>
      </c>
      <c r="U120" s="3" t="str">
        <f t="shared" si="60"/>
        <v/>
      </c>
      <c r="V120" s="3" t="str">
        <f t="shared" si="61"/>
        <v/>
      </c>
      <c r="W120" s="3" t="str">
        <f>IF($I120&lt;&gt;"",IF($K120&gt;V$11,IF($K120&lt;W$11,$K120-V$11,30),0)*ROUND(($L120+$T119+SUM($V120:V120))*$R$5/3000,2),"")</f>
        <v/>
      </c>
      <c r="X120" s="3"/>
      <c r="Y120" s="3"/>
    </row>
    <row r="121" spans="4:25" x14ac:dyDescent="0.25">
      <c r="D121" s="5"/>
      <c r="E121" t="str">
        <f t="shared" si="46"/>
        <v/>
      </c>
      <c r="F121" s="22" t="str">
        <f t="shared" si="47"/>
        <v/>
      </c>
      <c r="G121" s="22" t="str">
        <f t="shared" si="48"/>
        <v/>
      </c>
      <c r="H121" s="22" t="str">
        <f t="shared" si="49"/>
        <v/>
      </c>
      <c r="I121" t="str">
        <f t="shared" si="50"/>
        <v/>
      </c>
      <c r="J121" s="5" t="str">
        <f>IF($I121&lt;&gt;"",IF($D121="",DATE(YEAR($K$7),MONTH($K$7)+($A$1*($F121-1))+SUM($B$12:$B121),DAY($K$7)),$D121),"")</f>
        <v/>
      </c>
      <c r="K121" s="9" t="str">
        <f t="shared" si="51"/>
        <v/>
      </c>
      <c r="L121" s="3" t="str">
        <f t="shared" si="52"/>
        <v/>
      </c>
      <c r="M121" s="3" t="str">
        <f>IF($I121&lt;&gt;"",IF($A121="Gracia Parcial",IF(AND($C121&lt;$U121+$P121+$Q121+$R121+$T120,$C121&gt;0),$C121,$U121+$P121+$Q121+$R121+$T120),IF($A121="Gracia Total",0,IF($A121="Prepago",$C121,IF(ISNUMBER($C121),$C121*VALUE(MID($C$1,MONTH($J121),1)),$N$5*VALUE(MID($C$1,MONTH($J121),1))))))-IF($I122="",ARREGLO,0),"")</f>
        <v/>
      </c>
      <c r="N121" s="3" t="str">
        <f t="shared" si="53"/>
        <v/>
      </c>
      <c r="O121" s="3" t="str">
        <f t="shared" si="54"/>
        <v/>
      </c>
      <c r="P121" s="8" t="str">
        <f t="shared" si="55"/>
        <v/>
      </c>
      <c r="Q121" s="8" t="str">
        <f t="shared" si="56"/>
        <v/>
      </c>
      <c r="R121" s="3" t="str">
        <f t="shared" si="57"/>
        <v/>
      </c>
      <c r="S121" s="3" t="str">
        <f t="shared" si="58"/>
        <v/>
      </c>
      <c r="T121" s="3" t="str">
        <f t="shared" si="59"/>
        <v/>
      </c>
      <c r="U121" s="3" t="str">
        <f t="shared" si="60"/>
        <v/>
      </c>
      <c r="V121" s="3" t="str">
        <f t="shared" si="61"/>
        <v/>
      </c>
      <c r="W121" s="3" t="str">
        <f>IF($I121&lt;&gt;"",IF($K121&gt;V$11,IF($K121&lt;W$11,$K121-V$11,30),0)*ROUND(($L121+$T120+SUM($V121:V121))*$R$5/3000,2),"")</f>
        <v/>
      </c>
      <c r="X121" s="3"/>
      <c r="Y121" s="3"/>
    </row>
    <row r="122" spans="4:25" x14ac:dyDescent="0.25">
      <c r="D122" s="5"/>
      <c r="E122" t="str">
        <f t="shared" si="46"/>
        <v/>
      </c>
      <c r="F122" s="22" t="str">
        <f t="shared" si="47"/>
        <v/>
      </c>
      <c r="G122" s="22" t="str">
        <f t="shared" si="48"/>
        <v/>
      </c>
      <c r="H122" s="22" t="str">
        <f t="shared" si="49"/>
        <v/>
      </c>
      <c r="I122" t="str">
        <f t="shared" si="50"/>
        <v/>
      </c>
      <c r="J122" s="5" t="str">
        <f>IF($I122&lt;&gt;"",IF($D122="",DATE(YEAR($K$7),MONTH($K$7)+($A$1*($F122-1))+SUM($B$12:$B122),DAY($K$7)),$D122),"")</f>
        <v/>
      </c>
      <c r="K122" s="9" t="str">
        <f t="shared" si="51"/>
        <v/>
      </c>
      <c r="L122" s="3" t="str">
        <f t="shared" si="52"/>
        <v/>
      </c>
      <c r="M122" s="3" t="str">
        <f>IF($I122&lt;&gt;"",IF($A122="Gracia Parcial",IF(AND($C122&lt;$U122+$P122+$Q122+$R122+$T121,$C122&gt;0),$C122,$U122+$P122+$Q122+$R122+$T121),IF($A122="Gracia Total",0,IF($A122="Prepago",$C122,IF(ISNUMBER($C122),$C122*VALUE(MID($C$1,MONTH($J122),1)),$N$5*VALUE(MID($C$1,MONTH($J122),1))))))-IF($I123="",ARREGLO,0),"")</f>
        <v/>
      </c>
      <c r="N122" s="3" t="str">
        <f t="shared" si="53"/>
        <v/>
      </c>
      <c r="O122" s="3" t="str">
        <f t="shared" si="54"/>
        <v/>
      </c>
      <c r="P122" s="8" t="str">
        <f t="shared" si="55"/>
        <v/>
      </c>
      <c r="Q122" s="8" t="str">
        <f t="shared" si="56"/>
        <v/>
      </c>
      <c r="R122" s="3" t="str">
        <f t="shared" si="57"/>
        <v/>
      </c>
      <c r="S122" s="3" t="str">
        <f t="shared" si="58"/>
        <v/>
      </c>
      <c r="T122" s="3" t="str">
        <f t="shared" si="59"/>
        <v/>
      </c>
      <c r="U122" s="3" t="str">
        <f t="shared" si="60"/>
        <v/>
      </c>
      <c r="V122" s="3" t="str">
        <f t="shared" si="61"/>
        <v/>
      </c>
      <c r="W122" s="3" t="str">
        <f>IF($I122&lt;&gt;"",IF($K122&gt;V$11,IF($K122&lt;W$11,$K122-V$11,30),0)*ROUND(($L122+$T121+SUM($V122:V122))*$R$5/3000,2),"")</f>
        <v/>
      </c>
      <c r="X122" s="3"/>
      <c r="Y122" s="3"/>
    </row>
    <row r="123" spans="4:25" x14ac:dyDescent="0.25">
      <c r="D123" s="5"/>
      <c r="E123" t="str">
        <f t="shared" si="46"/>
        <v/>
      </c>
      <c r="F123" s="22" t="str">
        <f t="shared" si="47"/>
        <v/>
      </c>
      <c r="G123" s="22" t="str">
        <f t="shared" si="48"/>
        <v/>
      </c>
      <c r="H123" s="22" t="str">
        <f t="shared" si="49"/>
        <v/>
      </c>
      <c r="I123" t="str">
        <f t="shared" si="50"/>
        <v/>
      </c>
      <c r="J123" s="5" t="str">
        <f>IF($I123&lt;&gt;"",IF($D123="",DATE(YEAR($K$7),MONTH($K$7)+($A$1*($F123-1))+SUM($B$12:$B123),DAY($K$7)),$D123),"")</f>
        <v/>
      </c>
      <c r="K123" s="9" t="str">
        <f t="shared" si="51"/>
        <v/>
      </c>
      <c r="L123" s="3" t="str">
        <f t="shared" si="52"/>
        <v/>
      </c>
      <c r="M123" s="3" t="str">
        <f>IF($I123&lt;&gt;"",IF($A123="Gracia Parcial",IF(AND($C123&lt;$U123+$P123+$Q123+$R123+$T122,$C123&gt;0),$C123,$U123+$P123+$Q123+$R123+$T122),IF($A123="Gracia Total",0,IF($A123="Prepago",$C123,IF(ISNUMBER($C123),$C123*VALUE(MID($C$1,MONTH($J123),1)),$N$5*VALUE(MID($C$1,MONTH($J123),1))))))-IF($I124="",ARREGLO,0),"")</f>
        <v/>
      </c>
      <c r="N123" s="3" t="str">
        <f t="shared" si="53"/>
        <v/>
      </c>
      <c r="O123" s="3" t="str">
        <f t="shared" si="54"/>
        <v/>
      </c>
      <c r="P123" s="8" t="str">
        <f t="shared" si="55"/>
        <v/>
      </c>
      <c r="Q123" s="8" t="str">
        <f t="shared" si="56"/>
        <v/>
      </c>
      <c r="R123" s="3" t="str">
        <f t="shared" si="57"/>
        <v/>
      </c>
      <c r="S123" s="3" t="str">
        <f t="shared" si="58"/>
        <v/>
      </c>
      <c r="T123" s="3" t="str">
        <f t="shared" si="59"/>
        <v/>
      </c>
      <c r="U123" s="3" t="str">
        <f t="shared" si="60"/>
        <v/>
      </c>
      <c r="V123" s="3" t="str">
        <f t="shared" si="61"/>
        <v/>
      </c>
      <c r="W123" s="3" t="str">
        <f>IF($I123&lt;&gt;"",IF($K123&gt;V$11,IF($K123&lt;W$11,$K123-V$11,30),0)*ROUND(($L123+$T122+SUM($V123:V123))*$R$5/3000,2),"")</f>
        <v/>
      </c>
      <c r="X123" s="3"/>
      <c r="Y123" s="3"/>
    </row>
    <row r="124" spans="4:25" x14ac:dyDescent="0.25">
      <c r="D124" s="5"/>
      <c r="E124" t="str">
        <f t="shared" si="46"/>
        <v/>
      </c>
      <c r="F124" s="22" t="str">
        <f t="shared" si="47"/>
        <v/>
      </c>
      <c r="G124" s="22" t="str">
        <f t="shared" si="48"/>
        <v/>
      </c>
      <c r="H124" s="22" t="str">
        <f t="shared" si="49"/>
        <v/>
      </c>
      <c r="I124" t="str">
        <f t="shared" si="50"/>
        <v/>
      </c>
      <c r="J124" s="5" t="str">
        <f>IF($I124&lt;&gt;"",IF($D124="",DATE(YEAR($K$7),MONTH($K$7)+($A$1*($F124-1))+SUM($B$12:$B124),DAY($K$7)),$D124),"")</f>
        <v/>
      </c>
      <c r="K124" s="9" t="str">
        <f t="shared" si="51"/>
        <v/>
      </c>
      <c r="L124" s="3" t="str">
        <f t="shared" si="52"/>
        <v/>
      </c>
      <c r="M124" s="3" t="str">
        <f>IF($I124&lt;&gt;"",IF($A124="Gracia Parcial",IF(AND($C124&lt;$U124+$P124+$Q124+$R124+$T123,$C124&gt;0),$C124,$U124+$P124+$Q124+$R124+$T123),IF($A124="Gracia Total",0,IF($A124="Prepago",$C124,IF(ISNUMBER($C124),$C124*VALUE(MID($C$1,MONTH($J124),1)),$N$5*VALUE(MID($C$1,MONTH($J124),1))))))-IF($I125="",ARREGLO,0),"")</f>
        <v/>
      </c>
      <c r="N124" s="3" t="str">
        <f t="shared" si="53"/>
        <v/>
      </c>
      <c r="O124" s="3" t="str">
        <f t="shared" si="54"/>
        <v/>
      </c>
      <c r="P124" s="8" t="str">
        <f t="shared" si="55"/>
        <v/>
      </c>
      <c r="Q124" s="8" t="str">
        <f t="shared" si="56"/>
        <v/>
      </c>
      <c r="R124" s="3" t="str">
        <f t="shared" si="57"/>
        <v/>
      </c>
      <c r="S124" s="3" t="str">
        <f t="shared" si="58"/>
        <v/>
      </c>
      <c r="T124" s="3" t="str">
        <f t="shared" si="59"/>
        <v/>
      </c>
      <c r="U124" s="3" t="str">
        <f t="shared" si="60"/>
        <v/>
      </c>
      <c r="V124" s="3" t="str">
        <f t="shared" si="61"/>
        <v/>
      </c>
      <c r="W124" s="3" t="str">
        <f>IF($I124&lt;&gt;"",IF($K124&gt;V$11,IF($K124&lt;W$11,$K124-V$11,30),0)*ROUND(($L124+$T123+SUM($V124:V124))*$R$5/3000,2),"")</f>
        <v/>
      </c>
      <c r="X124" s="3"/>
      <c r="Y124" s="3"/>
    </row>
    <row r="125" spans="4:25" x14ac:dyDescent="0.25">
      <c r="D125" s="5"/>
      <c r="E125" t="str">
        <f t="shared" si="46"/>
        <v/>
      </c>
      <c r="F125" s="22" t="str">
        <f t="shared" si="47"/>
        <v/>
      </c>
      <c r="G125" s="22" t="str">
        <f t="shared" si="48"/>
        <v/>
      </c>
      <c r="H125" s="22" t="str">
        <f t="shared" si="49"/>
        <v/>
      </c>
      <c r="I125" t="str">
        <f t="shared" si="50"/>
        <v/>
      </c>
      <c r="J125" s="5" t="str">
        <f>IF($I125&lt;&gt;"",IF($D125="",DATE(YEAR($K$7),MONTH($K$7)+($A$1*($F125-1))+SUM($B$12:$B125),DAY($K$7)),$D125),"")</f>
        <v/>
      </c>
      <c r="K125" s="9" t="str">
        <f t="shared" si="51"/>
        <v/>
      </c>
      <c r="L125" s="3" t="str">
        <f t="shared" si="52"/>
        <v/>
      </c>
      <c r="M125" s="3" t="str">
        <f>IF($I125&lt;&gt;"",IF($A125="Gracia Parcial",IF(AND($C125&lt;$U125+$P125+$Q125+$R125+$T124,$C125&gt;0),$C125,$U125+$P125+$Q125+$R125+$T124),IF($A125="Gracia Total",0,IF($A125="Prepago",$C125,IF(ISNUMBER($C125),$C125*VALUE(MID($C$1,MONTH($J125),1)),$N$5*VALUE(MID($C$1,MONTH($J125),1))))))-IF($I126="",ARREGLO,0),"")</f>
        <v/>
      </c>
      <c r="N125" s="3" t="str">
        <f t="shared" si="53"/>
        <v/>
      </c>
      <c r="O125" s="3" t="str">
        <f t="shared" si="54"/>
        <v/>
      </c>
      <c r="P125" s="8" t="str">
        <f t="shared" si="55"/>
        <v/>
      </c>
      <c r="Q125" s="8" t="str">
        <f t="shared" si="56"/>
        <v/>
      </c>
      <c r="R125" s="3" t="str">
        <f t="shared" si="57"/>
        <v/>
      </c>
      <c r="S125" s="3" t="str">
        <f t="shared" si="58"/>
        <v/>
      </c>
      <c r="T125" s="3" t="str">
        <f t="shared" si="59"/>
        <v/>
      </c>
      <c r="U125" s="3" t="str">
        <f t="shared" si="60"/>
        <v/>
      </c>
      <c r="V125" s="3" t="str">
        <f t="shared" si="61"/>
        <v/>
      </c>
      <c r="W125" s="3" t="str">
        <f>IF($I125&lt;&gt;"",IF($K125&gt;V$11,IF($K125&lt;W$11,$K125-V$11,30),0)*ROUND(($L125+$T124+SUM($V125:V125))*$R$5/3000,2),"")</f>
        <v/>
      </c>
      <c r="X125" s="3"/>
      <c r="Y125" s="3"/>
    </row>
    <row r="126" spans="4:25" x14ac:dyDescent="0.25">
      <c r="D126" s="5"/>
      <c r="E126" t="str">
        <f t="shared" si="46"/>
        <v/>
      </c>
      <c r="F126" s="22" t="str">
        <f t="shared" si="47"/>
        <v/>
      </c>
      <c r="G126" s="22" t="str">
        <f t="shared" si="48"/>
        <v/>
      </c>
      <c r="H126" s="22" t="str">
        <f t="shared" si="49"/>
        <v/>
      </c>
      <c r="I126" t="str">
        <f t="shared" si="50"/>
        <v/>
      </c>
      <c r="J126" s="5" t="str">
        <f>IF($I126&lt;&gt;"",IF($D126="",DATE(YEAR($K$7),MONTH($K$7)+($A$1*($F126-1))+SUM($B$12:$B126),DAY($K$7)),$D126),"")</f>
        <v/>
      </c>
      <c r="K126" s="9" t="str">
        <f t="shared" si="51"/>
        <v/>
      </c>
      <c r="L126" s="3" t="str">
        <f t="shared" si="52"/>
        <v/>
      </c>
      <c r="M126" s="3" t="str">
        <f>IF($I126&lt;&gt;"",IF($A126="Gracia Parcial",IF(AND($C126&lt;$U126+$P126+$Q126+$R126+$T125,$C126&gt;0),$C126,$U126+$P126+$Q126+$R126+$T125),IF($A126="Gracia Total",0,IF($A126="Prepago",$C126,IF(ISNUMBER($C126),$C126*VALUE(MID($C$1,MONTH($J126),1)),$N$5*VALUE(MID($C$1,MONTH($J126),1))))))-IF($I127="",ARREGLO,0),"")</f>
        <v/>
      </c>
      <c r="N126" s="3" t="str">
        <f t="shared" si="53"/>
        <v/>
      </c>
      <c r="O126" s="3" t="str">
        <f t="shared" si="54"/>
        <v/>
      </c>
      <c r="P126" s="8" t="str">
        <f t="shared" si="55"/>
        <v/>
      </c>
      <c r="Q126" s="8" t="str">
        <f t="shared" si="56"/>
        <v/>
      </c>
      <c r="R126" s="3" t="str">
        <f t="shared" si="57"/>
        <v/>
      </c>
      <c r="S126" s="3" t="str">
        <f t="shared" si="58"/>
        <v/>
      </c>
      <c r="T126" s="3" t="str">
        <f t="shared" si="59"/>
        <v/>
      </c>
      <c r="U126" s="3" t="str">
        <f t="shared" si="60"/>
        <v/>
      </c>
      <c r="V126" s="3" t="str">
        <f t="shared" si="61"/>
        <v/>
      </c>
      <c r="W126" s="3" t="str">
        <f>IF($I126&lt;&gt;"",IF($K126&gt;V$11,IF($K126&lt;W$11,$K126-V$11,30),0)*ROUND(($L126+$T125+SUM($V126:V126))*$R$5/3000,2),"")</f>
        <v/>
      </c>
      <c r="X126" s="3"/>
      <c r="Y126" s="3"/>
    </row>
    <row r="127" spans="4:25" x14ac:dyDescent="0.25">
      <c r="D127" s="5"/>
      <c r="E127" t="str">
        <f t="shared" si="46"/>
        <v/>
      </c>
      <c r="F127" s="22" t="str">
        <f t="shared" si="47"/>
        <v/>
      </c>
      <c r="G127" s="22" t="str">
        <f t="shared" si="48"/>
        <v/>
      </c>
      <c r="H127" s="22" t="str">
        <f t="shared" si="49"/>
        <v/>
      </c>
      <c r="I127" t="str">
        <f t="shared" si="50"/>
        <v/>
      </c>
      <c r="J127" s="5" t="str">
        <f>IF($I127&lt;&gt;"",IF($D127="",DATE(YEAR($K$7),MONTH($K$7)+($A$1*($F127-1))+SUM($B$12:$B127),DAY($K$7)),$D127),"")</f>
        <v/>
      </c>
      <c r="K127" s="9" t="str">
        <f t="shared" si="51"/>
        <v/>
      </c>
      <c r="L127" s="3" t="str">
        <f t="shared" si="52"/>
        <v/>
      </c>
      <c r="M127" s="3" t="str">
        <f>IF($I127&lt;&gt;"",IF($A127="Gracia Parcial",IF(AND($C127&lt;$U127+$P127+$Q127+$R127+$T126,$C127&gt;0),$C127,$U127+$P127+$Q127+$R127+$T126),IF($A127="Gracia Total",0,IF($A127="Prepago",$C127,IF(ISNUMBER($C127),$C127*VALUE(MID($C$1,MONTH($J127),1)),$N$5*VALUE(MID($C$1,MONTH($J127),1))))))-IF($I128="",ARREGLO,0),"")</f>
        <v/>
      </c>
      <c r="N127" s="3" t="str">
        <f t="shared" si="53"/>
        <v/>
      </c>
      <c r="O127" s="3" t="str">
        <f t="shared" si="54"/>
        <v/>
      </c>
      <c r="P127" s="8" t="str">
        <f t="shared" si="55"/>
        <v/>
      </c>
      <c r="Q127" s="8" t="str">
        <f t="shared" si="56"/>
        <v/>
      </c>
      <c r="R127" s="3" t="str">
        <f t="shared" si="57"/>
        <v/>
      </c>
      <c r="S127" s="3" t="str">
        <f t="shared" si="58"/>
        <v/>
      </c>
      <c r="T127" s="3" t="str">
        <f t="shared" si="59"/>
        <v/>
      </c>
      <c r="U127" s="3" t="str">
        <f t="shared" si="60"/>
        <v/>
      </c>
      <c r="V127" s="3" t="str">
        <f t="shared" si="61"/>
        <v/>
      </c>
      <c r="W127" s="3" t="str">
        <f>IF($I127&lt;&gt;"",IF($K127&gt;V$11,IF($K127&lt;W$11,$K127-V$11,30),0)*ROUND(($L127+$T126+SUM($V127:V127))*$R$5/3000,2),"")</f>
        <v/>
      </c>
      <c r="X127" s="3"/>
      <c r="Y127" s="3"/>
    </row>
    <row r="128" spans="4:25" x14ac:dyDescent="0.25">
      <c r="D128" s="5"/>
      <c r="E128" t="str">
        <f t="shared" si="46"/>
        <v/>
      </c>
      <c r="F128" s="22" t="str">
        <f t="shared" si="47"/>
        <v/>
      </c>
      <c r="G128" s="22" t="str">
        <f t="shared" si="48"/>
        <v/>
      </c>
      <c r="H128" s="22" t="str">
        <f t="shared" si="49"/>
        <v/>
      </c>
      <c r="I128" t="str">
        <f t="shared" si="50"/>
        <v/>
      </c>
      <c r="J128" s="5" t="str">
        <f>IF($I128&lt;&gt;"",IF($D128="",DATE(YEAR($K$7),MONTH($K$7)+($A$1*($F128-1))+SUM($B$12:$B128),DAY($K$7)),$D128),"")</f>
        <v/>
      </c>
      <c r="K128" s="9" t="str">
        <f t="shared" si="51"/>
        <v/>
      </c>
      <c r="L128" s="3" t="str">
        <f t="shared" si="52"/>
        <v/>
      </c>
      <c r="M128" s="3" t="str">
        <f>IF($I128&lt;&gt;"",IF($A128="Gracia Parcial",IF(AND($C128&lt;$U128+$P128+$Q128+$R128+$T127,$C128&gt;0),$C128,$U128+$P128+$Q128+$R128+$T127),IF($A128="Gracia Total",0,IF($A128="Prepago",$C128,IF(ISNUMBER($C128),$C128*VALUE(MID($C$1,MONTH($J128),1)),$N$5*VALUE(MID($C$1,MONTH($J128),1))))))-IF($I129="",ARREGLO,0),"")</f>
        <v/>
      </c>
      <c r="N128" s="3" t="str">
        <f t="shared" si="53"/>
        <v/>
      </c>
      <c r="O128" s="3" t="str">
        <f t="shared" si="54"/>
        <v/>
      </c>
      <c r="P128" s="8" t="str">
        <f t="shared" si="55"/>
        <v/>
      </c>
      <c r="Q128" s="8" t="str">
        <f t="shared" si="56"/>
        <v/>
      </c>
      <c r="R128" s="3" t="str">
        <f t="shared" si="57"/>
        <v/>
      </c>
      <c r="S128" s="3" t="str">
        <f t="shared" si="58"/>
        <v/>
      </c>
      <c r="T128" s="3" t="str">
        <f t="shared" si="59"/>
        <v/>
      </c>
      <c r="U128" s="3" t="str">
        <f t="shared" si="60"/>
        <v/>
      </c>
      <c r="V128" s="3" t="str">
        <f t="shared" si="61"/>
        <v/>
      </c>
      <c r="W128" s="3" t="str">
        <f>IF($I128&lt;&gt;"",IF($K128&gt;V$11,IF($K128&lt;W$11,$K128-V$11,30),0)*ROUND(($L128+$T127+SUM($V128:V128))*$R$5/3000,2),"")</f>
        <v/>
      </c>
      <c r="X128" s="3"/>
      <c r="Y128" s="3"/>
    </row>
    <row r="129" spans="4:25" x14ac:dyDescent="0.25">
      <c r="D129" s="5"/>
      <c r="E129" t="str">
        <f t="shared" si="46"/>
        <v/>
      </c>
      <c r="F129" s="22" t="str">
        <f t="shared" si="47"/>
        <v/>
      </c>
      <c r="G129" s="22" t="str">
        <f t="shared" si="48"/>
        <v/>
      </c>
      <c r="H129" s="22" t="str">
        <f t="shared" si="49"/>
        <v/>
      </c>
      <c r="I129" t="str">
        <f t="shared" si="50"/>
        <v/>
      </c>
      <c r="J129" s="5" t="str">
        <f>IF($I129&lt;&gt;"",IF($D129="",DATE(YEAR($K$7),MONTH($K$7)+($A$1*($F129-1))+SUM($B$12:$B129),DAY($K$7)),$D129),"")</f>
        <v/>
      </c>
      <c r="K129" s="9" t="str">
        <f t="shared" si="51"/>
        <v/>
      </c>
      <c r="L129" s="3" t="str">
        <f t="shared" si="52"/>
        <v/>
      </c>
      <c r="M129" s="3" t="str">
        <f>IF($I129&lt;&gt;"",IF($A129="Gracia Parcial",IF(AND($C129&lt;$U129+$P129+$Q129+$R129+$T128,$C129&gt;0),$C129,$U129+$P129+$Q129+$R129+$T128),IF($A129="Gracia Total",0,IF($A129="Prepago",$C129,IF(ISNUMBER($C129),$C129*VALUE(MID($C$1,MONTH($J129),1)),$N$5*VALUE(MID($C$1,MONTH($J129),1))))))-IF($I130="",ARREGLO,0),"")</f>
        <v/>
      </c>
      <c r="N129" s="3" t="str">
        <f t="shared" si="53"/>
        <v/>
      </c>
      <c r="O129" s="3" t="str">
        <f t="shared" si="54"/>
        <v/>
      </c>
      <c r="P129" s="8" t="str">
        <f t="shared" si="55"/>
        <v/>
      </c>
      <c r="Q129" s="8" t="str">
        <f t="shared" si="56"/>
        <v/>
      </c>
      <c r="R129" s="3" t="str">
        <f t="shared" si="57"/>
        <v/>
      </c>
      <c r="S129" s="3" t="str">
        <f t="shared" si="58"/>
        <v/>
      </c>
      <c r="T129" s="3" t="str">
        <f t="shared" si="59"/>
        <v/>
      </c>
      <c r="U129" s="3" t="str">
        <f t="shared" si="60"/>
        <v/>
      </c>
      <c r="V129" s="3" t="str">
        <f t="shared" si="61"/>
        <v/>
      </c>
      <c r="W129" s="3" t="str">
        <f>IF($I129&lt;&gt;"",IF($K129&gt;V$11,IF($K129&lt;W$11,$K129-V$11,30),0)*ROUND(($L129+$T128+SUM($V129:V129))*$R$5/3000,2),"")</f>
        <v/>
      </c>
      <c r="X129" s="3"/>
      <c r="Y129" s="3"/>
    </row>
    <row r="130" spans="4:25" x14ac:dyDescent="0.25">
      <c r="D130" s="5"/>
      <c r="E130" t="str">
        <f t="shared" si="46"/>
        <v/>
      </c>
      <c r="F130" s="22" t="str">
        <f t="shared" si="47"/>
        <v/>
      </c>
      <c r="G130" s="22" t="str">
        <f t="shared" si="48"/>
        <v/>
      </c>
      <c r="H130" s="22" t="str">
        <f t="shared" si="49"/>
        <v/>
      </c>
      <c r="I130" t="str">
        <f t="shared" si="50"/>
        <v/>
      </c>
      <c r="J130" s="5" t="str">
        <f>IF($I130&lt;&gt;"",IF($D130="",DATE(YEAR($K$7),MONTH($K$7)+($A$1*($F130-1))+SUM($B$12:$B130),DAY($K$7)),$D130),"")</f>
        <v/>
      </c>
      <c r="K130" s="9" t="str">
        <f t="shared" si="51"/>
        <v/>
      </c>
      <c r="L130" s="3" t="str">
        <f t="shared" si="52"/>
        <v/>
      </c>
      <c r="M130" s="3" t="str">
        <f>IF($I130&lt;&gt;"",IF($A130="Gracia Parcial",IF(AND($C130&lt;$U130+$P130+$Q130+$R130+$T129,$C130&gt;0),$C130,$U130+$P130+$Q130+$R130+$T129),IF($A130="Gracia Total",0,IF($A130="Prepago",$C130,IF(ISNUMBER($C130),$C130*VALUE(MID($C$1,MONTH($J130),1)),$N$5*VALUE(MID($C$1,MONTH($J130),1))))))-IF($I131="",ARREGLO,0),"")</f>
        <v/>
      </c>
      <c r="N130" s="3" t="str">
        <f t="shared" si="53"/>
        <v/>
      </c>
      <c r="O130" s="3" t="str">
        <f t="shared" si="54"/>
        <v/>
      </c>
      <c r="P130" s="8" t="str">
        <f t="shared" si="55"/>
        <v/>
      </c>
      <c r="Q130" s="8" t="str">
        <f t="shared" si="56"/>
        <v/>
      </c>
      <c r="R130" s="3" t="str">
        <f t="shared" si="57"/>
        <v/>
      </c>
      <c r="S130" s="3" t="str">
        <f t="shared" si="58"/>
        <v/>
      </c>
      <c r="T130" s="3" t="str">
        <f t="shared" si="59"/>
        <v/>
      </c>
      <c r="U130" s="3" t="str">
        <f t="shared" si="60"/>
        <v/>
      </c>
      <c r="V130" s="3" t="str">
        <f t="shared" si="61"/>
        <v/>
      </c>
      <c r="W130" s="3" t="str">
        <f>IF($I130&lt;&gt;"",IF($K130&gt;V$11,IF($K130&lt;W$11,$K130-V$11,30),0)*ROUND(($L130+$T129+SUM($V130:V130))*$R$5/3000,2),"")</f>
        <v/>
      </c>
      <c r="X130" s="3"/>
      <c r="Y130" s="3"/>
    </row>
    <row r="131" spans="4:25" x14ac:dyDescent="0.25">
      <c r="D131" s="5"/>
      <c r="E131" t="str">
        <f t="shared" si="46"/>
        <v/>
      </c>
      <c r="F131" s="22" t="str">
        <f t="shared" si="47"/>
        <v/>
      </c>
      <c r="G131" s="22" t="str">
        <f t="shared" si="48"/>
        <v/>
      </c>
      <c r="H131" s="22" t="str">
        <f t="shared" si="49"/>
        <v/>
      </c>
      <c r="I131" t="str">
        <f t="shared" si="50"/>
        <v/>
      </c>
      <c r="J131" s="5" t="str">
        <f>IF($I131&lt;&gt;"",IF($D131="",DATE(YEAR($K$7),MONTH($K$7)+($A$1*($F131-1))+SUM($B$12:$B131),DAY($K$7)),$D131),"")</f>
        <v/>
      </c>
      <c r="K131" s="9" t="str">
        <f t="shared" si="51"/>
        <v/>
      </c>
      <c r="L131" s="3" t="str">
        <f t="shared" si="52"/>
        <v/>
      </c>
      <c r="M131" s="3" t="str">
        <f>IF($I131&lt;&gt;"",IF($A131="Gracia Parcial",IF(AND($C131&lt;$U131+$P131+$Q131+$R131+$T130,$C131&gt;0),$C131,$U131+$P131+$Q131+$R131+$T130),IF($A131="Gracia Total",0,IF($A131="Prepago",$C131,IF(ISNUMBER($C131),$C131*VALUE(MID($C$1,MONTH($J131),1)),$N$5*VALUE(MID($C$1,MONTH($J131),1))))))-IF($I132="",ARREGLO,0),"")</f>
        <v/>
      </c>
      <c r="N131" s="3" t="str">
        <f t="shared" si="53"/>
        <v/>
      </c>
      <c r="O131" s="3" t="str">
        <f t="shared" si="54"/>
        <v/>
      </c>
      <c r="P131" s="8" t="str">
        <f t="shared" si="55"/>
        <v/>
      </c>
      <c r="Q131" s="8" t="str">
        <f t="shared" si="56"/>
        <v/>
      </c>
      <c r="R131" s="3" t="str">
        <f t="shared" si="57"/>
        <v/>
      </c>
      <c r="S131" s="3" t="str">
        <f t="shared" si="58"/>
        <v/>
      </c>
      <c r="T131" s="3" t="str">
        <f t="shared" si="59"/>
        <v/>
      </c>
      <c r="U131" s="3" t="str">
        <f t="shared" si="60"/>
        <v/>
      </c>
      <c r="V131" s="3" t="str">
        <f t="shared" si="61"/>
        <v/>
      </c>
      <c r="W131" s="3" t="str">
        <f>IF($I131&lt;&gt;"",IF($K131&gt;V$11,IF($K131&lt;W$11,$K131-V$11,30),0)*ROUND(($L131+$T130+SUM($V131:V131))*$R$5/3000,2),"")</f>
        <v/>
      </c>
      <c r="X131" s="3"/>
      <c r="Y131" s="3"/>
    </row>
    <row r="132" spans="4:25" x14ac:dyDescent="0.25">
      <c r="D132" s="5"/>
      <c r="E132" t="str">
        <f t="shared" si="46"/>
        <v/>
      </c>
      <c r="F132" s="22" t="str">
        <f t="shared" si="47"/>
        <v/>
      </c>
      <c r="G132" s="22" t="str">
        <f t="shared" si="48"/>
        <v/>
      </c>
      <c r="H132" s="22" t="str">
        <f t="shared" si="49"/>
        <v/>
      </c>
      <c r="I132" t="str">
        <f t="shared" si="50"/>
        <v/>
      </c>
      <c r="J132" s="5" t="str">
        <f>IF($I132&lt;&gt;"",IF($D132="",DATE(YEAR($K$7),MONTH($K$7)+($A$1*($F132-1))+SUM($B$12:$B132),DAY($K$7)),$D132),"")</f>
        <v/>
      </c>
      <c r="K132" s="9" t="str">
        <f t="shared" si="51"/>
        <v/>
      </c>
      <c r="L132" s="3" t="str">
        <f t="shared" si="52"/>
        <v/>
      </c>
      <c r="M132" s="3" t="str">
        <f>IF($I132&lt;&gt;"",IF($A132="Gracia Parcial",IF(AND($C132&lt;$U132+$P132+$Q132+$R132+$T131,$C132&gt;0),$C132,$U132+$P132+$Q132+$R132+$T131),IF($A132="Gracia Total",0,IF($A132="Prepago",$C132,IF(ISNUMBER($C132),$C132*VALUE(MID($C$1,MONTH($J132),1)),$N$5*VALUE(MID($C$1,MONTH($J132),1))))))-IF($I133="",ARREGLO,0),"")</f>
        <v/>
      </c>
      <c r="N132" s="3" t="str">
        <f t="shared" si="53"/>
        <v/>
      </c>
      <c r="O132" s="3" t="str">
        <f t="shared" si="54"/>
        <v/>
      </c>
      <c r="P132" s="8" t="str">
        <f t="shared" si="55"/>
        <v/>
      </c>
      <c r="Q132" s="8" t="str">
        <f t="shared" si="56"/>
        <v/>
      </c>
      <c r="R132" s="3" t="str">
        <f t="shared" si="57"/>
        <v/>
      </c>
      <c r="S132" s="3" t="str">
        <f t="shared" si="58"/>
        <v/>
      </c>
      <c r="T132" s="3" t="str">
        <f t="shared" si="59"/>
        <v/>
      </c>
      <c r="U132" s="3" t="str">
        <f t="shared" si="60"/>
        <v/>
      </c>
      <c r="V132" s="3" t="str">
        <f t="shared" si="61"/>
        <v/>
      </c>
      <c r="W132" s="3" t="str">
        <f>IF($I132&lt;&gt;"",IF($K132&gt;V$11,IF($K132&lt;W$11,$K132-V$11,30),0)*ROUND(($L132+$T131+SUM($V132:V132))*$R$5/3000,2),"")</f>
        <v/>
      </c>
      <c r="X132" s="3"/>
      <c r="Y132" s="3"/>
    </row>
    <row r="133" spans="4:25" x14ac:dyDescent="0.25">
      <c r="D133" s="5"/>
      <c r="E133" t="str">
        <f t="shared" si="46"/>
        <v/>
      </c>
      <c r="F133" s="22" t="str">
        <f t="shared" si="47"/>
        <v/>
      </c>
      <c r="G133" s="22" t="str">
        <f t="shared" si="48"/>
        <v/>
      </c>
      <c r="H133" s="22" t="str">
        <f t="shared" si="49"/>
        <v/>
      </c>
      <c r="I133" t="str">
        <f t="shared" si="50"/>
        <v/>
      </c>
      <c r="J133" s="5" t="str">
        <f>IF($I133&lt;&gt;"",IF($D133="",DATE(YEAR($K$7),MONTH($K$7)+($A$1*($F133-1))+SUM($B$12:$B133),DAY($K$7)),$D133),"")</f>
        <v/>
      </c>
      <c r="K133" s="9" t="str">
        <f t="shared" si="51"/>
        <v/>
      </c>
      <c r="L133" s="3" t="str">
        <f t="shared" si="52"/>
        <v/>
      </c>
      <c r="M133" s="3" t="str">
        <f>IF($I133&lt;&gt;"",IF($A133="Gracia Parcial",IF(AND($C133&lt;$U133+$P133+$Q133+$R133+$T132,$C133&gt;0),$C133,$U133+$P133+$Q133+$R133+$T132),IF($A133="Gracia Total",0,IF($A133="Prepago",$C133,IF(ISNUMBER($C133),$C133*VALUE(MID($C$1,MONTH($J133),1)),$N$5*VALUE(MID($C$1,MONTH($J133),1))))))-IF($I134="",ARREGLO,0),"")</f>
        <v/>
      </c>
      <c r="N133" s="3" t="str">
        <f t="shared" si="53"/>
        <v/>
      </c>
      <c r="O133" s="3" t="str">
        <f t="shared" si="54"/>
        <v/>
      </c>
      <c r="P133" s="8" t="str">
        <f t="shared" si="55"/>
        <v/>
      </c>
      <c r="Q133" s="8" t="str">
        <f t="shared" si="56"/>
        <v/>
      </c>
      <c r="R133" s="3" t="str">
        <f t="shared" si="57"/>
        <v/>
      </c>
      <c r="S133" s="3" t="str">
        <f t="shared" si="58"/>
        <v/>
      </c>
      <c r="T133" s="3" t="str">
        <f t="shared" si="59"/>
        <v/>
      </c>
      <c r="U133" s="3" t="str">
        <f t="shared" si="60"/>
        <v/>
      </c>
      <c r="V133" s="3" t="str">
        <f t="shared" si="61"/>
        <v/>
      </c>
      <c r="W133" s="3" t="str">
        <f>IF($I133&lt;&gt;"",IF($K133&gt;V$11,IF($K133&lt;W$11,$K133-V$11,30),0)*ROUND(($L133+$T132+SUM($V133:V133))*$R$5/3000,2),"")</f>
        <v/>
      </c>
      <c r="X133" s="3"/>
      <c r="Y133" s="3"/>
    </row>
    <row r="134" spans="4:25" x14ac:dyDescent="0.25">
      <c r="D134" s="5"/>
      <c r="E134" t="str">
        <f t="shared" si="46"/>
        <v/>
      </c>
      <c r="F134" s="22" t="str">
        <f t="shared" si="47"/>
        <v/>
      </c>
      <c r="G134" s="22" t="str">
        <f t="shared" si="48"/>
        <v/>
      </c>
      <c r="H134" s="22" t="str">
        <f t="shared" si="49"/>
        <v/>
      </c>
      <c r="I134" t="str">
        <f t="shared" si="50"/>
        <v/>
      </c>
      <c r="J134" s="5" t="str">
        <f>IF($I134&lt;&gt;"",IF($D134="",DATE(YEAR($K$7),MONTH($K$7)+($A$1*($F134-1))+SUM($B$12:$B134),DAY($K$7)),$D134),"")</f>
        <v/>
      </c>
      <c r="K134" s="9" t="str">
        <f t="shared" si="51"/>
        <v/>
      </c>
      <c r="L134" s="3" t="str">
        <f t="shared" si="52"/>
        <v/>
      </c>
      <c r="M134" s="3" t="str">
        <f>IF($I134&lt;&gt;"",IF($A134="Gracia Parcial",IF(AND($C134&lt;$U134+$P134+$Q134+$R134+$T133,$C134&gt;0),$C134,$U134+$P134+$Q134+$R134+$T133),IF($A134="Gracia Total",0,IF($A134="Prepago",$C134,IF(ISNUMBER($C134),$C134*VALUE(MID($C$1,MONTH($J134),1)),$N$5*VALUE(MID($C$1,MONTH($J134),1))))))-IF($I135="",ARREGLO,0),"")</f>
        <v/>
      </c>
      <c r="N134" s="3" t="str">
        <f t="shared" si="53"/>
        <v/>
      </c>
      <c r="O134" s="3" t="str">
        <f t="shared" si="54"/>
        <v/>
      </c>
      <c r="P134" s="8" t="str">
        <f t="shared" si="55"/>
        <v/>
      </c>
      <c r="Q134" s="8" t="str">
        <f t="shared" si="56"/>
        <v/>
      </c>
      <c r="R134" s="3" t="str">
        <f t="shared" si="57"/>
        <v/>
      </c>
      <c r="S134" s="3" t="str">
        <f t="shared" si="58"/>
        <v/>
      </c>
      <c r="T134" s="3" t="str">
        <f t="shared" si="59"/>
        <v/>
      </c>
      <c r="U134" s="3" t="str">
        <f t="shared" si="60"/>
        <v/>
      </c>
      <c r="V134" s="3" t="str">
        <f t="shared" si="61"/>
        <v/>
      </c>
      <c r="W134" s="3" t="str">
        <f>IF($I134&lt;&gt;"",IF($K134&gt;V$11,IF($K134&lt;W$11,$K134-V$11,30),0)*ROUND(($L134+$T133+SUM($V134:V134))*$R$5/3000,2),"")</f>
        <v/>
      </c>
      <c r="X134" s="3"/>
      <c r="Y134" s="3"/>
    </row>
    <row r="135" spans="4:25" x14ac:dyDescent="0.25">
      <c r="D135" s="5"/>
      <c r="E135" t="str">
        <f t="shared" si="46"/>
        <v/>
      </c>
      <c r="F135" s="22" t="str">
        <f t="shared" si="47"/>
        <v/>
      </c>
      <c r="G135" s="22" t="str">
        <f t="shared" si="48"/>
        <v/>
      </c>
      <c r="H135" s="22" t="str">
        <f t="shared" si="49"/>
        <v/>
      </c>
      <c r="I135" t="str">
        <f t="shared" si="50"/>
        <v/>
      </c>
      <c r="J135" s="5" t="str">
        <f>IF($I135&lt;&gt;"",IF($D135="",DATE(YEAR($K$7),MONTH($K$7)+($A$1*($F135-1))+SUM($B$12:$B135),DAY($K$7)),$D135),"")</f>
        <v/>
      </c>
      <c r="K135" s="9" t="str">
        <f t="shared" si="51"/>
        <v/>
      </c>
      <c r="L135" s="3" t="str">
        <f t="shared" si="52"/>
        <v/>
      </c>
      <c r="M135" s="3" t="str">
        <f>IF($I135&lt;&gt;"",IF($A135="Gracia Parcial",IF(AND($C135&lt;$U135+$P135+$Q135+$R135+$T134,$C135&gt;0),$C135,$U135+$P135+$Q135+$R135+$T134),IF($A135="Gracia Total",0,IF($A135="Prepago",$C135,IF(ISNUMBER($C135),$C135*VALUE(MID($C$1,MONTH($J135),1)),$N$5*VALUE(MID($C$1,MONTH($J135),1))))))-IF($I136="",ARREGLO,0),"")</f>
        <v/>
      </c>
      <c r="N135" s="3" t="str">
        <f t="shared" si="53"/>
        <v/>
      </c>
      <c r="O135" s="3" t="str">
        <f t="shared" si="54"/>
        <v/>
      </c>
      <c r="P135" s="8" t="str">
        <f t="shared" si="55"/>
        <v/>
      </c>
      <c r="Q135" s="8" t="str">
        <f t="shared" si="56"/>
        <v/>
      </c>
      <c r="R135" s="3" t="str">
        <f t="shared" si="57"/>
        <v/>
      </c>
      <c r="S135" s="3" t="str">
        <f t="shared" si="58"/>
        <v/>
      </c>
      <c r="T135" s="3" t="str">
        <f t="shared" si="59"/>
        <v/>
      </c>
      <c r="U135" s="3" t="str">
        <f t="shared" si="60"/>
        <v/>
      </c>
      <c r="V135" s="3" t="str">
        <f t="shared" si="61"/>
        <v/>
      </c>
      <c r="W135" s="3" t="str">
        <f>IF($I135&lt;&gt;"",IF($K135&gt;V$11,IF($K135&lt;W$11,$K135-V$11,30),0)*ROUND(($L135+$T134+SUM($V135:V135))*$R$5/3000,2),"")</f>
        <v/>
      </c>
      <c r="X135" s="3"/>
      <c r="Y135" s="3"/>
    </row>
    <row r="136" spans="4:25" x14ac:dyDescent="0.25">
      <c r="D136" s="5"/>
      <c r="E136" t="str">
        <f t="shared" si="46"/>
        <v/>
      </c>
      <c r="F136" s="22" t="str">
        <f t="shared" si="47"/>
        <v/>
      </c>
      <c r="G136" s="22" t="str">
        <f t="shared" si="48"/>
        <v/>
      </c>
      <c r="H136" s="22" t="str">
        <f t="shared" si="49"/>
        <v/>
      </c>
      <c r="I136" t="str">
        <f t="shared" si="50"/>
        <v/>
      </c>
      <c r="J136" s="5" t="str">
        <f>IF($I136&lt;&gt;"",IF($D136="",DATE(YEAR($K$7),MONTH($K$7)+($A$1*($F136-1))+SUM($B$12:$B136),DAY($K$7)),$D136),"")</f>
        <v/>
      </c>
      <c r="K136" s="9" t="str">
        <f t="shared" si="51"/>
        <v/>
      </c>
      <c r="L136" s="3" t="str">
        <f t="shared" si="52"/>
        <v/>
      </c>
      <c r="M136" s="3" t="str">
        <f>IF($I136&lt;&gt;"",IF($A136="Gracia Parcial",IF(AND($C136&lt;$U136+$P136+$Q136+$R136+$T135,$C136&gt;0),$C136,$U136+$P136+$Q136+$R136+$T135),IF($A136="Gracia Total",0,IF($A136="Prepago",$C136,IF(ISNUMBER($C136),$C136*VALUE(MID($C$1,MONTH($J136),1)),$N$5*VALUE(MID($C$1,MONTH($J136),1))))))-IF($I137="",ARREGLO,0),"")</f>
        <v/>
      </c>
      <c r="N136" s="3" t="str">
        <f t="shared" si="53"/>
        <v/>
      </c>
      <c r="O136" s="3" t="str">
        <f t="shared" si="54"/>
        <v/>
      </c>
      <c r="P136" s="8" t="str">
        <f t="shared" si="55"/>
        <v/>
      </c>
      <c r="Q136" s="8" t="str">
        <f t="shared" si="56"/>
        <v/>
      </c>
      <c r="R136" s="3" t="str">
        <f t="shared" si="57"/>
        <v/>
      </c>
      <c r="S136" s="3" t="str">
        <f t="shared" si="58"/>
        <v/>
      </c>
      <c r="T136" s="3" t="str">
        <f t="shared" si="59"/>
        <v/>
      </c>
      <c r="U136" s="3" t="str">
        <f t="shared" si="60"/>
        <v/>
      </c>
      <c r="V136" s="3" t="str">
        <f t="shared" si="61"/>
        <v/>
      </c>
      <c r="W136" s="3" t="str">
        <f>IF($I136&lt;&gt;"",IF($K136&gt;V$11,IF($K136&lt;W$11,$K136-V$11,30),0)*ROUND(($L136+$T135+SUM($V136:V136))*$R$5/3000,2),"")</f>
        <v/>
      </c>
      <c r="X136" s="3"/>
      <c r="Y136" s="3"/>
    </row>
    <row r="137" spans="4:25" x14ac:dyDescent="0.25">
      <c r="D137" s="5"/>
      <c r="E137" t="str">
        <f t="shared" si="46"/>
        <v/>
      </c>
      <c r="F137" s="22" t="str">
        <f t="shared" si="47"/>
        <v/>
      </c>
      <c r="G137" s="22" t="str">
        <f t="shared" si="48"/>
        <v/>
      </c>
      <c r="H137" s="22" t="str">
        <f t="shared" si="49"/>
        <v/>
      </c>
      <c r="I137" t="str">
        <f t="shared" si="50"/>
        <v/>
      </c>
      <c r="J137" s="5" t="str">
        <f>IF($I137&lt;&gt;"",IF($D137="",DATE(YEAR($K$7),MONTH($K$7)+($A$1*($F137-1))+SUM($B$12:$B137),DAY($K$7)),$D137),"")</f>
        <v/>
      </c>
      <c r="K137" s="9" t="str">
        <f t="shared" si="51"/>
        <v/>
      </c>
      <c r="L137" s="3" t="str">
        <f t="shared" si="52"/>
        <v/>
      </c>
      <c r="M137" s="3" t="str">
        <f>IF($I137&lt;&gt;"",IF($A137="Gracia Parcial",IF(AND($C137&lt;$U137+$P137+$Q137+$R137+$T136,$C137&gt;0),$C137,$U137+$P137+$Q137+$R137+$T136),IF($A137="Gracia Total",0,IF($A137="Prepago",$C137,IF(ISNUMBER($C137),$C137*VALUE(MID($C$1,MONTH($J137),1)),$N$5*VALUE(MID($C$1,MONTH($J137),1))))))-IF($I138="",ARREGLO,0),"")</f>
        <v/>
      </c>
      <c r="N137" s="3" t="str">
        <f t="shared" si="53"/>
        <v/>
      </c>
      <c r="O137" s="3" t="str">
        <f t="shared" si="54"/>
        <v/>
      </c>
      <c r="P137" s="8" t="str">
        <f t="shared" si="55"/>
        <v/>
      </c>
      <c r="Q137" s="8" t="str">
        <f t="shared" si="56"/>
        <v/>
      </c>
      <c r="R137" s="3" t="str">
        <f t="shared" si="57"/>
        <v/>
      </c>
      <c r="S137" s="3" t="str">
        <f t="shared" si="58"/>
        <v/>
      </c>
      <c r="T137" s="3" t="str">
        <f t="shared" si="59"/>
        <v/>
      </c>
      <c r="U137" s="3" t="str">
        <f t="shared" si="60"/>
        <v/>
      </c>
      <c r="V137" s="3" t="str">
        <f t="shared" si="61"/>
        <v/>
      </c>
      <c r="W137" s="3" t="str">
        <f>IF($I137&lt;&gt;"",IF($K137&gt;V$11,IF($K137&lt;W$11,$K137-V$11,30),0)*ROUND(($L137+$T136+SUM($V137:V137))*$R$5/3000,2),"")</f>
        <v/>
      </c>
      <c r="X137" s="3"/>
      <c r="Y137" s="3"/>
    </row>
    <row r="138" spans="4:25" x14ac:dyDescent="0.25">
      <c r="D138" s="5"/>
      <c r="E138" t="str">
        <f t="shared" si="46"/>
        <v/>
      </c>
      <c r="F138" s="22" t="str">
        <f t="shared" si="47"/>
        <v/>
      </c>
      <c r="G138" s="22" t="str">
        <f t="shared" si="48"/>
        <v/>
      </c>
      <c r="H138" s="22" t="str">
        <f t="shared" si="49"/>
        <v/>
      </c>
      <c r="I138" t="str">
        <f t="shared" si="50"/>
        <v/>
      </c>
      <c r="J138" s="5" t="str">
        <f>IF($I138&lt;&gt;"",IF($D138="",DATE(YEAR($K$7),MONTH($K$7)+($A$1*($F138-1))+SUM($B$12:$B138),DAY($K$7)),$D138),"")</f>
        <v/>
      </c>
      <c r="K138" s="9" t="str">
        <f t="shared" si="51"/>
        <v/>
      </c>
      <c r="L138" s="3" t="str">
        <f t="shared" si="52"/>
        <v/>
      </c>
      <c r="M138" s="3" t="str">
        <f>IF($I138&lt;&gt;"",IF($A138="Gracia Parcial",IF(AND($C138&lt;$U138+$P138+$Q138+$R138+$T137,$C138&gt;0),$C138,$U138+$P138+$Q138+$R138+$T137),IF($A138="Gracia Total",0,IF($A138="Prepago",$C138,IF(ISNUMBER($C138),$C138*VALUE(MID($C$1,MONTH($J138),1)),$N$5*VALUE(MID($C$1,MONTH($J138),1))))))-IF($I139="",ARREGLO,0),"")</f>
        <v/>
      </c>
      <c r="N138" s="3" t="str">
        <f t="shared" si="53"/>
        <v/>
      </c>
      <c r="O138" s="3" t="str">
        <f t="shared" si="54"/>
        <v/>
      </c>
      <c r="P138" s="8" t="str">
        <f t="shared" si="55"/>
        <v/>
      </c>
      <c r="Q138" s="8" t="str">
        <f t="shared" si="56"/>
        <v/>
      </c>
      <c r="R138" s="3" t="str">
        <f t="shared" si="57"/>
        <v/>
      </c>
      <c r="S138" s="3" t="str">
        <f t="shared" si="58"/>
        <v/>
      </c>
      <c r="T138" s="3" t="str">
        <f t="shared" si="59"/>
        <v/>
      </c>
      <c r="U138" s="3" t="str">
        <f t="shared" si="60"/>
        <v/>
      </c>
      <c r="V138" s="3" t="str">
        <f t="shared" si="61"/>
        <v/>
      </c>
      <c r="W138" s="3" t="str">
        <f>IF($I138&lt;&gt;"",IF($K138&gt;V$11,IF($K138&lt;W$11,$K138-V$11,30),0)*ROUND(($L138+$T137+SUM($V138:V138))*$R$5/3000,2),"")</f>
        <v/>
      </c>
      <c r="X138" s="3"/>
      <c r="Y138" s="3"/>
    </row>
    <row r="139" spans="4:25" x14ac:dyDescent="0.25">
      <c r="D139" s="5"/>
      <c r="E139" t="str">
        <f t="shared" si="46"/>
        <v/>
      </c>
      <c r="F139" s="22" t="str">
        <f t="shared" si="47"/>
        <v/>
      </c>
      <c r="G139" s="22" t="str">
        <f t="shared" si="48"/>
        <v/>
      </c>
      <c r="H139" s="22" t="str">
        <f t="shared" si="49"/>
        <v/>
      </c>
      <c r="I139" t="str">
        <f t="shared" si="50"/>
        <v/>
      </c>
      <c r="J139" s="5" t="str">
        <f>IF($I139&lt;&gt;"",IF($D139="",DATE(YEAR($K$7),MONTH($K$7)+($A$1*($F139-1))+SUM($B$12:$B139),DAY($K$7)),$D139),"")</f>
        <v/>
      </c>
      <c r="K139" s="9" t="str">
        <f t="shared" si="51"/>
        <v/>
      </c>
      <c r="L139" s="3" t="str">
        <f t="shared" si="52"/>
        <v/>
      </c>
      <c r="M139" s="3" t="str">
        <f>IF($I139&lt;&gt;"",IF($A139="Gracia Parcial",IF(AND($C139&lt;$U139+$P139+$Q139+$R139+$T138,$C139&gt;0),$C139,$U139+$P139+$Q139+$R139+$T138),IF($A139="Gracia Total",0,IF($A139="Prepago",$C139,IF(ISNUMBER($C139),$C139*VALUE(MID($C$1,MONTH($J139),1)),$N$5*VALUE(MID($C$1,MONTH($J139),1))))))-IF($I140="",ARREGLO,0),"")</f>
        <v/>
      </c>
      <c r="N139" s="3" t="str">
        <f t="shared" si="53"/>
        <v/>
      </c>
      <c r="O139" s="3" t="str">
        <f t="shared" si="54"/>
        <v/>
      </c>
      <c r="P139" s="8" t="str">
        <f t="shared" si="55"/>
        <v/>
      </c>
      <c r="Q139" s="8" t="str">
        <f t="shared" si="56"/>
        <v/>
      </c>
      <c r="R139" s="3" t="str">
        <f t="shared" si="57"/>
        <v/>
      </c>
      <c r="S139" s="3" t="str">
        <f t="shared" si="58"/>
        <v/>
      </c>
      <c r="T139" s="3" t="str">
        <f t="shared" si="59"/>
        <v/>
      </c>
      <c r="U139" s="3" t="str">
        <f t="shared" si="60"/>
        <v/>
      </c>
      <c r="V139" s="3" t="str">
        <f t="shared" si="61"/>
        <v/>
      </c>
      <c r="W139" s="3" t="str">
        <f>IF($I139&lt;&gt;"",IF($K139&gt;V$11,IF($K139&lt;W$11,$K139-V$11,30),0)*ROUND(($L139+$T138+SUM($V139:V139))*$R$5/3000,2),"")</f>
        <v/>
      </c>
      <c r="X139" s="3"/>
      <c r="Y139" s="3"/>
    </row>
    <row r="140" spans="4:25" x14ac:dyDescent="0.25">
      <c r="D140" s="5"/>
      <c r="E140" t="str">
        <f t="shared" si="46"/>
        <v/>
      </c>
      <c r="F140" s="22" t="str">
        <f t="shared" ref="F140:F171" si="62">IF($I140&lt;&gt;"",IF($A140="Prepago",$F139,$F139+1),"")</f>
        <v/>
      </c>
      <c r="G140" s="22" t="str">
        <f t="shared" ref="G140:G171" si="63">IF($I140&lt;&gt;"",IF(ISNUMBER($C140),-$N140+$U140-$O140,ABS($U140)+$P140+$Q140+$R140),"")</f>
        <v/>
      </c>
      <c r="H140" s="22" t="str">
        <f t="shared" ref="H140:H171" si="64">IF(I140&lt;&gt;"",IF(COUNTA($V140:$XFD140)*30&lt;$K140,1,0),"")</f>
        <v/>
      </c>
      <c r="I140" t="str">
        <f t="shared" ref="I140:I171" si="65">IF($I139&lt;NCUOTAS+CUOTAADICIONAL+PGRACIA,$I139+1,"")</f>
        <v/>
      </c>
      <c r="J140" s="5" t="str">
        <f>IF($I140&lt;&gt;"",IF($D140="",DATE(YEAR($K$7),MONTH($K$7)+($A$1*($F140-1))+SUM($B$12:$B140),DAY($K$7)),$D140),"")</f>
        <v/>
      </c>
      <c r="K140" s="9" t="str">
        <f t="shared" ref="K140:K171" si="66">IF($I140&lt;&gt;"",$J140-$J139,"")</f>
        <v/>
      </c>
      <c r="L140" s="3" t="str">
        <f t="shared" ref="L140:L171" si="67">IF($I140&lt;&gt;"",$S139,"")</f>
        <v/>
      </c>
      <c r="M140" s="3" t="str">
        <f>IF($I140&lt;&gt;"",IF($A140="Gracia Parcial",IF(AND($C140&lt;$U140+$P140+$Q140+$R140+$T139,$C140&gt;0),$C140,$U140+$P140+$Q140+$R140+$T139),IF($A140="Gracia Total",0,IF($A140="Prepago",$C140,IF(ISNUMBER($C140),$C140*VALUE(MID($C$1,MONTH($J140),1)),$N$5*VALUE(MID($C$1,MONTH($J140),1))))))-IF($I141="",ARREGLO,0),"")</f>
        <v/>
      </c>
      <c r="N140" s="3" t="str">
        <f t="shared" ref="N140:N171" si="68">IF($I140&lt;&gt;"",IF($M140-$O140&gt;0,$M140-$O140-$P140-$Q140-$R140,0),"")</f>
        <v/>
      </c>
      <c r="O140" s="3" t="str">
        <f t="shared" ref="O140:O171" si="69">IF($I140&lt;&gt;"",IF($M140&gt;=$U140+$T139+$P140+$Q140+$R140,$U140+$T139,$M140-$P140-$Q140-$R140),"")</f>
        <v/>
      </c>
      <c r="P140" s="8" t="str">
        <f t="shared" ref="P140:P171" si="70">IF($I140&lt;&gt;"",IF($A140="Prepago",0,$Q$6+$Q$6*$B140),"")</f>
        <v/>
      </c>
      <c r="Q140" s="8" t="str">
        <f t="shared" ref="Q140:Q171" si="71">IF($I140&lt;&gt;"",IF($A140="Prepago",0,$Q$7+$Q$7*$B140),"")</f>
        <v/>
      </c>
      <c r="R140" s="3" t="str">
        <f t="shared" ref="R140:R171" si="72">IF($I140&lt;&gt;"",IF($A140="Prepago",0,$Q$8+$Q$8*$B140),"")</f>
        <v/>
      </c>
      <c r="S140" s="3" t="str">
        <f t="shared" ref="S140:S171" si="73">IF($I140&lt;&gt;"",$L140-$N140,"")</f>
        <v/>
      </c>
      <c r="T140" s="3" t="str">
        <f t="shared" ref="T140:T171" si="74">IF($I140&lt;&gt;"",+$T139+SUM($V140:$CD140)-$O140,"")</f>
        <v/>
      </c>
      <c r="U140" s="3" t="str">
        <f t="shared" ref="U140:U171" si="75">IF($I140&lt;&gt;"",SUM($V140:$XFD140),"")</f>
        <v/>
      </c>
      <c r="V140" s="3" t="str">
        <f t="shared" ref="V140:V171" si="76">IF($I140&lt;&gt;"",IF($K140&gt;V$11,30,$K140)*ROUND(($L140+$T139)*$R$5/3000,2),"")</f>
        <v/>
      </c>
      <c r="W140" s="3" t="str">
        <f>IF($I140&lt;&gt;"",IF($K140&gt;V$11,IF($K140&lt;W$11,$K140-V$11,30),0)*ROUND(($L140+$T139+SUM($V140:V140))*$R$5/3000,2),"")</f>
        <v/>
      </c>
      <c r="X140" s="3"/>
      <c r="Y140" s="3"/>
    </row>
    <row r="141" spans="4:25" x14ac:dyDescent="0.25">
      <c r="D141" s="5"/>
      <c r="E141" t="str">
        <f t="shared" ref="E141:E204" si="77">IF($I141&lt;&gt;"",TEXT(J141,"DDD"),"")</f>
        <v/>
      </c>
      <c r="F141" s="22" t="str">
        <f t="shared" si="62"/>
        <v/>
      </c>
      <c r="G141" s="22" t="str">
        <f t="shared" si="63"/>
        <v/>
      </c>
      <c r="H141" s="22" t="str">
        <f t="shared" si="64"/>
        <v/>
      </c>
      <c r="I141" t="str">
        <f t="shared" si="65"/>
        <v/>
      </c>
      <c r="J141" s="5" t="str">
        <f>IF($I141&lt;&gt;"",IF($D141="",DATE(YEAR($K$7),MONTH($K$7)+($A$1*($F141-1))+SUM($B$12:$B141),DAY($K$7)),$D141),"")</f>
        <v/>
      </c>
      <c r="K141" s="9" t="str">
        <f t="shared" si="66"/>
        <v/>
      </c>
      <c r="L141" s="3" t="str">
        <f t="shared" si="67"/>
        <v/>
      </c>
      <c r="M141" s="3" t="str">
        <f>IF($I141&lt;&gt;"",IF($A141="Gracia Parcial",IF(AND($C141&lt;$U141+$P141+$Q141+$R141+$T140,$C141&gt;0),$C141,$U141+$P141+$Q141+$R141+$T140),IF($A141="Gracia Total",0,IF($A141="Prepago",$C141,IF(ISNUMBER($C141),$C141*VALUE(MID($C$1,MONTH($J141),1)),$N$5*VALUE(MID($C$1,MONTH($J141),1))))))-IF($I142="",ARREGLO,0),"")</f>
        <v/>
      </c>
      <c r="N141" s="3" t="str">
        <f t="shared" si="68"/>
        <v/>
      </c>
      <c r="O141" s="3" t="str">
        <f t="shared" si="69"/>
        <v/>
      </c>
      <c r="P141" s="8" t="str">
        <f t="shared" si="70"/>
        <v/>
      </c>
      <c r="Q141" s="8" t="str">
        <f t="shared" si="71"/>
        <v/>
      </c>
      <c r="R141" s="3" t="str">
        <f t="shared" si="72"/>
        <v/>
      </c>
      <c r="S141" s="3" t="str">
        <f t="shared" si="73"/>
        <v/>
      </c>
      <c r="T141" s="3" t="str">
        <f t="shared" si="74"/>
        <v/>
      </c>
      <c r="U141" s="3" t="str">
        <f t="shared" si="75"/>
        <v/>
      </c>
      <c r="V141" s="3" t="str">
        <f t="shared" si="76"/>
        <v/>
      </c>
      <c r="W141" s="3" t="str">
        <f>IF($I141&lt;&gt;"",IF($K141&gt;V$11,IF($K141&lt;W$11,$K141-V$11,30),0)*ROUND(($L141+$T140+SUM($V141:V141))*$R$5/3000,2),"")</f>
        <v/>
      </c>
      <c r="X141" s="3"/>
      <c r="Y141" s="3"/>
    </row>
    <row r="142" spans="4:25" x14ac:dyDescent="0.25">
      <c r="D142" s="5"/>
      <c r="E142" t="str">
        <f t="shared" si="77"/>
        <v/>
      </c>
      <c r="F142" s="22" t="str">
        <f t="shared" si="62"/>
        <v/>
      </c>
      <c r="G142" s="22" t="str">
        <f t="shared" si="63"/>
        <v/>
      </c>
      <c r="H142" s="22" t="str">
        <f t="shared" si="64"/>
        <v/>
      </c>
      <c r="I142" t="str">
        <f t="shared" si="65"/>
        <v/>
      </c>
      <c r="J142" s="5" t="str">
        <f>IF($I142&lt;&gt;"",IF($D142="",DATE(YEAR($K$7),MONTH($K$7)+($A$1*($F142-1))+SUM($B$12:$B142),DAY($K$7)),$D142),"")</f>
        <v/>
      </c>
      <c r="K142" s="9" t="str">
        <f t="shared" si="66"/>
        <v/>
      </c>
      <c r="L142" s="3" t="str">
        <f t="shared" si="67"/>
        <v/>
      </c>
      <c r="M142" s="3" t="str">
        <f>IF($I142&lt;&gt;"",IF($A142="Gracia Parcial",IF(AND($C142&lt;$U142+$P142+$Q142+$R142+$T141,$C142&gt;0),$C142,$U142+$P142+$Q142+$R142+$T141),IF($A142="Gracia Total",0,IF($A142="Prepago",$C142,IF(ISNUMBER($C142),$C142*VALUE(MID($C$1,MONTH($J142),1)),$N$5*VALUE(MID($C$1,MONTH($J142),1))))))-IF($I143="",ARREGLO,0),"")</f>
        <v/>
      </c>
      <c r="N142" s="3" t="str">
        <f t="shared" si="68"/>
        <v/>
      </c>
      <c r="O142" s="3" t="str">
        <f t="shared" si="69"/>
        <v/>
      </c>
      <c r="P142" s="8" t="str">
        <f t="shared" si="70"/>
        <v/>
      </c>
      <c r="Q142" s="8" t="str">
        <f t="shared" si="71"/>
        <v/>
      </c>
      <c r="R142" s="3" t="str">
        <f t="shared" si="72"/>
        <v/>
      </c>
      <c r="S142" s="3" t="str">
        <f t="shared" si="73"/>
        <v/>
      </c>
      <c r="T142" s="3" t="str">
        <f t="shared" si="74"/>
        <v/>
      </c>
      <c r="U142" s="3" t="str">
        <f t="shared" si="75"/>
        <v/>
      </c>
      <c r="V142" s="3" t="str">
        <f t="shared" si="76"/>
        <v/>
      </c>
      <c r="W142" s="3" t="str">
        <f>IF($I142&lt;&gt;"",IF($K142&gt;V$11,IF($K142&lt;W$11,$K142-V$11,30),0)*ROUND(($L142+$T141+SUM($V142:V142))*$R$5/3000,2),"")</f>
        <v/>
      </c>
      <c r="X142" s="3"/>
      <c r="Y142" s="3"/>
    </row>
    <row r="143" spans="4:25" x14ac:dyDescent="0.25">
      <c r="D143" s="5"/>
      <c r="E143" t="str">
        <f t="shared" si="77"/>
        <v/>
      </c>
      <c r="F143" s="22" t="str">
        <f t="shared" si="62"/>
        <v/>
      </c>
      <c r="G143" s="22" t="str">
        <f t="shared" si="63"/>
        <v/>
      </c>
      <c r="H143" s="22" t="str">
        <f t="shared" si="64"/>
        <v/>
      </c>
      <c r="I143" t="str">
        <f t="shared" si="65"/>
        <v/>
      </c>
      <c r="J143" s="5" t="str">
        <f>IF($I143&lt;&gt;"",IF($D143="",DATE(YEAR($K$7),MONTH($K$7)+($A$1*($F143-1))+SUM($B$12:$B143),DAY($K$7)),$D143),"")</f>
        <v/>
      </c>
      <c r="K143" s="9" t="str">
        <f t="shared" si="66"/>
        <v/>
      </c>
      <c r="L143" s="3" t="str">
        <f t="shared" si="67"/>
        <v/>
      </c>
      <c r="M143" s="3" t="str">
        <f>IF($I143&lt;&gt;"",IF($A143="Gracia Parcial",IF(AND($C143&lt;$U143+$P143+$Q143+$R143+$T142,$C143&gt;0),$C143,$U143+$P143+$Q143+$R143+$T142),IF($A143="Gracia Total",0,IF($A143="Prepago",$C143,IF(ISNUMBER($C143),$C143*VALUE(MID($C$1,MONTH($J143),1)),$N$5*VALUE(MID($C$1,MONTH($J143),1))))))-IF($I144="",ARREGLO,0),"")</f>
        <v/>
      </c>
      <c r="N143" s="3" t="str">
        <f t="shared" si="68"/>
        <v/>
      </c>
      <c r="O143" s="3" t="str">
        <f t="shared" si="69"/>
        <v/>
      </c>
      <c r="P143" s="8" t="str">
        <f t="shared" si="70"/>
        <v/>
      </c>
      <c r="Q143" s="8" t="str">
        <f t="shared" si="71"/>
        <v/>
      </c>
      <c r="R143" s="3" t="str">
        <f t="shared" si="72"/>
        <v/>
      </c>
      <c r="S143" s="3" t="str">
        <f t="shared" si="73"/>
        <v/>
      </c>
      <c r="T143" s="3" t="str">
        <f t="shared" si="74"/>
        <v/>
      </c>
      <c r="U143" s="3" t="str">
        <f t="shared" si="75"/>
        <v/>
      </c>
      <c r="V143" s="3" t="str">
        <f t="shared" si="76"/>
        <v/>
      </c>
      <c r="W143" s="3" t="str">
        <f>IF($I143&lt;&gt;"",IF($K143&gt;V$11,IF($K143&lt;W$11,$K143-V$11,30),0)*ROUND(($L143+$T142+SUM($V143:V143))*$R$5/3000,2),"")</f>
        <v/>
      </c>
      <c r="X143" s="3"/>
      <c r="Y143" s="3"/>
    </row>
    <row r="144" spans="4:25" x14ac:dyDescent="0.25">
      <c r="D144" s="5"/>
      <c r="E144" t="str">
        <f t="shared" si="77"/>
        <v/>
      </c>
      <c r="F144" s="22" t="str">
        <f t="shared" si="62"/>
        <v/>
      </c>
      <c r="G144" s="22" t="str">
        <f t="shared" si="63"/>
        <v/>
      </c>
      <c r="H144" s="22" t="str">
        <f t="shared" si="64"/>
        <v/>
      </c>
      <c r="I144" t="str">
        <f t="shared" si="65"/>
        <v/>
      </c>
      <c r="J144" s="5" t="str">
        <f>IF($I144&lt;&gt;"",IF($D144="",DATE(YEAR($K$7),MONTH($K$7)+($A$1*($F144-1))+SUM($B$12:$B144),DAY($K$7)),$D144),"")</f>
        <v/>
      </c>
      <c r="K144" s="9" t="str">
        <f t="shared" si="66"/>
        <v/>
      </c>
      <c r="L144" s="3" t="str">
        <f t="shared" si="67"/>
        <v/>
      </c>
      <c r="M144" s="3" t="str">
        <f>IF($I144&lt;&gt;"",IF($A144="Gracia Parcial",IF(AND($C144&lt;$U144+$P144+$Q144+$R144+$T143,$C144&gt;0),$C144,$U144+$P144+$Q144+$R144+$T143),IF($A144="Gracia Total",0,IF($A144="Prepago",$C144,IF(ISNUMBER($C144),$C144*VALUE(MID($C$1,MONTH($J144),1)),$N$5*VALUE(MID($C$1,MONTH($J144),1))))))-IF($I145="",ARREGLO,0),"")</f>
        <v/>
      </c>
      <c r="N144" s="3" t="str">
        <f t="shared" si="68"/>
        <v/>
      </c>
      <c r="O144" s="3" t="str">
        <f t="shared" si="69"/>
        <v/>
      </c>
      <c r="P144" s="8" t="str">
        <f t="shared" si="70"/>
        <v/>
      </c>
      <c r="Q144" s="8" t="str">
        <f t="shared" si="71"/>
        <v/>
      </c>
      <c r="R144" s="3" t="str">
        <f t="shared" si="72"/>
        <v/>
      </c>
      <c r="S144" s="3" t="str">
        <f t="shared" si="73"/>
        <v/>
      </c>
      <c r="T144" s="3" t="str">
        <f t="shared" si="74"/>
        <v/>
      </c>
      <c r="U144" s="3" t="str">
        <f t="shared" si="75"/>
        <v/>
      </c>
      <c r="V144" s="3" t="str">
        <f t="shared" si="76"/>
        <v/>
      </c>
      <c r="W144" s="3" t="str">
        <f>IF($I144&lt;&gt;"",IF($K144&gt;V$11,IF($K144&lt;W$11,$K144-V$11,30),0)*ROUND(($L144+$T143+SUM($V144:V144))*$R$5/3000,2),"")</f>
        <v/>
      </c>
      <c r="X144" s="3"/>
      <c r="Y144" s="3"/>
    </row>
    <row r="145" spans="4:25" x14ac:dyDescent="0.25">
      <c r="D145" s="5"/>
      <c r="E145" t="str">
        <f t="shared" si="77"/>
        <v/>
      </c>
      <c r="F145" s="22" t="str">
        <f t="shared" si="62"/>
        <v/>
      </c>
      <c r="G145" s="22" t="str">
        <f t="shared" si="63"/>
        <v/>
      </c>
      <c r="H145" s="22" t="str">
        <f t="shared" si="64"/>
        <v/>
      </c>
      <c r="I145" t="str">
        <f t="shared" si="65"/>
        <v/>
      </c>
      <c r="J145" s="5" t="str">
        <f>IF($I145&lt;&gt;"",IF($D145="",DATE(YEAR($K$7),MONTH($K$7)+($A$1*($F145-1))+SUM($B$12:$B145),DAY($K$7)),$D145),"")</f>
        <v/>
      </c>
      <c r="K145" s="9" t="str">
        <f t="shared" si="66"/>
        <v/>
      </c>
      <c r="L145" s="3" t="str">
        <f t="shared" si="67"/>
        <v/>
      </c>
      <c r="M145" s="3" t="str">
        <f>IF($I145&lt;&gt;"",IF($A145="Gracia Parcial",IF(AND($C145&lt;$U145+$P145+$Q145+$R145+$T144,$C145&gt;0),$C145,$U145+$P145+$Q145+$R145+$T144),IF($A145="Gracia Total",0,IF($A145="Prepago",$C145,IF(ISNUMBER($C145),$C145*VALUE(MID($C$1,MONTH($J145),1)),$N$5*VALUE(MID($C$1,MONTH($J145),1))))))-IF($I146="",ARREGLO,0),"")</f>
        <v/>
      </c>
      <c r="N145" s="3" t="str">
        <f t="shared" si="68"/>
        <v/>
      </c>
      <c r="O145" s="3" t="str">
        <f t="shared" si="69"/>
        <v/>
      </c>
      <c r="P145" s="8" t="str">
        <f t="shared" si="70"/>
        <v/>
      </c>
      <c r="Q145" s="8" t="str">
        <f t="shared" si="71"/>
        <v/>
      </c>
      <c r="R145" s="3" t="str">
        <f t="shared" si="72"/>
        <v/>
      </c>
      <c r="S145" s="3" t="str">
        <f t="shared" si="73"/>
        <v/>
      </c>
      <c r="T145" s="3" t="str">
        <f t="shared" si="74"/>
        <v/>
      </c>
      <c r="U145" s="3" t="str">
        <f t="shared" si="75"/>
        <v/>
      </c>
      <c r="V145" s="3" t="str">
        <f t="shared" si="76"/>
        <v/>
      </c>
      <c r="W145" s="3" t="str">
        <f>IF($I145&lt;&gt;"",IF($K145&gt;V$11,IF($K145&lt;W$11,$K145-V$11,30),0)*ROUND(($L145+$T144+SUM($V145:V145))*$R$5/3000,2),"")</f>
        <v/>
      </c>
      <c r="X145" s="3"/>
      <c r="Y145" s="3"/>
    </row>
    <row r="146" spans="4:25" x14ac:dyDescent="0.25">
      <c r="D146" s="5"/>
      <c r="E146" t="str">
        <f t="shared" si="77"/>
        <v/>
      </c>
      <c r="F146" s="22" t="str">
        <f t="shared" si="62"/>
        <v/>
      </c>
      <c r="G146" s="22" t="str">
        <f t="shared" si="63"/>
        <v/>
      </c>
      <c r="H146" s="22" t="str">
        <f t="shared" si="64"/>
        <v/>
      </c>
      <c r="I146" t="str">
        <f t="shared" si="65"/>
        <v/>
      </c>
      <c r="J146" s="5" t="str">
        <f>IF($I146&lt;&gt;"",IF($D146="",DATE(YEAR($K$7),MONTH($K$7)+($A$1*($F146-1))+SUM($B$12:$B146),DAY($K$7)),$D146),"")</f>
        <v/>
      </c>
      <c r="K146" s="9" t="str">
        <f t="shared" si="66"/>
        <v/>
      </c>
      <c r="L146" s="3" t="str">
        <f t="shared" si="67"/>
        <v/>
      </c>
      <c r="M146" s="3" t="str">
        <f>IF($I146&lt;&gt;"",IF($A146="Gracia Parcial",IF(AND($C146&lt;$U146+$P146+$Q146+$R146+$T145,$C146&gt;0),$C146,$U146+$P146+$Q146+$R146+$T145),IF($A146="Gracia Total",0,IF($A146="Prepago",$C146,IF(ISNUMBER($C146),$C146*VALUE(MID($C$1,MONTH($J146),1)),$N$5*VALUE(MID($C$1,MONTH($J146),1))))))-IF($I147="",ARREGLO,0),"")</f>
        <v/>
      </c>
      <c r="N146" s="3" t="str">
        <f t="shared" si="68"/>
        <v/>
      </c>
      <c r="O146" s="3" t="str">
        <f t="shared" si="69"/>
        <v/>
      </c>
      <c r="P146" s="8" t="str">
        <f t="shared" si="70"/>
        <v/>
      </c>
      <c r="Q146" s="8" t="str">
        <f t="shared" si="71"/>
        <v/>
      </c>
      <c r="R146" s="3" t="str">
        <f t="shared" si="72"/>
        <v/>
      </c>
      <c r="S146" s="3" t="str">
        <f t="shared" si="73"/>
        <v/>
      </c>
      <c r="T146" s="3" t="str">
        <f t="shared" si="74"/>
        <v/>
      </c>
      <c r="U146" s="3" t="str">
        <f t="shared" si="75"/>
        <v/>
      </c>
      <c r="V146" s="3" t="str">
        <f t="shared" si="76"/>
        <v/>
      </c>
      <c r="W146" s="3" t="str">
        <f>IF($I146&lt;&gt;"",IF($K146&gt;V$11,IF($K146&lt;W$11,$K146-V$11,30),0)*ROUND(($L146+$T145+SUM($V146:V146))*$R$5/3000,2),"")</f>
        <v/>
      </c>
      <c r="X146" s="3"/>
      <c r="Y146" s="3"/>
    </row>
    <row r="147" spans="4:25" x14ac:dyDescent="0.25">
      <c r="D147" s="5"/>
      <c r="E147" t="str">
        <f t="shared" si="77"/>
        <v/>
      </c>
      <c r="F147" s="22" t="str">
        <f t="shared" si="62"/>
        <v/>
      </c>
      <c r="G147" s="22" t="str">
        <f t="shared" si="63"/>
        <v/>
      </c>
      <c r="H147" s="22" t="str">
        <f t="shared" si="64"/>
        <v/>
      </c>
      <c r="I147" t="str">
        <f t="shared" si="65"/>
        <v/>
      </c>
      <c r="J147" s="5" t="str">
        <f>IF($I147&lt;&gt;"",IF($D147="",DATE(YEAR($K$7),MONTH($K$7)+($A$1*($F147-1))+SUM($B$12:$B147),DAY($K$7)),$D147),"")</f>
        <v/>
      </c>
      <c r="K147" s="9" t="str">
        <f t="shared" si="66"/>
        <v/>
      </c>
      <c r="L147" s="3" t="str">
        <f t="shared" si="67"/>
        <v/>
      </c>
      <c r="M147" s="3" t="str">
        <f>IF($I147&lt;&gt;"",IF($A147="Gracia Parcial",IF(AND($C147&lt;$U147+$P147+$Q147+$R147+$T146,$C147&gt;0),$C147,$U147+$P147+$Q147+$R147+$T146),IF($A147="Gracia Total",0,IF($A147="Prepago",$C147,IF(ISNUMBER($C147),$C147*VALUE(MID($C$1,MONTH($J147),1)),$N$5*VALUE(MID($C$1,MONTH($J147),1))))))-IF($I148="",ARREGLO,0),"")</f>
        <v/>
      </c>
      <c r="N147" s="3" t="str">
        <f t="shared" si="68"/>
        <v/>
      </c>
      <c r="O147" s="3" t="str">
        <f t="shared" si="69"/>
        <v/>
      </c>
      <c r="P147" s="8" t="str">
        <f t="shared" si="70"/>
        <v/>
      </c>
      <c r="Q147" s="8" t="str">
        <f t="shared" si="71"/>
        <v/>
      </c>
      <c r="R147" s="3" t="str">
        <f t="shared" si="72"/>
        <v/>
      </c>
      <c r="S147" s="3" t="str">
        <f t="shared" si="73"/>
        <v/>
      </c>
      <c r="T147" s="3" t="str">
        <f t="shared" si="74"/>
        <v/>
      </c>
      <c r="U147" s="3" t="str">
        <f t="shared" si="75"/>
        <v/>
      </c>
      <c r="V147" s="3" t="str">
        <f t="shared" si="76"/>
        <v/>
      </c>
      <c r="W147" s="3" t="str">
        <f>IF($I147&lt;&gt;"",IF($K147&gt;V$11,IF($K147&lt;W$11,$K147-V$11,30),0)*ROUND(($L147+$T146+SUM($V147:V147))*$R$5/3000,2),"")</f>
        <v/>
      </c>
      <c r="X147" s="3"/>
      <c r="Y147" s="3"/>
    </row>
    <row r="148" spans="4:25" x14ac:dyDescent="0.25">
      <c r="D148" s="5"/>
      <c r="E148" t="str">
        <f t="shared" si="77"/>
        <v/>
      </c>
      <c r="F148" s="22" t="str">
        <f t="shared" si="62"/>
        <v/>
      </c>
      <c r="G148" s="22" t="str">
        <f t="shared" si="63"/>
        <v/>
      </c>
      <c r="H148" s="22" t="str">
        <f t="shared" si="64"/>
        <v/>
      </c>
      <c r="I148" t="str">
        <f t="shared" si="65"/>
        <v/>
      </c>
      <c r="J148" s="5" t="str">
        <f>IF($I148&lt;&gt;"",IF($D148="",DATE(YEAR($K$7),MONTH($K$7)+($A$1*($F148-1))+SUM($B$12:$B148),DAY($K$7)),$D148),"")</f>
        <v/>
      </c>
      <c r="K148" s="9" t="str">
        <f t="shared" si="66"/>
        <v/>
      </c>
      <c r="L148" s="3" t="str">
        <f t="shared" si="67"/>
        <v/>
      </c>
      <c r="M148" s="3" t="str">
        <f>IF($I148&lt;&gt;"",IF($A148="Gracia Parcial",IF(AND($C148&lt;$U148+$P148+$Q148+$R148+$T147,$C148&gt;0),$C148,$U148+$P148+$Q148+$R148+$T147),IF($A148="Gracia Total",0,IF($A148="Prepago",$C148,IF(ISNUMBER($C148),$C148*VALUE(MID($C$1,MONTH($J148),1)),$N$5*VALUE(MID($C$1,MONTH($J148),1))))))-IF($I149="",ARREGLO,0),"")</f>
        <v/>
      </c>
      <c r="N148" s="3" t="str">
        <f t="shared" si="68"/>
        <v/>
      </c>
      <c r="O148" s="3" t="str">
        <f t="shared" si="69"/>
        <v/>
      </c>
      <c r="P148" s="8" t="str">
        <f t="shared" si="70"/>
        <v/>
      </c>
      <c r="Q148" s="8" t="str">
        <f t="shared" si="71"/>
        <v/>
      </c>
      <c r="R148" s="3" t="str">
        <f t="shared" si="72"/>
        <v/>
      </c>
      <c r="S148" s="3" t="str">
        <f t="shared" si="73"/>
        <v/>
      </c>
      <c r="T148" s="3" t="str">
        <f t="shared" si="74"/>
        <v/>
      </c>
      <c r="U148" s="3" t="str">
        <f t="shared" si="75"/>
        <v/>
      </c>
      <c r="V148" s="3" t="str">
        <f t="shared" si="76"/>
        <v/>
      </c>
      <c r="W148" s="3" t="str">
        <f>IF($I148&lt;&gt;"",IF($K148&gt;V$11,IF($K148&lt;W$11,$K148-V$11,30),0)*ROUND(($L148+$T147+SUM($V148:V148))*$R$5/3000,2),"")</f>
        <v/>
      </c>
      <c r="X148" s="3"/>
      <c r="Y148" s="3"/>
    </row>
    <row r="149" spans="4:25" x14ac:dyDescent="0.25">
      <c r="D149" s="5"/>
      <c r="E149" t="str">
        <f t="shared" si="77"/>
        <v/>
      </c>
      <c r="F149" s="22" t="str">
        <f t="shared" si="62"/>
        <v/>
      </c>
      <c r="G149" s="22" t="str">
        <f t="shared" si="63"/>
        <v/>
      </c>
      <c r="H149" s="22" t="str">
        <f t="shared" si="64"/>
        <v/>
      </c>
      <c r="I149" t="str">
        <f t="shared" si="65"/>
        <v/>
      </c>
      <c r="J149" s="5" t="str">
        <f>IF($I149&lt;&gt;"",IF($D149="",DATE(YEAR($K$7),MONTH($K$7)+($A$1*($F149-1))+SUM($B$12:$B149),DAY($K$7)),$D149),"")</f>
        <v/>
      </c>
      <c r="K149" s="9" t="str">
        <f t="shared" si="66"/>
        <v/>
      </c>
      <c r="L149" s="3" t="str">
        <f t="shared" si="67"/>
        <v/>
      </c>
      <c r="M149" s="3" t="str">
        <f>IF($I149&lt;&gt;"",IF($A149="Gracia Parcial",IF(AND($C149&lt;$U149+$P149+$Q149+$R149+$T148,$C149&gt;0),$C149,$U149+$P149+$Q149+$R149+$T148),IF($A149="Gracia Total",0,IF($A149="Prepago",$C149,IF(ISNUMBER($C149),$C149*VALUE(MID($C$1,MONTH($J149),1)),$N$5*VALUE(MID($C$1,MONTH($J149),1))))))-IF($I150="",ARREGLO,0),"")</f>
        <v/>
      </c>
      <c r="N149" s="3" t="str">
        <f t="shared" si="68"/>
        <v/>
      </c>
      <c r="O149" s="3" t="str">
        <f t="shared" si="69"/>
        <v/>
      </c>
      <c r="P149" s="8" t="str">
        <f t="shared" si="70"/>
        <v/>
      </c>
      <c r="Q149" s="8" t="str">
        <f t="shared" si="71"/>
        <v/>
      </c>
      <c r="R149" s="3" t="str">
        <f t="shared" si="72"/>
        <v/>
      </c>
      <c r="S149" s="3" t="str">
        <f t="shared" si="73"/>
        <v/>
      </c>
      <c r="T149" s="3" t="str">
        <f t="shared" si="74"/>
        <v/>
      </c>
      <c r="U149" s="3" t="str">
        <f t="shared" si="75"/>
        <v/>
      </c>
      <c r="V149" s="3" t="str">
        <f t="shared" si="76"/>
        <v/>
      </c>
      <c r="W149" s="3" t="str">
        <f>IF($I149&lt;&gt;"",IF($K149&gt;V$11,IF($K149&lt;W$11,$K149-V$11,30),0)*ROUND(($L149+$T148+SUM($V149:V149))*$R$5/3000,2),"")</f>
        <v/>
      </c>
      <c r="X149" s="3"/>
      <c r="Y149" s="3"/>
    </row>
    <row r="150" spans="4:25" x14ac:dyDescent="0.25">
      <c r="D150" s="5"/>
      <c r="E150" t="str">
        <f t="shared" si="77"/>
        <v/>
      </c>
      <c r="F150" s="22" t="str">
        <f t="shared" si="62"/>
        <v/>
      </c>
      <c r="G150" s="22" t="str">
        <f t="shared" si="63"/>
        <v/>
      </c>
      <c r="H150" s="22" t="str">
        <f t="shared" si="64"/>
        <v/>
      </c>
      <c r="I150" t="str">
        <f t="shared" si="65"/>
        <v/>
      </c>
      <c r="J150" s="5" t="str">
        <f>IF($I150&lt;&gt;"",IF($D150="",DATE(YEAR($K$7),MONTH($K$7)+($A$1*($F150-1))+SUM($B$12:$B150),DAY($K$7)),$D150),"")</f>
        <v/>
      </c>
      <c r="K150" s="9" t="str">
        <f t="shared" si="66"/>
        <v/>
      </c>
      <c r="L150" s="3" t="str">
        <f t="shared" si="67"/>
        <v/>
      </c>
      <c r="M150" s="3" t="str">
        <f>IF($I150&lt;&gt;"",IF($A150="Gracia Parcial",IF(AND($C150&lt;$U150+$P150+$Q150+$R150+$T149,$C150&gt;0),$C150,$U150+$P150+$Q150+$R150+$T149),IF($A150="Gracia Total",0,IF($A150="Prepago",$C150,IF(ISNUMBER($C150),$C150*VALUE(MID($C$1,MONTH($J150),1)),$N$5*VALUE(MID($C$1,MONTH($J150),1))))))-IF($I151="",ARREGLO,0),"")</f>
        <v/>
      </c>
      <c r="N150" s="3" t="str">
        <f t="shared" si="68"/>
        <v/>
      </c>
      <c r="O150" s="3" t="str">
        <f t="shared" si="69"/>
        <v/>
      </c>
      <c r="P150" s="8" t="str">
        <f t="shared" si="70"/>
        <v/>
      </c>
      <c r="Q150" s="8" t="str">
        <f t="shared" si="71"/>
        <v/>
      </c>
      <c r="R150" s="3" t="str">
        <f t="shared" si="72"/>
        <v/>
      </c>
      <c r="S150" s="3" t="str">
        <f t="shared" si="73"/>
        <v/>
      </c>
      <c r="T150" s="3" t="str">
        <f t="shared" si="74"/>
        <v/>
      </c>
      <c r="U150" s="3" t="str">
        <f t="shared" si="75"/>
        <v/>
      </c>
      <c r="V150" s="3" t="str">
        <f t="shared" si="76"/>
        <v/>
      </c>
      <c r="W150" s="3" t="str">
        <f>IF($I150&lt;&gt;"",IF($K150&gt;V$11,IF($K150&lt;W$11,$K150-V$11,30),0)*ROUND(($L150+$T149+SUM($V150:V150))*$R$5/3000,2),"")</f>
        <v/>
      </c>
      <c r="X150" s="3"/>
      <c r="Y150" s="3"/>
    </row>
    <row r="151" spans="4:25" x14ac:dyDescent="0.25">
      <c r="D151" s="5"/>
      <c r="E151" t="str">
        <f t="shared" si="77"/>
        <v/>
      </c>
      <c r="F151" s="22" t="str">
        <f t="shared" si="62"/>
        <v/>
      </c>
      <c r="G151" s="22" t="str">
        <f t="shared" si="63"/>
        <v/>
      </c>
      <c r="H151" s="22" t="str">
        <f t="shared" si="64"/>
        <v/>
      </c>
      <c r="I151" t="str">
        <f t="shared" si="65"/>
        <v/>
      </c>
      <c r="J151" s="5" t="str">
        <f>IF($I151&lt;&gt;"",IF($D151="",DATE(YEAR($K$7),MONTH($K$7)+($A$1*($F151-1))+SUM($B$12:$B151),DAY($K$7)),$D151),"")</f>
        <v/>
      </c>
      <c r="K151" s="9" t="str">
        <f t="shared" si="66"/>
        <v/>
      </c>
      <c r="L151" s="3" t="str">
        <f t="shared" si="67"/>
        <v/>
      </c>
      <c r="M151" s="3" t="str">
        <f>IF($I151&lt;&gt;"",IF($A151="Gracia Parcial",IF(AND($C151&lt;$U151+$P151+$Q151+$R151+$T150,$C151&gt;0),$C151,$U151+$P151+$Q151+$R151+$T150),IF($A151="Gracia Total",0,IF($A151="Prepago",$C151,IF(ISNUMBER($C151),$C151*VALUE(MID($C$1,MONTH($J151),1)),$N$5*VALUE(MID($C$1,MONTH($J151),1))))))-IF($I152="",ARREGLO,0),"")</f>
        <v/>
      </c>
      <c r="N151" s="3" t="str">
        <f t="shared" si="68"/>
        <v/>
      </c>
      <c r="O151" s="3" t="str">
        <f t="shared" si="69"/>
        <v/>
      </c>
      <c r="P151" s="8" t="str">
        <f t="shared" si="70"/>
        <v/>
      </c>
      <c r="Q151" s="8" t="str">
        <f t="shared" si="71"/>
        <v/>
      </c>
      <c r="R151" s="3" t="str">
        <f t="shared" si="72"/>
        <v/>
      </c>
      <c r="S151" s="3" t="str">
        <f t="shared" si="73"/>
        <v/>
      </c>
      <c r="T151" s="3" t="str">
        <f t="shared" si="74"/>
        <v/>
      </c>
      <c r="U151" s="3" t="str">
        <f t="shared" si="75"/>
        <v/>
      </c>
      <c r="V151" s="3" t="str">
        <f t="shared" si="76"/>
        <v/>
      </c>
      <c r="W151" s="3" t="str">
        <f>IF($I151&lt;&gt;"",IF($K151&gt;V$11,IF($K151&lt;W$11,$K151-V$11,30),0)*ROUND(($L151+$T150+SUM($V151:V151))*$R$5/3000,2),"")</f>
        <v/>
      </c>
      <c r="X151" s="3"/>
      <c r="Y151" s="3"/>
    </row>
    <row r="152" spans="4:25" x14ac:dyDescent="0.25">
      <c r="D152" s="5"/>
      <c r="E152" t="str">
        <f t="shared" si="77"/>
        <v/>
      </c>
      <c r="F152" s="22" t="str">
        <f t="shared" si="62"/>
        <v/>
      </c>
      <c r="G152" s="22" t="str">
        <f t="shared" si="63"/>
        <v/>
      </c>
      <c r="H152" s="22" t="str">
        <f t="shared" si="64"/>
        <v/>
      </c>
      <c r="I152" t="str">
        <f t="shared" si="65"/>
        <v/>
      </c>
      <c r="J152" s="5" t="str">
        <f>IF($I152&lt;&gt;"",IF($D152="",DATE(YEAR($K$7),MONTH($K$7)+($A$1*($F152-1))+SUM($B$12:$B152),DAY($K$7)),$D152),"")</f>
        <v/>
      </c>
      <c r="K152" s="9" t="str">
        <f t="shared" si="66"/>
        <v/>
      </c>
      <c r="L152" s="3" t="str">
        <f t="shared" si="67"/>
        <v/>
      </c>
      <c r="M152" s="3" t="str">
        <f>IF($I152&lt;&gt;"",IF($A152="Gracia Parcial",IF(AND($C152&lt;$U152+$P152+$Q152+$R152+$T151,$C152&gt;0),$C152,$U152+$P152+$Q152+$R152+$T151),IF($A152="Gracia Total",0,IF($A152="Prepago",$C152,IF(ISNUMBER($C152),$C152*VALUE(MID($C$1,MONTH($J152),1)),$N$5*VALUE(MID($C$1,MONTH($J152),1))))))-IF($I153="",ARREGLO,0),"")</f>
        <v/>
      </c>
      <c r="N152" s="3" t="str">
        <f t="shared" si="68"/>
        <v/>
      </c>
      <c r="O152" s="3" t="str">
        <f t="shared" si="69"/>
        <v/>
      </c>
      <c r="P152" s="8" t="str">
        <f t="shared" si="70"/>
        <v/>
      </c>
      <c r="Q152" s="8" t="str">
        <f t="shared" si="71"/>
        <v/>
      </c>
      <c r="R152" s="3" t="str">
        <f t="shared" si="72"/>
        <v/>
      </c>
      <c r="S152" s="3" t="str">
        <f t="shared" si="73"/>
        <v/>
      </c>
      <c r="T152" s="3" t="str">
        <f t="shared" si="74"/>
        <v/>
      </c>
      <c r="U152" s="3" t="str">
        <f t="shared" si="75"/>
        <v/>
      </c>
      <c r="V152" s="3" t="str">
        <f t="shared" si="76"/>
        <v/>
      </c>
      <c r="W152" s="3" t="str">
        <f>IF($I152&lt;&gt;"",IF($K152&gt;V$11,IF($K152&lt;W$11,$K152-V$11,30),0)*ROUND(($L152+$T151+SUM($V152:V152))*$R$5/3000,2),"")</f>
        <v/>
      </c>
      <c r="X152" s="3"/>
      <c r="Y152" s="3"/>
    </row>
    <row r="153" spans="4:25" x14ac:dyDescent="0.25">
      <c r="D153" s="5"/>
      <c r="E153" t="str">
        <f t="shared" si="77"/>
        <v/>
      </c>
      <c r="F153" s="22" t="str">
        <f t="shared" si="62"/>
        <v/>
      </c>
      <c r="G153" s="22" t="str">
        <f t="shared" si="63"/>
        <v/>
      </c>
      <c r="H153" s="22" t="str">
        <f t="shared" si="64"/>
        <v/>
      </c>
      <c r="I153" t="str">
        <f t="shared" si="65"/>
        <v/>
      </c>
      <c r="J153" s="5" t="str">
        <f>IF($I153&lt;&gt;"",IF($D153="",DATE(YEAR($K$7),MONTH($K$7)+($A$1*($F153-1))+SUM($B$12:$B153),DAY($K$7)),$D153),"")</f>
        <v/>
      </c>
      <c r="K153" s="9" t="str">
        <f t="shared" si="66"/>
        <v/>
      </c>
      <c r="L153" s="3" t="str">
        <f t="shared" si="67"/>
        <v/>
      </c>
      <c r="M153" s="3" t="str">
        <f>IF($I153&lt;&gt;"",IF($A153="Gracia Parcial",IF(AND($C153&lt;$U153+$P153+$Q153+$R153+$T152,$C153&gt;0),$C153,$U153+$P153+$Q153+$R153+$T152),IF($A153="Gracia Total",0,IF($A153="Prepago",$C153,IF(ISNUMBER($C153),$C153*VALUE(MID($C$1,MONTH($J153),1)),$N$5*VALUE(MID($C$1,MONTH($J153),1))))))-IF($I154="",ARREGLO,0),"")</f>
        <v/>
      </c>
      <c r="N153" s="3" t="str">
        <f t="shared" si="68"/>
        <v/>
      </c>
      <c r="O153" s="3" t="str">
        <f t="shared" si="69"/>
        <v/>
      </c>
      <c r="P153" s="8" t="str">
        <f t="shared" si="70"/>
        <v/>
      </c>
      <c r="Q153" s="8" t="str">
        <f t="shared" si="71"/>
        <v/>
      </c>
      <c r="R153" s="3" t="str">
        <f t="shared" si="72"/>
        <v/>
      </c>
      <c r="S153" s="3" t="str">
        <f t="shared" si="73"/>
        <v/>
      </c>
      <c r="T153" s="3" t="str">
        <f t="shared" si="74"/>
        <v/>
      </c>
      <c r="U153" s="3" t="str">
        <f t="shared" si="75"/>
        <v/>
      </c>
      <c r="V153" s="3" t="str">
        <f t="shared" si="76"/>
        <v/>
      </c>
      <c r="W153" s="3" t="str">
        <f>IF($I153&lt;&gt;"",IF($K153&gt;V$11,IF($K153&lt;W$11,$K153-V$11,30),0)*ROUND(($L153+$T152+SUM($V153:V153))*$R$5/3000,2),"")</f>
        <v/>
      </c>
      <c r="X153" s="3"/>
      <c r="Y153" s="3"/>
    </row>
    <row r="154" spans="4:25" x14ac:dyDescent="0.25">
      <c r="D154" s="5"/>
      <c r="E154" t="str">
        <f t="shared" si="77"/>
        <v/>
      </c>
      <c r="F154" s="22" t="str">
        <f t="shared" si="62"/>
        <v/>
      </c>
      <c r="G154" s="22" t="str">
        <f t="shared" si="63"/>
        <v/>
      </c>
      <c r="H154" s="22" t="str">
        <f t="shared" si="64"/>
        <v/>
      </c>
      <c r="I154" t="str">
        <f t="shared" si="65"/>
        <v/>
      </c>
      <c r="J154" s="5" t="str">
        <f>IF($I154&lt;&gt;"",IF($D154="",DATE(YEAR($K$7),MONTH($K$7)+($A$1*($F154-1))+SUM($B$12:$B154),DAY($K$7)),$D154),"")</f>
        <v/>
      </c>
      <c r="K154" s="9" t="str">
        <f t="shared" si="66"/>
        <v/>
      </c>
      <c r="L154" s="3" t="str">
        <f t="shared" si="67"/>
        <v/>
      </c>
      <c r="M154" s="3" t="str">
        <f>IF($I154&lt;&gt;"",IF($A154="Gracia Parcial",IF(AND($C154&lt;$U154+$P154+$Q154+$R154+$T153,$C154&gt;0),$C154,$U154+$P154+$Q154+$R154+$T153),IF($A154="Gracia Total",0,IF($A154="Prepago",$C154,IF(ISNUMBER($C154),$C154*VALUE(MID($C$1,MONTH($J154),1)),$N$5*VALUE(MID($C$1,MONTH($J154),1))))))-IF($I155="",ARREGLO,0),"")</f>
        <v/>
      </c>
      <c r="N154" s="3" t="str">
        <f t="shared" si="68"/>
        <v/>
      </c>
      <c r="O154" s="3" t="str">
        <f t="shared" si="69"/>
        <v/>
      </c>
      <c r="P154" s="8" t="str">
        <f t="shared" si="70"/>
        <v/>
      </c>
      <c r="Q154" s="8" t="str">
        <f t="shared" si="71"/>
        <v/>
      </c>
      <c r="R154" s="3" t="str">
        <f t="shared" si="72"/>
        <v/>
      </c>
      <c r="S154" s="3" t="str">
        <f t="shared" si="73"/>
        <v/>
      </c>
      <c r="T154" s="3" t="str">
        <f t="shared" si="74"/>
        <v/>
      </c>
      <c r="U154" s="3" t="str">
        <f t="shared" si="75"/>
        <v/>
      </c>
      <c r="V154" s="3" t="str">
        <f t="shared" si="76"/>
        <v/>
      </c>
      <c r="W154" s="3" t="str">
        <f>IF($I154&lt;&gt;"",IF($K154&gt;V$11,IF($K154&lt;W$11,$K154-V$11,30),0)*ROUND(($L154+$T153+SUM($V154:V154))*$R$5/3000,2),"")</f>
        <v/>
      </c>
      <c r="X154" s="3"/>
      <c r="Y154" s="3"/>
    </row>
    <row r="155" spans="4:25" x14ac:dyDescent="0.25">
      <c r="D155" s="5"/>
      <c r="E155" t="str">
        <f t="shared" si="77"/>
        <v/>
      </c>
      <c r="F155" s="22" t="str">
        <f t="shared" si="62"/>
        <v/>
      </c>
      <c r="G155" s="22" t="str">
        <f t="shared" si="63"/>
        <v/>
      </c>
      <c r="H155" s="22" t="str">
        <f t="shared" si="64"/>
        <v/>
      </c>
      <c r="I155" t="str">
        <f t="shared" si="65"/>
        <v/>
      </c>
      <c r="J155" s="5" t="str">
        <f>IF($I155&lt;&gt;"",IF($D155="",DATE(YEAR($K$7),MONTH($K$7)+($A$1*($F155-1))+SUM($B$12:$B155),DAY($K$7)),$D155),"")</f>
        <v/>
      </c>
      <c r="K155" s="9" t="str">
        <f t="shared" si="66"/>
        <v/>
      </c>
      <c r="L155" s="3" t="str">
        <f t="shared" si="67"/>
        <v/>
      </c>
      <c r="M155" s="3" t="str">
        <f>IF($I155&lt;&gt;"",IF($A155="Gracia Parcial",IF(AND($C155&lt;$U155+$P155+$Q155+$R155+$T154,$C155&gt;0),$C155,$U155+$P155+$Q155+$R155+$T154),IF($A155="Gracia Total",0,IF($A155="Prepago",$C155,IF(ISNUMBER($C155),$C155*VALUE(MID($C$1,MONTH($J155),1)),$N$5*VALUE(MID($C$1,MONTH($J155),1))))))-IF($I156="",ARREGLO,0),"")</f>
        <v/>
      </c>
      <c r="N155" s="3" t="str">
        <f t="shared" si="68"/>
        <v/>
      </c>
      <c r="O155" s="3" t="str">
        <f t="shared" si="69"/>
        <v/>
      </c>
      <c r="P155" s="8" t="str">
        <f t="shared" si="70"/>
        <v/>
      </c>
      <c r="Q155" s="8" t="str">
        <f t="shared" si="71"/>
        <v/>
      </c>
      <c r="R155" s="3" t="str">
        <f t="shared" si="72"/>
        <v/>
      </c>
      <c r="S155" s="3" t="str">
        <f t="shared" si="73"/>
        <v/>
      </c>
      <c r="T155" s="3" t="str">
        <f t="shared" si="74"/>
        <v/>
      </c>
      <c r="U155" s="3" t="str">
        <f t="shared" si="75"/>
        <v/>
      </c>
      <c r="V155" s="3" t="str">
        <f t="shared" si="76"/>
        <v/>
      </c>
      <c r="W155" s="3" t="str">
        <f>IF($I155&lt;&gt;"",IF($K155&gt;V$11,IF($K155&lt;W$11,$K155-V$11,30),0)*ROUND(($L155+$T154+SUM($V155:V155))*$R$5/3000,2),"")</f>
        <v/>
      </c>
      <c r="X155" s="3"/>
      <c r="Y155" s="3"/>
    </row>
    <row r="156" spans="4:25" x14ac:dyDescent="0.25">
      <c r="D156" s="5"/>
      <c r="E156" t="str">
        <f t="shared" si="77"/>
        <v/>
      </c>
      <c r="F156" s="22" t="str">
        <f t="shared" si="62"/>
        <v/>
      </c>
      <c r="G156" s="22" t="str">
        <f t="shared" si="63"/>
        <v/>
      </c>
      <c r="H156" s="22" t="str">
        <f t="shared" si="64"/>
        <v/>
      </c>
      <c r="I156" t="str">
        <f t="shared" si="65"/>
        <v/>
      </c>
      <c r="J156" s="5" t="str">
        <f>IF($I156&lt;&gt;"",IF($D156="",DATE(YEAR($K$7),MONTH($K$7)+($A$1*($F156-1))+SUM($B$12:$B156),DAY($K$7)),$D156),"")</f>
        <v/>
      </c>
      <c r="K156" s="9" t="str">
        <f t="shared" si="66"/>
        <v/>
      </c>
      <c r="L156" s="3" t="str">
        <f t="shared" si="67"/>
        <v/>
      </c>
      <c r="M156" s="3" t="str">
        <f>IF($I156&lt;&gt;"",IF($A156="Gracia Parcial",IF(AND($C156&lt;$U156+$P156+$Q156+$R156+$T155,$C156&gt;0),$C156,$U156+$P156+$Q156+$R156+$T155),IF($A156="Gracia Total",0,IF($A156="Prepago",$C156,IF(ISNUMBER($C156),$C156*VALUE(MID($C$1,MONTH($J156),1)),$N$5*VALUE(MID($C$1,MONTH($J156),1))))))-IF($I157="",ARREGLO,0),"")</f>
        <v/>
      </c>
      <c r="N156" s="3" t="str">
        <f t="shared" si="68"/>
        <v/>
      </c>
      <c r="O156" s="3" t="str">
        <f t="shared" si="69"/>
        <v/>
      </c>
      <c r="P156" s="8" t="str">
        <f t="shared" si="70"/>
        <v/>
      </c>
      <c r="Q156" s="8" t="str">
        <f t="shared" si="71"/>
        <v/>
      </c>
      <c r="R156" s="3" t="str">
        <f t="shared" si="72"/>
        <v/>
      </c>
      <c r="S156" s="3" t="str">
        <f t="shared" si="73"/>
        <v/>
      </c>
      <c r="T156" s="3" t="str">
        <f t="shared" si="74"/>
        <v/>
      </c>
      <c r="U156" s="3" t="str">
        <f t="shared" si="75"/>
        <v/>
      </c>
      <c r="V156" s="3" t="str">
        <f t="shared" si="76"/>
        <v/>
      </c>
      <c r="W156" s="3" t="str">
        <f>IF($I156&lt;&gt;"",IF($K156&gt;V$11,IF($K156&lt;W$11,$K156-V$11,30),0)*ROUND(($L156+$T155+SUM($V156:V156))*$R$5/3000,2),"")</f>
        <v/>
      </c>
      <c r="X156" s="3"/>
      <c r="Y156" s="3"/>
    </row>
    <row r="157" spans="4:25" x14ac:dyDescent="0.25">
      <c r="D157" s="5"/>
      <c r="E157" t="str">
        <f t="shared" si="77"/>
        <v/>
      </c>
      <c r="F157" s="22" t="str">
        <f t="shared" si="62"/>
        <v/>
      </c>
      <c r="G157" s="22" t="str">
        <f t="shared" si="63"/>
        <v/>
      </c>
      <c r="H157" s="22" t="str">
        <f t="shared" si="64"/>
        <v/>
      </c>
      <c r="I157" t="str">
        <f t="shared" si="65"/>
        <v/>
      </c>
      <c r="J157" s="5" t="str">
        <f>IF($I157&lt;&gt;"",IF($D157="",DATE(YEAR($K$7),MONTH($K$7)+($A$1*($F157-1))+SUM($B$12:$B157),DAY($K$7)),$D157),"")</f>
        <v/>
      </c>
      <c r="K157" s="9" t="str">
        <f t="shared" si="66"/>
        <v/>
      </c>
      <c r="L157" s="3" t="str">
        <f t="shared" si="67"/>
        <v/>
      </c>
      <c r="M157" s="3" t="str">
        <f>IF($I157&lt;&gt;"",IF($A157="Gracia Parcial",IF(AND($C157&lt;$U157+$P157+$Q157+$R157+$T156,$C157&gt;0),$C157,$U157+$P157+$Q157+$R157+$T156),IF($A157="Gracia Total",0,IF($A157="Prepago",$C157,IF(ISNUMBER($C157),$C157*VALUE(MID($C$1,MONTH($J157),1)),$N$5*VALUE(MID($C$1,MONTH($J157),1))))))-IF($I158="",ARREGLO,0),"")</f>
        <v/>
      </c>
      <c r="N157" s="3" t="str">
        <f t="shared" si="68"/>
        <v/>
      </c>
      <c r="O157" s="3" t="str">
        <f t="shared" si="69"/>
        <v/>
      </c>
      <c r="P157" s="8" t="str">
        <f t="shared" si="70"/>
        <v/>
      </c>
      <c r="Q157" s="8" t="str">
        <f t="shared" si="71"/>
        <v/>
      </c>
      <c r="R157" s="3" t="str">
        <f t="shared" si="72"/>
        <v/>
      </c>
      <c r="S157" s="3" t="str">
        <f t="shared" si="73"/>
        <v/>
      </c>
      <c r="T157" s="3" t="str">
        <f t="shared" si="74"/>
        <v/>
      </c>
      <c r="U157" s="3" t="str">
        <f t="shared" si="75"/>
        <v/>
      </c>
      <c r="V157" s="3" t="str">
        <f t="shared" si="76"/>
        <v/>
      </c>
      <c r="W157" s="3" t="str">
        <f>IF($I157&lt;&gt;"",IF($K157&gt;V$11,IF($K157&lt;W$11,$K157-V$11,30),0)*ROUND(($L157+$T156+SUM($V157:V157))*$R$5/3000,2),"")</f>
        <v/>
      </c>
      <c r="X157" s="3"/>
      <c r="Y157" s="3"/>
    </row>
    <row r="158" spans="4:25" x14ac:dyDescent="0.25">
      <c r="D158" s="5"/>
      <c r="E158" t="str">
        <f t="shared" si="77"/>
        <v/>
      </c>
      <c r="F158" s="22" t="str">
        <f t="shared" si="62"/>
        <v/>
      </c>
      <c r="G158" s="22" t="str">
        <f t="shared" si="63"/>
        <v/>
      </c>
      <c r="H158" s="22" t="str">
        <f t="shared" si="64"/>
        <v/>
      </c>
      <c r="I158" t="str">
        <f t="shared" si="65"/>
        <v/>
      </c>
      <c r="J158" s="5" t="str">
        <f>IF($I158&lt;&gt;"",IF($D158="",DATE(YEAR($K$7),MONTH($K$7)+($A$1*($F158-1))+SUM($B$12:$B158),DAY($K$7)),$D158),"")</f>
        <v/>
      </c>
      <c r="K158" s="9" t="str">
        <f t="shared" si="66"/>
        <v/>
      </c>
      <c r="L158" s="3" t="str">
        <f t="shared" si="67"/>
        <v/>
      </c>
      <c r="M158" s="3" t="str">
        <f>IF($I158&lt;&gt;"",IF($A158="Gracia Parcial",IF(AND($C158&lt;$U158+$P158+$Q158+$R158+$T157,$C158&gt;0),$C158,$U158+$P158+$Q158+$R158+$T157),IF($A158="Gracia Total",0,IF($A158="Prepago",$C158,IF(ISNUMBER($C158),$C158*VALUE(MID($C$1,MONTH($J158),1)),$N$5*VALUE(MID($C$1,MONTH($J158),1))))))-IF($I159="",ARREGLO,0),"")</f>
        <v/>
      </c>
      <c r="N158" s="3" t="str">
        <f t="shared" si="68"/>
        <v/>
      </c>
      <c r="O158" s="3" t="str">
        <f t="shared" si="69"/>
        <v/>
      </c>
      <c r="P158" s="8" t="str">
        <f t="shared" si="70"/>
        <v/>
      </c>
      <c r="Q158" s="8" t="str">
        <f t="shared" si="71"/>
        <v/>
      </c>
      <c r="R158" s="3" t="str">
        <f t="shared" si="72"/>
        <v/>
      </c>
      <c r="S158" s="3" t="str">
        <f t="shared" si="73"/>
        <v/>
      </c>
      <c r="T158" s="3" t="str">
        <f t="shared" si="74"/>
        <v/>
      </c>
      <c r="U158" s="3" t="str">
        <f t="shared" si="75"/>
        <v/>
      </c>
      <c r="V158" s="3" t="str">
        <f t="shared" si="76"/>
        <v/>
      </c>
      <c r="W158" s="3" t="str">
        <f>IF($I158&lt;&gt;"",IF($K158&gt;V$11,IF($K158&lt;W$11,$K158-V$11,30),0)*ROUND(($L158+$T157+SUM($V158:V158))*$R$5/3000,2),"")</f>
        <v/>
      </c>
      <c r="X158" s="3"/>
      <c r="Y158" s="3"/>
    </row>
    <row r="159" spans="4:25" x14ac:dyDescent="0.25">
      <c r="D159" s="5"/>
      <c r="E159" t="str">
        <f t="shared" si="77"/>
        <v/>
      </c>
      <c r="F159" s="22" t="str">
        <f t="shared" si="62"/>
        <v/>
      </c>
      <c r="G159" s="22" t="str">
        <f t="shared" si="63"/>
        <v/>
      </c>
      <c r="H159" s="22" t="str">
        <f t="shared" si="64"/>
        <v/>
      </c>
      <c r="I159" t="str">
        <f t="shared" si="65"/>
        <v/>
      </c>
      <c r="J159" s="5" t="str">
        <f>IF($I159&lt;&gt;"",IF($D159="",DATE(YEAR($K$7),MONTH($K$7)+($A$1*($F159-1))+SUM($B$12:$B159),DAY($K$7)),$D159),"")</f>
        <v/>
      </c>
      <c r="K159" s="9" t="str">
        <f t="shared" si="66"/>
        <v/>
      </c>
      <c r="L159" s="3" t="str">
        <f t="shared" si="67"/>
        <v/>
      </c>
      <c r="M159" s="3" t="str">
        <f>IF($I159&lt;&gt;"",IF($A159="Gracia Parcial",IF(AND($C159&lt;$U159+$P159+$Q159+$R159+$T158,$C159&gt;0),$C159,$U159+$P159+$Q159+$R159+$T158),IF($A159="Gracia Total",0,IF($A159="Prepago",$C159,IF(ISNUMBER($C159),$C159*VALUE(MID($C$1,MONTH($J159),1)),$N$5*VALUE(MID($C$1,MONTH($J159),1))))))-IF($I160="",ARREGLO,0),"")</f>
        <v/>
      </c>
      <c r="N159" s="3" t="str">
        <f t="shared" si="68"/>
        <v/>
      </c>
      <c r="O159" s="3" t="str">
        <f t="shared" si="69"/>
        <v/>
      </c>
      <c r="P159" s="8" t="str">
        <f t="shared" si="70"/>
        <v/>
      </c>
      <c r="Q159" s="8" t="str">
        <f t="shared" si="71"/>
        <v/>
      </c>
      <c r="R159" s="3" t="str">
        <f t="shared" si="72"/>
        <v/>
      </c>
      <c r="S159" s="3" t="str">
        <f t="shared" si="73"/>
        <v/>
      </c>
      <c r="T159" s="3" t="str">
        <f t="shared" si="74"/>
        <v/>
      </c>
      <c r="U159" s="3" t="str">
        <f t="shared" si="75"/>
        <v/>
      </c>
      <c r="V159" s="3" t="str">
        <f t="shared" si="76"/>
        <v/>
      </c>
      <c r="W159" s="3" t="str">
        <f>IF($I159&lt;&gt;"",IF($K159&gt;V$11,IF($K159&lt;W$11,$K159-V$11,30),0)*ROUND(($L159+$T158+SUM($V159:V159))*$R$5/3000,2),"")</f>
        <v/>
      </c>
      <c r="X159" s="3"/>
      <c r="Y159" s="3"/>
    </row>
    <row r="160" spans="4:25" x14ac:dyDescent="0.25">
      <c r="D160" s="5"/>
      <c r="E160" t="str">
        <f t="shared" si="77"/>
        <v/>
      </c>
      <c r="F160" s="22" t="str">
        <f t="shared" si="62"/>
        <v/>
      </c>
      <c r="G160" s="22" t="str">
        <f t="shared" si="63"/>
        <v/>
      </c>
      <c r="H160" s="22" t="str">
        <f t="shared" si="64"/>
        <v/>
      </c>
      <c r="I160" t="str">
        <f t="shared" si="65"/>
        <v/>
      </c>
      <c r="J160" s="5" t="str">
        <f>IF($I160&lt;&gt;"",IF($D160="",DATE(YEAR($K$7),MONTH($K$7)+($A$1*($F160-1))+SUM($B$12:$B160),DAY($K$7)),$D160),"")</f>
        <v/>
      </c>
      <c r="K160" s="9" t="str">
        <f t="shared" si="66"/>
        <v/>
      </c>
      <c r="L160" s="3" t="str">
        <f t="shared" si="67"/>
        <v/>
      </c>
      <c r="M160" s="3" t="str">
        <f>IF($I160&lt;&gt;"",IF($A160="Gracia Parcial",IF(AND($C160&lt;$U160+$P160+$Q160+$R160+$T159,$C160&gt;0),$C160,$U160+$P160+$Q160+$R160+$T159),IF($A160="Gracia Total",0,IF($A160="Prepago",$C160,IF(ISNUMBER($C160),$C160*VALUE(MID($C$1,MONTH($J160),1)),$N$5*VALUE(MID($C$1,MONTH($J160),1))))))-IF($I161="",ARREGLO,0),"")</f>
        <v/>
      </c>
      <c r="N160" s="3" t="str">
        <f t="shared" si="68"/>
        <v/>
      </c>
      <c r="O160" s="3" t="str">
        <f t="shared" si="69"/>
        <v/>
      </c>
      <c r="P160" s="8" t="str">
        <f t="shared" si="70"/>
        <v/>
      </c>
      <c r="Q160" s="8" t="str">
        <f t="shared" si="71"/>
        <v/>
      </c>
      <c r="R160" s="3" t="str">
        <f t="shared" si="72"/>
        <v/>
      </c>
      <c r="S160" s="3" t="str">
        <f t="shared" si="73"/>
        <v/>
      </c>
      <c r="T160" s="3" t="str">
        <f t="shared" si="74"/>
        <v/>
      </c>
      <c r="U160" s="3" t="str">
        <f t="shared" si="75"/>
        <v/>
      </c>
      <c r="V160" s="3" t="str">
        <f t="shared" si="76"/>
        <v/>
      </c>
      <c r="W160" s="3" t="str">
        <f>IF($I160&lt;&gt;"",IF($K160&gt;V$11,IF($K160&lt;W$11,$K160-V$11,30),0)*ROUND(($L160+$T159+SUM($V160:V160))*$R$5/3000,2),"")</f>
        <v/>
      </c>
      <c r="X160" s="3"/>
      <c r="Y160" s="3"/>
    </row>
    <row r="161" spans="4:25" x14ac:dyDescent="0.25">
      <c r="D161" s="5"/>
      <c r="E161" t="str">
        <f t="shared" si="77"/>
        <v/>
      </c>
      <c r="F161" s="22" t="str">
        <f t="shared" si="62"/>
        <v/>
      </c>
      <c r="G161" s="22" t="str">
        <f t="shared" si="63"/>
        <v/>
      </c>
      <c r="H161" s="22" t="str">
        <f t="shared" si="64"/>
        <v/>
      </c>
      <c r="I161" t="str">
        <f t="shared" si="65"/>
        <v/>
      </c>
      <c r="J161" s="5" t="str">
        <f>IF($I161&lt;&gt;"",IF($D161="",DATE(YEAR($K$7),MONTH($K$7)+($A$1*($F161-1))+SUM($B$12:$B161),DAY($K$7)),$D161),"")</f>
        <v/>
      </c>
      <c r="K161" s="9" t="str">
        <f t="shared" si="66"/>
        <v/>
      </c>
      <c r="L161" s="3" t="str">
        <f t="shared" si="67"/>
        <v/>
      </c>
      <c r="M161" s="3" t="str">
        <f>IF($I161&lt;&gt;"",IF($A161="Gracia Parcial",IF(AND($C161&lt;$U161+$P161+$Q161+$R161+$T160,$C161&gt;0),$C161,$U161+$P161+$Q161+$R161+$T160),IF($A161="Gracia Total",0,IF($A161="Prepago",$C161,IF(ISNUMBER($C161),$C161*VALUE(MID($C$1,MONTH($J161),1)),$N$5*VALUE(MID($C$1,MONTH($J161),1))))))-IF($I162="",ARREGLO,0),"")</f>
        <v/>
      </c>
      <c r="N161" s="3" t="str">
        <f t="shared" si="68"/>
        <v/>
      </c>
      <c r="O161" s="3" t="str">
        <f t="shared" si="69"/>
        <v/>
      </c>
      <c r="P161" s="8" t="str">
        <f t="shared" si="70"/>
        <v/>
      </c>
      <c r="Q161" s="8" t="str">
        <f t="shared" si="71"/>
        <v/>
      </c>
      <c r="R161" s="3" t="str">
        <f t="shared" si="72"/>
        <v/>
      </c>
      <c r="S161" s="3" t="str">
        <f t="shared" si="73"/>
        <v/>
      </c>
      <c r="T161" s="3" t="str">
        <f t="shared" si="74"/>
        <v/>
      </c>
      <c r="U161" s="3" t="str">
        <f t="shared" si="75"/>
        <v/>
      </c>
      <c r="V161" s="3" t="str">
        <f t="shared" si="76"/>
        <v/>
      </c>
      <c r="W161" s="3" t="str">
        <f>IF($I161&lt;&gt;"",IF($K161&gt;V$11,IF($K161&lt;W$11,$K161-V$11,30),0)*ROUND(($L161+$T160+SUM($V161:V161))*$R$5/3000,2),"")</f>
        <v/>
      </c>
      <c r="X161" s="3"/>
      <c r="Y161" s="3"/>
    </row>
    <row r="162" spans="4:25" x14ac:dyDescent="0.25">
      <c r="D162" s="5"/>
      <c r="E162" t="str">
        <f t="shared" si="77"/>
        <v/>
      </c>
      <c r="F162" s="22" t="str">
        <f t="shared" si="62"/>
        <v/>
      </c>
      <c r="G162" s="22" t="str">
        <f t="shared" si="63"/>
        <v/>
      </c>
      <c r="H162" s="22" t="str">
        <f t="shared" si="64"/>
        <v/>
      </c>
      <c r="I162" t="str">
        <f t="shared" si="65"/>
        <v/>
      </c>
      <c r="J162" s="5" t="str">
        <f>IF($I162&lt;&gt;"",IF($D162="",DATE(YEAR($K$7),MONTH($K$7)+($A$1*($F162-1))+SUM($B$12:$B162),DAY($K$7)),$D162),"")</f>
        <v/>
      </c>
      <c r="K162" s="9" t="str">
        <f t="shared" si="66"/>
        <v/>
      </c>
      <c r="L162" s="3" t="str">
        <f t="shared" si="67"/>
        <v/>
      </c>
      <c r="M162" s="3" t="str">
        <f>IF($I162&lt;&gt;"",IF($A162="Gracia Parcial",IF(AND($C162&lt;$U162+$P162+$Q162+$R162+$T161,$C162&gt;0),$C162,$U162+$P162+$Q162+$R162+$T161),IF($A162="Gracia Total",0,IF($A162="Prepago",$C162,IF(ISNUMBER($C162),$C162*VALUE(MID($C$1,MONTH($J162),1)),$N$5*VALUE(MID($C$1,MONTH($J162),1))))))-IF($I163="",ARREGLO,0),"")</f>
        <v/>
      </c>
      <c r="N162" s="3" t="str">
        <f t="shared" si="68"/>
        <v/>
      </c>
      <c r="O162" s="3" t="str">
        <f t="shared" si="69"/>
        <v/>
      </c>
      <c r="P162" s="8" t="str">
        <f t="shared" si="70"/>
        <v/>
      </c>
      <c r="Q162" s="8" t="str">
        <f t="shared" si="71"/>
        <v/>
      </c>
      <c r="R162" s="3" t="str">
        <f t="shared" si="72"/>
        <v/>
      </c>
      <c r="S162" s="3" t="str">
        <f t="shared" si="73"/>
        <v/>
      </c>
      <c r="T162" s="3" t="str">
        <f t="shared" si="74"/>
        <v/>
      </c>
      <c r="U162" s="3" t="str">
        <f t="shared" si="75"/>
        <v/>
      </c>
      <c r="V162" s="3" t="str">
        <f t="shared" si="76"/>
        <v/>
      </c>
      <c r="W162" s="3" t="str">
        <f>IF($I162&lt;&gt;"",IF($K162&gt;V$11,IF($K162&lt;W$11,$K162-V$11,30),0)*ROUND(($L162+$T161+SUM($V162:V162))*$R$5/3000,2),"")</f>
        <v/>
      </c>
      <c r="X162" s="3"/>
      <c r="Y162" s="3"/>
    </row>
    <row r="163" spans="4:25" x14ac:dyDescent="0.25">
      <c r="D163" s="5"/>
      <c r="E163" t="str">
        <f t="shared" si="77"/>
        <v/>
      </c>
      <c r="F163" s="22" t="str">
        <f t="shared" si="62"/>
        <v/>
      </c>
      <c r="G163" s="22" t="str">
        <f t="shared" si="63"/>
        <v/>
      </c>
      <c r="H163" s="22" t="str">
        <f t="shared" si="64"/>
        <v/>
      </c>
      <c r="I163" t="str">
        <f t="shared" si="65"/>
        <v/>
      </c>
      <c r="J163" s="5" t="str">
        <f>IF($I163&lt;&gt;"",IF($D163="",DATE(YEAR($K$7),MONTH($K$7)+($A$1*($F163-1))+SUM($B$12:$B163),DAY($K$7)),$D163),"")</f>
        <v/>
      </c>
      <c r="K163" s="9" t="str">
        <f t="shared" si="66"/>
        <v/>
      </c>
      <c r="L163" s="3" t="str">
        <f t="shared" si="67"/>
        <v/>
      </c>
      <c r="M163" s="3" t="str">
        <f>IF($I163&lt;&gt;"",IF($A163="Gracia Parcial",IF(AND($C163&lt;$U163+$P163+$Q163+$R163+$T162,$C163&gt;0),$C163,$U163+$P163+$Q163+$R163+$T162),IF($A163="Gracia Total",0,IF($A163="Prepago",$C163,IF(ISNUMBER($C163),$C163*VALUE(MID($C$1,MONTH($J163),1)),$N$5*VALUE(MID($C$1,MONTH($J163),1))))))-IF($I164="",ARREGLO,0),"")</f>
        <v/>
      </c>
      <c r="N163" s="3" t="str">
        <f t="shared" si="68"/>
        <v/>
      </c>
      <c r="O163" s="3" t="str">
        <f t="shared" si="69"/>
        <v/>
      </c>
      <c r="P163" s="8" t="str">
        <f t="shared" si="70"/>
        <v/>
      </c>
      <c r="Q163" s="8" t="str">
        <f t="shared" si="71"/>
        <v/>
      </c>
      <c r="R163" s="3" t="str">
        <f t="shared" si="72"/>
        <v/>
      </c>
      <c r="S163" s="3" t="str">
        <f t="shared" si="73"/>
        <v/>
      </c>
      <c r="T163" s="3" t="str">
        <f t="shared" si="74"/>
        <v/>
      </c>
      <c r="U163" s="3" t="str">
        <f t="shared" si="75"/>
        <v/>
      </c>
      <c r="V163" s="3" t="str">
        <f t="shared" si="76"/>
        <v/>
      </c>
      <c r="W163" s="3" t="str">
        <f>IF($I163&lt;&gt;"",IF($K163&gt;V$11,IF($K163&lt;W$11,$K163-V$11,30),0)*ROUND(($L163+$T162+SUM($V163:V163))*$R$5/3000,2),"")</f>
        <v/>
      </c>
      <c r="X163" s="3"/>
      <c r="Y163" s="3"/>
    </row>
    <row r="164" spans="4:25" x14ac:dyDescent="0.25">
      <c r="D164" s="5"/>
      <c r="E164" t="str">
        <f t="shared" si="77"/>
        <v/>
      </c>
      <c r="F164" s="22" t="str">
        <f t="shared" si="62"/>
        <v/>
      </c>
      <c r="G164" s="22" t="str">
        <f t="shared" si="63"/>
        <v/>
      </c>
      <c r="H164" s="22" t="str">
        <f t="shared" si="64"/>
        <v/>
      </c>
      <c r="I164" t="str">
        <f t="shared" si="65"/>
        <v/>
      </c>
      <c r="J164" s="5" t="str">
        <f>IF($I164&lt;&gt;"",IF($D164="",DATE(YEAR($K$7),MONTH($K$7)+($A$1*($F164-1))+SUM($B$12:$B164),DAY($K$7)),$D164),"")</f>
        <v/>
      </c>
      <c r="K164" s="9" t="str">
        <f t="shared" si="66"/>
        <v/>
      </c>
      <c r="L164" s="3" t="str">
        <f t="shared" si="67"/>
        <v/>
      </c>
      <c r="M164" s="3" t="str">
        <f>IF($I164&lt;&gt;"",IF($A164="Gracia Parcial",IF(AND($C164&lt;$U164+$P164+$Q164+$R164+$T163,$C164&gt;0),$C164,$U164+$P164+$Q164+$R164+$T163),IF($A164="Gracia Total",0,IF($A164="Prepago",$C164,IF(ISNUMBER($C164),$C164*VALUE(MID($C$1,MONTH($J164),1)),$N$5*VALUE(MID($C$1,MONTH($J164),1))))))-IF($I165="",ARREGLO,0),"")</f>
        <v/>
      </c>
      <c r="N164" s="3" t="str">
        <f t="shared" si="68"/>
        <v/>
      </c>
      <c r="O164" s="3" t="str">
        <f t="shared" si="69"/>
        <v/>
      </c>
      <c r="P164" s="8" t="str">
        <f t="shared" si="70"/>
        <v/>
      </c>
      <c r="Q164" s="8" t="str">
        <f t="shared" si="71"/>
        <v/>
      </c>
      <c r="R164" s="3" t="str">
        <f t="shared" si="72"/>
        <v/>
      </c>
      <c r="S164" s="3" t="str">
        <f t="shared" si="73"/>
        <v/>
      </c>
      <c r="T164" s="3" t="str">
        <f t="shared" si="74"/>
        <v/>
      </c>
      <c r="U164" s="3" t="str">
        <f t="shared" si="75"/>
        <v/>
      </c>
      <c r="V164" s="3" t="str">
        <f t="shared" si="76"/>
        <v/>
      </c>
      <c r="W164" s="3" t="str">
        <f>IF($I164&lt;&gt;"",IF($K164&gt;V$11,IF($K164&lt;W$11,$K164-V$11,30),0)*ROUND(($L164+$T163+SUM($V164:V164))*$R$5/3000,2),"")</f>
        <v/>
      </c>
      <c r="X164" s="3"/>
      <c r="Y164" s="3"/>
    </row>
    <row r="165" spans="4:25" x14ac:dyDescent="0.25">
      <c r="D165" s="5"/>
      <c r="E165" t="str">
        <f t="shared" si="77"/>
        <v/>
      </c>
      <c r="F165" s="22" t="str">
        <f t="shared" si="62"/>
        <v/>
      </c>
      <c r="G165" s="22" t="str">
        <f t="shared" si="63"/>
        <v/>
      </c>
      <c r="H165" s="22" t="str">
        <f t="shared" si="64"/>
        <v/>
      </c>
      <c r="I165" t="str">
        <f t="shared" si="65"/>
        <v/>
      </c>
      <c r="J165" s="5" t="str">
        <f>IF($I165&lt;&gt;"",IF($D165="",DATE(YEAR($K$7),MONTH($K$7)+($A$1*($F165-1))+SUM($B$12:$B165),DAY($K$7)),$D165),"")</f>
        <v/>
      </c>
      <c r="K165" s="9" t="str">
        <f t="shared" si="66"/>
        <v/>
      </c>
      <c r="L165" s="3" t="str">
        <f t="shared" si="67"/>
        <v/>
      </c>
      <c r="M165" s="3" t="str">
        <f>IF($I165&lt;&gt;"",IF($A165="Gracia Parcial",IF(AND($C165&lt;$U165+$P165+$Q165+$R165+$T164,$C165&gt;0),$C165,$U165+$P165+$Q165+$R165+$T164),IF($A165="Gracia Total",0,IF($A165="Prepago",$C165,IF(ISNUMBER($C165),$C165*VALUE(MID($C$1,MONTH($J165),1)),$N$5*VALUE(MID($C$1,MONTH($J165),1))))))-IF($I166="",ARREGLO,0),"")</f>
        <v/>
      </c>
      <c r="N165" s="3" t="str">
        <f t="shared" si="68"/>
        <v/>
      </c>
      <c r="O165" s="3" t="str">
        <f t="shared" si="69"/>
        <v/>
      </c>
      <c r="P165" s="8" t="str">
        <f t="shared" si="70"/>
        <v/>
      </c>
      <c r="Q165" s="8" t="str">
        <f t="shared" si="71"/>
        <v/>
      </c>
      <c r="R165" s="3" t="str">
        <f t="shared" si="72"/>
        <v/>
      </c>
      <c r="S165" s="3" t="str">
        <f t="shared" si="73"/>
        <v/>
      </c>
      <c r="T165" s="3" t="str">
        <f t="shared" si="74"/>
        <v/>
      </c>
      <c r="U165" s="3" t="str">
        <f t="shared" si="75"/>
        <v/>
      </c>
      <c r="V165" s="3" t="str">
        <f t="shared" si="76"/>
        <v/>
      </c>
      <c r="W165" s="3" t="str">
        <f>IF($I165&lt;&gt;"",IF($K165&gt;V$11,IF($K165&lt;W$11,$K165-V$11,30),0)*ROUND(($L165+$T164+SUM($V165:V165))*$R$5/3000,2),"")</f>
        <v/>
      </c>
      <c r="X165" s="3"/>
      <c r="Y165" s="3"/>
    </row>
    <row r="166" spans="4:25" x14ac:dyDescent="0.25">
      <c r="D166" s="5"/>
      <c r="E166" t="str">
        <f t="shared" si="77"/>
        <v/>
      </c>
      <c r="F166" s="22" t="str">
        <f t="shared" si="62"/>
        <v/>
      </c>
      <c r="G166" s="22" t="str">
        <f t="shared" si="63"/>
        <v/>
      </c>
      <c r="H166" s="22" t="str">
        <f t="shared" si="64"/>
        <v/>
      </c>
      <c r="I166" t="str">
        <f t="shared" si="65"/>
        <v/>
      </c>
      <c r="J166" s="5" t="str">
        <f>IF($I166&lt;&gt;"",IF($D166="",DATE(YEAR($K$7),MONTH($K$7)+($A$1*($F166-1))+SUM($B$12:$B166),DAY($K$7)),$D166),"")</f>
        <v/>
      </c>
      <c r="K166" s="9" t="str">
        <f t="shared" si="66"/>
        <v/>
      </c>
      <c r="L166" s="3" t="str">
        <f t="shared" si="67"/>
        <v/>
      </c>
      <c r="M166" s="3" t="str">
        <f>IF($I166&lt;&gt;"",IF($A166="Gracia Parcial",IF(AND($C166&lt;$U166+$P166+$Q166+$R166+$T165,$C166&gt;0),$C166,$U166+$P166+$Q166+$R166+$T165),IF($A166="Gracia Total",0,IF($A166="Prepago",$C166,IF(ISNUMBER($C166),$C166*VALUE(MID($C$1,MONTH($J166),1)),$N$5*VALUE(MID($C$1,MONTH($J166),1))))))-IF($I167="",ARREGLO,0),"")</f>
        <v/>
      </c>
      <c r="N166" s="3" t="str">
        <f t="shared" si="68"/>
        <v/>
      </c>
      <c r="O166" s="3" t="str">
        <f t="shared" si="69"/>
        <v/>
      </c>
      <c r="P166" s="8" t="str">
        <f t="shared" si="70"/>
        <v/>
      </c>
      <c r="Q166" s="8" t="str">
        <f t="shared" si="71"/>
        <v/>
      </c>
      <c r="R166" s="3" t="str">
        <f t="shared" si="72"/>
        <v/>
      </c>
      <c r="S166" s="3" t="str">
        <f t="shared" si="73"/>
        <v/>
      </c>
      <c r="T166" s="3" t="str">
        <f t="shared" si="74"/>
        <v/>
      </c>
      <c r="U166" s="3" t="str">
        <f t="shared" si="75"/>
        <v/>
      </c>
      <c r="V166" s="3" t="str">
        <f t="shared" si="76"/>
        <v/>
      </c>
      <c r="W166" s="3" t="str">
        <f>IF($I166&lt;&gt;"",IF($K166&gt;V$11,IF($K166&lt;W$11,$K166-V$11,30),0)*ROUND(($L166+$T165+SUM($V166:V166))*$R$5/3000,2),"")</f>
        <v/>
      </c>
      <c r="X166" s="3"/>
      <c r="Y166" s="3"/>
    </row>
    <row r="167" spans="4:25" x14ac:dyDescent="0.25">
      <c r="D167" s="5"/>
      <c r="E167" t="str">
        <f t="shared" si="77"/>
        <v/>
      </c>
      <c r="F167" s="22" t="str">
        <f t="shared" si="62"/>
        <v/>
      </c>
      <c r="G167" s="22" t="str">
        <f t="shared" si="63"/>
        <v/>
      </c>
      <c r="H167" s="22" t="str">
        <f t="shared" si="64"/>
        <v/>
      </c>
      <c r="I167" t="str">
        <f t="shared" si="65"/>
        <v/>
      </c>
      <c r="J167" s="5" t="str">
        <f>IF($I167&lt;&gt;"",IF($D167="",DATE(YEAR($K$7),MONTH($K$7)+($A$1*($F167-1))+SUM($B$12:$B167),DAY($K$7)),$D167),"")</f>
        <v/>
      </c>
      <c r="K167" s="9" t="str">
        <f t="shared" si="66"/>
        <v/>
      </c>
      <c r="L167" s="3" t="str">
        <f t="shared" si="67"/>
        <v/>
      </c>
      <c r="M167" s="3" t="str">
        <f>IF($I167&lt;&gt;"",IF($A167="Gracia Parcial",IF(AND($C167&lt;$U167+$P167+$Q167+$R167+$T166,$C167&gt;0),$C167,$U167+$P167+$Q167+$R167+$T166),IF($A167="Gracia Total",0,IF($A167="Prepago",$C167,IF(ISNUMBER($C167),$C167*VALUE(MID($C$1,MONTH($J167),1)),$N$5*VALUE(MID($C$1,MONTH($J167),1))))))-IF($I168="",ARREGLO,0),"")</f>
        <v/>
      </c>
      <c r="N167" s="3" t="str">
        <f t="shared" si="68"/>
        <v/>
      </c>
      <c r="O167" s="3" t="str">
        <f t="shared" si="69"/>
        <v/>
      </c>
      <c r="P167" s="8" t="str">
        <f t="shared" si="70"/>
        <v/>
      </c>
      <c r="Q167" s="8" t="str">
        <f t="shared" si="71"/>
        <v/>
      </c>
      <c r="R167" s="3" t="str">
        <f t="shared" si="72"/>
        <v/>
      </c>
      <c r="S167" s="3" t="str">
        <f t="shared" si="73"/>
        <v/>
      </c>
      <c r="T167" s="3" t="str">
        <f t="shared" si="74"/>
        <v/>
      </c>
      <c r="U167" s="3" t="str">
        <f t="shared" si="75"/>
        <v/>
      </c>
      <c r="V167" s="3" t="str">
        <f t="shared" si="76"/>
        <v/>
      </c>
      <c r="W167" s="3" t="str">
        <f>IF($I167&lt;&gt;"",IF($K167&gt;V$11,IF($K167&lt;W$11,$K167-V$11,30),0)*ROUND(($L167+$T166+SUM($V167:V167))*$R$5/3000,2),"")</f>
        <v/>
      </c>
      <c r="X167" s="3"/>
      <c r="Y167" s="3"/>
    </row>
    <row r="168" spans="4:25" x14ac:dyDescent="0.25">
      <c r="D168" s="5"/>
      <c r="E168" t="str">
        <f t="shared" si="77"/>
        <v/>
      </c>
      <c r="F168" s="22" t="str">
        <f t="shared" si="62"/>
        <v/>
      </c>
      <c r="G168" s="22" t="str">
        <f t="shared" si="63"/>
        <v/>
      </c>
      <c r="H168" s="22" t="str">
        <f t="shared" si="64"/>
        <v/>
      </c>
      <c r="I168" t="str">
        <f t="shared" si="65"/>
        <v/>
      </c>
      <c r="J168" s="5" t="str">
        <f>IF($I168&lt;&gt;"",IF($D168="",DATE(YEAR($K$7),MONTH($K$7)+($A$1*($F168-1))+SUM($B$12:$B168),DAY($K$7)),$D168),"")</f>
        <v/>
      </c>
      <c r="K168" s="9" t="str">
        <f t="shared" si="66"/>
        <v/>
      </c>
      <c r="L168" s="3" t="str">
        <f t="shared" si="67"/>
        <v/>
      </c>
      <c r="M168" s="3" t="str">
        <f>IF($I168&lt;&gt;"",IF($A168="Gracia Parcial",IF(AND($C168&lt;$U168+$P168+$Q168+$R168+$T167,$C168&gt;0),$C168,$U168+$P168+$Q168+$R168+$T167),IF($A168="Gracia Total",0,IF($A168="Prepago",$C168,IF(ISNUMBER($C168),$C168*VALUE(MID($C$1,MONTH($J168),1)),$N$5*VALUE(MID($C$1,MONTH($J168),1))))))-IF($I169="",ARREGLO,0),"")</f>
        <v/>
      </c>
      <c r="N168" s="3" t="str">
        <f t="shared" si="68"/>
        <v/>
      </c>
      <c r="O168" s="3" t="str">
        <f t="shared" si="69"/>
        <v/>
      </c>
      <c r="P168" s="8" t="str">
        <f t="shared" si="70"/>
        <v/>
      </c>
      <c r="Q168" s="8" t="str">
        <f t="shared" si="71"/>
        <v/>
      </c>
      <c r="R168" s="3" t="str">
        <f t="shared" si="72"/>
        <v/>
      </c>
      <c r="S168" s="3" t="str">
        <f t="shared" si="73"/>
        <v/>
      </c>
      <c r="T168" s="3" t="str">
        <f t="shared" si="74"/>
        <v/>
      </c>
      <c r="U168" s="3" t="str">
        <f t="shared" si="75"/>
        <v/>
      </c>
      <c r="V168" s="3" t="str">
        <f t="shared" si="76"/>
        <v/>
      </c>
      <c r="W168" s="3" t="str">
        <f>IF($I168&lt;&gt;"",IF($K168&gt;V$11,IF($K168&lt;W$11,$K168-V$11,30),0)*ROUND(($L168+$T167+SUM($V168:V168))*$R$5/3000,2),"")</f>
        <v/>
      </c>
      <c r="X168" s="3"/>
      <c r="Y168" s="3"/>
    </row>
    <row r="169" spans="4:25" x14ac:dyDescent="0.25">
      <c r="D169" s="5"/>
      <c r="E169" t="str">
        <f t="shared" si="77"/>
        <v/>
      </c>
      <c r="F169" s="22" t="str">
        <f t="shared" si="62"/>
        <v/>
      </c>
      <c r="G169" s="22" t="str">
        <f t="shared" si="63"/>
        <v/>
      </c>
      <c r="H169" s="22" t="str">
        <f t="shared" si="64"/>
        <v/>
      </c>
      <c r="I169" t="str">
        <f t="shared" si="65"/>
        <v/>
      </c>
      <c r="J169" s="5" t="str">
        <f>IF($I169&lt;&gt;"",IF($D169="",DATE(YEAR($K$7),MONTH($K$7)+($A$1*($F169-1))+SUM($B$12:$B169),DAY($K$7)),$D169),"")</f>
        <v/>
      </c>
      <c r="K169" s="9" t="str">
        <f t="shared" si="66"/>
        <v/>
      </c>
      <c r="L169" s="3" t="str">
        <f t="shared" si="67"/>
        <v/>
      </c>
      <c r="M169" s="3" t="str">
        <f>IF($I169&lt;&gt;"",IF($A169="Gracia Parcial",IF(AND($C169&lt;$U169+$P169+$Q169+$R169+$T168,$C169&gt;0),$C169,$U169+$P169+$Q169+$R169+$T168),IF($A169="Gracia Total",0,IF($A169="Prepago",$C169,IF(ISNUMBER($C169),$C169*VALUE(MID($C$1,MONTH($J169),1)),$N$5*VALUE(MID($C$1,MONTH($J169),1))))))-IF($I170="",ARREGLO,0),"")</f>
        <v/>
      </c>
      <c r="N169" s="3" t="str">
        <f t="shared" si="68"/>
        <v/>
      </c>
      <c r="O169" s="3" t="str">
        <f t="shared" si="69"/>
        <v/>
      </c>
      <c r="P169" s="8" t="str">
        <f t="shared" si="70"/>
        <v/>
      </c>
      <c r="Q169" s="8" t="str">
        <f t="shared" si="71"/>
        <v/>
      </c>
      <c r="R169" s="3" t="str">
        <f t="shared" si="72"/>
        <v/>
      </c>
      <c r="S169" s="3" t="str">
        <f t="shared" si="73"/>
        <v/>
      </c>
      <c r="T169" s="3" t="str">
        <f t="shared" si="74"/>
        <v/>
      </c>
      <c r="U169" s="3" t="str">
        <f t="shared" si="75"/>
        <v/>
      </c>
      <c r="V169" s="3" t="str">
        <f t="shared" si="76"/>
        <v/>
      </c>
      <c r="W169" s="3" t="str">
        <f>IF($I169&lt;&gt;"",IF($K169&gt;V$11,IF($K169&lt;W$11,$K169-V$11,30),0)*ROUND(($L169+$T168+SUM($V169:V169))*$R$5/3000,2),"")</f>
        <v/>
      </c>
      <c r="X169" s="3"/>
      <c r="Y169" s="3"/>
    </row>
    <row r="170" spans="4:25" x14ac:dyDescent="0.25">
      <c r="D170" s="5"/>
      <c r="E170" t="str">
        <f t="shared" si="77"/>
        <v/>
      </c>
      <c r="F170" s="22" t="str">
        <f t="shared" si="62"/>
        <v/>
      </c>
      <c r="G170" s="22" t="str">
        <f t="shared" si="63"/>
        <v/>
      </c>
      <c r="H170" s="22" t="str">
        <f t="shared" si="64"/>
        <v/>
      </c>
      <c r="I170" t="str">
        <f t="shared" si="65"/>
        <v/>
      </c>
      <c r="J170" s="5" t="str">
        <f>IF($I170&lt;&gt;"",IF($D170="",DATE(YEAR($K$7),MONTH($K$7)+($A$1*($F170-1))+SUM($B$12:$B170),DAY($K$7)),$D170),"")</f>
        <v/>
      </c>
      <c r="K170" s="9" t="str">
        <f t="shared" si="66"/>
        <v/>
      </c>
      <c r="L170" s="3" t="str">
        <f t="shared" si="67"/>
        <v/>
      </c>
      <c r="M170" s="3" t="str">
        <f>IF($I170&lt;&gt;"",IF($A170="Gracia Parcial",IF(AND($C170&lt;$U170+$P170+$Q170+$R170+$T169,$C170&gt;0),$C170,$U170+$P170+$Q170+$R170+$T169),IF($A170="Gracia Total",0,IF($A170="Prepago",$C170,IF(ISNUMBER($C170),$C170*VALUE(MID($C$1,MONTH($J170),1)),$N$5*VALUE(MID($C$1,MONTH($J170),1))))))-IF($I171="",ARREGLO,0),"")</f>
        <v/>
      </c>
      <c r="N170" s="3" t="str">
        <f t="shared" si="68"/>
        <v/>
      </c>
      <c r="O170" s="3" t="str">
        <f t="shared" si="69"/>
        <v/>
      </c>
      <c r="P170" s="8" t="str">
        <f t="shared" si="70"/>
        <v/>
      </c>
      <c r="Q170" s="8" t="str">
        <f t="shared" si="71"/>
        <v/>
      </c>
      <c r="R170" s="3" t="str">
        <f t="shared" si="72"/>
        <v/>
      </c>
      <c r="S170" s="3" t="str">
        <f t="shared" si="73"/>
        <v/>
      </c>
      <c r="T170" s="3" t="str">
        <f t="shared" si="74"/>
        <v/>
      </c>
      <c r="U170" s="3" t="str">
        <f t="shared" si="75"/>
        <v/>
      </c>
      <c r="V170" s="3" t="str">
        <f t="shared" si="76"/>
        <v/>
      </c>
      <c r="W170" s="3" t="str">
        <f>IF($I170&lt;&gt;"",IF($K170&gt;V$11,IF($K170&lt;W$11,$K170-V$11,30),0)*ROUND(($L170+$T169+SUM($V170:V170))*$R$5/3000,2),"")</f>
        <v/>
      </c>
      <c r="X170" s="3"/>
      <c r="Y170" s="3"/>
    </row>
    <row r="171" spans="4:25" x14ac:dyDescent="0.25">
      <c r="D171" s="5"/>
      <c r="E171" t="str">
        <f t="shared" si="77"/>
        <v/>
      </c>
      <c r="F171" s="22" t="str">
        <f t="shared" si="62"/>
        <v/>
      </c>
      <c r="G171" s="22" t="str">
        <f t="shared" si="63"/>
        <v/>
      </c>
      <c r="H171" s="22" t="str">
        <f t="shared" si="64"/>
        <v/>
      </c>
      <c r="I171" t="str">
        <f t="shared" si="65"/>
        <v/>
      </c>
      <c r="J171" s="5" t="str">
        <f>IF($I171&lt;&gt;"",IF($D171="",DATE(YEAR($K$7),MONTH($K$7)+($A$1*($F171-1))+SUM($B$12:$B171),DAY($K$7)),$D171),"")</f>
        <v/>
      </c>
      <c r="K171" s="9" t="str">
        <f t="shared" si="66"/>
        <v/>
      </c>
      <c r="L171" s="3" t="str">
        <f t="shared" si="67"/>
        <v/>
      </c>
      <c r="M171" s="3" t="str">
        <f>IF($I171&lt;&gt;"",IF($A171="Gracia Parcial",IF(AND($C171&lt;$U171+$P171+$Q171+$R171+$T170,$C171&gt;0),$C171,$U171+$P171+$Q171+$R171+$T170),IF($A171="Gracia Total",0,IF($A171="Prepago",$C171,IF(ISNUMBER($C171),$C171*VALUE(MID($C$1,MONTH($J171),1)),$N$5*VALUE(MID($C$1,MONTH($J171),1))))))-IF($I172="",ARREGLO,0),"")</f>
        <v/>
      </c>
      <c r="N171" s="3" t="str">
        <f t="shared" si="68"/>
        <v/>
      </c>
      <c r="O171" s="3" t="str">
        <f t="shared" si="69"/>
        <v/>
      </c>
      <c r="P171" s="8" t="str">
        <f t="shared" si="70"/>
        <v/>
      </c>
      <c r="Q171" s="8" t="str">
        <f t="shared" si="71"/>
        <v/>
      </c>
      <c r="R171" s="3" t="str">
        <f t="shared" si="72"/>
        <v/>
      </c>
      <c r="S171" s="3" t="str">
        <f t="shared" si="73"/>
        <v/>
      </c>
      <c r="T171" s="3" t="str">
        <f t="shared" si="74"/>
        <v/>
      </c>
      <c r="U171" s="3" t="str">
        <f t="shared" si="75"/>
        <v/>
      </c>
      <c r="V171" s="3" t="str">
        <f t="shared" si="76"/>
        <v/>
      </c>
      <c r="W171" s="3" t="str">
        <f>IF($I171&lt;&gt;"",IF($K171&gt;V$11,IF($K171&lt;W$11,$K171-V$11,30),0)*ROUND(($L171+$T170+SUM($V171:V171))*$R$5/3000,2),"")</f>
        <v/>
      </c>
      <c r="X171" s="3"/>
      <c r="Y171" s="3"/>
    </row>
    <row r="172" spans="4:25" x14ac:dyDescent="0.25">
      <c r="D172" s="5"/>
      <c r="E172" t="str">
        <f t="shared" si="77"/>
        <v/>
      </c>
      <c r="F172" s="22" t="str">
        <f t="shared" ref="F172:F208" si="78">IF($I172&lt;&gt;"",IF($A172="Prepago",$F171,$F171+1),"")</f>
        <v/>
      </c>
      <c r="G172" s="22" t="str">
        <f t="shared" ref="G172:G204" si="79">IF($I172&lt;&gt;"",IF(ISNUMBER($C172),-$N172+$U172-$O172,ABS($U172)+$P172+$Q172+$R172),"")</f>
        <v/>
      </c>
      <c r="H172" s="22" t="str">
        <f t="shared" ref="H172:H203" si="80">IF(I172&lt;&gt;"",IF(COUNTA($V172:$XFD172)*30&lt;$K172,1,0),"")</f>
        <v/>
      </c>
      <c r="I172" t="str">
        <f t="shared" ref="I172:I208" si="81">IF($I171&lt;NCUOTAS+CUOTAADICIONAL+PGRACIA,$I171+1,"")</f>
        <v/>
      </c>
      <c r="J172" s="5" t="str">
        <f>IF($I172&lt;&gt;"",IF($D172="",DATE(YEAR($K$7),MONTH($K$7)+($A$1*($F172-1))+SUM($B$12:$B172),DAY($K$7)),$D172),"")</f>
        <v/>
      </c>
      <c r="K172" s="9" t="str">
        <f t="shared" ref="K172:K204" si="82">IF($I172&lt;&gt;"",$J172-$J171,"")</f>
        <v/>
      </c>
      <c r="L172" s="3" t="str">
        <f t="shared" ref="L172:L204" si="83">IF($I172&lt;&gt;"",$S171,"")</f>
        <v/>
      </c>
      <c r="M172" s="3" t="str">
        <f>IF($I172&lt;&gt;"",IF($A172="Gracia Parcial",IF(AND($C172&lt;$U172+$P172+$Q172+$R172+$T171,$C172&gt;0),$C172,$U172+$P172+$Q172+$R172+$T171),IF($A172="Gracia Total",0,IF($A172="Prepago",$C172,IF(ISNUMBER($C172),$C172*VALUE(MID($C$1,MONTH($J172),1)),$N$5*VALUE(MID($C$1,MONTH($J172),1))))))-IF($I173="",ARREGLO,0),"")</f>
        <v/>
      </c>
      <c r="N172" s="3" t="str">
        <f t="shared" ref="N172:N204" si="84">IF($I172&lt;&gt;"",IF($M172-$O172&gt;0,$M172-$O172-$P172-$Q172-$R172,0),"")</f>
        <v/>
      </c>
      <c r="O172" s="3" t="str">
        <f t="shared" ref="O172:O204" si="85">IF($I172&lt;&gt;"",IF($M172&gt;=$U172+$T171+$P172+$Q172+$R172,$U172+$T171,$M172-$P172-$Q172-$R172),"")</f>
        <v/>
      </c>
      <c r="P172" s="8" t="str">
        <f t="shared" ref="P172:P204" si="86">IF($I172&lt;&gt;"",IF($A172="Prepago",0,$Q$6+$Q$6*$B172),"")</f>
        <v/>
      </c>
      <c r="Q172" s="8" t="str">
        <f t="shared" ref="Q172:Q204" si="87">IF($I172&lt;&gt;"",IF($A172="Prepago",0,$Q$7+$Q$7*$B172),"")</f>
        <v/>
      </c>
      <c r="R172" s="3" t="str">
        <f t="shared" ref="R172:R204" si="88">IF($I172&lt;&gt;"",IF($A172="Prepago",0,$Q$8+$Q$8*$B172),"")</f>
        <v/>
      </c>
      <c r="S172" s="3" t="str">
        <f t="shared" ref="S172:S204" si="89">IF($I172&lt;&gt;"",$L172-$N172,"")</f>
        <v/>
      </c>
      <c r="T172" s="3" t="str">
        <f t="shared" ref="T172:T204" si="90">IF($I172&lt;&gt;"",+$T171+SUM($V172:$CD172)-$O172,"")</f>
        <v/>
      </c>
      <c r="U172" s="3" t="str">
        <f t="shared" ref="U172:U208" si="91">IF($I172&lt;&gt;"",SUM($V172:$XFD172),"")</f>
        <v/>
      </c>
      <c r="V172" s="3" t="str">
        <f t="shared" ref="V172:V203" si="92">IF($I172&lt;&gt;"",IF($K172&gt;V$11,30,$K172)*ROUND(($L172+$T171)*$R$5/3000,2),"")</f>
        <v/>
      </c>
      <c r="W172" s="3" t="str">
        <f>IF($I172&lt;&gt;"",IF($K172&gt;V$11,IF($K172&lt;W$11,$K172-V$11,30),0)*ROUND(($L172+$T171+SUM($V172:V172))*$R$5/3000,2),"")</f>
        <v/>
      </c>
      <c r="X172" s="3"/>
      <c r="Y172" s="3"/>
    </row>
    <row r="173" spans="4:25" x14ac:dyDescent="0.25">
      <c r="D173" s="5"/>
      <c r="E173" t="str">
        <f t="shared" si="77"/>
        <v/>
      </c>
      <c r="F173" s="22" t="str">
        <f t="shared" si="78"/>
        <v/>
      </c>
      <c r="G173" s="22" t="str">
        <f t="shared" si="79"/>
        <v/>
      </c>
      <c r="H173" s="22" t="str">
        <f t="shared" si="80"/>
        <v/>
      </c>
      <c r="I173" t="str">
        <f t="shared" si="81"/>
        <v/>
      </c>
      <c r="J173" s="5" t="str">
        <f>IF($I173&lt;&gt;"",IF($D173="",DATE(YEAR($K$7),MONTH($K$7)+($A$1*($F173-1))+SUM($B$12:$B173),DAY($K$7)),$D173),"")</f>
        <v/>
      </c>
      <c r="K173" s="9" t="str">
        <f t="shared" si="82"/>
        <v/>
      </c>
      <c r="L173" s="3" t="str">
        <f t="shared" si="83"/>
        <v/>
      </c>
      <c r="M173" s="3" t="str">
        <f>IF($I173&lt;&gt;"",IF($A173="Gracia Parcial",IF(AND($C173&lt;$U173+$P173+$Q173+$R173+$T172,$C173&gt;0),$C173,$U173+$P173+$Q173+$R173+$T172),IF($A173="Gracia Total",0,IF($A173="Prepago",$C173,IF(ISNUMBER($C173),$C173*VALUE(MID($C$1,MONTH($J173),1)),$N$5*VALUE(MID($C$1,MONTH($J173),1))))))-IF($I174="",ARREGLO,0),"")</f>
        <v/>
      </c>
      <c r="N173" s="3" t="str">
        <f t="shared" si="84"/>
        <v/>
      </c>
      <c r="O173" s="3" t="str">
        <f t="shared" si="85"/>
        <v/>
      </c>
      <c r="P173" s="8" t="str">
        <f t="shared" si="86"/>
        <v/>
      </c>
      <c r="Q173" s="8" t="str">
        <f t="shared" si="87"/>
        <v/>
      </c>
      <c r="R173" s="3" t="str">
        <f t="shared" si="88"/>
        <v/>
      </c>
      <c r="S173" s="3" t="str">
        <f t="shared" si="89"/>
        <v/>
      </c>
      <c r="T173" s="3" t="str">
        <f t="shared" si="90"/>
        <v/>
      </c>
      <c r="U173" s="3" t="str">
        <f t="shared" si="91"/>
        <v/>
      </c>
      <c r="V173" s="3" t="str">
        <f t="shared" si="92"/>
        <v/>
      </c>
      <c r="W173" s="3" t="str">
        <f>IF($I173&lt;&gt;"",IF($K173&gt;V$11,IF($K173&lt;W$11,$K173-V$11,30),0)*ROUND(($L173+$T172+SUM($V173:V173))*$R$5/3000,2),"")</f>
        <v/>
      </c>
      <c r="X173" s="3"/>
      <c r="Y173" s="3"/>
    </row>
    <row r="174" spans="4:25" x14ac:dyDescent="0.25">
      <c r="D174" s="5"/>
      <c r="E174" t="str">
        <f t="shared" si="77"/>
        <v/>
      </c>
      <c r="F174" s="22" t="str">
        <f t="shared" si="78"/>
        <v/>
      </c>
      <c r="G174" s="22" t="str">
        <f t="shared" si="79"/>
        <v/>
      </c>
      <c r="H174" s="22" t="str">
        <f t="shared" si="80"/>
        <v/>
      </c>
      <c r="I174" t="str">
        <f t="shared" si="81"/>
        <v/>
      </c>
      <c r="J174" s="5" t="str">
        <f>IF($I174&lt;&gt;"",IF($D174="",DATE(YEAR($K$7),MONTH($K$7)+($A$1*($F174-1))+SUM($B$12:$B174),DAY($K$7)),$D174),"")</f>
        <v/>
      </c>
      <c r="K174" s="9" t="str">
        <f t="shared" si="82"/>
        <v/>
      </c>
      <c r="L174" s="3" t="str">
        <f t="shared" si="83"/>
        <v/>
      </c>
      <c r="M174" s="3" t="str">
        <f>IF($I174&lt;&gt;"",IF($A174="Gracia Parcial",IF(AND($C174&lt;$U174+$P174+$Q174+$R174+$T173,$C174&gt;0),$C174,$U174+$P174+$Q174+$R174+$T173),IF($A174="Gracia Total",0,IF($A174="Prepago",$C174,IF(ISNUMBER($C174),$C174*VALUE(MID($C$1,MONTH($J174),1)),$N$5*VALUE(MID($C$1,MONTH($J174),1))))))-IF($I175="",ARREGLO,0),"")</f>
        <v/>
      </c>
      <c r="N174" s="3" t="str">
        <f t="shared" si="84"/>
        <v/>
      </c>
      <c r="O174" s="3" t="str">
        <f t="shared" si="85"/>
        <v/>
      </c>
      <c r="P174" s="8" t="str">
        <f t="shared" si="86"/>
        <v/>
      </c>
      <c r="Q174" s="8" t="str">
        <f t="shared" si="87"/>
        <v/>
      </c>
      <c r="R174" s="3" t="str">
        <f t="shared" si="88"/>
        <v/>
      </c>
      <c r="S174" s="3" t="str">
        <f t="shared" si="89"/>
        <v/>
      </c>
      <c r="T174" s="3" t="str">
        <f t="shared" si="90"/>
        <v/>
      </c>
      <c r="U174" s="3" t="str">
        <f t="shared" si="91"/>
        <v/>
      </c>
      <c r="V174" s="3" t="str">
        <f t="shared" si="92"/>
        <v/>
      </c>
      <c r="W174" s="3" t="str">
        <f>IF($I174&lt;&gt;"",IF($K174&gt;V$11,IF($K174&lt;W$11,$K174-V$11,30),0)*ROUND(($L174+$T173+SUM($V174:V174))*$R$5/3000,2),"")</f>
        <v/>
      </c>
      <c r="X174" s="3"/>
      <c r="Y174" s="3"/>
    </row>
    <row r="175" spans="4:25" x14ac:dyDescent="0.25">
      <c r="D175" s="5"/>
      <c r="E175" t="str">
        <f t="shared" si="77"/>
        <v/>
      </c>
      <c r="F175" s="22" t="str">
        <f t="shared" si="78"/>
        <v/>
      </c>
      <c r="G175" s="22" t="str">
        <f t="shared" si="79"/>
        <v/>
      </c>
      <c r="H175" s="22" t="str">
        <f t="shared" si="80"/>
        <v/>
      </c>
      <c r="I175" t="str">
        <f t="shared" si="81"/>
        <v/>
      </c>
      <c r="J175" s="5" t="str">
        <f>IF($I175&lt;&gt;"",IF($D175="",DATE(YEAR($K$7),MONTH($K$7)+($A$1*($F175-1))+SUM($B$12:$B175),DAY($K$7)),$D175),"")</f>
        <v/>
      </c>
      <c r="K175" s="9" t="str">
        <f t="shared" si="82"/>
        <v/>
      </c>
      <c r="L175" s="3" t="str">
        <f t="shared" si="83"/>
        <v/>
      </c>
      <c r="M175" s="3" t="str">
        <f>IF($I175&lt;&gt;"",IF($A175="Gracia Parcial",IF(AND($C175&lt;$U175+$P175+$Q175+$R175+$T174,$C175&gt;0),$C175,$U175+$P175+$Q175+$R175+$T174),IF($A175="Gracia Total",0,IF($A175="Prepago",$C175,IF(ISNUMBER($C175),$C175*VALUE(MID($C$1,MONTH($J175),1)),$N$5*VALUE(MID($C$1,MONTH($J175),1))))))-IF($I176="",ARREGLO,0),"")</f>
        <v/>
      </c>
      <c r="N175" s="3" t="str">
        <f t="shared" si="84"/>
        <v/>
      </c>
      <c r="O175" s="3" t="str">
        <f t="shared" si="85"/>
        <v/>
      </c>
      <c r="P175" s="8" t="str">
        <f t="shared" si="86"/>
        <v/>
      </c>
      <c r="Q175" s="8" t="str">
        <f t="shared" si="87"/>
        <v/>
      </c>
      <c r="R175" s="3" t="str">
        <f t="shared" si="88"/>
        <v/>
      </c>
      <c r="S175" s="3" t="str">
        <f t="shared" si="89"/>
        <v/>
      </c>
      <c r="T175" s="3" t="str">
        <f t="shared" si="90"/>
        <v/>
      </c>
      <c r="U175" s="3" t="str">
        <f t="shared" si="91"/>
        <v/>
      </c>
      <c r="V175" s="3" t="str">
        <f t="shared" si="92"/>
        <v/>
      </c>
      <c r="W175" s="3" t="str">
        <f>IF($I175&lt;&gt;"",IF($K175&gt;V$11,IF($K175&lt;W$11,$K175-V$11,30),0)*ROUND(($L175+$T174+SUM($V175:V175))*$R$5/3000,2),"")</f>
        <v/>
      </c>
      <c r="X175" s="3"/>
      <c r="Y175" s="3"/>
    </row>
    <row r="176" spans="4:25" x14ac:dyDescent="0.25">
      <c r="D176" s="5"/>
      <c r="E176" t="str">
        <f t="shared" si="77"/>
        <v/>
      </c>
      <c r="F176" s="22" t="str">
        <f t="shared" si="78"/>
        <v/>
      </c>
      <c r="G176" s="22" t="str">
        <f t="shared" si="79"/>
        <v/>
      </c>
      <c r="H176" s="22" t="str">
        <f t="shared" si="80"/>
        <v/>
      </c>
      <c r="I176" t="str">
        <f t="shared" si="81"/>
        <v/>
      </c>
      <c r="J176" s="5" t="str">
        <f>IF($I176&lt;&gt;"",IF($D176="",DATE(YEAR($K$7),MONTH($K$7)+($A$1*($F176-1))+SUM($B$12:$B176),DAY($K$7)),$D176),"")</f>
        <v/>
      </c>
      <c r="K176" s="9" t="str">
        <f t="shared" si="82"/>
        <v/>
      </c>
      <c r="L176" s="3" t="str">
        <f t="shared" si="83"/>
        <v/>
      </c>
      <c r="M176" s="3" t="str">
        <f>IF($I176&lt;&gt;"",IF($A176="Gracia Parcial",IF(AND($C176&lt;$U176+$P176+$Q176+$R176+$T175,$C176&gt;0),$C176,$U176+$P176+$Q176+$R176+$T175),IF($A176="Gracia Total",0,IF($A176="Prepago",$C176,IF(ISNUMBER($C176),$C176*VALUE(MID($C$1,MONTH($J176),1)),$N$5*VALUE(MID($C$1,MONTH($J176),1))))))-IF($I177="",ARREGLO,0),"")</f>
        <v/>
      </c>
      <c r="N176" s="3" t="str">
        <f t="shared" si="84"/>
        <v/>
      </c>
      <c r="O176" s="3" t="str">
        <f t="shared" si="85"/>
        <v/>
      </c>
      <c r="P176" s="8" t="str">
        <f t="shared" si="86"/>
        <v/>
      </c>
      <c r="Q176" s="8" t="str">
        <f t="shared" si="87"/>
        <v/>
      </c>
      <c r="R176" s="3" t="str">
        <f t="shared" si="88"/>
        <v/>
      </c>
      <c r="S176" s="3" t="str">
        <f t="shared" si="89"/>
        <v/>
      </c>
      <c r="T176" s="3" t="str">
        <f t="shared" si="90"/>
        <v/>
      </c>
      <c r="U176" s="3" t="str">
        <f t="shared" si="91"/>
        <v/>
      </c>
      <c r="V176" s="3" t="str">
        <f t="shared" si="92"/>
        <v/>
      </c>
      <c r="W176" s="3" t="str">
        <f>IF($I176&lt;&gt;"",IF($K176&gt;V$11,IF($K176&lt;W$11,$K176-V$11,30),0)*ROUND(($L176+$T175+SUM($V176:V176))*$R$5/3000,2),"")</f>
        <v/>
      </c>
      <c r="X176" s="3"/>
      <c r="Y176" s="3"/>
    </row>
    <row r="177" spans="4:25" x14ac:dyDescent="0.25">
      <c r="D177" s="5"/>
      <c r="E177" t="str">
        <f t="shared" si="77"/>
        <v/>
      </c>
      <c r="F177" s="22" t="str">
        <f t="shared" si="78"/>
        <v/>
      </c>
      <c r="G177" s="22" t="str">
        <f t="shared" si="79"/>
        <v/>
      </c>
      <c r="H177" s="22" t="str">
        <f t="shared" si="80"/>
        <v/>
      </c>
      <c r="I177" t="str">
        <f t="shared" si="81"/>
        <v/>
      </c>
      <c r="J177" s="5" t="str">
        <f>IF($I177&lt;&gt;"",IF($D177="",DATE(YEAR($K$7),MONTH($K$7)+($A$1*($F177-1))+SUM($B$12:$B177),DAY($K$7)),$D177),"")</f>
        <v/>
      </c>
      <c r="K177" s="9" t="str">
        <f t="shared" si="82"/>
        <v/>
      </c>
      <c r="L177" s="3" t="str">
        <f t="shared" si="83"/>
        <v/>
      </c>
      <c r="M177" s="3" t="str">
        <f>IF($I177&lt;&gt;"",IF($A177="Gracia Parcial",IF(AND($C177&lt;$U177+$P177+$Q177+$R177+$T176,$C177&gt;0),$C177,$U177+$P177+$Q177+$R177+$T176),IF($A177="Gracia Total",0,IF($A177="Prepago",$C177,IF(ISNUMBER($C177),$C177*VALUE(MID($C$1,MONTH($J177),1)),$N$5*VALUE(MID($C$1,MONTH($J177),1))))))-IF($I178="",ARREGLO,0),"")</f>
        <v/>
      </c>
      <c r="N177" s="3" t="str">
        <f t="shared" si="84"/>
        <v/>
      </c>
      <c r="O177" s="3" t="str">
        <f t="shared" si="85"/>
        <v/>
      </c>
      <c r="P177" s="8" t="str">
        <f t="shared" si="86"/>
        <v/>
      </c>
      <c r="Q177" s="8" t="str">
        <f t="shared" si="87"/>
        <v/>
      </c>
      <c r="R177" s="3" t="str">
        <f t="shared" si="88"/>
        <v/>
      </c>
      <c r="S177" s="3" t="str">
        <f t="shared" si="89"/>
        <v/>
      </c>
      <c r="T177" s="3" t="str">
        <f t="shared" si="90"/>
        <v/>
      </c>
      <c r="U177" s="3" t="str">
        <f t="shared" si="91"/>
        <v/>
      </c>
      <c r="V177" s="3" t="str">
        <f t="shared" si="92"/>
        <v/>
      </c>
      <c r="W177" s="3" t="str">
        <f>IF($I177&lt;&gt;"",IF($K177&gt;V$11,IF($K177&lt;W$11,$K177-V$11,30),0)*ROUND(($L177+$T176+SUM($V177:V177))*$R$5/3000,2),"")</f>
        <v/>
      </c>
      <c r="X177" s="3"/>
      <c r="Y177" s="3"/>
    </row>
    <row r="178" spans="4:25" x14ac:dyDescent="0.25">
      <c r="D178" s="5"/>
      <c r="E178" t="str">
        <f t="shared" si="77"/>
        <v/>
      </c>
      <c r="F178" s="22" t="str">
        <f t="shared" si="78"/>
        <v/>
      </c>
      <c r="G178" s="22" t="str">
        <f t="shared" si="79"/>
        <v/>
      </c>
      <c r="H178" s="22" t="str">
        <f t="shared" si="80"/>
        <v/>
      </c>
      <c r="I178" t="str">
        <f t="shared" si="81"/>
        <v/>
      </c>
      <c r="J178" s="5" t="str">
        <f>IF($I178&lt;&gt;"",IF($D178="",DATE(YEAR($K$7),MONTH($K$7)+($A$1*($F178-1))+SUM($B$12:$B178),DAY($K$7)),$D178),"")</f>
        <v/>
      </c>
      <c r="K178" s="9" t="str">
        <f t="shared" si="82"/>
        <v/>
      </c>
      <c r="L178" s="3" t="str">
        <f t="shared" si="83"/>
        <v/>
      </c>
      <c r="M178" s="3" t="str">
        <f>IF($I178&lt;&gt;"",IF($A178="Gracia Parcial",IF(AND($C178&lt;$U178+$P178+$Q178+$R178+$T177,$C178&gt;0),$C178,$U178+$P178+$Q178+$R178+$T177),IF($A178="Gracia Total",0,IF($A178="Prepago",$C178,IF(ISNUMBER($C178),$C178*VALUE(MID($C$1,MONTH($J178),1)),$N$5*VALUE(MID($C$1,MONTH($J178),1))))))-IF($I179="",ARREGLO,0),"")</f>
        <v/>
      </c>
      <c r="N178" s="3" t="str">
        <f t="shared" si="84"/>
        <v/>
      </c>
      <c r="O178" s="3" t="str">
        <f t="shared" si="85"/>
        <v/>
      </c>
      <c r="P178" s="8" t="str">
        <f t="shared" si="86"/>
        <v/>
      </c>
      <c r="Q178" s="8" t="str">
        <f t="shared" si="87"/>
        <v/>
      </c>
      <c r="R178" s="3" t="str">
        <f t="shared" si="88"/>
        <v/>
      </c>
      <c r="S178" s="3" t="str">
        <f t="shared" si="89"/>
        <v/>
      </c>
      <c r="T178" s="3" t="str">
        <f t="shared" si="90"/>
        <v/>
      </c>
      <c r="U178" s="3" t="str">
        <f t="shared" si="91"/>
        <v/>
      </c>
      <c r="V178" s="3" t="str">
        <f t="shared" si="92"/>
        <v/>
      </c>
      <c r="W178" s="3" t="str">
        <f>IF($I178&lt;&gt;"",IF($K178&gt;V$11,IF($K178&lt;W$11,$K178-V$11,30),0)*ROUND(($L178+$T177+SUM($V178:V178))*$R$5/3000,2),"")</f>
        <v/>
      </c>
      <c r="X178" s="3"/>
      <c r="Y178" s="3"/>
    </row>
    <row r="179" spans="4:25" x14ac:dyDescent="0.25">
      <c r="D179" s="5"/>
      <c r="E179" t="str">
        <f t="shared" si="77"/>
        <v/>
      </c>
      <c r="F179" s="22" t="str">
        <f t="shared" si="78"/>
        <v/>
      </c>
      <c r="G179" s="22" t="str">
        <f t="shared" si="79"/>
        <v/>
      </c>
      <c r="H179" s="22" t="str">
        <f t="shared" si="80"/>
        <v/>
      </c>
      <c r="I179" t="str">
        <f t="shared" si="81"/>
        <v/>
      </c>
      <c r="J179" s="5" t="str">
        <f>IF($I179&lt;&gt;"",IF($D179="",DATE(YEAR($K$7),MONTH($K$7)+($A$1*($F179-1))+SUM($B$12:$B179),DAY($K$7)),$D179),"")</f>
        <v/>
      </c>
      <c r="K179" s="9" t="str">
        <f t="shared" si="82"/>
        <v/>
      </c>
      <c r="L179" s="3" t="str">
        <f t="shared" si="83"/>
        <v/>
      </c>
      <c r="M179" s="3" t="str">
        <f>IF($I179&lt;&gt;"",IF($A179="Gracia Parcial",IF(AND($C179&lt;$U179+$P179+$Q179+$R179+$T178,$C179&gt;0),$C179,$U179+$P179+$Q179+$R179+$T178),IF($A179="Gracia Total",0,IF($A179="Prepago",$C179,IF(ISNUMBER($C179),$C179*VALUE(MID($C$1,MONTH($J179),1)),$N$5*VALUE(MID($C$1,MONTH($J179),1))))))-IF($I180="",ARREGLO,0),"")</f>
        <v/>
      </c>
      <c r="N179" s="3" t="str">
        <f t="shared" si="84"/>
        <v/>
      </c>
      <c r="O179" s="3" t="str">
        <f t="shared" si="85"/>
        <v/>
      </c>
      <c r="P179" s="8" t="str">
        <f t="shared" si="86"/>
        <v/>
      </c>
      <c r="Q179" s="8" t="str">
        <f t="shared" si="87"/>
        <v/>
      </c>
      <c r="R179" s="3" t="str">
        <f t="shared" si="88"/>
        <v/>
      </c>
      <c r="S179" s="3" t="str">
        <f t="shared" si="89"/>
        <v/>
      </c>
      <c r="T179" s="3" t="str">
        <f t="shared" si="90"/>
        <v/>
      </c>
      <c r="U179" s="3" t="str">
        <f t="shared" si="91"/>
        <v/>
      </c>
      <c r="V179" s="3" t="str">
        <f t="shared" si="92"/>
        <v/>
      </c>
      <c r="W179" s="3" t="str">
        <f>IF($I179&lt;&gt;"",IF($K179&gt;V$11,IF($K179&lt;W$11,$K179-V$11,30),0)*ROUND(($L179+$T178+SUM($V179:V179))*$R$5/3000,2),"")</f>
        <v/>
      </c>
      <c r="X179" s="3"/>
      <c r="Y179" s="3"/>
    </row>
    <row r="180" spans="4:25" x14ac:dyDescent="0.25">
      <c r="D180" s="5"/>
      <c r="E180" t="str">
        <f t="shared" si="77"/>
        <v/>
      </c>
      <c r="F180" s="22" t="str">
        <f t="shared" si="78"/>
        <v/>
      </c>
      <c r="G180" s="22" t="str">
        <f t="shared" si="79"/>
        <v/>
      </c>
      <c r="H180" s="22" t="str">
        <f t="shared" si="80"/>
        <v/>
      </c>
      <c r="I180" t="str">
        <f t="shared" si="81"/>
        <v/>
      </c>
      <c r="J180" s="5" t="str">
        <f>IF($I180&lt;&gt;"",IF($D180="",DATE(YEAR($K$7),MONTH($K$7)+($A$1*($F180-1))+SUM($B$12:$B180),DAY($K$7)),$D180),"")</f>
        <v/>
      </c>
      <c r="K180" s="9" t="str">
        <f t="shared" si="82"/>
        <v/>
      </c>
      <c r="L180" s="3" t="str">
        <f t="shared" si="83"/>
        <v/>
      </c>
      <c r="M180" s="3" t="str">
        <f>IF($I180&lt;&gt;"",IF($A180="Gracia Parcial",IF(AND($C180&lt;$U180+$P180+$Q180+$R180+$T179,$C180&gt;0),$C180,$U180+$P180+$Q180+$R180+$T179),IF($A180="Gracia Total",0,IF($A180="Prepago",$C180,IF(ISNUMBER($C180),$C180*VALUE(MID($C$1,MONTH($J180),1)),$N$5*VALUE(MID($C$1,MONTH($J180),1))))))-IF($I181="",ARREGLO,0),"")</f>
        <v/>
      </c>
      <c r="N180" s="3" t="str">
        <f t="shared" si="84"/>
        <v/>
      </c>
      <c r="O180" s="3" t="str">
        <f t="shared" si="85"/>
        <v/>
      </c>
      <c r="P180" s="8" t="str">
        <f t="shared" si="86"/>
        <v/>
      </c>
      <c r="Q180" s="8" t="str">
        <f t="shared" si="87"/>
        <v/>
      </c>
      <c r="R180" s="3" t="str">
        <f t="shared" si="88"/>
        <v/>
      </c>
      <c r="S180" s="3" t="str">
        <f t="shared" si="89"/>
        <v/>
      </c>
      <c r="T180" s="3" t="str">
        <f t="shared" si="90"/>
        <v/>
      </c>
      <c r="U180" s="3" t="str">
        <f t="shared" si="91"/>
        <v/>
      </c>
      <c r="V180" s="3" t="str">
        <f t="shared" si="92"/>
        <v/>
      </c>
      <c r="W180" s="3" t="str">
        <f>IF($I180&lt;&gt;"",IF($K180&gt;V$11,IF($K180&lt;W$11,$K180-V$11,30),0)*ROUND(($L180+$T179+SUM($V180:V180))*$R$5/3000,2),"")</f>
        <v/>
      </c>
      <c r="X180" s="3"/>
      <c r="Y180" s="3"/>
    </row>
    <row r="181" spans="4:25" x14ac:dyDescent="0.25">
      <c r="D181" s="5"/>
      <c r="E181" t="str">
        <f t="shared" si="77"/>
        <v/>
      </c>
      <c r="F181" s="22" t="str">
        <f t="shared" si="78"/>
        <v/>
      </c>
      <c r="G181" s="22" t="str">
        <f t="shared" si="79"/>
        <v/>
      </c>
      <c r="H181" s="22" t="str">
        <f t="shared" si="80"/>
        <v/>
      </c>
      <c r="I181" t="str">
        <f t="shared" si="81"/>
        <v/>
      </c>
      <c r="J181" s="5" t="str">
        <f>IF($I181&lt;&gt;"",IF($D181="",DATE(YEAR($K$7),MONTH($K$7)+($A$1*($F181-1))+SUM($B$12:$B181),DAY($K$7)),$D181),"")</f>
        <v/>
      </c>
      <c r="K181" s="9" t="str">
        <f t="shared" si="82"/>
        <v/>
      </c>
      <c r="L181" s="3" t="str">
        <f t="shared" si="83"/>
        <v/>
      </c>
      <c r="M181" s="3" t="str">
        <f>IF($I181&lt;&gt;"",IF($A181="Gracia Parcial",IF(AND($C181&lt;$U181+$P181+$Q181+$R181+$T180,$C181&gt;0),$C181,$U181+$P181+$Q181+$R181+$T180),IF($A181="Gracia Total",0,IF($A181="Prepago",$C181,IF(ISNUMBER($C181),$C181*VALUE(MID($C$1,MONTH($J181),1)),$N$5*VALUE(MID($C$1,MONTH($J181),1))))))-IF($I182="",ARREGLO,0),"")</f>
        <v/>
      </c>
      <c r="N181" s="3" t="str">
        <f t="shared" si="84"/>
        <v/>
      </c>
      <c r="O181" s="3" t="str">
        <f t="shared" si="85"/>
        <v/>
      </c>
      <c r="P181" s="8" t="str">
        <f t="shared" si="86"/>
        <v/>
      </c>
      <c r="Q181" s="8" t="str">
        <f t="shared" si="87"/>
        <v/>
      </c>
      <c r="R181" s="3" t="str">
        <f t="shared" si="88"/>
        <v/>
      </c>
      <c r="S181" s="3" t="str">
        <f t="shared" si="89"/>
        <v/>
      </c>
      <c r="T181" s="3" t="str">
        <f t="shared" si="90"/>
        <v/>
      </c>
      <c r="U181" s="3" t="str">
        <f t="shared" si="91"/>
        <v/>
      </c>
      <c r="V181" s="3" t="str">
        <f t="shared" si="92"/>
        <v/>
      </c>
      <c r="W181" s="3" t="str">
        <f>IF($I181&lt;&gt;"",IF($K181&gt;V$11,IF($K181&lt;W$11,$K181-V$11,30),0)*ROUND(($L181+$T180+SUM($V181:V181))*$R$5/3000,2),"")</f>
        <v/>
      </c>
      <c r="X181" s="3"/>
      <c r="Y181" s="3"/>
    </row>
    <row r="182" spans="4:25" x14ac:dyDescent="0.25">
      <c r="D182" s="5"/>
      <c r="E182" t="str">
        <f t="shared" si="77"/>
        <v/>
      </c>
      <c r="F182" s="22" t="str">
        <f t="shared" si="78"/>
        <v/>
      </c>
      <c r="G182" s="22" t="str">
        <f t="shared" si="79"/>
        <v/>
      </c>
      <c r="H182" s="22" t="str">
        <f t="shared" si="80"/>
        <v/>
      </c>
      <c r="I182" t="str">
        <f t="shared" si="81"/>
        <v/>
      </c>
      <c r="J182" s="5" t="str">
        <f>IF($I182&lt;&gt;"",IF($D182="",DATE(YEAR($K$7),MONTH($K$7)+($A$1*($F182-1))+SUM($B$12:$B182),DAY($K$7)),$D182),"")</f>
        <v/>
      </c>
      <c r="K182" s="9" t="str">
        <f t="shared" si="82"/>
        <v/>
      </c>
      <c r="L182" s="3" t="str">
        <f t="shared" si="83"/>
        <v/>
      </c>
      <c r="M182" s="3" t="str">
        <f>IF($I182&lt;&gt;"",IF($A182="Gracia Parcial",IF(AND($C182&lt;$U182+$P182+$Q182+$R182+$T181,$C182&gt;0),$C182,$U182+$P182+$Q182+$R182+$T181),IF($A182="Gracia Total",0,IF($A182="Prepago",$C182,IF(ISNUMBER($C182),$C182*VALUE(MID($C$1,MONTH($J182),1)),$N$5*VALUE(MID($C$1,MONTH($J182),1))))))-IF($I183="",ARREGLO,0),"")</f>
        <v/>
      </c>
      <c r="N182" s="3" t="str">
        <f t="shared" si="84"/>
        <v/>
      </c>
      <c r="O182" s="3" t="str">
        <f t="shared" si="85"/>
        <v/>
      </c>
      <c r="P182" s="8" t="str">
        <f t="shared" si="86"/>
        <v/>
      </c>
      <c r="Q182" s="8" t="str">
        <f t="shared" si="87"/>
        <v/>
      </c>
      <c r="R182" s="3" t="str">
        <f t="shared" si="88"/>
        <v/>
      </c>
      <c r="S182" s="3" t="str">
        <f t="shared" si="89"/>
        <v/>
      </c>
      <c r="T182" s="3" t="str">
        <f t="shared" si="90"/>
        <v/>
      </c>
      <c r="U182" s="3" t="str">
        <f t="shared" si="91"/>
        <v/>
      </c>
      <c r="V182" s="3" t="str">
        <f t="shared" si="92"/>
        <v/>
      </c>
      <c r="W182" s="3" t="str">
        <f>IF($I182&lt;&gt;"",IF($K182&gt;V$11,IF($K182&lt;W$11,$K182-V$11,30),0)*ROUND(($L182+$T181+SUM($V182:V182))*$R$5/3000,2),"")</f>
        <v/>
      </c>
      <c r="X182" s="3"/>
      <c r="Y182" s="3"/>
    </row>
    <row r="183" spans="4:25" x14ac:dyDescent="0.25">
      <c r="D183" s="5"/>
      <c r="E183" t="str">
        <f t="shared" si="77"/>
        <v/>
      </c>
      <c r="F183" s="22" t="str">
        <f t="shared" si="78"/>
        <v/>
      </c>
      <c r="G183" s="22" t="str">
        <f t="shared" si="79"/>
        <v/>
      </c>
      <c r="H183" s="22" t="str">
        <f t="shared" si="80"/>
        <v/>
      </c>
      <c r="I183" t="str">
        <f t="shared" si="81"/>
        <v/>
      </c>
      <c r="J183" s="5" t="str">
        <f>IF($I183&lt;&gt;"",IF($D183="",DATE(YEAR($K$7),MONTH($K$7)+($A$1*($F183-1))+SUM($B$12:$B183),DAY($K$7)),$D183),"")</f>
        <v/>
      </c>
      <c r="K183" s="9" t="str">
        <f t="shared" si="82"/>
        <v/>
      </c>
      <c r="L183" s="3" t="str">
        <f t="shared" si="83"/>
        <v/>
      </c>
      <c r="M183" s="3" t="str">
        <f>IF($I183&lt;&gt;"",IF($A183="Gracia Parcial",IF(AND($C183&lt;$U183+$P183+$Q183+$R183+$T182,$C183&gt;0),$C183,$U183+$P183+$Q183+$R183+$T182),IF($A183="Gracia Total",0,IF($A183="Prepago",$C183,IF(ISNUMBER($C183),$C183*VALUE(MID($C$1,MONTH($J183),1)),$N$5*VALUE(MID($C$1,MONTH($J183),1))))))-IF($I184="",ARREGLO,0),"")</f>
        <v/>
      </c>
      <c r="N183" s="3" t="str">
        <f t="shared" si="84"/>
        <v/>
      </c>
      <c r="O183" s="3" t="str">
        <f t="shared" si="85"/>
        <v/>
      </c>
      <c r="P183" s="8" t="str">
        <f t="shared" si="86"/>
        <v/>
      </c>
      <c r="Q183" s="8" t="str">
        <f t="shared" si="87"/>
        <v/>
      </c>
      <c r="R183" s="3" t="str">
        <f t="shared" si="88"/>
        <v/>
      </c>
      <c r="S183" s="3" t="str">
        <f t="shared" si="89"/>
        <v/>
      </c>
      <c r="T183" s="3" t="str">
        <f t="shared" si="90"/>
        <v/>
      </c>
      <c r="U183" s="3" t="str">
        <f t="shared" si="91"/>
        <v/>
      </c>
      <c r="V183" s="3" t="str">
        <f t="shared" si="92"/>
        <v/>
      </c>
      <c r="W183" s="3" t="str">
        <f>IF($I183&lt;&gt;"",IF($K183&gt;V$11,IF($K183&lt;W$11,$K183-V$11,30),0)*ROUND(($L183+$T182+SUM($V183:V183))*$R$5/3000,2),"")</f>
        <v/>
      </c>
      <c r="X183" s="3"/>
      <c r="Y183" s="3"/>
    </row>
    <row r="184" spans="4:25" x14ac:dyDescent="0.25">
      <c r="D184" s="5"/>
      <c r="E184" t="str">
        <f t="shared" si="77"/>
        <v/>
      </c>
      <c r="F184" s="22" t="str">
        <f t="shared" si="78"/>
        <v/>
      </c>
      <c r="G184" s="22" t="str">
        <f t="shared" si="79"/>
        <v/>
      </c>
      <c r="H184" s="22" t="str">
        <f t="shared" si="80"/>
        <v/>
      </c>
      <c r="I184" t="str">
        <f t="shared" si="81"/>
        <v/>
      </c>
      <c r="J184" s="5" t="str">
        <f>IF($I184&lt;&gt;"",IF($D184="",DATE(YEAR($K$7),MONTH($K$7)+($A$1*($F184-1))+SUM($B$12:$B184),DAY($K$7)),$D184),"")</f>
        <v/>
      </c>
      <c r="K184" s="9" t="str">
        <f t="shared" si="82"/>
        <v/>
      </c>
      <c r="L184" s="3" t="str">
        <f t="shared" si="83"/>
        <v/>
      </c>
      <c r="M184" s="3" t="str">
        <f>IF($I184&lt;&gt;"",IF($A184="Gracia Parcial",IF(AND($C184&lt;$U184+$P184+$Q184+$R184+$T183,$C184&gt;0),$C184,$U184+$P184+$Q184+$R184+$T183),IF($A184="Gracia Total",0,IF($A184="Prepago",$C184,IF(ISNUMBER($C184),$C184*VALUE(MID($C$1,MONTH($J184),1)),$N$5*VALUE(MID($C$1,MONTH($J184),1))))))-IF($I185="",ARREGLO,0),"")</f>
        <v/>
      </c>
      <c r="N184" s="3" t="str">
        <f t="shared" si="84"/>
        <v/>
      </c>
      <c r="O184" s="3" t="str">
        <f t="shared" si="85"/>
        <v/>
      </c>
      <c r="P184" s="8" t="str">
        <f t="shared" si="86"/>
        <v/>
      </c>
      <c r="Q184" s="8" t="str">
        <f t="shared" si="87"/>
        <v/>
      </c>
      <c r="R184" s="3" t="str">
        <f t="shared" si="88"/>
        <v/>
      </c>
      <c r="S184" s="3" t="str">
        <f t="shared" si="89"/>
        <v/>
      </c>
      <c r="T184" s="3" t="str">
        <f t="shared" si="90"/>
        <v/>
      </c>
      <c r="U184" s="3" t="str">
        <f t="shared" si="91"/>
        <v/>
      </c>
      <c r="V184" s="3" t="str">
        <f t="shared" si="92"/>
        <v/>
      </c>
      <c r="W184" s="3" t="str">
        <f>IF($I184&lt;&gt;"",IF($K184&gt;V$11,IF($K184&lt;W$11,$K184-V$11,30),0)*ROUND(($L184+$T183+SUM($V184:V184))*$R$5/3000,2),"")</f>
        <v/>
      </c>
      <c r="X184" s="3"/>
      <c r="Y184" s="3"/>
    </row>
    <row r="185" spans="4:25" x14ac:dyDescent="0.25">
      <c r="D185" s="5"/>
      <c r="E185" t="str">
        <f t="shared" si="77"/>
        <v/>
      </c>
      <c r="F185" s="22" t="str">
        <f t="shared" si="78"/>
        <v/>
      </c>
      <c r="G185" s="22" t="str">
        <f t="shared" si="79"/>
        <v/>
      </c>
      <c r="H185" s="22" t="str">
        <f t="shared" si="80"/>
        <v/>
      </c>
      <c r="I185" t="str">
        <f t="shared" si="81"/>
        <v/>
      </c>
      <c r="J185" s="5" t="str">
        <f>IF($I185&lt;&gt;"",IF($D185="",DATE(YEAR($K$7),MONTH($K$7)+($A$1*($F185-1))+SUM($B$12:$B185),DAY($K$7)),$D185),"")</f>
        <v/>
      </c>
      <c r="K185" s="9" t="str">
        <f t="shared" si="82"/>
        <v/>
      </c>
      <c r="L185" s="3" t="str">
        <f t="shared" si="83"/>
        <v/>
      </c>
      <c r="M185" s="3" t="str">
        <f>IF($I185&lt;&gt;"",IF($A185="Gracia Parcial",IF(AND($C185&lt;$U185+$P185+$Q185+$R185+$T184,$C185&gt;0),$C185,$U185+$P185+$Q185+$R185+$T184),IF($A185="Gracia Total",0,IF($A185="Prepago",$C185,IF(ISNUMBER($C185),$C185*VALUE(MID($C$1,MONTH($J185),1)),$N$5*VALUE(MID($C$1,MONTH($J185),1))))))-IF($I186="",ARREGLO,0),"")</f>
        <v/>
      </c>
      <c r="N185" s="3" t="str">
        <f t="shared" si="84"/>
        <v/>
      </c>
      <c r="O185" s="3" t="str">
        <f t="shared" si="85"/>
        <v/>
      </c>
      <c r="P185" s="8" t="str">
        <f t="shared" si="86"/>
        <v/>
      </c>
      <c r="Q185" s="8" t="str">
        <f t="shared" si="87"/>
        <v/>
      </c>
      <c r="R185" s="3" t="str">
        <f t="shared" si="88"/>
        <v/>
      </c>
      <c r="S185" s="3" t="str">
        <f t="shared" si="89"/>
        <v/>
      </c>
      <c r="T185" s="3" t="str">
        <f t="shared" si="90"/>
        <v/>
      </c>
      <c r="U185" s="3" t="str">
        <f t="shared" si="91"/>
        <v/>
      </c>
      <c r="V185" s="3" t="str">
        <f t="shared" si="92"/>
        <v/>
      </c>
      <c r="W185" s="3" t="str">
        <f>IF($I185&lt;&gt;"",IF($K185&gt;V$11,IF($K185&lt;W$11,$K185-V$11,30),0)*ROUND(($L185+$T184+SUM($V185:V185))*$R$5/3000,2),"")</f>
        <v/>
      </c>
      <c r="X185" s="3"/>
      <c r="Y185" s="3"/>
    </row>
    <row r="186" spans="4:25" x14ac:dyDescent="0.25">
      <c r="D186" s="5"/>
      <c r="E186" t="str">
        <f t="shared" si="77"/>
        <v/>
      </c>
      <c r="F186" s="22" t="str">
        <f t="shared" si="78"/>
        <v/>
      </c>
      <c r="G186" s="22" t="str">
        <f t="shared" si="79"/>
        <v/>
      </c>
      <c r="H186" s="22" t="str">
        <f t="shared" si="80"/>
        <v/>
      </c>
      <c r="I186" t="str">
        <f t="shared" si="81"/>
        <v/>
      </c>
      <c r="J186" s="5" t="str">
        <f>IF($I186&lt;&gt;"",IF($D186="",DATE(YEAR($K$7),MONTH($K$7)+($A$1*($F186-1))+SUM($B$12:$B186),DAY($K$7)),$D186),"")</f>
        <v/>
      </c>
      <c r="K186" s="9" t="str">
        <f t="shared" si="82"/>
        <v/>
      </c>
      <c r="L186" s="3" t="str">
        <f t="shared" si="83"/>
        <v/>
      </c>
      <c r="M186" s="3" t="str">
        <f>IF($I186&lt;&gt;"",IF($A186="Gracia Parcial",IF(AND($C186&lt;$U186+$P186+$Q186+$R186+$T185,$C186&gt;0),$C186,$U186+$P186+$Q186+$R186+$T185),IF($A186="Gracia Total",0,IF($A186="Prepago",$C186,IF(ISNUMBER($C186),$C186*VALUE(MID($C$1,MONTH($J186),1)),$N$5*VALUE(MID($C$1,MONTH($J186),1))))))-IF($I187="",ARREGLO,0),"")</f>
        <v/>
      </c>
      <c r="N186" s="3" t="str">
        <f t="shared" si="84"/>
        <v/>
      </c>
      <c r="O186" s="3" t="str">
        <f t="shared" si="85"/>
        <v/>
      </c>
      <c r="P186" s="8" t="str">
        <f t="shared" si="86"/>
        <v/>
      </c>
      <c r="Q186" s="8" t="str">
        <f t="shared" si="87"/>
        <v/>
      </c>
      <c r="R186" s="3" t="str">
        <f t="shared" si="88"/>
        <v/>
      </c>
      <c r="S186" s="3" t="str">
        <f t="shared" si="89"/>
        <v/>
      </c>
      <c r="T186" s="3" t="str">
        <f t="shared" si="90"/>
        <v/>
      </c>
      <c r="U186" s="3" t="str">
        <f t="shared" si="91"/>
        <v/>
      </c>
      <c r="V186" s="3" t="str">
        <f t="shared" si="92"/>
        <v/>
      </c>
      <c r="W186" s="3" t="str">
        <f>IF($I186&lt;&gt;"",IF($K186&gt;V$11,IF($K186&lt;W$11,$K186-V$11,30),0)*ROUND(($L186+$T185+SUM($V186:V186))*$R$5/3000,2),"")</f>
        <v/>
      </c>
      <c r="X186" s="3"/>
      <c r="Y186" s="3"/>
    </row>
    <row r="187" spans="4:25" x14ac:dyDescent="0.25">
      <c r="D187" s="5"/>
      <c r="E187" t="str">
        <f t="shared" si="77"/>
        <v/>
      </c>
      <c r="F187" s="22" t="str">
        <f t="shared" si="78"/>
        <v/>
      </c>
      <c r="G187" s="22" t="str">
        <f t="shared" si="79"/>
        <v/>
      </c>
      <c r="H187" s="22" t="str">
        <f t="shared" si="80"/>
        <v/>
      </c>
      <c r="I187" t="str">
        <f t="shared" si="81"/>
        <v/>
      </c>
      <c r="J187" s="5" t="str">
        <f>IF($I187&lt;&gt;"",IF($D187="",DATE(YEAR($K$7),MONTH($K$7)+($A$1*($F187-1))+SUM($B$12:$B187),DAY($K$7)),$D187),"")</f>
        <v/>
      </c>
      <c r="K187" s="9" t="str">
        <f t="shared" si="82"/>
        <v/>
      </c>
      <c r="L187" s="3" t="str">
        <f t="shared" si="83"/>
        <v/>
      </c>
      <c r="M187" s="3" t="str">
        <f>IF($I187&lt;&gt;"",IF($A187="Gracia Parcial",IF(AND($C187&lt;$U187+$P187+$Q187+$R187+$T186,$C187&gt;0),$C187,$U187+$P187+$Q187+$R187+$T186),IF($A187="Gracia Total",0,IF($A187="Prepago",$C187,IF(ISNUMBER($C187),$C187*VALUE(MID($C$1,MONTH($J187),1)),$N$5*VALUE(MID($C$1,MONTH($J187),1))))))-IF($I188="",ARREGLO,0),"")</f>
        <v/>
      </c>
      <c r="N187" s="3" t="str">
        <f t="shared" si="84"/>
        <v/>
      </c>
      <c r="O187" s="3" t="str">
        <f t="shared" si="85"/>
        <v/>
      </c>
      <c r="P187" s="8" t="str">
        <f t="shared" si="86"/>
        <v/>
      </c>
      <c r="Q187" s="8" t="str">
        <f t="shared" si="87"/>
        <v/>
      </c>
      <c r="R187" s="3" t="str">
        <f t="shared" si="88"/>
        <v/>
      </c>
      <c r="S187" s="3" t="str">
        <f t="shared" si="89"/>
        <v/>
      </c>
      <c r="T187" s="3" t="str">
        <f t="shared" si="90"/>
        <v/>
      </c>
      <c r="U187" s="3" t="str">
        <f t="shared" si="91"/>
        <v/>
      </c>
      <c r="V187" s="3" t="str">
        <f t="shared" si="92"/>
        <v/>
      </c>
      <c r="W187" s="3" t="str">
        <f>IF($I187&lt;&gt;"",IF($K187&gt;V$11,IF($K187&lt;W$11,$K187-V$11,30),0)*ROUND(($L187+$T186+SUM($V187:V187))*$R$5/3000,2),"")</f>
        <v/>
      </c>
      <c r="X187" s="3"/>
      <c r="Y187" s="3"/>
    </row>
    <row r="188" spans="4:25" x14ac:dyDescent="0.25">
      <c r="D188" s="5"/>
      <c r="E188" t="str">
        <f t="shared" si="77"/>
        <v/>
      </c>
      <c r="F188" s="22" t="str">
        <f t="shared" si="78"/>
        <v/>
      </c>
      <c r="G188" s="22" t="str">
        <f t="shared" si="79"/>
        <v/>
      </c>
      <c r="H188" s="22" t="str">
        <f t="shared" si="80"/>
        <v/>
      </c>
      <c r="I188" t="str">
        <f t="shared" si="81"/>
        <v/>
      </c>
      <c r="J188" s="5" t="str">
        <f>IF($I188&lt;&gt;"",IF($D188="",DATE(YEAR($K$7),MONTH($K$7)+($A$1*($F188-1))+SUM($B$12:$B188),DAY($K$7)),$D188),"")</f>
        <v/>
      </c>
      <c r="K188" s="9" t="str">
        <f t="shared" si="82"/>
        <v/>
      </c>
      <c r="L188" s="3" t="str">
        <f t="shared" si="83"/>
        <v/>
      </c>
      <c r="M188" s="3" t="str">
        <f>IF($I188&lt;&gt;"",IF($A188="Gracia Parcial",IF(AND($C188&lt;$U188+$P188+$Q188+$R188+$T187,$C188&gt;0),$C188,$U188+$P188+$Q188+$R188+$T187),IF($A188="Gracia Total",0,IF($A188="Prepago",$C188,IF(ISNUMBER($C188),$C188*VALUE(MID($C$1,MONTH($J188),1)),$N$5*VALUE(MID($C$1,MONTH($J188),1))))))-IF($I189="",ARREGLO,0),"")</f>
        <v/>
      </c>
      <c r="N188" s="3" t="str">
        <f t="shared" si="84"/>
        <v/>
      </c>
      <c r="O188" s="3" t="str">
        <f t="shared" si="85"/>
        <v/>
      </c>
      <c r="P188" s="8" t="str">
        <f t="shared" si="86"/>
        <v/>
      </c>
      <c r="Q188" s="8" t="str">
        <f t="shared" si="87"/>
        <v/>
      </c>
      <c r="R188" s="3" t="str">
        <f t="shared" si="88"/>
        <v/>
      </c>
      <c r="S188" s="3" t="str">
        <f t="shared" si="89"/>
        <v/>
      </c>
      <c r="T188" s="3" t="str">
        <f t="shared" si="90"/>
        <v/>
      </c>
      <c r="U188" s="3" t="str">
        <f t="shared" si="91"/>
        <v/>
      </c>
      <c r="V188" s="3" t="str">
        <f t="shared" si="92"/>
        <v/>
      </c>
      <c r="W188" s="3" t="str">
        <f>IF($I188&lt;&gt;"",IF($K188&gt;V$11,IF($K188&lt;W$11,$K188-V$11,30),0)*ROUND(($L188+$T187+SUM($V188:V188))*$R$5/3000,2),"")</f>
        <v/>
      </c>
      <c r="X188" s="3"/>
      <c r="Y188" s="3"/>
    </row>
    <row r="189" spans="4:25" x14ac:dyDescent="0.25">
      <c r="D189" s="5"/>
      <c r="E189" t="str">
        <f t="shared" si="77"/>
        <v/>
      </c>
      <c r="F189" s="22" t="str">
        <f t="shared" si="78"/>
        <v/>
      </c>
      <c r="G189" s="22" t="str">
        <f t="shared" si="79"/>
        <v/>
      </c>
      <c r="H189" s="22" t="str">
        <f t="shared" si="80"/>
        <v/>
      </c>
      <c r="I189" t="str">
        <f t="shared" si="81"/>
        <v/>
      </c>
      <c r="J189" s="5" t="str">
        <f>IF($I189&lt;&gt;"",IF($D189="",DATE(YEAR($K$7),MONTH($K$7)+($A$1*($F189-1))+SUM($B$12:$B189),DAY($K$7)),$D189),"")</f>
        <v/>
      </c>
      <c r="K189" s="9" t="str">
        <f t="shared" si="82"/>
        <v/>
      </c>
      <c r="L189" s="3" t="str">
        <f t="shared" si="83"/>
        <v/>
      </c>
      <c r="M189" s="3" t="str">
        <f>IF($I189&lt;&gt;"",IF($A189="Gracia Parcial",IF(AND($C189&lt;$U189+$P189+$Q189+$R189+$T188,$C189&gt;0),$C189,$U189+$P189+$Q189+$R189+$T188),IF($A189="Gracia Total",0,IF($A189="Prepago",$C189,IF(ISNUMBER($C189),$C189*VALUE(MID($C$1,MONTH($J189),1)),$N$5*VALUE(MID($C$1,MONTH($J189),1))))))-IF($I190="",ARREGLO,0),"")</f>
        <v/>
      </c>
      <c r="N189" s="3" t="str">
        <f t="shared" si="84"/>
        <v/>
      </c>
      <c r="O189" s="3" t="str">
        <f t="shared" si="85"/>
        <v/>
      </c>
      <c r="P189" s="8" t="str">
        <f t="shared" si="86"/>
        <v/>
      </c>
      <c r="Q189" s="8" t="str">
        <f t="shared" si="87"/>
        <v/>
      </c>
      <c r="R189" s="3" t="str">
        <f t="shared" si="88"/>
        <v/>
      </c>
      <c r="S189" s="3" t="str">
        <f t="shared" si="89"/>
        <v/>
      </c>
      <c r="T189" s="3" t="str">
        <f t="shared" si="90"/>
        <v/>
      </c>
      <c r="U189" s="3" t="str">
        <f t="shared" si="91"/>
        <v/>
      </c>
      <c r="V189" s="3" t="str">
        <f t="shared" si="92"/>
        <v/>
      </c>
      <c r="W189" s="3" t="str">
        <f>IF($I189&lt;&gt;"",IF($K189&gt;V$11,IF($K189&lt;W$11,$K189-V$11,30),0)*ROUND(($L189+$T188+SUM($V189:V189))*$R$5/3000,2),"")</f>
        <v/>
      </c>
      <c r="X189" s="3"/>
      <c r="Y189" s="3"/>
    </row>
    <row r="190" spans="4:25" x14ac:dyDescent="0.25">
      <c r="D190" s="5"/>
      <c r="E190" t="str">
        <f t="shared" si="77"/>
        <v/>
      </c>
      <c r="F190" s="22" t="str">
        <f t="shared" si="78"/>
        <v/>
      </c>
      <c r="G190" s="22" t="str">
        <f t="shared" si="79"/>
        <v/>
      </c>
      <c r="H190" s="22" t="str">
        <f t="shared" si="80"/>
        <v/>
      </c>
      <c r="I190" t="str">
        <f t="shared" si="81"/>
        <v/>
      </c>
      <c r="J190" s="5" t="str">
        <f>IF($I190&lt;&gt;"",IF($D190="",DATE(YEAR($K$7),MONTH($K$7)+($A$1*($F190-1))+SUM($B$12:$B190),DAY($K$7)),$D190),"")</f>
        <v/>
      </c>
      <c r="K190" s="9" t="str">
        <f t="shared" si="82"/>
        <v/>
      </c>
      <c r="L190" s="3" t="str">
        <f t="shared" si="83"/>
        <v/>
      </c>
      <c r="M190" s="3" t="str">
        <f>IF($I190&lt;&gt;"",IF($A190="Gracia Parcial",IF(AND($C190&lt;$U190+$P190+$Q190+$R190+$T189,$C190&gt;0),$C190,$U190+$P190+$Q190+$R190+$T189),IF($A190="Gracia Total",0,IF($A190="Prepago",$C190,IF(ISNUMBER($C190),$C190*VALUE(MID($C$1,MONTH($J190),1)),$N$5*VALUE(MID($C$1,MONTH($J190),1))))))-IF($I191="",ARREGLO,0),"")</f>
        <v/>
      </c>
      <c r="N190" s="3" t="str">
        <f t="shared" si="84"/>
        <v/>
      </c>
      <c r="O190" s="3" t="str">
        <f t="shared" si="85"/>
        <v/>
      </c>
      <c r="P190" s="8" t="str">
        <f t="shared" si="86"/>
        <v/>
      </c>
      <c r="Q190" s="8" t="str">
        <f t="shared" si="87"/>
        <v/>
      </c>
      <c r="R190" s="3" t="str">
        <f t="shared" si="88"/>
        <v/>
      </c>
      <c r="S190" s="3" t="str">
        <f t="shared" si="89"/>
        <v/>
      </c>
      <c r="T190" s="3" t="str">
        <f t="shared" si="90"/>
        <v/>
      </c>
      <c r="U190" s="3" t="str">
        <f t="shared" si="91"/>
        <v/>
      </c>
      <c r="V190" s="3" t="str">
        <f t="shared" si="92"/>
        <v/>
      </c>
      <c r="W190" s="3" t="str">
        <f>IF($I190&lt;&gt;"",IF($K190&gt;V$11,IF($K190&lt;W$11,$K190-V$11,30),0)*ROUND(($L190+$T189+SUM($V190:V190))*$R$5/3000,2),"")</f>
        <v/>
      </c>
      <c r="X190" s="3"/>
      <c r="Y190" s="3"/>
    </row>
    <row r="191" spans="4:25" x14ac:dyDescent="0.25">
      <c r="D191" s="5"/>
      <c r="E191" t="str">
        <f t="shared" si="77"/>
        <v/>
      </c>
      <c r="F191" s="22" t="str">
        <f t="shared" si="78"/>
        <v/>
      </c>
      <c r="G191" s="22" t="str">
        <f t="shared" si="79"/>
        <v/>
      </c>
      <c r="H191" s="22" t="str">
        <f t="shared" si="80"/>
        <v/>
      </c>
      <c r="I191" t="str">
        <f t="shared" si="81"/>
        <v/>
      </c>
      <c r="J191" s="5" t="str">
        <f>IF($I191&lt;&gt;"",IF($D191="",DATE(YEAR($K$7),MONTH($K$7)+($A$1*($F191-1))+SUM($B$12:$B191),DAY($K$7)),$D191),"")</f>
        <v/>
      </c>
      <c r="K191" s="9" t="str">
        <f t="shared" si="82"/>
        <v/>
      </c>
      <c r="L191" s="3" t="str">
        <f t="shared" si="83"/>
        <v/>
      </c>
      <c r="M191" s="3" t="str">
        <f>IF($I191&lt;&gt;"",IF($A191="Gracia Parcial",IF(AND($C191&lt;$U191+$P191+$Q191+$R191+$T190,$C191&gt;0),$C191,$U191+$P191+$Q191+$R191+$T190),IF($A191="Gracia Total",0,IF($A191="Prepago",$C191,IF(ISNUMBER($C191),$C191*VALUE(MID($C$1,MONTH($J191),1)),$N$5*VALUE(MID($C$1,MONTH($J191),1))))))-IF($I192="",ARREGLO,0),"")</f>
        <v/>
      </c>
      <c r="N191" s="3" t="str">
        <f t="shared" si="84"/>
        <v/>
      </c>
      <c r="O191" s="3" t="str">
        <f t="shared" si="85"/>
        <v/>
      </c>
      <c r="P191" s="8" t="str">
        <f t="shared" si="86"/>
        <v/>
      </c>
      <c r="Q191" s="8" t="str">
        <f t="shared" si="87"/>
        <v/>
      </c>
      <c r="R191" s="3" t="str">
        <f t="shared" si="88"/>
        <v/>
      </c>
      <c r="S191" s="3" t="str">
        <f t="shared" si="89"/>
        <v/>
      </c>
      <c r="T191" s="3" t="str">
        <f t="shared" si="90"/>
        <v/>
      </c>
      <c r="U191" s="3" t="str">
        <f t="shared" si="91"/>
        <v/>
      </c>
      <c r="V191" s="3" t="str">
        <f t="shared" si="92"/>
        <v/>
      </c>
      <c r="W191" s="3" t="str">
        <f>IF($I191&lt;&gt;"",IF($K191&gt;V$11,IF($K191&lt;W$11,$K191-V$11,30),0)*ROUND(($L191+$T190+SUM($V191:V191))*$R$5/3000,2),"")</f>
        <v/>
      </c>
      <c r="X191" s="3"/>
      <c r="Y191" s="3"/>
    </row>
    <row r="192" spans="4:25" x14ac:dyDescent="0.25">
      <c r="D192" s="5"/>
      <c r="E192" t="str">
        <f t="shared" si="77"/>
        <v/>
      </c>
      <c r="F192" s="22" t="str">
        <f t="shared" si="78"/>
        <v/>
      </c>
      <c r="G192" s="22" t="str">
        <f t="shared" si="79"/>
        <v/>
      </c>
      <c r="H192" s="22" t="str">
        <f t="shared" si="80"/>
        <v/>
      </c>
      <c r="I192" t="str">
        <f t="shared" si="81"/>
        <v/>
      </c>
      <c r="J192" s="5" t="str">
        <f>IF($I192&lt;&gt;"",IF($D192="",DATE(YEAR($K$7),MONTH($K$7)+($A$1*($F192-1))+SUM($B$12:$B192),DAY($K$7)),$D192),"")</f>
        <v/>
      </c>
      <c r="K192" s="9" t="str">
        <f t="shared" si="82"/>
        <v/>
      </c>
      <c r="L192" s="3" t="str">
        <f t="shared" si="83"/>
        <v/>
      </c>
      <c r="M192" s="3" t="str">
        <f>IF($I192&lt;&gt;"",IF($A192="Gracia Parcial",IF(AND($C192&lt;$U192+$P192+$Q192+$R192+$T191,$C192&gt;0),$C192,$U192+$P192+$Q192+$R192+$T191),IF($A192="Gracia Total",0,IF($A192="Prepago",$C192,IF(ISNUMBER($C192),$C192*VALUE(MID($C$1,MONTH($J192),1)),$N$5*VALUE(MID($C$1,MONTH($J192),1))))))-IF($I193="",ARREGLO,0),"")</f>
        <v/>
      </c>
      <c r="N192" s="3" t="str">
        <f t="shared" si="84"/>
        <v/>
      </c>
      <c r="O192" s="3" t="str">
        <f t="shared" si="85"/>
        <v/>
      </c>
      <c r="P192" s="8" t="str">
        <f t="shared" si="86"/>
        <v/>
      </c>
      <c r="Q192" s="8" t="str">
        <f t="shared" si="87"/>
        <v/>
      </c>
      <c r="R192" s="3" t="str">
        <f t="shared" si="88"/>
        <v/>
      </c>
      <c r="S192" s="3" t="str">
        <f t="shared" si="89"/>
        <v/>
      </c>
      <c r="T192" s="3" t="str">
        <f t="shared" si="90"/>
        <v/>
      </c>
      <c r="U192" s="3" t="str">
        <f t="shared" si="91"/>
        <v/>
      </c>
      <c r="V192" s="3" t="str">
        <f t="shared" si="92"/>
        <v/>
      </c>
      <c r="W192" s="3" t="str">
        <f>IF($I192&lt;&gt;"",IF($K192&gt;V$11,IF($K192&lt;W$11,$K192-V$11,30),0)*ROUND(($L192+$T191+SUM($V192:V192))*$R$5/3000,2),"")</f>
        <v/>
      </c>
      <c r="X192" s="3"/>
      <c r="Y192" s="3"/>
    </row>
    <row r="193" spans="4:25" x14ac:dyDescent="0.25">
      <c r="D193" s="5"/>
      <c r="E193" t="str">
        <f t="shared" si="77"/>
        <v/>
      </c>
      <c r="F193" s="22" t="str">
        <f t="shared" si="78"/>
        <v/>
      </c>
      <c r="G193" s="22" t="str">
        <f t="shared" si="79"/>
        <v/>
      </c>
      <c r="H193" s="22" t="str">
        <f t="shared" si="80"/>
        <v/>
      </c>
      <c r="I193" t="str">
        <f t="shared" si="81"/>
        <v/>
      </c>
      <c r="J193" s="5" t="str">
        <f>IF($I193&lt;&gt;"",IF($D193="",DATE(YEAR($K$7),MONTH($K$7)+($A$1*($F193-1))+SUM($B$12:$B193),DAY($K$7)),$D193),"")</f>
        <v/>
      </c>
      <c r="K193" s="9" t="str">
        <f t="shared" si="82"/>
        <v/>
      </c>
      <c r="L193" s="3" t="str">
        <f t="shared" si="83"/>
        <v/>
      </c>
      <c r="M193" s="3" t="str">
        <f>IF($I193&lt;&gt;"",IF($A193="Gracia Parcial",IF(AND($C193&lt;$U193+$P193+$Q193+$R193+$T192,$C193&gt;0),$C193,$U193+$P193+$Q193+$R193+$T192),IF($A193="Gracia Total",0,IF($A193="Prepago",$C193,IF(ISNUMBER($C193),$C193*VALUE(MID($C$1,MONTH($J193),1)),$N$5*VALUE(MID($C$1,MONTH($J193),1))))))-IF($I194="",ARREGLO,0),"")</f>
        <v/>
      </c>
      <c r="N193" s="3" t="str">
        <f t="shared" si="84"/>
        <v/>
      </c>
      <c r="O193" s="3" t="str">
        <f t="shared" si="85"/>
        <v/>
      </c>
      <c r="P193" s="8" t="str">
        <f t="shared" si="86"/>
        <v/>
      </c>
      <c r="Q193" s="8" t="str">
        <f t="shared" si="87"/>
        <v/>
      </c>
      <c r="R193" s="3" t="str">
        <f t="shared" si="88"/>
        <v/>
      </c>
      <c r="S193" s="3" t="str">
        <f t="shared" si="89"/>
        <v/>
      </c>
      <c r="T193" s="3" t="str">
        <f t="shared" si="90"/>
        <v/>
      </c>
      <c r="U193" s="3" t="str">
        <f t="shared" si="91"/>
        <v/>
      </c>
      <c r="V193" s="3" t="str">
        <f t="shared" si="92"/>
        <v/>
      </c>
      <c r="W193" s="3" t="str">
        <f>IF($I193&lt;&gt;"",IF($K193&gt;V$11,IF($K193&lt;W$11,$K193-V$11,30),0)*ROUND(($L193+$T192+SUM($V193:V193))*$R$5/3000,2),"")</f>
        <v/>
      </c>
      <c r="X193" s="3"/>
      <c r="Y193" s="3"/>
    </row>
    <row r="194" spans="4:25" x14ac:dyDescent="0.25">
      <c r="D194" s="5"/>
      <c r="E194" t="str">
        <f t="shared" si="77"/>
        <v/>
      </c>
      <c r="F194" s="22" t="str">
        <f t="shared" si="78"/>
        <v/>
      </c>
      <c r="G194" s="22" t="str">
        <f t="shared" si="79"/>
        <v/>
      </c>
      <c r="H194" s="22" t="str">
        <f t="shared" si="80"/>
        <v/>
      </c>
      <c r="I194" t="str">
        <f t="shared" si="81"/>
        <v/>
      </c>
      <c r="J194" s="5" t="str">
        <f>IF($I194&lt;&gt;"",IF($D194="",DATE(YEAR($K$7),MONTH($K$7)+($A$1*($F194-1))+SUM($B$12:$B194),DAY($K$7)),$D194),"")</f>
        <v/>
      </c>
      <c r="K194" s="9" t="str">
        <f t="shared" si="82"/>
        <v/>
      </c>
      <c r="L194" s="3" t="str">
        <f t="shared" si="83"/>
        <v/>
      </c>
      <c r="M194" s="3" t="str">
        <f>IF($I194&lt;&gt;"",IF($A194="Gracia Parcial",IF(AND($C194&lt;$U194+$P194+$Q194+$R194+$T193,$C194&gt;0),$C194,$U194+$P194+$Q194+$R194+$T193),IF($A194="Gracia Total",0,IF($A194="Prepago",$C194,IF(ISNUMBER($C194),$C194*VALUE(MID($C$1,MONTH($J194),1)),$N$5*VALUE(MID($C$1,MONTH($J194),1))))))-IF($I195="",ARREGLO,0),"")</f>
        <v/>
      </c>
      <c r="N194" s="3" t="str">
        <f t="shared" si="84"/>
        <v/>
      </c>
      <c r="O194" s="3" t="str">
        <f t="shared" si="85"/>
        <v/>
      </c>
      <c r="P194" s="8" t="str">
        <f t="shared" si="86"/>
        <v/>
      </c>
      <c r="Q194" s="8" t="str">
        <f t="shared" si="87"/>
        <v/>
      </c>
      <c r="R194" s="3" t="str">
        <f t="shared" si="88"/>
        <v/>
      </c>
      <c r="S194" s="3" t="str">
        <f t="shared" si="89"/>
        <v/>
      </c>
      <c r="T194" s="3" t="str">
        <f t="shared" si="90"/>
        <v/>
      </c>
      <c r="U194" s="3" t="str">
        <f t="shared" si="91"/>
        <v/>
      </c>
      <c r="V194" s="3" t="str">
        <f t="shared" si="92"/>
        <v/>
      </c>
      <c r="W194" s="3" t="str">
        <f>IF($I194&lt;&gt;"",IF($K194&gt;V$11,IF($K194&lt;W$11,$K194-V$11,30),0)*ROUND(($L194+$T193+SUM($V194:V194))*$R$5/3000,2),"")</f>
        <v/>
      </c>
      <c r="X194" s="3"/>
      <c r="Y194" s="3"/>
    </row>
    <row r="195" spans="4:25" x14ac:dyDescent="0.25">
      <c r="D195" s="5"/>
      <c r="E195" t="str">
        <f t="shared" si="77"/>
        <v/>
      </c>
      <c r="F195" s="22" t="str">
        <f t="shared" si="78"/>
        <v/>
      </c>
      <c r="G195" s="22" t="str">
        <f t="shared" si="79"/>
        <v/>
      </c>
      <c r="H195" s="22" t="str">
        <f t="shared" si="80"/>
        <v/>
      </c>
      <c r="I195" t="str">
        <f t="shared" si="81"/>
        <v/>
      </c>
      <c r="J195" s="5" t="str">
        <f>IF($I195&lt;&gt;"",IF($D195="",DATE(YEAR($K$7),MONTH($K$7)+($A$1*($F195-1))+SUM($B$12:$B195),DAY($K$7)),$D195),"")</f>
        <v/>
      </c>
      <c r="K195" s="9" t="str">
        <f t="shared" si="82"/>
        <v/>
      </c>
      <c r="L195" s="3" t="str">
        <f t="shared" si="83"/>
        <v/>
      </c>
      <c r="M195" s="3" t="str">
        <f>IF($I195&lt;&gt;"",IF($A195="Gracia Parcial",IF(AND($C195&lt;$U195+$P195+$Q195+$R195+$T194,$C195&gt;0),$C195,$U195+$P195+$Q195+$R195+$T194),IF($A195="Gracia Total",0,IF($A195="Prepago",$C195,IF(ISNUMBER($C195),$C195*VALUE(MID($C$1,MONTH($J195),1)),$N$5*VALUE(MID($C$1,MONTH($J195),1))))))-IF($I196="",ARREGLO,0),"")</f>
        <v/>
      </c>
      <c r="N195" s="3" t="str">
        <f t="shared" si="84"/>
        <v/>
      </c>
      <c r="O195" s="3" t="str">
        <f t="shared" si="85"/>
        <v/>
      </c>
      <c r="P195" s="8" t="str">
        <f t="shared" si="86"/>
        <v/>
      </c>
      <c r="Q195" s="8" t="str">
        <f t="shared" si="87"/>
        <v/>
      </c>
      <c r="R195" s="3" t="str">
        <f t="shared" si="88"/>
        <v/>
      </c>
      <c r="S195" s="3" t="str">
        <f t="shared" si="89"/>
        <v/>
      </c>
      <c r="T195" s="3" t="str">
        <f t="shared" si="90"/>
        <v/>
      </c>
      <c r="U195" s="3" t="str">
        <f t="shared" si="91"/>
        <v/>
      </c>
      <c r="V195" s="3" t="str">
        <f t="shared" si="92"/>
        <v/>
      </c>
      <c r="W195" s="3" t="str">
        <f>IF($I195&lt;&gt;"",IF($K195&gt;V$11,IF($K195&lt;W$11,$K195-V$11,30),0)*ROUND(($L195+$T194+SUM($V195:V195))*$R$5/3000,2),"")</f>
        <v/>
      </c>
      <c r="X195" s="3"/>
      <c r="Y195" s="3"/>
    </row>
    <row r="196" spans="4:25" x14ac:dyDescent="0.25">
      <c r="D196" s="5"/>
      <c r="E196" t="str">
        <f t="shared" si="77"/>
        <v/>
      </c>
      <c r="F196" s="22" t="str">
        <f t="shared" si="78"/>
        <v/>
      </c>
      <c r="G196" s="22" t="str">
        <f t="shared" si="79"/>
        <v/>
      </c>
      <c r="H196" s="22" t="str">
        <f t="shared" si="80"/>
        <v/>
      </c>
      <c r="I196" t="str">
        <f t="shared" si="81"/>
        <v/>
      </c>
      <c r="J196" s="5" t="str">
        <f>IF($I196&lt;&gt;"",IF($D196="",DATE(YEAR($K$7),MONTH($K$7)+($A$1*($F196-1))+SUM($B$12:$B196),DAY($K$7)),$D196),"")</f>
        <v/>
      </c>
      <c r="K196" s="9" t="str">
        <f t="shared" si="82"/>
        <v/>
      </c>
      <c r="L196" s="3" t="str">
        <f t="shared" si="83"/>
        <v/>
      </c>
      <c r="M196" s="3" t="str">
        <f>IF($I196&lt;&gt;"",IF($A196="Gracia Parcial",IF(AND($C196&lt;$U196+$P196+$Q196+$R196+$T195,$C196&gt;0),$C196,$U196+$P196+$Q196+$R196+$T195),IF($A196="Gracia Total",0,IF($A196="Prepago",$C196,IF(ISNUMBER($C196),$C196*VALUE(MID($C$1,MONTH($J196),1)),$N$5*VALUE(MID($C$1,MONTH($J196),1))))))-IF($I197="",ARREGLO,0),"")</f>
        <v/>
      </c>
      <c r="N196" s="3" t="str">
        <f t="shared" si="84"/>
        <v/>
      </c>
      <c r="O196" s="3" t="str">
        <f t="shared" si="85"/>
        <v/>
      </c>
      <c r="P196" s="8" t="str">
        <f t="shared" si="86"/>
        <v/>
      </c>
      <c r="Q196" s="8" t="str">
        <f t="shared" si="87"/>
        <v/>
      </c>
      <c r="R196" s="3" t="str">
        <f t="shared" si="88"/>
        <v/>
      </c>
      <c r="S196" s="3" t="str">
        <f t="shared" si="89"/>
        <v/>
      </c>
      <c r="T196" s="3" t="str">
        <f t="shared" si="90"/>
        <v/>
      </c>
      <c r="U196" s="3" t="str">
        <f t="shared" si="91"/>
        <v/>
      </c>
      <c r="V196" s="3" t="str">
        <f t="shared" si="92"/>
        <v/>
      </c>
      <c r="W196" s="3" t="str">
        <f>IF($I196&lt;&gt;"",IF($K196&gt;V$11,IF($K196&lt;W$11,$K196-V$11,30),0)*ROUND(($L196+$T195+SUM($V196:V196))*$R$5/3000,2),"")</f>
        <v/>
      </c>
      <c r="X196" s="3"/>
      <c r="Y196" s="3"/>
    </row>
    <row r="197" spans="4:25" x14ac:dyDescent="0.25">
      <c r="D197" s="5"/>
      <c r="E197" t="str">
        <f t="shared" si="77"/>
        <v/>
      </c>
      <c r="F197" s="22" t="str">
        <f t="shared" si="78"/>
        <v/>
      </c>
      <c r="G197" s="22" t="str">
        <f t="shared" si="79"/>
        <v/>
      </c>
      <c r="H197" s="22" t="str">
        <f t="shared" si="80"/>
        <v/>
      </c>
      <c r="I197" t="str">
        <f t="shared" si="81"/>
        <v/>
      </c>
      <c r="J197" s="5" t="str">
        <f>IF($I197&lt;&gt;"",IF($D197="",DATE(YEAR($K$7),MONTH($K$7)+($A$1*($F197-1))+SUM($B$12:$B197),DAY($K$7)),$D197),"")</f>
        <v/>
      </c>
      <c r="K197" s="9" t="str">
        <f t="shared" si="82"/>
        <v/>
      </c>
      <c r="L197" s="3" t="str">
        <f t="shared" si="83"/>
        <v/>
      </c>
      <c r="M197" s="3" t="str">
        <f>IF($I197&lt;&gt;"",IF($A197="Gracia Parcial",IF(AND($C197&lt;$U197+$P197+$Q197+$R197+$T196,$C197&gt;0),$C197,$U197+$P197+$Q197+$R197+$T196),IF($A197="Gracia Total",0,IF($A197="Prepago",$C197,IF(ISNUMBER($C197),$C197*VALUE(MID($C$1,MONTH($J197),1)),$N$5*VALUE(MID($C$1,MONTH($J197),1))))))-IF($I198="",ARREGLO,0),"")</f>
        <v/>
      </c>
      <c r="N197" s="3" t="str">
        <f t="shared" si="84"/>
        <v/>
      </c>
      <c r="O197" s="3" t="str">
        <f t="shared" si="85"/>
        <v/>
      </c>
      <c r="P197" s="8" t="str">
        <f t="shared" si="86"/>
        <v/>
      </c>
      <c r="Q197" s="8" t="str">
        <f t="shared" si="87"/>
        <v/>
      </c>
      <c r="R197" s="3" t="str">
        <f t="shared" si="88"/>
        <v/>
      </c>
      <c r="S197" s="3" t="str">
        <f t="shared" si="89"/>
        <v/>
      </c>
      <c r="T197" s="3" t="str">
        <f t="shared" si="90"/>
        <v/>
      </c>
      <c r="U197" s="3" t="str">
        <f t="shared" si="91"/>
        <v/>
      </c>
      <c r="V197" s="3" t="str">
        <f t="shared" si="92"/>
        <v/>
      </c>
      <c r="W197" s="3" t="str">
        <f>IF($I197&lt;&gt;"",IF($K197&gt;V$11,IF($K197&lt;W$11,$K197-V$11,30),0)*ROUND(($L197+$T196+SUM($V197:V197))*$R$5/3000,2),"")</f>
        <v/>
      </c>
      <c r="X197" s="3"/>
      <c r="Y197" s="3"/>
    </row>
    <row r="198" spans="4:25" x14ac:dyDescent="0.25">
      <c r="D198" s="5"/>
      <c r="E198" t="str">
        <f t="shared" si="77"/>
        <v/>
      </c>
      <c r="F198" s="22" t="str">
        <f t="shared" si="78"/>
        <v/>
      </c>
      <c r="G198" s="22" t="str">
        <f t="shared" si="79"/>
        <v/>
      </c>
      <c r="H198" s="22" t="str">
        <f t="shared" si="80"/>
        <v/>
      </c>
      <c r="I198" t="str">
        <f t="shared" si="81"/>
        <v/>
      </c>
      <c r="J198" s="5" t="str">
        <f>IF($I198&lt;&gt;"",IF($D198="",DATE(YEAR($K$7),MONTH($K$7)+($A$1*($F198-1))+SUM($B$12:$B198),DAY($K$7)),$D198),"")</f>
        <v/>
      </c>
      <c r="K198" s="9" t="str">
        <f t="shared" si="82"/>
        <v/>
      </c>
      <c r="L198" s="3" t="str">
        <f t="shared" si="83"/>
        <v/>
      </c>
      <c r="M198" s="3" t="str">
        <f>IF($I198&lt;&gt;"",IF($A198="Gracia Parcial",IF(AND($C198&lt;$U198+$P198+$Q198+$R198+$T197,$C198&gt;0),$C198,$U198+$P198+$Q198+$R198+$T197),IF($A198="Gracia Total",0,IF($A198="Prepago",$C198,IF(ISNUMBER($C198),$C198*VALUE(MID($C$1,MONTH($J198),1)),$N$5*VALUE(MID($C$1,MONTH($J198),1))))))-IF($I199="",ARREGLO,0),"")</f>
        <v/>
      </c>
      <c r="N198" s="3" t="str">
        <f t="shared" si="84"/>
        <v/>
      </c>
      <c r="O198" s="3" t="str">
        <f t="shared" si="85"/>
        <v/>
      </c>
      <c r="P198" s="8" t="str">
        <f t="shared" si="86"/>
        <v/>
      </c>
      <c r="Q198" s="8" t="str">
        <f t="shared" si="87"/>
        <v/>
      </c>
      <c r="R198" s="3" t="str">
        <f t="shared" si="88"/>
        <v/>
      </c>
      <c r="S198" s="3" t="str">
        <f t="shared" si="89"/>
        <v/>
      </c>
      <c r="T198" s="3" t="str">
        <f t="shared" si="90"/>
        <v/>
      </c>
      <c r="U198" s="3" t="str">
        <f t="shared" si="91"/>
        <v/>
      </c>
      <c r="V198" s="3" t="str">
        <f t="shared" si="92"/>
        <v/>
      </c>
      <c r="W198" s="3" t="str">
        <f>IF($I198&lt;&gt;"",IF($K198&gt;V$11,IF($K198&lt;W$11,$K198-V$11,30),0)*ROUND(($L198+$T197+SUM($V198:V198))*$R$5/3000,2),"")</f>
        <v/>
      </c>
      <c r="X198" s="3"/>
      <c r="Y198" s="3"/>
    </row>
    <row r="199" spans="4:25" x14ac:dyDescent="0.25">
      <c r="D199" s="5"/>
      <c r="E199" t="str">
        <f t="shared" si="77"/>
        <v/>
      </c>
      <c r="F199" s="22" t="str">
        <f t="shared" si="78"/>
        <v/>
      </c>
      <c r="G199" s="22" t="str">
        <f t="shared" si="79"/>
        <v/>
      </c>
      <c r="H199" s="22" t="str">
        <f t="shared" si="80"/>
        <v/>
      </c>
      <c r="I199" t="str">
        <f t="shared" si="81"/>
        <v/>
      </c>
      <c r="J199" s="5" t="str">
        <f>IF($I199&lt;&gt;"",IF($D199="",DATE(YEAR($K$7),MONTH($K$7)+($A$1*($F199-1))+SUM($B$12:$B199),DAY($K$7)),$D199),"")</f>
        <v/>
      </c>
      <c r="K199" s="9" t="str">
        <f t="shared" si="82"/>
        <v/>
      </c>
      <c r="L199" s="3" t="str">
        <f t="shared" si="83"/>
        <v/>
      </c>
      <c r="M199" s="3" t="str">
        <f>IF($I199&lt;&gt;"",IF($A199="Gracia Parcial",IF(AND($C199&lt;$U199+$P199+$Q199+$R199+$T198,$C199&gt;0),$C199,$U199+$P199+$Q199+$R199+$T198),IF($A199="Gracia Total",0,IF($A199="Prepago",$C199,IF(ISNUMBER($C199),$C199*VALUE(MID($C$1,MONTH($J199),1)),$N$5*VALUE(MID($C$1,MONTH($J199),1))))))-IF($I200="",ARREGLO,0),"")</f>
        <v/>
      </c>
      <c r="N199" s="3" t="str">
        <f t="shared" si="84"/>
        <v/>
      </c>
      <c r="O199" s="3" t="str">
        <f t="shared" si="85"/>
        <v/>
      </c>
      <c r="P199" s="8" t="str">
        <f t="shared" si="86"/>
        <v/>
      </c>
      <c r="Q199" s="8" t="str">
        <f t="shared" si="87"/>
        <v/>
      </c>
      <c r="R199" s="3" t="str">
        <f t="shared" si="88"/>
        <v/>
      </c>
      <c r="S199" s="3" t="str">
        <f t="shared" si="89"/>
        <v/>
      </c>
      <c r="T199" s="3" t="str">
        <f t="shared" si="90"/>
        <v/>
      </c>
      <c r="U199" s="3" t="str">
        <f t="shared" si="91"/>
        <v/>
      </c>
      <c r="V199" s="3" t="str">
        <f t="shared" si="92"/>
        <v/>
      </c>
      <c r="W199" s="3" t="str">
        <f>IF($I199&lt;&gt;"",IF($K199&gt;V$11,IF($K199&lt;W$11,$K199-V$11,30),0)*ROUND(($L199+$T198+SUM($V199:V199))*$R$5/3000,2),"")</f>
        <v/>
      </c>
      <c r="X199" s="3"/>
      <c r="Y199" s="3"/>
    </row>
    <row r="200" spans="4:25" x14ac:dyDescent="0.25">
      <c r="D200" s="5"/>
      <c r="E200" t="str">
        <f t="shared" si="77"/>
        <v/>
      </c>
      <c r="F200" s="22" t="str">
        <f t="shared" si="78"/>
        <v/>
      </c>
      <c r="G200" s="22" t="str">
        <f t="shared" si="79"/>
        <v/>
      </c>
      <c r="H200" s="22" t="str">
        <f t="shared" si="80"/>
        <v/>
      </c>
      <c r="I200" t="str">
        <f t="shared" si="81"/>
        <v/>
      </c>
      <c r="J200" s="5" t="str">
        <f>IF($I200&lt;&gt;"",IF($D200="",DATE(YEAR($K$7),MONTH($K$7)+($A$1*($F200-1))+SUM($B$12:$B200),DAY($K$7)),$D200),"")</f>
        <v/>
      </c>
      <c r="K200" s="9" t="str">
        <f t="shared" si="82"/>
        <v/>
      </c>
      <c r="L200" s="3" t="str">
        <f t="shared" si="83"/>
        <v/>
      </c>
      <c r="M200" s="3" t="str">
        <f>IF($I200&lt;&gt;"",IF($A200="Gracia Parcial",IF(AND($C200&lt;$U200+$P200+$Q200+$R200+$T199,$C200&gt;0),$C200,$U200+$P200+$Q200+$R200+$T199),IF($A200="Gracia Total",0,IF($A200="Prepago",$C200,IF(ISNUMBER($C200),$C200*VALUE(MID($C$1,MONTH($J200),1)),$N$5*VALUE(MID($C$1,MONTH($J200),1))))))-IF($I201="",ARREGLO,0),"")</f>
        <v/>
      </c>
      <c r="N200" s="3" t="str">
        <f t="shared" si="84"/>
        <v/>
      </c>
      <c r="O200" s="3" t="str">
        <f t="shared" si="85"/>
        <v/>
      </c>
      <c r="P200" s="8" t="str">
        <f t="shared" si="86"/>
        <v/>
      </c>
      <c r="Q200" s="8" t="str">
        <f t="shared" si="87"/>
        <v/>
      </c>
      <c r="R200" s="3" t="str">
        <f t="shared" si="88"/>
        <v/>
      </c>
      <c r="S200" s="3" t="str">
        <f t="shared" si="89"/>
        <v/>
      </c>
      <c r="T200" s="3" t="str">
        <f t="shared" si="90"/>
        <v/>
      </c>
      <c r="U200" s="3" t="str">
        <f t="shared" si="91"/>
        <v/>
      </c>
      <c r="V200" s="3" t="str">
        <f t="shared" si="92"/>
        <v/>
      </c>
      <c r="W200" s="3" t="str">
        <f>IF($I200&lt;&gt;"",IF($K200&gt;V$11,IF($K200&lt;W$11,$K200-V$11,30),0)*ROUND(($L200+$T199+SUM($V200:V200))*$R$5/3000,2),"")</f>
        <v/>
      </c>
      <c r="X200" s="3"/>
      <c r="Y200" s="3"/>
    </row>
    <row r="201" spans="4:25" x14ac:dyDescent="0.25">
      <c r="D201" s="5"/>
      <c r="E201" t="str">
        <f t="shared" si="77"/>
        <v/>
      </c>
      <c r="F201" s="22" t="str">
        <f t="shared" si="78"/>
        <v/>
      </c>
      <c r="G201" s="22" t="str">
        <f t="shared" si="79"/>
        <v/>
      </c>
      <c r="H201" s="22" t="str">
        <f t="shared" si="80"/>
        <v/>
      </c>
      <c r="I201" t="str">
        <f t="shared" si="81"/>
        <v/>
      </c>
      <c r="J201" s="5" t="str">
        <f>IF($I201&lt;&gt;"",IF($D201="",DATE(YEAR($K$7),MONTH($K$7)+($A$1*($F201-1))+SUM($B$12:$B201),DAY($K$7)),$D201),"")</f>
        <v/>
      </c>
      <c r="K201" s="9" t="str">
        <f t="shared" si="82"/>
        <v/>
      </c>
      <c r="L201" s="3" t="str">
        <f t="shared" si="83"/>
        <v/>
      </c>
      <c r="M201" s="3" t="str">
        <f>IF($I201&lt;&gt;"",IF($A201="Gracia Parcial",IF(AND($C201&lt;$U201+$P201+$Q201+$R201+$T200,$C201&gt;0),$C201,$U201+$P201+$Q201+$R201+$T200),IF($A201="Gracia Total",0,IF($A201="Prepago",$C201,IF(ISNUMBER($C201),$C201*VALUE(MID($C$1,MONTH($J201),1)),$N$5*VALUE(MID($C$1,MONTH($J201),1))))))-IF($I202="",ARREGLO,0),"")</f>
        <v/>
      </c>
      <c r="N201" s="3" t="str">
        <f t="shared" si="84"/>
        <v/>
      </c>
      <c r="O201" s="3" t="str">
        <f t="shared" si="85"/>
        <v/>
      </c>
      <c r="P201" s="8" t="str">
        <f t="shared" si="86"/>
        <v/>
      </c>
      <c r="Q201" s="8" t="str">
        <f t="shared" si="87"/>
        <v/>
      </c>
      <c r="R201" s="3" t="str">
        <f t="shared" si="88"/>
        <v/>
      </c>
      <c r="S201" s="3" t="str">
        <f t="shared" si="89"/>
        <v/>
      </c>
      <c r="T201" s="3" t="str">
        <f t="shared" si="90"/>
        <v/>
      </c>
      <c r="U201" s="3" t="str">
        <f t="shared" si="91"/>
        <v/>
      </c>
      <c r="V201" s="3" t="str">
        <f t="shared" si="92"/>
        <v/>
      </c>
      <c r="W201" s="3" t="str">
        <f>IF($I201&lt;&gt;"",IF($K201&gt;V$11,IF($K201&lt;W$11,$K201-V$11,30),0)*ROUND(($L201+$T200+SUM($V201:V201))*$R$5/3000,2),"")</f>
        <v/>
      </c>
      <c r="X201" s="3"/>
      <c r="Y201" s="3"/>
    </row>
    <row r="202" spans="4:25" x14ac:dyDescent="0.25">
      <c r="D202" s="5"/>
      <c r="E202" t="str">
        <f t="shared" si="77"/>
        <v/>
      </c>
      <c r="F202" s="22" t="str">
        <f t="shared" si="78"/>
        <v/>
      </c>
      <c r="G202" s="22" t="str">
        <f t="shared" si="79"/>
        <v/>
      </c>
      <c r="H202" s="22" t="str">
        <f t="shared" si="80"/>
        <v/>
      </c>
      <c r="I202" t="str">
        <f t="shared" si="81"/>
        <v/>
      </c>
      <c r="J202" s="5" t="str">
        <f>IF($I202&lt;&gt;"",IF($D202="",DATE(YEAR($K$7),MONTH($K$7)+($A$1*($F202-1))+SUM($B$12:$B202),DAY($K$7)),$D202),"")</f>
        <v/>
      </c>
      <c r="K202" s="9" t="str">
        <f t="shared" si="82"/>
        <v/>
      </c>
      <c r="L202" s="3" t="str">
        <f t="shared" si="83"/>
        <v/>
      </c>
      <c r="M202" s="3" t="str">
        <f>IF($I202&lt;&gt;"",IF($A202="Gracia Parcial",IF(AND($C202&lt;$U202+$P202+$Q202+$R202+$T201,$C202&gt;0),$C202,$U202+$P202+$Q202+$R202+$T201),IF($A202="Gracia Total",0,IF($A202="Prepago",$C202,IF(ISNUMBER($C202),$C202*VALUE(MID($C$1,MONTH($J202),1)),$N$5*VALUE(MID($C$1,MONTH($J202),1))))))-IF($I203="",ARREGLO,0),"")</f>
        <v/>
      </c>
      <c r="N202" s="3" t="str">
        <f t="shared" si="84"/>
        <v/>
      </c>
      <c r="O202" s="3" t="str">
        <f t="shared" si="85"/>
        <v/>
      </c>
      <c r="P202" s="8" t="str">
        <f t="shared" si="86"/>
        <v/>
      </c>
      <c r="Q202" s="8" t="str">
        <f t="shared" si="87"/>
        <v/>
      </c>
      <c r="R202" s="3" t="str">
        <f t="shared" si="88"/>
        <v/>
      </c>
      <c r="S202" s="3" t="str">
        <f t="shared" si="89"/>
        <v/>
      </c>
      <c r="T202" s="3" t="str">
        <f t="shared" si="90"/>
        <v/>
      </c>
      <c r="U202" s="3" t="str">
        <f t="shared" si="91"/>
        <v/>
      </c>
      <c r="V202" s="3" t="str">
        <f t="shared" si="92"/>
        <v/>
      </c>
      <c r="W202" s="3" t="str">
        <f>IF($I202&lt;&gt;"",IF($K202&gt;V$11,IF($K202&lt;W$11,$K202-V$11,30),0)*ROUND(($L202+$T201+SUM($V202:V202))*$R$5/3000,2),"")</f>
        <v/>
      </c>
      <c r="X202" s="3"/>
      <c r="Y202" s="3"/>
    </row>
    <row r="203" spans="4:25" x14ac:dyDescent="0.25">
      <c r="D203" s="5"/>
      <c r="E203" t="str">
        <f t="shared" si="77"/>
        <v/>
      </c>
      <c r="F203" s="22" t="str">
        <f t="shared" si="78"/>
        <v/>
      </c>
      <c r="G203" s="22" t="str">
        <f t="shared" si="79"/>
        <v/>
      </c>
      <c r="H203" s="22" t="str">
        <f t="shared" si="80"/>
        <v/>
      </c>
      <c r="I203" t="str">
        <f t="shared" si="81"/>
        <v/>
      </c>
      <c r="J203" s="5" t="str">
        <f>IF($I203&lt;&gt;"",IF($D203="",DATE(YEAR($K$7),MONTH($K$7)+($A$1*($F203-1))+SUM($B$12:$B203),DAY($K$7)),$D203),"")</f>
        <v/>
      </c>
      <c r="K203" s="9" t="str">
        <f t="shared" si="82"/>
        <v/>
      </c>
      <c r="L203" s="3" t="str">
        <f t="shared" si="83"/>
        <v/>
      </c>
      <c r="M203" s="3" t="str">
        <f>IF($I203&lt;&gt;"",IF($A203="Gracia Parcial",IF(AND($C203&lt;$U203+$P203+$Q203+$R203+$T202,$C203&gt;0),$C203,$U203+$P203+$Q203+$R203+$T202),IF($A203="Gracia Total",0,IF($A203="Prepago",$C203,IF(ISNUMBER($C203),$C203*VALUE(MID($C$1,MONTH($J203),1)),$N$5*VALUE(MID($C$1,MONTH($J203),1))))))-IF($I204="",ARREGLO,0),"")</f>
        <v/>
      </c>
      <c r="N203" s="3" t="str">
        <f t="shared" si="84"/>
        <v/>
      </c>
      <c r="O203" s="3" t="str">
        <f t="shared" si="85"/>
        <v/>
      </c>
      <c r="P203" s="8" t="str">
        <f t="shared" si="86"/>
        <v/>
      </c>
      <c r="Q203" s="8" t="str">
        <f t="shared" si="87"/>
        <v/>
      </c>
      <c r="R203" s="3" t="str">
        <f t="shared" si="88"/>
        <v/>
      </c>
      <c r="S203" s="3" t="str">
        <f t="shared" si="89"/>
        <v/>
      </c>
      <c r="T203" s="3" t="str">
        <f t="shared" si="90"/>
        <v/>
      </c>
      <c r="U203" s="3" t="str">
        <f t="shared" si="91"/>
        <v/>
      </c>
      <c r="V203" s="3" t="str">
        <f t="shared" si="92"/>
        <v/>
      </c>
      <c r="W203" s="3" t="str">
        <f>IF($I203&lt;&gt;"",IF($K203&gt;V$11,IF($K203&lt;W$11,$K203-V$11,30),0)*ROUND(($L203+$T202+SUM($V203:V203))*$R$5/3000,2),"")</f>
        <v/>
      </c>
      <c r="X203" s="3"/>
      <c r="Y203" s="3"/>
    </row>
    <row r="204" spans="4:25" x14ac:dyDescent="0.25">
      <c r="D204" s="5"/>
      <c r="E204" t="str">
        <f t="shared" si="77"/>
        <v/>
      </c>
      <c r="F204" s="22" t="str">
        <f t="shared" si="78"/>
        <v/>
      </c>
      <c r="G204" s="22" t="str">
        <f t="shared" si="79"/>
        <v/>
      </c>
      <c r="H204" s="22" t="str">
        <f t="shared" ref="H204:H208" si="93">IF(I204&lt;&gt;"",IF(COUNTA($V204:$XFD204)*30&lt;$K204,1,0),"")</f>
        <v/>
      </c>
      <c r="I204" t="str">
        <f t="shared" si="81"/>
        <v/>
      </c>
      <c r="J204" s="5" t="str">
        <f>IF($I204&lt;&gt;"",IF($D204="",DATE(YEAR($K$7),MONTH($K$7)+($A$1*($F204-1))+SUM($B$12:$B204),DAY($K$7)),$D204),"")</f>
        <v/>
      </c>
      <c r="K204" s="9" t="str">
        <f t="shared" si="82"/>
        <v/>
      </c>
      <c r="L204" s="3" t="str">
        <f t="shared" si="83"/>
        <v/>
      </c>
      <c r="M204" s="3" t="str">
        <f>IF($I204&lt;&gt;"",IF($A204="Gracia Parcial",IF(AND($C204&lt;$U204+$P204+$Q204+$R204+$T203,$C204&gt;0),$C204,$U204+$P204+$Q204+$R204+$T203),IF($A204="Gracia Total",0,IF($A204="Prepago",$C204,IF(ISNUMBER($C204),$C204*VALUE(MID($C$1,MONTH($J204),1)),$N$5*VALUE(MID($C$1,MONTH($J204),1))))))-IF($I205="",ARREGLO,0),"")</f>
        <v/>
      </c>
      <c r="N204" s="3" t="str">
        <f t="shared" si="84"/>
        <v/>
      </c>
      <c r="O204" s="3" t="str">
        <f t="shared" si="85"/>
        <v/>
      </c>
      <c r="P204" s="8" t="str">
        <f t="shared" si="86"/>
        <v/>
      </c>
      <c r="Q204" s="8" t="str">
        <f t="shared" si="87"/>
        <v/>
      </c>
      <c r="R204" s="3" t="str">
        <f t="shared" si="88"/>
        <v/>
      </c>
      <c r="S204" s="3" t="str">
        <f t="shared" si="89"/>
        <v/>
      </c>
      <c r="T204" s="3" t="str">
        <f t="shared" si="90"/>
        <v/>
      </c>
      <c r="U204" s="3" t="str">
        <f t="shared" si="91"/>
        <v/>
      </c>
      <c r="V204" s="3" t="str">
        <f t="shared" ref="V204:V208" si="94">IF($I204&lt;&gt;"",IF($K204&gt;V$11,30,$K204)*ROUND(($L204+$T203)*$R$5/3000,2),"")</f>
        <v/>
      </c>
      <c r="W204" s="3" t="str">
        <f>IF($I204&lt;&gt;"",IF($K204&gt;V$11,IF($K204&lt;W$11,$K204-V$11,30),0)*ROUND(($L204+$T203+SUM($V204:V204))*$R$5/3000,2),"")</f>
        <v/>
      </c>
      <c r="X204" s="3"/>
      <c r="Y204" s="3"/>
    </row>
    <row r="205" spans="4:25" x14ac:dyDescent="0.25">
      <c r="D205" s="5"/>
      <c r="E205" t="str">
        <f t="shared" ref="E205:E208" si="95">IF($I205&lt;&gt;"",TEXT(J205,"DDD"),"")</f>
        <v/>
      </c>
      <c r="F205" s="22" t="str">
        <f t="shared" si="78"/>
        <v/>
      </c>
      <c r="G205" s="22" t="str">
        <f t="shared" ref="G205:G208" si="96">IF($I205&lt;&gt;"",IF(ISNUMBER($C205),-$N205+$U205-$O205,ABS($U205)+$P205+$Q205+$R205),"")</f>
        <v/>
      </c>
      <c r="H205" s="22" t="str">
        <f t="shared" si="93"/>
        <v/>
      </c>
      <c r="I205" t="str">
        <f t="shared" si="81"/>
        <v/>
      </c>
      <c r="J205" s="5" t="str">
        <f>IF($I205&lt;&gt;"",IF($D205="",DATE(YEAR($K$7),MONTH($K$7)+($A$1*($F205-1))+SUM($B$12:$B205),DAY($K$7)),$D205),"")</f>
        <v/>
      </c>
      <c r="K205" s="9" t="str">
        <f t="shared" ref="K205:K208" si="97">IF($I205&lt;&gt;"",$J205-$J204,"")</f>
        <v/>
      </c>
      <c r="L205" s="3" t="str">
        <f t="shared" ref="L205:L208" si="98">IF($I205&lt;&gt;"",$S204,"")</f>
        <v/>
      </c>
      <c r="M205" s="3" t="str">
        <f>IF($I205&lt;&gt;"",IF($A205="Gracia Parcial",IF(AND($C205&lt;$U205+$P205+$Q205+$R205+$T204,$C205&gt;0),$C205,$U205+$P205+$Q205+$R205+$T204),IF($A205="Gracia Total",0,IF($A205="Prepago",$C205,IF(ISNUMBER($C205),$C205*VALUE(MID($C$1,MONTH($J205),1)),$N$5*VALUE(MID($C$1,MONTH($J205),1))))))-IF($I206="",ARREGLO,0),"")</f>
        <v/>
      </c>
      <c r="N205" s="3" t="str">
        <f t="shared" ref="N205:N208" si="99">IF($I205&lt;&gt;"",IF($M205-$O205&gt;0,$M205-$O205-$P205-$Q205-$R205,0),"")</f>
        <v/>
      </c>
      <c r="O205" s="3" t="str">
        <f t="shared" ref="O205:O208" si="100">IF($I205&lt;&gt;"",IF($M205&gt;=$U205+$T204+$P205+$Q205+$R205,$U205+$T204,$M205-$P205-$Q205-$R205),"")</f>
        <v/>
      </c>
      <c r="P205" s="8" t="str">
        <f t="shared" ref="P205:P208" si="101">IF($I205&lt;&gt;"",IF($A205="Prepago",0,$Q$6+$Q$6*$B205),"")</f>
        <v/>
      </c>
      <c r="Q205" s="8" t="str">
        <f t="shared" ref="Q205:Q208" si="102">IF($I205&lt;&gt;"",IF($A205="Prepago",0,$Q$7+$Q$7*$B205),"")</f>
        <v/>
      </c>
      <c r="R205" s="3" t="str">
        <f t="shared" ref="R205:R208" si="103">IF($I205&lt;&gt;"",IF($A205="Prepago",0,$Q$8+$Q$8*$B205),"")</f>
        <v/>
      </c>
      <c r="S205" s="3" t="str">
        <f t="shared" ref="S205:S208" si="104">IF($I205&lt;&gt;"",$L205-$N205,"")</f>
        <v/>
      </c>
      <c r="T205" s="3" t="str">
        <f t="shared" ref="T205:T208" si="105">IF($I205&lt;&gt;"",+$T204+SUM($V205:$CD205)-$O205,"")</f>
        <v/>
      </c>
      <c r="U205" s="3" t="str">
        <f t="shared" si="91"/>
        <v/>
      </c>
      <c r="V205" s="3" t="str">
        <f t="shared" si="94"/>
        <v/>
      </c>
      <c r="W205" s="3" t="str">
        <f>IF($I205&lt;&gt;"",IF($K205&gt;V$11,IF($K205&lt;W$11,$K205-V$11,30),0)*ROUND(($L205+$T204+SUM($V205:V205))*$R$5/3000,2),"")</f>
        <v/>
      </c>
      <c r="X205" s="3"/>
      <c r="Y205" s="3"/>
    </row>
    <row r="206" spans="4:25" x14ac:dyDescent="0.25">
      <c r="D206" s="5"/>
      <c r="E206" t="str">
        <f t="shared" si="95"/>
        <v/>
      </c>
      <c r="F206" s="22" t="str">
        <f t="shared" si="78"/>
        <v/>
      </c>
      <c r="G206" s="22" t="str">
        <f t="shared" si="96"/>
        <v/>
      </c>
      <c r="H206" s="22" t="str">
        <f t="shared" si="93"/>
        <v/>
      </c>
      <c r="I206" t="str">
        <f t="shared" si="81"/>
        <v/>
      </c>
      <c r="J206" s="5" t="str">
        <f>IF($I206&lt;&gt;"",IF($D206="",DATE(YEAR($K$7),MONTH($K$7)+($A$1*($F206-1))+SUM($B$12:$B206),DAY($K$7)),$D206),"")</f>
        <v/>
      </c>
      <c r="K206" s="9" t="str">
        <f t="shared" si="97"/>
        <v/>
      </c>
      <c r="L206" s="3" t="str">
        <f t="shared" si="98"/>
        <v/>
      </c>
      <c r="M206" s="3" t="str">
        <f>IF($I206&lt;&gt;"",IF($A206="Gracia Parcial",IF(AND($C206&lt;$U206+$P206+$Q206+$R206+$T205,$C206&gt;0),$C206,$U206+$P206+$Q206+$R206+$T205),IF($A206="Gracia Total",0,IF($A206="Prepago",$C206,IF(ISNUMBER($C206),$C206*VALUE(MID($C$1,MONTH($J206),1)),$N$5*VALUE(MID($C$1,MONTH($J206),1))))))-IF($I207="",ARREGLO,0),"")</f>
        <v/>
      </c>
      <c r="N206" s="3" t="str">
        <f t="shared" si="99"/>
        <v/>
      </c>
      <c r="O206" s="3" t="str">
        <f t="shared" si="100"/>
        <v/>
      </c>
      <c r="P206" s="8" t="str">
        <f t="shared" si="101"/>
        <v/>
      </c>
      <c r="Q206" s="8" t="str">
        <f t="shared" si="102"/>
        <v/>
      </c>
      <c r="R206" s="3" t="str">
        <f t="shared" si="103"/>
        <v/>
      </c>
      <c r="S206" s="3" t="str">
        <f t="shared" si="104"/>
        <v/>
      </c>
      <c r="T206" s="3" t="str">
        <f t="shared" si="105"/>
        <v/>
      </c>
      <c r="U206" s="3" t="str">
        <f t="shared" si="91"/>
        <v/>
      </c>
      <c r="V206" s="3" t="str">
        <f t="shared" si="94"/>
        <v/>
      </c>
      <c r="W206" s="3" t="str">
        <f>IF($I206&lt;&gt;"",IF($K206&gt;V$11,IF($K206&lt;W$11,$K206-V$11,30),0)*ROUND(($L206+$T205+SUM($V206:V206))*$R$5/3000,2),"")</f>
        <v/>
      </c>
      <c r="X206" s="3"/>
      <c r="Y206" s="3"/>
    </row>
    <row r="207" spans="4:25" x14ac:dyDescent="0.25">
      <c r="D207" s="5"/>
      <c r="E207" t="str">
        <f t="shared" si="95"/>
        <v/>
      </c>
      <c r="F207" s="22" t="str">
        <f t="shared" si="78"/>
        <v/>
      </c>
      <c r="G207" s="22" t="str">
        <f t="shared" si="96"/>
        <v/>
      </c>
      <c r="H207" s="22" t="str">
        <f t="shared" si="93"/>
        <v/>
      </c>
      <c r="I207" t="str">
        <f t="shared" si="81"/>
        <v/>
      </c>
      <c r="J207" s="5" t="str">
        <f>IF($I207&lt;&gt;"",IF($D207="",DATE(YEAR($K$7),MONTH($K$7)+($A$1*($F207-1))+SUM($B$12:$B207),DAY($K$7)),$D207),"")</f>
        <v/>
      </c>
      <c r="K207" s="9" t="str">
        <f t="shared" si="97"/>
        <v/>
      </c>
      <c r="L207" s="3" t="str">
        <f t="shared" si="98"/>
        <v/>
      </c>
      <c r="M207" s="3" t="str">
        <f>IF($I207&lt;&gt;"",IF($A207="Gracia Parcial",IF(AND($C207&lt;$U207+$P207+$Q207+$R207+$T206,$C207&gt;0),$C207,$U207+$P207+$Q207+$R207+$T206),IF($A207="Gracia Total",0,IF($A207="Prepago",$C207,IF(ISNUMBER($C207),$C207*VALUE(MID($C$1,MONTH($J207),1)),$N$5*VALUE(MID($C$1,MONTH($J207),1))))))-IF($I208="",ARREGLO,0),"")</f>
        <v/>
      </c>
      <c r="N207" s="3" t="str">
        <f t="shared" si="99"/>
        <v/>
      </c>
      <c r="O207" s="3" t="str">
        <f t="shared" si="100"/>
        <v/>
      </c>
      <c r="P207" s="8" t="str">
        <f t="shared" si="101"/>
        <v/>
      </c>
      <c r="Q207" s="8" t="str">
        <f t="shared" si="102"/>
        <v/>
      </c>
      <c r="R207" s="3" t="str">
        <f t="shared" si="103"/>
        <v/>
      </c>
      <c r="S207" s="3" t="str">
        <f t="shared" si="104"/>
        <v/>
      </c>
      <c r="T207" s="3" t="str">
        <f t="shared" si="105"/>
        <v/>
      </c>
      <c r="U207" s="3" t="str">
        <f t="shared" si="91"/>
        <v/>
      </c>
      <c r="V207" s="3" t="str">
        <f t="shared" si="94"/>
        <v/>
      </c>
      <c r="W207" s="3" t="str">
        <f>IF($I207&lt;&gt;"",IF($K207&gt;V$11,IF($K207&lt;W$11,$K207-V$11,30),0)*ROUND(($L207+$T206+SUM($V207:V207))*$R$5/3000,2),"")</f>
        <v/>
      </c>
      <c r="X207" s="3"/>
      <c r="Y207" s="3"/>
    </row>
    <row r="208" spans="4:25" x14ac:dyDescent="0.25">
      <c r="D208" s="5"/>
      <c r="E208" t="str">
        <f t="shared" si="95"/>
        <v/>
      </c>
      <c r="F208" s="22" t="str">
        <f t="shared" si="78"/>
        <v/>
      </c>
      <c r="G208" s="22" t="str">
        <f t="shared" si="96"/>
        <v/>
      </c>
      <c r="H208" s="22" t="str">
        <f t="shared" si="93"/>
        <v/>
      </c>
      <c r="I208" t="str">
        <f t="shared" si="81"/>
        <v/>
      </c>
      <c r="J208" s="5" t="str">
        <f>IF($I208&lt;&gt;"",IF($D208="",DATE(YEAR($K$7),MONTH($K$7)+($A$1*($F208-1))+SUM($B$12:$B208),DAY($K$7)),$D208),"")</f>
        <v/>
      </c>
      <c r="K208" s="9" t="str">
        <f t="shared" si="97"/>
        <v/>
      </c>
      <c r="L208" s="3" t="str">
        <f t="shared" si="98"/>
        <v/>
      </c>
      <c r="M208" s="3" t="str">
        <f>IF($I208&lt;&gt;"",IF($A208="Gracia Parcial",IF(AND($C208&lt;$U208+$P208+$Q208+$R208+$T207,$C208&gt;0),$C208,$U208+$P208+$Q208+$R208+$T207),IF($A208="Gracia Total",0,IF($A208="Prepago",$C208,IF(ISNUMBER($C208),$C208*VALUE(MID($C$1,MONTH($J208),1)),$N$5*VALUE(MID($C$1,MONTH($J208),1))))))-IF($I209="",ARREGLO,0),"")</f>
        <v/>
      </c>
      <c r="N208" s="3" t="str">
        <f t="shared" si="99"/>
        <v/>
      </c>
      <c r="O208" s="3" t="str">
        <f t="shared" si="100"/>
        <v/>
      </c>
      <c r="P208" s="8" t="str">
        <f t="shared" si="101"/>
        <v/>
      </c>
      <c r="Q208" s="8" t="str">
        <f t="shared" si="102"/>
        <v/>
      </c>
      <c r="R208" s="3" t="str">
        <f t="shared" si="103"/>
        <v/>
      </c>
      <c r="S208" s="3" t="str">
        <f t="shared" si="104"/>
        <v/>
      </c>
      <c r="T208" s="3" t="str">
        <f t="shared" si="105"/>
        <v/>
      </c>
      <c r="U208" s="3" t="str">
        <f t="shared" si="91"/>
        <v/>
      </c>
      <c r="V208" s="3" t="str">
        <f t="shared" si="94"/>
        <v/>
      </c>
      <c r="W208" s="3" t="str">
        <f>IF($I208&lt;&gt;"",IF($K208&gt;V$11,IF($K208&lt;W$11,$K208-V$11,30),0)*ROUND(($L208+$T207+SUM($V208:V208))*$R$5/3000,2),"")</f>
        <v/>
      </c>
      <c r="X208" s="3"/>
      <c r="Y208" s="3"/>
    </row>
  </sheetData>
  <protectedRanges>
    <protectedRange algorithmName="SHA-512" hashValue="saOoXsqAoQxcXXYzXQIOV3/apjOtIOId7A6E3Kbbks0v/+hkXCO7VppjyeJOkYNfZLM9Y82SgohJPBHQ4upYMw==" saltValue="AI4kOYg9mvAOcytG4WhlkQ==" spinCount="100000" sqref="Z10:AA10 AT11 AV11 AX11 AZ11 BB11 BD11 BF11 BH11 BJ11 BL11 BN11 BP11 BR11 BT11 BV11 BX11 BZ11 CB11 CD11 AD11 AF11 AH11 AJ11 AL11 AN11 AP11 AR11 Z13:AA15 AB11 J10:Y11 Z25:AA60 Z21:AA23 Z18:AA18 AA16 I10:I208 AA19 BT12:CD12 AB13:CD16 AB18:CD60 AE17:CD17 J12:V208" name="Rango1"/>
    <protectedRange algorithmName="SHA-512" hashValue="saOoXsqAoQxcXXYzXQIOV3/apjOtIOId7A6E3Kbbks0v/+hkXCO7VppjyeJOkYNfZLM9Y82SgohJPBHQ4upYMw==" saltValue="AI4kOYg9mvAOcytG4WhlkQ==" spinCount="100000" sqref="X25:Y208 X24:AA24 X21:Y23 X20:AA20 W16:Z16 W13:Y15 X19:Z19 X18:Y18 W18:W208 W12:BS12 W17:AD17" name="Rango1_1"/>
  </protectedRanges>
  <mergeCells count="1">
    <mergeCell ref="W6:X6"/>
  </mergeCells>
  <conditionalFormatting sqref="U10 J11:U208">
    <cfRule type="expression" dxfId="7" priority="19">
      <formula>AND($I10&lt;&gt;"")</formula>
    </cfRule>
  </conditionalFormatting>
  <conditionalFormatting sqref="J11:T208">
    <cfRule type="expression" dxfId="6" priority="7">
      <formula>AND(ROUND(J11,0)&lt;0)</formula>
    </cfRule>
  </conditionalFormatting>
  <conditionalFormatting sqref="T7">
    <cfRule type="expression" dxfId="5" priority="6">
      <formula>AND($T$7&lt;&gt;0)</formula>
    </cfRule>
  </conditionalFormatting>
  <conditionalFormatting sqref="Y7">
    <cfRule type="expression" dxfId="4" priority="4">
      <formula>AND($Y$7&lt;&gt;"OK")</formula>
    </cfRule>
  </conditionalFormatting>
  <conditionalFormatting sqref="Y6">
    <cfRule type="expression" dxfId="3" priority="3">
      <formula>AND($Y$6&lt;&gt;"OK")</formula>
    </cfRule>
  </conditionalFormatting>
  <conditionalFormatting sqref="F12:H208 A12:D208">
    <cfRule type="expression" dxfId="2" priority="46">
      <formula>AND($I12&lt;&gt;"")</formula>
    </cfRule>
  </conditionalFormatting>
  <conditionalFormatting sqref="I12:I1048576 E12:E1048576">
    <cfRule type="expression" dxfId="1" priority="50">
      <formula>AND(COUNTA($V12:$XFD12)*30&lt;$K12,$I12&lt;&gt;"")</formula>
    </cfRule>
  </conditionalFormatting>
  <conditionalFormatting sqref="I10 E10">
    <cfRule type="expression" dxfId="0" priority="51">
      <formula>AND(COUNTA($I:$I)-2&lt;$N$6)</formula>
    </cfRule>
  </conditionalFormatting>
  <dataValidations count="7">
    <dataValidation type="decimal" operator="greaterThanOrEqual" allowBlank="1" showInputMessage="1" showErrorMessage="1" errorTitle="TEA" error="Debe ser un numero positivo" sqref="Q5">
      <formula1>0</formula1>
    </dataValidation>
    <dataValidation operator="greaterThanOrEqual" allowBlank="1" showInputMessage="1" showErrorMessage="1" errorTitle="Meses de Gracia Inicial" error="Debe ser un numero entero positivo" sqref="N7"/>
    <dataValidation type="whole" operator="greaterThan" allowBlank="1" showInputMessage="1" showErrorMessage="1" errorTitle="Numero de Cuotas" error="Debe ser un numero entero positivo" sqref="N6">
      <formula1>0</formula1>
    </dataValidation>
    <dataValidation operator="greaterThan" showInputMessage="1" showErrorMessage="1" errorTitle="Fecha de la 1ra Cuota" error="Debe ser una Fecha posterior al desembolso" sqref="K7"/>
    <dataValidation type="date" operator="greaterThanOrEqual" showInputMessage="1" showErrorMessage="1" errorTitle="Fecha de desembolso" error="Debe ser una Fecha" sqref="K6">
      <formula1>36892</formula1>
    </dataValidation>
    <dataValidation type="decimal" operator="notEqual" showInputMessage="1" showErrorMessage="1" errorTitle="Monto" error="Debe ser un dato numérico" sqref="K8">
      <formula1>0</formula1>
    </dataValidation>
    <dataValidation type="list" allowBlank="1" showInputMessage="1" showErrorMessage="1" sqref="A12:B208">
      <formula1>TIPO_CUOTAS</formula1>
    </dataValidation>
  </dataValidations>
  <pageMargins left="0.70866141732283472" right="0.70866141732283472" top="0.74803149606299213" bottom="0.35433070866141736" header="0.31496062992125984" footer="0.31496062992125984"/>
  <pageSetup scale="50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btAjustar">
          <controlPr defaultSize="0" autoLine="0" autoPict="0" r:id="rId5">
            <anchor moveWithCells="1">
              <from>
                <xdr:col>14</xdr:col>
                <xdr:colOff>85725</xdr:colOff>
                <xdr:row>4</xdr:row>
                <xdr:rowOff>66675</xdr:rowOff>
              </from>
              <to>
                <xdr:col>14</xdr:col>
                <xdr:colOff>866775</xdr:colOff>
                <xdr:row>6</xdr:row>
                <xdr:rowOff>114300</xdr:rowOff>
              </to>
            </anchor>
          </controlPr>
        </control>
      </mc:Choice>
      <mc:Fallback>
        <control shapeId="1027" r:id="rId4" name="btAjustar"/>
      </mc:Fallback>
    </mc:AlternateContent>
    <mc:AlternateContent xmlns:mc="http://schemas.openxmlformats.org/markup-compatibility/2006">
      <mc:Choice Requires="x14">
        <control shapeId="1025" r:id="rId6" name="btnLimpiar">
          <controlPr defaultSize="0" autoLine="0" autoPict="0" r:id="rId7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219075</xdr:colOff>
                <xdr:row>8</xdr:row>
                <xdr:rowOff>133350</xdr:rowOff>
              </to>
            </anchor>
          </controlPr>
        </control>
      </mc:Choice>
      <mc:Fallback>
        <control shapeId="1025" r:id="rId6" name="btnLimpiar"/>
      </mc:Fallback>
    </mc:AlternateContent>
    <mc:AlternateContent xmlns:mc="http://schemas.openxmlformats.org/markup-compatibility/2006">
      <mc:Choice Requires="x14">
        <control shapeId="1029" r:id="rId8" name="Option Button 5">
          <controlPr defaultSize="0" autoFill="0" autoLine="0" autoPict="0" altText="Mensual Fijo">
            <anchor moveWithCells="1">
              <from>
                <xdr:col>2</xdr:col>
                <xdr:colOff>57150</xdr:colOff>
                <xdr:row>1</xdr:row>
                <xdr:rowOff>47625</xdr:rowOff>
              </from>
              <to>
                <xdr:col>3</xdr:col>
                <xdr:colOff>647700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Option Button 6">
          <controlPr defaultSize="0" autoFill="0" autoLine="0" autoPict="0" altText="Mensual Fijo">
            <anchor moveWithCells="1">
              <from>
                <xdr:col>2</xdr:col>
                <xdr:colOff>57150</xdr:colOff>
                <xdr:row>2</xdr:row>
                <xdr:rowOff>123825</xdr:rowOff>
              </from>
              <to>
                <xdr:col>3</xdr:col>
                <xdr:colOff>628650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Option Button 7">
          <controlPr defaultSize="0" autoFill="0" autoLine="0" autoPict="0" altText="Mensual Fijo">
            <anchor moveWithCells="1">
              <from>
                <xdr:col>2</xdr:col>
                <xdr:colOff>57150</xdr:colOff>
                <xdr:row>4</xdr:row>
                <xdr:rowOff>47625</xdr:rowOff>
              </from>
              <to>
                <xdr:col>3</xdr:col>
                <xdr:colOff>647700</xdr:colOff>
                <xdr:row>5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5"/>
  <sheetViews>
    <sheetView workbookViewId="0"/>
  </sheetViews>
  <sheetFormatPr baseColWidth="10" defaultRowHeight="15" x14ac:dyDescent="0.25"/>
  <cols>
    <col min="1" max="1" width="14.140625" customWidth="1"/>
  </cols>
  <sheetData>
    <row r="1" spans="1:1" x14ac:dyDescent="0.25">
      <c r="A1" t="s">
        <v>101</v>
      </c>
    </row>
    <row r="3" spans="1:1" x14ac:dyDescent="0.25">
      <c r="A3" t="s">
        <v>103</v>
      </c>
    </row>
    <row r="4" spans="1:1" x14ac:dyDescent="0.25">
      <c r="A4" t="s">
        <v>102</v>
      </c>
    </row>
    <row r="5" spans="1:1" x14ac:dyDescent="0.25">
      <c r="A5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12</vt:i4>
      </vt:variant>
    </vt:vector>
  </HeadingPairs>
  <TitlesOfParts>
    <vt:vector size="14" baseType="lpstr">
      <vt:lpstr>Hoja1</vt:lpstr>
      <vt:lpstr>Hoja2</vt:lpstr>
      <vt:lpstr>areaFija</vt:lpstr>
      <vt:lpstr>ARREGLO</vt:lpstr>
      <vt:lpstr>CUOTA</vt:lpstr>
      <vt:lpstr>CUOTAADICIONAL</vt:lpstr>
      <vt:lpstr>dataGracia</vt:lpstr>
      <vt:lpstr>InicioLimpiar</vt:lpstr>
      <vt:lpstr>MONTO</vt:lpstr>
      <vt:lpstr>NCUOTAS</vt:lpstr>
      <vt:lpstr>OBJETIVO</vt:lpstr>
      <vt:lpstr>PAGO_SIN_FIJAR</vt:lpstr>
      <vt:lpstr>PGRACIA</vt:lpstr>
      <vt:lpstr>TIPO_CUOTAS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2020-07-30T18:02:15Z</dcterms:modified>
</cp:coreProperties>
</file>