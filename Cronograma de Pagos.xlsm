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Zona Trabajo\Excel Macro\Cronograma\"/>
    </mc:Choice>
  </mc:AlternateContent>
  <xr:revisionPtr revIDLastSave="0" documentId="13_ncr:1_{D591C80A-6F6D-42C5-ADC5-97540C420BE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2" sheetId="2" state="hidden" r:id="rId2"/>
  </sheets>
  <functionGroups builtInGroupCount="19"/>
  <definedNames>
    <definedName name="areaFija">Hoja1!$C$11</definedName>
    <definedName name="ARREGLO">Hoja1!$V$8</definedName>
    <definedName name="CUOTA">Hoja1!$P$5</definedName>
    <definedName name="CUOTAADICIONAL">Hoja1!$P$7</definedName>
    <definedName name="dataGracia">Hoja1!$A$11</definedName>
    <definedName name="FIN_REF">Hoja1!$U$11</definedName>
    <definedName name="INICIO_REF">Hoja1!$K$11</definedName>
    <definedName name="InicioLimpiar">Hoja1!$A$12</definedName>
    <definedName name="MONTO">Hoja1!$M$8</definedName>
    <definedName name="NCUOTAS">Hoja1!$P$6</definedName>
    <definedName name="OBJETIVO">Hoja1!$V$7</definedName>
    <definedName name="PAGO_SIN_FIJAR">Hoja1!$I$11</definedName>
    <definedName name="PGRACIA">Hoja1!$P$8</definedName>
    <definedName name="TIPO_CUOTAS">Hoja2!$A$2:$A$5</definedName>
    <definedName name="ULTIMODIA">Hoja1!$B$1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G11" i="1" l="1"/>
  <c r="P8" i="1" l="1"/>
  <c r="P9" i="1" l="1"/>
  <c r="K12" i="1"/>
  <c r="N12" i="1" l="1"/>
  <c r="G12" i="1"/>
  <c r="K13" i="1"/>
  <c r="L11" i="1"/>
  <c r="U11" i="1"/>
  <c r="AE4" i="1"/>
  <c r="V6" i="1"/>
  <c r="T5" i="1"/>
  <c r="G13" i="1" l="1"/>
  <c r="K14" i="1"/>
  <c r="K15" i="1" l="1"/>
  <c r="K16" i="1" s="1"/>
  <c r="G14" i="1"/>
  <c r="G16" i="1" l="1"/>
  <c r="G15" i="1"/>
  <c r="K17" i="1"/>
  <c r="C1" i="1"/>
  <c r="G17" i="1" l="1"/>
  <c r="K18" i="1"/>
  <c r="H12" i="1"/>
  <c r="T12" i="1" l="1"/>
  <c r="S12" i="1"/>
  <c r="R12" i="1"/>
  <c r="L12" i="1"/>
  <c r="G18" i="1"/>
  <c r="K19" i="1"/>
  <c r="H13" i="1"/>
  <c r="R13" i="1" l="1"/>
  <c r="F12" i="1"/>
  <c r="O12" i="1"/>
  <c r="S13" i="1"/>
  <c r="T13" i="1"/>
  <c r="L13" i="1"/>
  <c r="G19" i="1"/>
  <c r="K20" i="1"/>
  <c r="G20" i="1" l="1"/>
  <c r="K21" i="1"/>
  <c r="M12" i="1"/>
  <c r="X12" i="1" s="1"/>
  <c r="G21" i="1" l="1"/>
  <c r="K22" i="1"/>
  <c r="G22" i="1" l="1"/>
  <c r="K23" i="1"/>
  <c r="Y12" i="1"/>
  <c r="H14" i="1"/>
  <c r="L14" i="1" l="1"/>
  <c r="S14" i="1"/>
  <c r="T14" i="1"/>
  <c r="R14" i="1"/>
  <c r="G23" i="1"/>
  <c r="K24" i="1"/>
  <c r="F13" i="1"/>
  <c r="Z12" i="1"/>
  <c r="AA12" i="1" s="1"/>
  <c r="M13" i="1"/>
  <c r="H15" i="1"/>
  <c r="R15" i="1" l="1"/>
  <c r="S15" i="1"/>
  <c r="T15" i="1"/>
  <c r="L15" i="1"/>
  <c r="O15" i="1" s="1"/>
  <c r="G24" i="1"/>
  <c r="K25" i="1"/>
  <c r="F14" i="1"/>
  <c r="AB12" i="1"/>
  <c r="M14" i="1"/>
  <c r="H16" i="1"/>
  <c r="R16" i="1" l="1"/>
  <c r="T16" i="1"/>
  <c r="S16" i="1"/>
  <c r="M15" i="1"/>
  <c r="L16" i="1"/>
  <c r="O16" i="1" s="1"/>
  <c r="F15" i="1"/>
  <c r="G25" i="1"/>
  <c r="K26" i="1"/>
  <c r="AC12" i="1"/>
  <c r="H17" i="1"/>
  <c r="R17" i="1" l="1"/>
  <c r="T17" i="1"/>
  <c r="S17" i="1"/>
  <c r="L17" i="1"/>
  <c r="O17" i="1" s="1"/>
  <c r="G26" i="1"/>
  <c r="K27" i="1"/>
  <c r="F16" i="1"/>
  <c r="AD12" i="1"/>
  <c r="M16" i="1"/>
  <c r="H18" i="1"/>
  <c r="S18" i="1" l="1"/>
  <c r="T18" i="1"/>
  <c r="R18" i="1"/>
  <c r="L18" i="1"/>
  <c r="O18" i="1" s="1"/>
  <c r="F17" i="1"/>
  <c r="G27" i="1"/>
  <c r="M17" i="1"/>
  <c r="K28" i="1"/>
  <c r="AE12" i="1"/>
  <c r="AF12" i="1" s="1"/>
  <c r="AG12" i="1" s="1"/>
  <c r="AH12" i="1" s="1"/>
  <c r="AI12" i="1" s="1"/>
  <c r="AJ12" i="1" s="1"/>
  <c r="AK12" i="1" s="1"/>
  <c r="AL12" i="1" s="1"/>
  <c r="AM12" i="1" s="1"/>
  <c r="AN12" i="1" s="1"/>
  <c r="AO12" i="1" s="1"/>
  <c r="AP12" i="1" s="1"/>
  <c r="AQ12" i="1" s="1"/>
  <c r="AR12" i="1" s="1"/>
  <c r="AS12" i="1" s="1"/>
  <c r="AT12" i="1" s="1"/>
  <c r="AU12" i="1" s="1"/>
  <c r="AV12" i="1" s="1"/>
  <c r="AW12" i="1" s="1"/>
  <c r="AX12" i="1" s="1"/>
  <c r="AY12" i="1" s="1"/>
  <c r="AZ12" i="1" s="1"/>
  <c r="BA12" i="1" s="1"/>
  <c r="BB12" i="1" s="1"/>
  <c r="BC12" i="1" s="1"/>
  <c r="BD12" i="1" s="1"/>
  <c r="BE12" i="1" s="1"/>
  <c r="BF12" i="1" s="1"/>
  <c r="BG12" i="1" s="1"/>
  <c r="BH12" i="1" s="1"/>
  <c r="BI12" i="1" s="1"/>
  <c r="BJ12" i="1" s="1"/>
  <c r="BK12" i="1" s="1"/>
  <c r="BL12" i="1" s="1"/>
  <c r="BM12" i="1" s="1"/>
  <c r="BN12" i="1" s="1"/>
  <c r="BO12" i="1" s="1"/>
  <c r="BP12" i="1" s="1"/>
  <c r="BQ12" i="1" s="1"/>
  <c r="BR12" i="1" s="1"/>
  <c r="BS12" i="1" s="1"/>
  <c r="BT12" i="1" s="1"/>
  <c r="BU12" i="1" s="1"/>
  <c r="H19" i="1"/>
  <c r="S19" i="1" l="1"/>
  <c r="T19" i="1"/>
  <c r="R19" i="1"/>
  <c r="J12" i="1"/>
  <c r="W12" i="1"/>
  <c r="F18" i="1"/>
  <c r="M18" i="1"/>
  <c r="L19" i="1"/>
  <c r="F19" i="1" s="1"/>
  <c r="G28" i="1"/>
  <c r="K29" i="1"/>
  <c r="H20" i="1"/>
  <c r="Q12" i="1" l="1"/>
  <c r="V12" i="1" s="1"/>
  <c r="T20" i="1"/>
  <c r="R20" i="1"/>
  <c r="S20" i="1"/>
  <c r="M19" i="1"/>
  <c r="O19" i="1"/>
  <c r="L20" i="1"/>
  <c r="O20" i="1" s="1"/>
  <c r="G29" i="1"/>
  <c r="K30" i="1"/>
  <c r="H21" i="1"/>
  <c r="P12" i="1" l="1"/>
  <c r="U12" i="1" s="1"/>
  <c r="L21" i="1"/>
  <c r="R21" i="1"/>
  <c r="T21" i="1"/>
  <c r="S21" i="1"/>
  <c r="G30" i="1"/>
  <c r="K31" i="1"/>
  <c r="F20" i="1"/>
  <c r="M20" i="1"/>
  <c r="O21" i="1"/>
  <c r="H22" i="1"/>
  <c r="R22" i="1" l="1"/>
  <c r="T22" i="1"/>
  <c r="S22" i="1"/>
  <c r="L22" i="1"/>
  <c r="O22" i="1" s="1"/>
  <c r="G31" i="1"/>
  <c r="K32" i="1"/>
  <c r="F21" i="1"/>
  <c r="M21" i="1"/>
  <c r="H23" i="1"/>
  <c r="R23" i="1" s="1"/>
  <c r="T23" i="1" l="1"/>
  <c r="S23" i="1"/>
  <c r="M22" i="1"/>
  <c r="F22" i="1"/>
  <c r="G32" i="1"/>
  <c r="L23" i="1"/>
  <c r="O23" i="1" s="1"/>
  <c r="K33" i="1"/>
  <c r="H24" i="1"/>
  <c r="T24" i="1" s="1"/>
  <c r="S24" i="1" l="1"/>
  <c r="R24" i="1"/>
  <c r="M23" i="1"/>
  <c r="F23" i="1"/>
  <c r="L24" i="1"/>
  <c r="O24" i="1" s="1"/>
  <c r="G33" i="1"/>
  <c r="K34" i="1"/>
  <c r="H25" i="1"/>
  <c r="T25" i="1" s="1"/>
  <c r="R25" i="1" l="1"/>
  <c r="S25" i="1"/>
  <c r="M24" i="1"/>
  <c r="F24" i="1"/>
  <c r="G34" i="1"/>
  <c r="L25" i="1"/>
  <c r="F25" i="1" s="1"/>
  <c r="K35" i="1"/>
  <c r="H26" i="1"/>
  <c r="L26" i="1" s="1"/>
  <c r="R26" i="1" l="1"/>
  <c r="S26" i="1"/>
  <c r="T26" i="1"/>
  <c r="M25" i="1"/>
  <c r="G35" i="1"/>
  <c r="O25" i="1"/>
  <c r="K36" i="1"/>
  <c r="O26" i="1"/>
  <c r="H27" i="1"/>
  <c r="L27" i="1" s="1"/>
  <c r="S27" i="1" l="1"/>
  <c r="T27" i="1"/>
  <c r="R27" i="1"/>
  <c r="G36" i="1"/>
  <c r="K37" i="1"/>
  <c r="F26" i="1"/>
  <c r="M26" i="1"/>
  <c r="O27" i="1"/>
  <c r="H28" i="1"/>
  <c r="R28" i="1" l="1"/>
  <c r="T28" i="1"/>
  <c r="S28" i="1"/>
  <c r="Q37" i="1"/>
  <c r="V37" i="1"/>
  <c r="R37" i="1"/>
  <c r="S37" i="1"/>
  <c r="T37" i="1"/>
  <c r="G37" i="1"/>
  <c r="L37" i="1"/>
  <c r="H29" i="1"/>
  <c r="T29" i="1" s="1"/>
  <c r="L28" i="1"/>
  <c r="O28" i="1" s="1"/>
  <c r="K38" i="1"/>
  <c r="F27" i="1"/>
  <c r="M27" i="1"/>
  <c r="Q38" i="1" l="1"/>
  <c r="V38" i="1"/>
  <c r="R38" i="1"/>
  <c r="S38" i="1"/>
  <c r="T38" i="1"/>
  <c r="H30" i="1"/>
  <c r="S29" i="1"/>
  <c r="S30" i="1" s="1"/>
  <c r="R29" i="1"/>
  <c r="L30" i="1"/>
  <c r="O30" i="1" s="1"/>
  <c r="G38" i="1"/>
  <c r="L38" i="1"/>
  <c r="L29" i="1"/>
  <c r="F29" i="1" s="1"/>
  <c r="K39" i="1"/>
  <c r="F28" i="1"/>
  <c r="M28" i="1"/>
  <c r="V39" i="1" l="1"/>
  <c r="Q39" i="1"/>
  <c r="R30" i="1"/>
  <c r="H31" i="1"/>
  <c r="S31" i="1" s="1"/>
  <c r="R39" i="1"/>
  <c r="S39" i="1"/>
  <c r="T39" i="1"/>
  <c r="T30" i="1"/>
  <c r="T31" i="1" s="1"/>
  <c r="F30" i="1"/>
  <c r="M30" i="1"/>
  <c r="L31" i="1"/>
  <c r="O31" i="1" s="1"/>
  <c r="G39" i="1"/>
  <c r="L39" i="1"/>
  <c r="O29" i="1"/>
  <c r="M29" i="1"/>
  <c r="K40" i="1"/>
  <c r="H32" i="1" l="1"/>
  <c r="L32" i="1" s="1"/>
  <c r="T32" i="1"/>
  <c r="Q40" i="1"/>
  <c r="V40" i="1"/>
  <c r="R40" i="1"/>
  <c r="S40" i="1"/>
  <c r="T40" i="1"/>
  <c r="M31" i="1"/>
  <c r="R31" i="1"/>
  <c r="R32" i="1" s="1"/>
  <c r="R33" i="1" s="1"/>
  <c r="F31" i="1"/>
  <c r="G40" i="1"/>
  <c r="L40" i="1"/>
  <c r="K41" i="1"/>
  <c r="H33" i="1"/>
  <c r="Q41" i="1" l="1"/>
  <c r="V41" i="1"/>
  <c r="S32" i="1"/>
  <c r="S33" i="1" s="1"/>
  <c r="S41" i="1"/>
  <c r="R41" i="1"/>
  <c r="T41" i="1"/>
  <c r="T33" i="1"/>
  <c r="L33" i="1"/>
  <c r="O33" i="1" s="1"/>
  <c r="G41" i="1"/>
  <c r="L41" i="1"/>
  <c r="K42" i="1"/>
  <c r="H34" i="1"/>
  <c r="Q42" i="1" l="1"/>
  <c r="V42" i="1"/>
  <c r="S34" i="1"/>
  <c r="S42" i="1"/>
  <c r="R42" i="1"/>
  <c r="T42" i="1"/>
  <c r="T34" i="1"/>
  <c r="T35" i="1" s="1"/>
  <c r="R34" i="1"/>
  <c r="R35" i="1" s="1"/>
  <c r="F33" i="1"/>
  <c r="L34" i="1"/>
  <c r="O34" i="1" s="1"/>
  <c r="G42" i="1"/>
  <c r="L42" i="1"/>
  <c r="K43" i="1"/>
  <c r="H35" i="1"/>
  <c r="S35" i="1" l="1"/>
  <c r="Q43" i="1"/>
  <c r="V43" i="1"/>
  <c r="S43" i="1"/>
  <c r="R43" i="1"/>
  <c r="T43" i="1"/>
  <c r="M34" i="1"/>
  <c r="F34" i="1"/>
  <c r="G43" i="1"/>
  <c r="L43" i="1"/>
  <c r="L35" i="1"/>
  <c r="O35" i="1" s="1"/>
  <c r="K44" i="1"/>
  <c r="H36" i="1"/>
  <c r="S36" i="1" l="1"/>
  <c r="R36" i="1"/>
  <c r="T36" i="1"/>
  <c r="Q44" i="1"/>
  <c r="V44" i="1"/>
  <c r="R44" i="1"/>
  <c r="S44" i="1"/>
  <c r="T44" i="1"/>
  <c r="M35" i="1"/>
  <c r="F35" i="1"/>
  <c r="L36" i="1"/>
  <c r="O36" i="1" s="1"/>
  <c r="G44" i="1"/>
  <c r="L44" i="1"/>
  <c r="K45" i="1"/>
  <c r="H37" i="1"/>
  <c r="V45" i="1" l="1"/>
  <c r="Q45" i="1"/>
  <c r="S45" i="1"/>
  <c r="R45" i="1"/>
  <c r="T45" i="1"/>
  <c r="O37" i="1"/>
  <c r="M36" i="1"/>
  <c r="F36" i="1"/>
  <c r="G45" i="1"/>
  <c r="L45" i="1"/>
  <c r="K46" i="1"/>
  <c r="F37" i="1"/>
  <c r="M37" i="1"/>
  <c r="H38" i="1"/>
  <c r="V46" i="1" l="1"/>
  <c r="Q46" i="1"/>
  <c r="S46" i="1"/>
  <c r="R46" i="1"/>
  <c r="T46" i="1"/>
  <c r="O38" i="1"/>
  <c r="G46" i="1"/>
  <c r="L46" i="1"/>
  <c r="K47" i="1"/>
  <c r="F38" i="1"/>
  <c r="M38" i="1"/>
  <c r="H39" i="1"/>
  <c r="V47" i="1" l="1"/>
  <c r="Q47" i="1"/>
  <c r="S47" i="1"/>
  <c r="R47" i="1"/>
  <c r="T47" i="1"/>
  <c r="O39" i="1"/>
  <c r="G47" i="1"/>
  <c r="L47" i="1"/>
  <c r="K48" i="1"/>
  <c r="F39" i="1"/>
  <c r="M39" i="1"/>
  <c r="H40" i="1"/>
  <c r="V48" i="1" l="1"/>
  <c r="Q48" i="1"/>
  <c r="R48" i="1"/>
  <c r="S48" i="1"/>
  <c r="T48" i="1"/>
  <c r="O40" i="1"/>
  <c r="G48" i="1"/>
  <c r="L48" i="1"/>
  <c r="K49" i="1"/>
  <c r="F40" i="1"/>
  <c r="M40" i="1"/>
  <c r="H41" i="1"/>
  <c r="V49" i="1" l="1"/>
  <c r="Q49" i="1"/>
  <c r="R49" i="1"/>
  <c r="S49" i="1"/>
  <c r="T49" i="1"/>
  <c r="O41" i="1"/>
  <c r="G49" i="1"/>
  <c r="L49" i="1"/>
  <c r="K50" i="1"/>
  <c r="F41" i="1"/>
  <c r="M41" i="1"/>
  <c r="H42" i="1"/>
  <c r="Q50" i="1" l="1"/>
  <c r="V50" i="1"/>
  <c r="R50" i="1"/>
  <c r="S50" i="1"/>
  <c r="T50" i="1"/>
  <c r="O42" i="1"/>
  <c r="G50" i="1"/>
  <c r="L50" i="1"/>
  <c r="K51" i="1"/>
  <c r="F42" i="1"/>
  <c r="M42" i="1"/>
  <c r="H43" i="1"/>
  <c r="Q51" i="1" l="1"/>
  <c r="V51" i="1"/>
  <c r="R51" i="1"/>
  <c r="S51" i="1"/>
  <c r="T51" i="1"/>
  <c r="O43" i="1"/>
  <c r="G51" i="1"/>
  <c r="L51" i="1"/>
  <c r="K52" i="1"/>
  <c r="F43" i="1"/>
  <c r="M43" i="1"/>
  <c r="H44" i="1"/>
  <c r="Q52" i="1" l="1"/>
  <c r="V52" i="1"/>
  <c r="R52" i="1"/>
  <c r="S52" i="1"/>
  <c r="T52" i="1"/>
  <c r="O44" i="1"/>
  <c r="G52" i="1"/>
  <c r="L52" i="1"/>
  <c r="K53" i="1"/>
  <c r="F44" i="1"/>
  <c r="M44" i="1"/>
  <c r="H45" i="1"/>
  <c r="Q53" i="1" l="1"/>
  <c r="V53" i="1"/>
  <c r="S53" i="1"/>
  <c r="R53" i="1"/>
  <c r="T53" i="1"/>
  <c r="O45" i="1"/>
  <c r="G53" i="1"/>
  <c r="L53" i="1"/>
  <c r="K54" i="1"/>
  <c r="F45" i="1"/>
  <c r="M45" i="1"/>
  <c r="H46" i="1"/>
  <c r="Q54" i="1" l="1"/>
  <c r="V54" i="1"/>
  <c r="S54" i="1"/>
  <c r="R54" i="1"/>
  <c r="T54" i="1"/>
  <c r="O46" i="1"/>
  <c r="G54" i="1"/>
  <c r="L54" i="1"/>
  <c r="K55" i="1"/>
  <c r="F46" i="1"/>
  <c r="M46" i="1"/>
  <c r="H47" i="1"/>
  <c r="Q55" i="1" l="1"/>
  <c r="V55" i="1"/>
  <c r="S55" i="1"/>
  <c r="R55" i="1"/>
  <c r="T55" i="1"/>
  <c r="O47" i="1"/>
  <c r="G55" i="1"/>
  <c r="L55" i="1"/>
  <c r="K56" i="1"/>
  <c r="F47" i="1"/>
  <c r="M47" i="1"/>
  <c r="H48" i="1"/>
  <c r="V56" i="1" l="1"/>
  <c r="Q56" i="1"/>
  <c r="S56" i="1"/>
  <c r="R56" i="1"/>
  <c r="T56" i="1"/>
  <c r="O48" i="1"/>
  <c r="G56" i="1"/>
  <c r="L56" i="1"/>
  <c r="K57" i="1"/>
  <c r="F48" i="1"/>
  <c r="M48" i="1"/>
  <c r="H49" i="1"/>
  <c r="V57" i="1" l="1"/>
  <c r="Q57" i="1"/>
  <c r="S57" i="1"/>
  <c r="R57" i="1"/>
  <c r="T57" i="1"/>
  <c r="O49" i="1"/>
  <c r="G57" i="1"/>
  <c r="L57" i="1"/>
  <c r="K58" i="1"/>
  <c r="F49" i="1"/>
  <c r="M49" i="1"/>
  <c r="H50" i="1"/>
  <c r="V58" i="1" l="1"/>
  <c r="Q58" i="1"/>
  <c r="S58" i="1"/>
  <c r="R58" i="1"/>
  <c r="T58" i="1"/>
  <c r="O50" i="1"/>
  <c r="G58" i="1"/>
  <c r="L58" i="1"/>
  <c r="K59" i="1"/>
  <c r="F50" i="1"/>
  <c r="M50" i="1"/>
  <c r="H51" i="1"/>
  <c r="V59" i="1" l="1"/>
  <c r="Q59" i="1"/>
  <c r="S59" i="1"/>
  <c r="R59" i="1"/>
  <c r="T59" i="1"/>
  <c r="O51" i="1"/>
  <c r="G59" i="1"/>
  <c r="L59" i="1"/>
  <c r="K60" i="1"/>
  <c r="F51" i="1"/>
  <c r="M51" i="1"/>
  <c r="H52" i="1"/>
  <c r="V60" i="1" l="1"/>
  <c r="Q60" i="1"/>
  <c r="R60" i="1"/>
  <c r="S60" i="1"/>
  <c r="T60" i="1"/>
  <c r="O52" i="1"/>
  <c r="G60" i="1"/>
  <c r="L60" i="1"/>
  <c r="K61" i="1"/>
  <c r="F52" i="1"/>
  <c r="M52" i="1"/>
  <c r="H53" i="1"/>
  <c r="V61" i="1" l="1"/>
  <c r="Q61" i="1"/>
  <c r="R61" i="1"/>
  <c r="S61" i="1"/>
  <c r="T61" i="1"/>
  <c r="O53" i="1"/>
  <c r="G61" i="1"/>
  <c r="L61" i="1"/>
  <c r="K62" i="1"/>
  <c r="F53" i="1"/>
  <c r="M53" i="1"/>
  <c r="H54" i="1"/>
  <c r="V62" i="1" l="1"/>
  <c r="Q62" i="1"/>
  <c r="R62" i="1"/>
  <c r="S62" i="1"/>
  <c r="T62" i="1"/>
  <c r="O54" i="1"/>
  <c r="G62" i="1"/>
  <c r="L62" i="1"/>
  <c r="K63" i="1"/>
  <c r="F54" i="1"/>
  <c r="M54" i="1"/>
  <c r="H55" i="1"/>
  <c r="Q63" i="1" l="1"/>
  <c r="V63" i="1"/>
  <c r="R63" i="1"/>
  <c r="S63" i="1"/>
  <c r="T63" i="1"/>
  <c r="O55" i="1"/>
  <c r="G63" i="1"/>
  <c r="L63" i="1"/>
  <c r="K64" i="1"/>
  <c r="F55" i="1"/>
  <c r="M55" i="1"/>
  <c r="H56" i="1"/>
  <c r="Q64" i="1" l="1"/>
  <c r="V64" i="1"/>
  <c r="R64" i="1"/>
  <c r="S64" i="1"/>
  <c r="T64" i="1"/>
  <c r="O56" i="1"/>
  <c r="G64" i="1"/>
  <c r="L64" i="1"/>
  <c r="K65" i="1"/>
  <c r="F56" i="1"/>
  <c r="M56" i="1"/>
  <c r="H57" i="1"/>
  <c r="Q65" i="1" l="1"/>
  <c r="V65" i="1"/>
  <c r="R65" i="1"/>
  <c r="S65" i="1"/>
  <c r="T65" i="1"/>
  <c r="O57" i="1"/>
  <c r="G65" i="1"/>
  <c r="L65" i="1"/>
  <c r="K66" i="1"/>
  <c r="F57" i="1"/>
  <c r="M57" i="1"/>
  <c r="H58" i="1"/>
  <c r="Q66" i="1" l="1"/>
  <c r="V66" i="1"/>
  <c r="S66" i="1"/>
  <c r="R66" i="1"/>
  <c r="T66" i="1"/>
  <c r="O58" i="1"/>
  <c r="G66" i="1"/>
  <c r="L66" i="1"/>
  <c r="K67" i="1"/>
  <c r="F58" i="1"/>
  <c r="M58" i="1"/>
  <c r="H59" i="1"/>
  <c r="V67" i="1" l="1"/>
  <c r="Q67" i="1"/>
  <c r="S67" i="1"/>
  <c r="R67" i="1"/>
  <c r="T67" i="1"/>
  <c r="O59" i="1"/>
  <c r="G67" i="1"/>
  <c r="L67" i="1"/>
  <c r="K68" i="1"/>
  <c r="F59" i="1"/>
  <c r="M59" i="1"/>
  <c r="H60" i="1"/>
  <c r="Q68" i="1" l="1"/>
  <c r="V68" i="1"/>
  <c r="S68" i="1"/>
  <c r="R68" i="1"/>
  <c r="T68" i="1"/>
  <c r="O60" i="1"/>
  <c r="G68" i="1"/>
  <c r="L68" i="1"/>
  <c r="K69" i="1"/>
  <c r="F60" i="1"/>
  <c r="M60" i="1"/>
  <c r="H61" i="1"/>
  <c r="V69" i="1" l="1"/>
  <c r="Q69" i="1"/>
  <c r="S69" i="1"/>
  <c r="R69" i="1"/>
  <c r="T69" i="1"/>
  <c r="O61" i="1"/>
  <c r="G69" i="1"/>
  <c r="L69" i="1"/>
  <c r="K70" i="1"/>
  <c r="F61" i="1"/>
  <c r="M61" i="1"/>
  <c r="H62" i="1"/>
  <c r="V70" i="1" l="1"/>
  <c r="Q70" i="1"/>
  <c r="S70" i="1"/>
  <c r="R70" i="1"/>
  <c r="T70" i="1"/>
  <c r="O62" i="1"/>
  <c r="G70" i="1"/>
  <c r="L70" i="1"/>
  <c r="K71" i="1"/>
  <c r="F62" i="1"/>
  <c r="M62" i="1"/>
  <c r="H63" i="1"/>
  <c r="V71" i="1" l="1"/>
  <c r="Q71" i="1"/>
  <c r="R71" i="1"/>
  <c r="S71" i="1"/>
  <c r="T71" i="1"/>
  <c r="O63" i="1"/>
  <c r="G71" i="1"/>
  <c r="L71" i="1"/>
  <c r="K72" i="1"/>
  <c r="F63" i="1"/>
  <c r="M63" i="1"/>
  <c r="H64" i="1"/>
  <c r="V72" i="1" l="1"/>
  <c r="Q72" i="1"/>
  <c r="R72" i="1"/>
  <c r="S72" i="1"/>
  <c r="T72" i="1"/>
  <c r="O64" i="1"/>
  <c r="G72" i="1"/>
  <c r="L72" i="1"/>
  <c r="K73" i="1"/>
  <c r="F64" i="1"/>
  <c r="M64" i="1"/>
  <c r="H65" i="1"/>
  <c r="Q73" i="1" l="1"/>
  <c r="V73" i="1"/>
  <c r="R73" i="1"/>
  <c r="S73" i="1"/>
  <c r="T73" i="1"/>
  <c r="O65" i="1"/>
  <c r="G73" i="1"/>
  <c r="L73" i="1"/>
  <c r="K74" i="1"/>
  <c r="F65" i="1"/>
  <c r="M65" i="1"/>
  <c r="H66" i="1"/>
  <c r="Q74" i="1" l="1"/>
  <c r="V74" i="1"/>
  <c r="R74" i="1"/>
  <c r="S74" i="1"/>
  <c r="T74" i="1"/>
  <c r="O66" i="1"/>
  <c r="G74" i="1"/>
  <c r="L74" i="1"/>
  <c r="K75" i="1"/>
  <c r="F66" i="1"/>
  <c r="M66" i="1"/>
  <c r="H67" i="1"/>
  <c r="Q75" i="1" l="1"/>
  <c r="V75" i="1"/>
  <c r="R75" i="1"/>
  <c r="S75" i="1"/>
  <c r="T75" i="1"/>
  <c r="O67" i="1"/>
  <c r="G75" i="1"/>
  <c r="L75" i="1"/>
  <c r="K76" i="1"/>
  <c r="F67" i="1"/>
  <c r="M67" i="1"/>
  <c r="H68" i="1"/>
  <c r="Q76" i="1" l="1"/>
  <c r="V76" i="1"/>
  <c r="R76" i="1"/>
  <c r="S76" i="1"/>
  <c r="T76" i="1"/>
  <c r="O68" i="1"/>
  <c r="G76" i="1"/>
  <c r="L76" i="1"/>
  <c r="K77" i="1"/>
  <c r="F68" i="1"/>
  <c r="M68" i="1"/>
  <c r="H69" i="1"/>
  <c r="Q77" i="1" l="1"/>
  <c r="V77" i="1"/>
  <c r="S77" i="1"/>
  <c r="R77" i="1"/>
  <c r="T77" i="1"/>
  <c r="O69" i="1"/>
  <c r="G77" i="1"/>
  <c r="L77" i="1"/>
  <c r="K78" i="1"/>
  <c r="F69" i="1"/>
  <c r="M69" i="1"/>
  <c r="H70" i="1"/>
  <c r="V78" i="1" l="1"/>
  <c r="Q78" i="1"/>
  <c r="S78" i="1"/>
  <c r="R78" i="1"/>
  <c r="T78" i="1"/>
  <c r="O70" i="1"/>
  <c r="G78" i="1"/>
  <c r="L78" i="1"/>
  <c r="K79" i="1"/>
  <c r="F70" i="1"/>
  <c r="M70" i="1"/>
  <c r="H71" i="1"/>
  <c r="Q79" i="1" l="1"/>
  <c r="V79" i="1"/>
  <c r="S79" i="1"/>
  <c r="R79" i="1"/>
  <c r="T79" i="1"/>
  <c r="O71" i="1"/>
  <c r="G79" i="1"/>
  <c r="L79" i="1"/>
  <c r="K80" i="1"/>
  <c r="F71" i="1"/>
  <c r="M71" i="1"/>
  <c r="H72" i="1"/>
  <c r="V80" i="1" l="1"/>
  <c r="Q80" i="1"/>
  <c r="S80" i="1"/>
  <c r="R80" i="1"/>
  <c r="T80" i="1"/>
  <c r="O72" i="1"/>
  <c r="G80" i="1"/>
  <c r="L80" i="1"/>
  <c r="K81" i="1"/>
  <c r="F72" i="1"/>
  <c r="M72" i="1"/>
  <c r="H73" i="1"/>
  <c r="V81" i="1" l="1"/>
  <c r="Q81" i="1"/>
  <c r="S81" i="1"/>
  <c r="R81" i="1"/>
  <c r="T81" i="1"/>
  <c r="O73" i="1"/>
  <c r="G81" i="1"/>
  <c r="L81" i="1"/>
  <c r="K82" i="1"/>
  <c r="F73" i="1"/>
  <c r="M73" i="1"/>
  <c r="H74" i="1"/>
  <c r="V82" i="1" l="1"/>
  <c r="Q82" i="1"/>
  <c r="S82" i="1"/>
  <c r="R82" i="1"/>
  <c r="T82" i="1"/>
  <c r="O74" i="1"/>
  <c r="G82" i="1"/>
  <c r="L82" i="1"/>
  <c r="K83" i="1"/>
  <c r="F74" i="1"/>
  <c r="M74" i="1"/>
  <c r="H75" i="1"/>
  <c r="V83" i="1" l="1"/>
  <c r="Q83" i="1"/>
  <c r="S83" i="1"/>
  <c r="R83" i="1"/>
  <c r="T83" i="1"/>
  <c r="O75" i="1"/>
  <c r="G83" i="1"/>
  <c r="L83" i="1"/>
  <c r="K84" i="1"/>
  <c r="F75" i="1"/>
  <c r="M75" i="1"/>
  <c r="H76" i="1"/>
  <c r="Q84" i="1" l="1"/>
  <c r="V84" i="1"/>
  <c r="R84" i="1"/>
  <c r="S84" i="1"/>
  <c r="T84" i="1"/>
  <c r="O76" i="1"/>
  <c r="G84" i="1"/>
  <c r="L84" i="1"/>
  <c r="K85" i="1"/>
  <c r="F76" i="1"/>
  <c r="M76" i="1"/>
  <c r="H77" i="1"/>
  <c r="V85" i="1" l="1"/>
  <c r="Q85" i="1"/>
  <c r="R85" i="1"/>
  <c r="S85" i="1"/>
  <c r="T85" i="1"/>
  <c r="O77" i="1"/>
  <c r="G85" i="1"/>
  <c r="L85" i="1"/>
  <c r="K86" i="1"/>
  <c r="F77" i="1"/>
  <c r="M77" i="1"/>
  <c r="H78" i="1"/>
  <c r="Q86" i="1" l="1"/>
  <c r="V86" i="1"/>
  <c r="S86" i="1"/>
  <c r="R86" i="1"/>
  <c r="T86" i="1"/>
  <c r="O78" i="1"/>
  <c r="G86" i="1"/>
  <c r="L86" i="1"/>
  <c r="K87" i="1"/>
  <c r="F78" i="1"/>
  <c r="M78" i="1"/>
  <c r="H79" i="1"/>
  <c r="V87" i="1" l="1"/>
  <c r="Q87" i="1"/>
  <c r="R87" i="1"/>
  <c r="S87" i="1"/>
  <c r="T87" i="1"/>
  <c r="O79" i="1"/>
  <c r="G87" i="1"/>
  <c r="L87" i="1"/>
  <c r="K88" i="1"/>
  <c r="F79" i="1"/>
  <c r="M79" i="1"/>
  <c r="H80" i="1"/>
  <c r="Q88" i="1" l="1"/>
  <c r="V88" i="1"/>
  <c r="R88" i="1"/>
  <c r="S88" i="1"/>
  <c r="T88" i="1"/>
  <c r="O80" i="1"/>
  <c r="G88" i="1"/>
  <c r="L88" i="1"/>
  <c r="K89" i="1"/>
  <c r="F80" i="1"/>
  <c r="M80" i="1"/>
  <c r="H81" i="1"/>
  <c r="Q89" i="1" l="1"/>
  <c r="V89" i="1"/>
  <c r="R89" i="1"/>
  <c r="S89" i="1"/>
  <c r="T89" i="1"/>
  <c r="O81" i="1"/>
  <c r="G89" i="1"/>
  <c r="L89" i="1"/>
  <c r="K90" i="1"/>
  <c r="F81" i="1"/>
  <c r="M81" i="1"/>
  <c r="H82" i="1"/>
  <c r="Q90" i="1" l="1"/>
  <c r="V90" i="1"/>
  <c r="S90" i="1"/>
  <c r="R90" i="1"/>
  <c r="T90" i="1"/>
  <c r="O82" i="1"/>
  <c r="G90" i="1"/>
  <c r="L90" i="1"/>
  <c r="K91" i="1"/>
  <c r="F82" i="1"/>
  <c r="M82" i="1"/>
  <c r="H83" i="1"/>
  <c r="V91" i="1" l="1"/>
  <c r="Q91" i="1"/>
  <c r="S91" i="1"/>
  <c r="R91" i="1"/>
  <c r="T91" i="1"/>
  <c r="O83" i="1"/>
  <c r="G91" i="1"/>
  <c r="L91" i="1"/>
  <c r="K92" i="1"/>
  <c r="F83" i="1"/>
  <c r="M83" i="1"/>
  <c r="H84" i="1"/>
  <c r="Q92" i="1" l="1"/>
  <c r="V92" i="1"/>
  <c r="R92" i="1"/>
  <c r="S92" i="1"/>
  <c r="T92" i="1"/>
  <c r="O84" i="1"/>
  <c r="G92" i="1"/>
  <c r="L92" i="1"/>
  <c r="K93" i="1"/>
  <c r="F84" i="1"/>
  <c r="M84" i="1"/>
  <c r="H85" i="1"/>
  <c r="V93" i="1" l="1"/>
  <c r="Q93" i="1"/>
  <c r="S93" i="1"/>
  <c r="R93" i="1"/>
  <c r="T93" i="1"/>
  <c r="O85" i="1"/>
  <c r="G93" i="1"/>
  <c r="L93" i="1"/>
  <c r="K94" i="1"/>
  <c r="F85" i="1"/>
  <c r="M85" i="1"/>
  <c r="H86" i="1"/>
  <c r="V94" i="1" l="1"/>
  <c r="Q94" i="1"/>
  <c r="S94" i="1"/>
  <c r="R94" i="1"/>
  <c r="T94" i="1"/>
  <c r="O86" i="1"/>
  <c r="G94" i="1"/>
  <c r="L94" i="1"/>
  <c r="K95" i="1"/>
  <c r="F86" i="1"/>
  <c r="M86" i="1"/>
  <c r="H87" i="1"/>
  <c r="V95" i="1" l="1"/>
  <c r="Q95" i="1"/>
  <c r="R95" i="1"/>
  <c r="S95" i="1"/>
  <c r="T95" i="1"/>
  <c r="O87" i="1"/>
  <c r="G95" i="1"/>
  <c r="L95" i="1"/>
  <c r="K96" i="1"/>
  <c r="F87" i="1"/>
  <c r="M87" i="1"/>
  <c r="H88" i="1"/>
  <c r="V96" i="1" l="1"/>
  <c r="Q96" i="1"/>
  <c r="R96" i="1"/>
  <c r="S96" i="1"/>
  <c r="T96" i="1"/>
  <c r="O88" i="1"/>
  <c r="G96" i="1"/>
  <c r="L96" i="1"/>
  <c r="K97" i="1"/>
  <c r="F88" i="1"/>
  <c r="M88" i="1"/>
  <c r="H89" i="1"/>
  <c r="V97" i="1" l="1"/>
  <c r="Q97" i="1"/>
  <c r="R97" i="1"/>
  <c r="S97" i="1"/>
  <c r="T97" i="1"/>
  <c r="O89" i="1"/>
  <c r="G97" i="1"/>
  <c r="L97" i="1"/>
  <c r="K98" i="1"/>
  <c r="F89" i="1"/>
  <c r="M89" i="1"/>
  <c r="H90" i="1"/>
  <c r="V98" i="1" l="1"/>
  <c r="Q98" i="1"/>
  <c r="R98" i="1"/>
  <c r="S98" i="1"/>
  <c r="T98" i="1"/>
  <c r="O90" i="1"/>
  <c r="G98" i="1"/>
  <c r="L98" i="1"/>
  <c r="K99" i="1"/>
  <c r="F90" i="1"/>
  <c r="M90" i="1"/>
  <c r="H91" i="1"/>
  <c r="Q99" i="1" l="1"/>
  <c r="V99" i="1"/>
  <c r="R99" i="1"/>
  <c r="S99" i="1"/>
  <c r="T99" i="1"/>
  <c r="O91" i="1"/>
  <c r="G99" i="1"/>
  <c r="L99" i="1"/>
  <c r="K100" i="1"/>
  <c r="F91" i="1"/>
  <c r="M91" i="1"/>
  <c r="H92" i="1"/>
  <c r="Q100" i="1" l="1"/>
  <c r="V100" i="1"/>
  <c r="R100" i="1"/>
  <c r="S100" i="1"/>
  <c r="T100" i="1"/>
  <c r="O92" i="1"/>
  <c r="G100" i="1"/>
  <c r="L100" i="1"/>
  <c r="K101" i="1"/>
  <c r="F92" i="1"/>
  <c r="M92" i="1"/>
  <c r="H93" i="1"/>
  <c r="Q101" i="1" l="1"/>
  <c r="V101" i="1"/>
  <c r="S101" i="1"/>
  <c r="R101" i="1"/>
  <c r="T101" i="1"/>
  <c r="O93" i="1"/>
  <c r="G101" i="1"/>
  <c r="L101" i="1"/>
  <c r="K102" i="1"/>
  <c r="F93" i="1"/>
  <c r="M93" i="1"/>
  <c r="H94" i="1"/>
  <c r="V102" i="1" l="1"/>
  <c r="Q102" i="1"/>
  <c r="S102" i="1"/>
  <c r="R102" i="1"/>
  <c r="T102" i="1"/>
  <c r="O94" i="1"/>
  <c r="G102" i="1"/>
  <c r="L102" i="1"/>
  <c r="K103" i="1"/>
  <c r="F94" i="1"/>
  <c r="M94" i="1"/>
  <c r="H95" i="1"/>
  <c r="Q103" i="1" l="1"/>
  <c r="V103" i="1"/>
  <c r="S103" i="1"/>
  <c r="R103" i="1"/>
  <c r="T103" i="1"/>
  <c r="O95" i="1"/>
  <c r="G103" i="1"/>
  <c r="L103" i="1"/>
  <c r="K104" i="1"/>
  <c r="F95" i="1"/>
  <c r="M95" i="1"/>
  <c r="H96" i="1"/>
  <c r="Q104" i="1" l="1"/>
  <c r="V104" i="1"/>
  <c r="S104" i="1"/>
  <c r="R104" i="1"/>
  <c r="T104" i="1"/>
  <c r="O96" i="1"/>
  <c r="G104" i="1"/>
  <c r="L104" i="1"/>
  <c r="K105" i="1"/>
  <c r="F96" i="1"/>
  <c r="M96" i="1"/>
  <c r="H97" i="1"/>
  <c r="V105" i="1" l="1"/>
  <c r="Q105" i="1"/>
  <c r="S105" i="1"/>
  <c r="R105" i="1"/>
  <c r="T105" i="1"/>
  <c r="O97" i="1"/>
  <c r="G105" i="1"/>
  <c r="L105" i="1"/>
  <c r="K106" i="1"/>
  <c r="F97" i="1"/>
  <c r="M97" i="1"/>
  <c r="H98" i="1"/>
  <c r="V106" i="1" l="1"/>
  <c r="Q106" i="1"/>
  <c r="S106" i="1"/>
  <c r="R106" i="1"/>
  <c r="T106" i="1"/>
  <c r="O98" i="1"/>
  <c r="G106" i="1"/>
  <c r="L106" i="1"/>
  <c r="K107" i="1"/>
  <c r="F98" i="1"/>
  <c r="M98" i="1"/>
  <c r="H99" i="1"/>
  <c r="V107" i="1" l="1"/>
  <c r="Q107" i="1"/>
  <c r="R107" i="1"/>
  <c r="S107" i="1"/>
  <c r="T107" i="1"/>
  <c r="O99" i="1"/>
  <c r="G107" i="1"/>
  <c r="L107" i="1"/>
  <c r="K108" i="1"/>
  <c r="F99" i="1"/>
  <c r="M99" i="1"/>
  <c r="H100" i="1"/>
  <c r="V108" i="1" l="1"/>
  <c r="Q108" i="1"/>
  <c r="R108" i="1"/>
  <c r="S108" i="1"/>
  <c r="T108" i="1"/>
  <c r="O100" i="1"/>
  <c r="G108" i="1"/>
  <c r="L108" i="1"/>
  <c r="K109" i="1"/>
  <c r="F100" i="1"/>
  <c r="M100" i="1"/>
  <c r="H101" i="1"/>
  <c r="V109" i="1" l="1"/>
  <c r="Q109" i="1"/>
  <c r="R109" i="1"/>
  <c r="S109" i="1"/>
  <c r="T109" i="1"/>
  <c r="O101" i="1"/>
  <c r="G109" i="1"/>
  <c r="L109" i="1"/>
  <c r="K110" i="1"/>
  <c r="F101" i="1"/>
  <c r="M101" i="1"/>
  <c r="H102" i="1"/>
  <c r="V110" i="1" l="1"/>
  <c r="Q110" i="1"/>
  <c r="S110" i="1"/>
  <c r="R110" i="1"/>
  <c r="T110" i="1"/>
  <c r="O102" i="1"/>
  <c r="G110" i="1"/>
  <c r="L110" i="1"/>
  <c r="K111" i="1"/>
  <c r="F102" i="1"/>
  <c r="M102" i="1"/>
  <c r="H103" i="1"/>
  <c r="V111" i="1" l="1"/>
  <c r="Q111" i="1"/>
  <c r="R111" i="1"/>
  <c r="S111" i="1"/>
  <c r="T111" i="1"/>
  <c r="O103" i="1"/>
  <c r="G111" i="1"/>
  <c r="L111" i="1"/>
  <c r="K112" i="1"/>
  <c r="F103" i="1"/>
  <c r="M103" i="1"/>
  <c r="H104" i="1"/>
  <c r="Q112" i="1" l="1"/>
  <c r="V112" i="1"/>
  <c r="R112" i="1"/>
  <c r="S112" i="1"/>
  <c r="T112" i="1"/>
  <c r="O104" i="1"/>
  <c r="G112" i="1"/>
  <c r="L112" i="1"/>
  <c r="K113" i="1"/>
  <c r="F104" i="1"/>
  <c r="M104" i="1"/>
  <c r="H105" i="1"/>
  <c r="Q113" i="1" l="1"/>
  <c r="V113" i="1"/>
  <c r="S113" i="1"/>
  <c r="R113" i="1"/>
  <c r="T113" i="1"/>
  <c r="O105" i="1"/>
  <c r="G113" i="1"/>
  <c r="L113" i="1"/>
  <c r="K114" i="1"/>
  <c r="F105" i="1"/>
  <c r="M105" i="1"/>
  <c r="H106" i="1"/>
  <c r="Q114" i="1" l="1"/>
  <c r="V114" i="1"/>
  <c r="S114" i="1"/>
  <c r="R114" i="1"/>
  <c r="T114" i="1"/>
  <c r="O106" i="1"/>
  <c r="G114" i="1"/>
  <c r="L114" i="1"/>
  <c r="K115" i="1"/>
  <c r="F106" i="1"/>
  <c r="M106" i="1"/>
  <c r="H107" i="1"/>
  <c r="V115" i="1" l="1"/>
  <c r="Q115" i="1"/>
  <c r="S115" i="1"/>
  <c r="R115" i="1"/>
  <c r="T115" i="1"/>
  <c r="O107" i="1"/>
  <c r="G115" i="1"/>
  <c r="L115" i="1"/>
  <c r="K116" i="1"/>
  <c r="F107" i="1"/>
  <c r="M107" i="1"/>
  <c r="H108" i="1"/>
  <c r="V116" i="1" l="1"/>
  <c r="Q116" i="1"/>
  <c r="S116" i="1"/>
  <c r="R116" i="1"/>
  <c r="T116" i="1"/>
  <c r="O108" i="1"/>
  <c r="G116" i="1"/>
  <c r="L116" i="1"/>
  <c r="K117" i="1"/>
  <c r="F108" i="1"/>
  <c r="M108" i="1"/>
  <c r="H109" i="1"/>
  <c r="V117" i="1" l="1"/>
  <c r="Q117" i="1"/>
  <c r="S117" i="1"/>
  <c r="R117" i="1"/>
  <c r="T117" i="1"/>
  <c r="O109" i="1"/>
  <c r="G117" i="1"/>
  <c r="L117" i="1"/>
  <c r="K118" i="1"/>
  <c r="F109" i="1"/>
  <c r="M109" i="1"/>
  <c r="H110" i="1"/>
  <c r="V118" i="1" l="1"/>
  <c r="Q118" i="1"/>
  <c r="S118" i="1"/>
  <c r="R118" i="1"/>
  <c r="T118" i="1"/>
  <c r="O110" i="1"/>
  <c r="G118" i="1"/>
  <c r="L118" i="1"/>
  <c r="K119" i="1"/>
  <c r="F110" i="1"/>
  <c r="M110" i="1"/>
  <c r="H111" i="1"/>
  <c r="V119" i="1" l="1"/>
  <c r="Q119" i="1"/>
  <c r="S119" i="1"/>
  <c r="R119" i="1"/>
  <c r="T119" i="1"/>
  <c r="O111" i="1"/>
  <c r="G119" i="1"/>
  <c r="L119" i="1"/>
  <c r="K120" i="1"/>
  <c r="F111" i="1"/>
  <c r="M111" i="1"/>
  <c r="H112" i="1"/>
  <c r="V120" i="1" l="1"/>
  <c r="Q120" i="1"/>
  <c r="R120" i="1"/>
  <c r="S120" i="1"/>
  <c r="T120" i="1"/>
  <c r="O112" i="1"/>
  <c r="G120" i="1"/>
  <c r="L120" i="1"/>
  <c r="K121" i="1"/>
  <c r="F112" i="1"/>
  <c r="M112" i="1"/>
  <c r="H113" i="1"/>
  <c r="V121" i="1" l="1"/>
  <c r="Q121" i="1"/>
  <c r="R121" i="1"/>
  <c r="S121" i="1"/>
  <c r="T121" i="1"/>
  <c r="O113" i="1"/>
  <c r="G121" i="1"/>
  <c r="L121" i="1"/>
  <c r="K122" i="1"/>
  <c r="F113" i="1"/>
  <c r="M113" i="1"/>
  <c r="H114" i="1"/>
  <c r="V122" i="1" l="1"/>
  <c r="Q122" i="1"/>
  <c r="R122" i="1"/>
  <c r="S122" i="1"/>
  <c r="T122" i="1"/>
  <c r="O114" i="1"/>
  <c r="G122" i="1"/>
  <c r="L122" i="1"/>
  <c r="K123" i="1"/>
  <c r="F114" i="1"/>
  <c r="M114" i="1"/>
  <c r="H115" i="1"/>
  <c r="Q123" i="1" l="1"/>
  <c r="V123" i="1"/>
  <c r="R123" i="1"/>
  <c r="S123" i="1"/>
  <c r="T123" i="1"/>
  <c r="O115" i="1"/>
  <c r="G123" i="1"/>
  <c r="L123" i="1"/>
  <c r="K124" i="1"/>
  <c r="F115" i="1"/>
  <c r="M115" i="1"/>
  <c r="H116" i="1"/>
  <c r="Q124" i="1" l="1"/>
  <c r="V124" i="1"/>
  <c r="R124" i="1"/>
  <c r="S124" i="1"/>
  <c r="T124" i="1"/>
  <c r="O116" i="1"/>
  <c r="G124" i="1"/>
  <c r="L124" i="1"/>
  <c r="K125" i="1"/>
  <c r="F116" i="1"/>
  <c r="M116" i="1"/>
  <c r="H117" i="1"/>
  <c r="Q125" i="1" l="1"/>
  <c r="V125" i="1"/>
  <c r="R125" i="1"/>
  <c r="S125" i="1"/>
  <c r="T125" i="1"/>
  <c r="O117" i="1"/>
  <c r="G125" i="1"/>
  <c r="L125" i="1"/>
  <c r="K126" i="1"/>
  <c r="F117" i="1"/>
  <c r="M117" i="1"/>
  <c r="H118" i="1"/>
  <c r="Q126" i="1" l="1"/>
  <c r="V126" i="1"/>
  <c r="S126" i="1"/>
  <c r="R126" i="1"/>
  <c r="T126" i="1"/>
  <c r="O118" i="1"/>
  <c r="G126" i="1"/>
  <c r="L126" i="1"/>
  <c r="K127" i="1"/>
  <c r="F118" i="1"/>
  <c r="M118" i="1"/>
  <c r="H119" i="1"/>
  <c r="Q127" i="1" l="1"/>
  <c r="V127" i="1"/>
  <c r="S127" i="1"/>
  <c r="R127" i="1"/>
  <c r="T127" i="1"/>
  <c r="O119" i="1"/>
  <c r="G127" i="1"/>
  <c r="L127" i="1"/>
  <c r="K128" i="1"/>
  <c r="F119" i="1"/>
  <c r="M119" i="1"/>
  <c r="H120" i="1"/>
  <c r="Q128" i="1" l="1"/>
  <c r="V128" i="1"/>
  <c r="S128" i="1"/>
  <c r="R128" i="1"/>
  <c r="T128" i="1"/>
  <c r="O120" i="1"/>
  <c r="G128" i="1"/>
  <c r="L128" i="1"/>
  <c r="K129" i="1"/>
  <c r="F120" i="1"/>
  <c r="M120" i="1"/>
  <c r="H121" i="1"/>
  <c r="V129" i="1" l="1"/>
  <c r="Q129" i="1"/>
  <c r="S129" i="1"/>
  <c r="R129" i="1"/>
  <c r="T129" i="1"/>
  <c r="O121" i="1"/>
  <c r="G129" i="1"/>
  <c r="L129" i="1"/>
  <c r="K130" i="1"/>
  <c r="F121" i="1"/>
  <c r="M121" i="1"/>
  <c r="H122" i="1"/>
  <c r="V130" i="1" l="1"/>
  <c r="Q130" i="1"/>
  <c r="S130" i="1"/>
  <c r="R130" i="1"/>
  <c r="T130" i="1"/>
  <c r="O122" i="1"/>
  <c r="G130" i="1"/>
  <c r="L130" i="1"/>
  <c r="K131" i="1"/>
  <c r="F122" i="1"/>
  <c r="M122" i="1"/>
  <c r="H123" i="1"/>
  <c r="Q131" i="1" l="1"/>
  <c r="V131" i="1"/>
  <c r="R131" i="1"/>
  <c r="S131" i="1"/>
  <c r="T131" i="1"/>
  <c r="O123" i="1"/>
  <c r="G131" i="1"/>
  <c r="L131" i="1"/>
  <c r="K132" i="1"/>
  <c r="F123" i="1"/>
  <c r="M123" i="1"/>
  <c r="H124" i="1"/>
  <c r="V132" i="1" l="1"/>
  <c r="Q132" i="1"/>
  <c r="R132" i="1"/>
  <c r="S132" i="1"/>
  <c r="T132" i="1"/>
  <c r="O124" i="1"/>
  <c r="G132" i="1"/>
  <c r="L132" i="1"/>
  <c r="K133" i="1"/>
  <c r="F124" i="1"/>
  <c r="M124" i="1"/>
  <c r="H125" i="1"/>
  <c r="Q133" i="1" l="1"/>
  <c r="V133" i="1"/>
  <c r="R133" i="1"/>
  <c r="S133" i="1"/>
  <c r="T133" i="1"/>
  <c r="O125" i="1"/>
  <c r="G133" i="1"/>
  <c r="L133" i="1"/>
  <c r="K134" i="1"/>
  <c r="F125" i="1"/>
  <c r="M125" i="1"/>
  <c r="H126" i="1"/>
  <c r="Q134" i="1" l="1"/>
  <c r="V134" i="1"/>
  <c r="R134" i="1"/>
  <c r="S134" i="1"/>
  <c r="T134" i="1"/>
  <c r="O126" i="1"/>
  <c r="G134" i="1"/>
  <c r="L134" i="1"/>
  <c r="K135" i="1"/>
  <c r="F126" i="1"/>
  <c r="M126" i="1"/>
  <c r="H127" i="1"/>
  <c r="V135" i="1" l="1"/>
  <c r="Q135" i="1"/>
  <c r="R135" i="1"/>
  <c r="S135" i="1"/>
  <c r="T135" i="1"/>
  <c r="O127" i="1"/>
  <c r="G135" i="1"/>
  <c r="L135" i="1"/>
  <c r="K136" i="1"/>
  <c r="F127" i="1"/>
  <c r="M127" i="1"/>
  <c r="H128" i="1"/>
  <c r="Q136" i="1" l="1"/>
  <c r="V136" i="1"/>
  <c r="R136" i="1"/>
  <c r="S136" i="1"/>
  <c r="T136" i="1"/>
  <c r="O128" i="1"/>
  <c r="G136" i="1"/>
  <c r="L136" i="1"/>
  <c r="K137" i="1"/>
  <c r="F128" i="1"/>
  <c r="M128" i="1"/>
  <c r="H129" i="1"/>
  <c r="Q137" i="1" l="1"/>
  <c r="V137" i="1"/>
  <c r="S137" i="1"/>
  <c r="R137" i="1"/>
  <c r="T137" i="1"/>
  <c r="O129" i="1"/>
  <c r="G137" i="1"/>
  <c r="L137" i="1"/>
  <c r="K138" i="1"/>
  <c r="F129" i="1"/>
  <c r="M129" i="1"/>
  <c r="H130" i="1"/>
  <c r="Q138" i="1" l="1"/>
  <c r="V138" i="1"/>
  <c r="S138" i="1"/>
  <c r="R138" i="1"/>
  <c r="T138" i="1"/>
  <c r="O130" i="1"/>
  <c r="G138" i="1"/>
  <c r="L138" i="1"/>
  <c r="K139" i="1"/>
  <c r="F130" i="1"/>
  <c r="M130" i="1"/>
  <c r="H131" i="1"/>
  <c r="Q139" i="1" l="1"/>
  <c r="V139" i="1"/>
  <c r="S139" i="1"/>
  <c r="R139" i="1"/>
  <c r="T139" i="1"/>
  <c r="O131" i="1"/>
  <c r="G139" i="1"/>
  <c r="L139" i="1"/>
  <c r="K140" i="1"/>
  <c r="F131" i="1"/>
  <c r="M131" i="1"/>
  <c r="H132" i="1"/>
  <c r="Q140" i="1" l="1"/>
  <c r="V140" i="1"/>
  <c r="S140" i="1"/>
  <c r="R140" i="1"/>
  <c r="T140" i="1"/>
  <c r="O132" i="1"/>
  <c r="G140" i="1"/>
  <c r="L140" i="1"/>
  <c r="K141" i="1"/>
  <c r="F132" i="1"/>
  <c r="M132" i="1"/>
  <c r="H133" i="1"/>
  <c r="V141" i="1" l="1"/>
  <c r="Q141" i="1"/>
  <c r="S141" i="1"/>
  <c r="R141" i="1"/>
  <c r="T141" i="1"/>
  <c r="O133" i="1"/>
  <c r="G141" i="1"/>
  <c r="L141" i="1"/>
  <c r="K142" i="1"/>
  <c r="F133" i="1"/>
  <c r="M133" i="1"/>
  <c r="H134" i="1"/>
  <c r="V142" i="1" l="1"/>
  <c r="Q142" i="1"/>
  <c r="S142" i="1"/>
  <c r="R142" i="1"/>
  <c r="T142" i="1"/>
  <c r="O134" i="1"/>
  <c r="G142" i="1"/>
  <c r="L142" i="1"/>
  <c r="K143" i="1"/>
  <c r="F134" i="1"/>
  <c r="M134" i="1"/>
  <c r="H135" i="1"/>
  <c r="V143" i="1" l="1"/>
  <c r="Q143" i="1"/>
  <c r="S143" i="1"/>
  <c r="R143" i="1"/>
  <c r="T143" i="1"/>
  <c r="O135" i="1"/>
  <c r="G143" i="1"/>
  <c r="L143" i="1"/>
  <c r="K144" i="1"/>
  <c r="F135" i="1"/>
  <c r="M135" i="1"/>
  <c r="H136" i="1"/>
  <c r="Q144" i="1" l="1"/>
  <c r="V144" i="1"/>
  <c r="R144" i="1"/>
  <c r="S144" i="1"/>
  <c r="T144" i="1"/>
  <c r="O136" i="1"/>
  <c r="G144" i="1"/>
  <c r="L144" i="1"/>
  <c r="K145" i="1"/>
  <c r="F136" i="1"/>
  <c r="M136" i="1"/>
  <c r="H137" i="1"/>
  <c r="Q145" i="1" l="1"/>
  <c r="V145" i="1"/>
  <c r="S145" i="1"/>
  <c r="R145" i="1"/>
  <c r="T145" i="1"/>
  <c r="O137" i="1"/>
  <c r="G145" i="1"/>
  <c r="L145" i="1"/>
  <c r="K146" i="1"/>
  <c r="F137" i="1"/>
  <c r="M137" i="1"/>
  <c r="H138" i="1"/>
  <c r="Q146" i="1" l="1"/>
  <c r="V146" i="1"/>
  <c r="R146" i="1"/>
  <c r="S146" i="1"/>
  <c r="T146" i="1"/>
  <c r="O138" i="1"/>
  <c r="G146" i="1"/>
  <c r="L146" i="1"/>
  <c r="K147" i="1"/>
  <c r="F138" i="1"/>
  <c r="M138" i="1"/>
  <c r="H139" i="1"/>
  <c r="Q147" i="1" l="1"/>
  <c r="V147" i="1"/>
  <c r="R147" i="1"/>
  <c r="S147" i="1"/>
  <c r="T147" i="1"/>
  <c r="O139" i="1"/>
  <c r="G147" i="1"/>
  <c r="L147" i="1"/>
  <c r="K148" i="1"/>
  <c r="F139" i="1"/>
  <c r="M139" i="1"/>
  <c r="H140" i="1"/>
  <c r="Q148" i="1" l="1"/>
  <c r="V148" i="1"/>
  <c r="R148" i="1"/>
  <c r="S148" i="1"/>
  <c r="T148" i="1"/>
  <c r="O140" i="1"/>
  <c r="G148" i="1"/>
  <c r="L148" i="1"/>
  <c r="K149" i="1"/>
  <c r="F140" i="1"/>
  <c r="M140" i="1"/>
  <c r="H141" i="1"/>
  <c r="Q149" i="1" l="1"/>
  <c r="V149" i="1"/>
  <c r="R149" i="1"/>
  <c r="S149" i="1"/>
  <c r="T149" i="1"/>
  <c r="O141" i="1"/>
  <c r="G149" i="1"/>
  <c r="L149" i="1"/>
  <c r="K150" i="1"/>
  <c r="F141" i="1"/>
  <c r="M141" i="1"/>
  <c r="H142" i="1"/>
  <c r="Q150" i="1" l="1"/>
  <c r="V150" i="1"/>
  <c r="S150" i="1"/>
  <c r="R150" i="1"/>
  <c r="T150" i="1"/>
  <c r="O142" i="1"/>
  <c r="G150" i="1"/>
  <c r="L150" i="1"/>
  <c r="K151" i="1"/>
  <c r="F142" i="1"/>
  <c r="M142" i="1"/>
  <c r="X37" i="1"/>
  <c r="Y37" i="1" s="1"/>
  <c r="H143" i="1"/>
  <c r="V151" i="1" l="1"/>
  <c r="Q151" i="1"/>
  <c r="S151" i="1"/>
  <c r="R151" i="1"/>
  <c r="T151" i="1"/>
  <c r="O143" i="1"/>
  <c r="G151" i="1"/>
  <c r="L151" i="1"/>
  <c r="K152" i="1"/>
  <c r="F143" i="1"/>
  <c r="M143" i="1"/>
  <c r="W37" i="1"/>
  <c r="P37" i="1" s="1"/>
  <c r="J37" i="1"/>
  <c r="H144" i="1"/>
  <c r="V152" i="1" l="1"/>
  <c r="Q152" i="1"/>
  <c r="S152" i="1"/>
  <c r="R152" i="1"/>
  <c r="T152" i="1"/>
  <c r="O144" i="1"/>
  <c r="G152" i="1"/>
  <c r="L152" i="1"/>
  <c r="K153" i="1"/>
  <c r="F144" i="1"/>
  <c r="M144" i="1"/>
  <c r="U37" i="1"/>
  <c r="N38" i="1" s="1"/>
  <c r="I37" i="1"/>
  <c r="H145" i="1"/>
  <c r="V153" i="1" l="1"/>
  <c r="Q153" i="1"/>
  <c r="S153" i="1"/>
  <c r="R153" i="1"/>
  <c r="T153" i="1"/>
  <c r="O145" i="1"/>
  <c r="G153" i="1"/>
  <c r="L153" i="1"/>
  <c r="K154" i="1"/>
  <c r="F145" i="1"/>
  <c r="M145" i="1"/>
  <c r="X38" i="1"/>
  <c r="Y38" i="1" s="1"/>
  <c r="H146" i="1"/>
  <c r="V154" i="1" l="1"/>
  <c r="Q154" i="1"/>
  <c r="S154" i="1"/>
  <c r="R154" i="1"/>
  <c r="T154" i="1"/>
  <c r="O146" i="1"/>
  <c r="G154" i="1"/>
  <c r="L154" i="1"/>
  <c r="K155" i="1"/>
  <c r="F146" i="1"/>
  <c r="M146" i="1"/>
  <c r="J38" i="1"/>
  <c r="W38" i="1"/>
  <c r="P38" i="1" s="1"/>
  <c r="H147" i="1"/>
  <c r="V155" i="1" l="1"/>
  <c r="Q155" i="1"/>
  <c r="S155" i="1"/>
  <c r="R155" i="1"/>
  <c r="T155" i="1"/>
  <c r="O147" i="1"/>
  <c r="G155" i="1"/>
  <c r="L155" i="1"/>
  <c r="K156" i="1"/>
  <c r="F147" i="1"/>
  <c r="M147" i="1"/>
  <c r="U38" i="1"/>
  <c r="N39" i="1" s="1"/>
  <c r="I38" i="1"/>
  <c r="H148" i="1"/>
  <c r="V156" i="1" l="1"/>
  <c r="Q156" i="1"/>
  <c r="R156" i="1"/>
  <c r="S156" i="1"/>
  <c r="T156" i="1"/>
  <c r="O148" i="1"/>
  <c r="G156" i="1"/>
  <c r="L156" i="1"/>
  <c r="K157" i="1"/>
  <c r="F148" i="1"/>
  <c r="M148" i="1"/>
  <c r="X39" i="1"/>
  <c r="Y39" i="1" s="1"/>
  <c r="J39" i="1" s="1"/>
  <c r="H149" i="1"/>
  <c r="Q157" i="1" l="1"/>
  <c r="V157" i="1"/>
  <c r="R157" i="1"/>
  <c r="S157" i="1"/>
  <c r="T157" i="1"/>
  <c r="O149" i="1"/>
  <c r="G157" i="1"/>
  <c r="L157" i="1"/>
  <c r="K158" i="1"/>
  <c r="F149" i="1"/>
  <c r="M149" i="1"/>
  <c r="W39" i="1"/>
  <c r="P39" i="1" s="1"/>
  <c r="U39" i="1" s="1"/>
  <c r="N40" i="1" s="1"/>
  <c r="H150" i="1"/>
  <c r="Q158" i="1" l="1"/>
  <c r="V158" i="1"/>
  <c r="R158" i="1"/>
  <c r="S158" i="1"/>
  <c r="T158" i="1"/>
  <c r="O150" i="1"/>
  <c r="G158" i="1"/>
  <c r="L158" i="1"/>
  <c r="K159" i="1"/>
  <c r="F150" i="1"/>
  <c r="I39" i="1"/>
  <c r="X40" i="1"/>
  <c r="Y40" i="1" s="1"/>
  <c r="J40" i="1" s="1"/>
  <c r="M150" i="1"/>
  <c r="H151" i="1"/>
  <c r="Q159" i="1" l="1"/>
  <c r="V159" i="1"/>
  <c r="R159" i="1"/>
  <c r="S159" i="1"/>
  <c r="T159" i="1"/>
  <c r="O151" i="1"/>
  <c r="G159" i="1"/>
  <c r="L159" i="1"/>
  <c r="K160" i="1"/>
  <c r="F151" i="1"/>
  <c r="M151" i="1"/>
  <c r="W40" i="1"/>
  <c r="H152" i="1"/>
  <c r="Q160" i="1" l="1"/>
  <c r="V160" i="1"/>
  <c r="R160" i="1"/>
  <c r="S160" i="1"/>
  <c r="T160" i="1"/>
  <c r="O152" i="1"/>
  <c r="G160" i="1"/>
  <c r="L160" i="1"/>
  <c r="K161" i="1"/>
  <c r="F152" i="1"/>
  <c r="M152" i="1"/>
  <c r="H153" i="1"/>
  <c r="Q161" i="1" l="1"/>
  <c r="V161" i="1"/>
  <c r="R161" i="1"/>
  <c r="S161" i="1"/>
  <c r="T161" i="1"/>
  <c r="O153" i="1"/>
  <c r="G161" i="1"/>
  <c r="L161" i="1"/>
  <c r="K162" i="1"/>
  <c r="F153" i="1"/>
  <c r="M153" i="1"/>
  <c r="P40" i="1"/>
  <c r="H154" i="1"/>
  <c r="Q162" i="1" l="1"/>
  <c r="V162" i="1"/>
  <c r="S162" i="1"/>
  <c r="R162" i="1"/>
  <c r="T162" i="1"/>
  <c r="O154" i="1"/>
  <c r="G162" i="1"/>
  <c r="L162" i="1"/>
  <c r="K163" i="1"/>
  <c r="F154" i="1"/>
  <c r="M154" i="1"/>
  <c r="U40" i="1"/>
  <c r="N41" i="1" s="1"/>
  <c r="I40" i="1"/>
  <c r="H155" i="1"/>
  <c r="Q163" i="1" l="1"/>
  <c r="V163" i="1"/>
  <c r="S163" i="1"/>
  <c r="R163" i="1"/>
  <c r="T163" i="1"/>
  <c r="O155" i="1"/>
  <c r="G163" i="1"/>
  <c r="L163" i="1"/>
  <c r="K164" i="1"/>
  <c r="F155" i="1"/>
  <c r="M155" i="1"/>
  <c r="X41" i="1"/>
  <c r="Y41" i="1" s="1"/>
  <c r="W41" i="1" s="1"/>
  <c r="H156" i="1"/>
  <c r="Q164" i="1" l="1"/>
  <c r="V164" i="1"/>
  <c r="S164" i="1"/>
  <c r="R164" i="1"/>
  <c r="T164" i="1"/>
  <c r="O156" i="1"/>
  <c r="G164" i="1"/>
  <c r="L164" i="1"/>
  <c r="K165" i="1"/>
  <c r="F156" i="1"/>
  <c r="M156" i="1"/>
  <c r="J41" i="1"/>
  <c r="H157" i="1"/>
  <c r="V165" i="1" l="1"/>
  <c r="Q165" i="1"/>
  <c r="S165" i="1"/>
  <c r="R165" i="1"/>
  <c r="T165" i="1"/>
  <c r="O157" i="1"/>
  <c r="G165" i="1"/>
  <c r="L165" i="1"/>
  <c r="K166" i="1"/>
  <c r="F157" i="1"/>
  <c r="M157" i="1"/>
  <c r="P41" i="1"/>
  <c r="H158" i="1"/>
  <c r="V166" i="1" l="1"/>
  <c r="Q166" i="1"/>
  <c r="S166" i="1"/>
  <c r="R166" i="1"/>
  <c r="T166" i="1"/>
  <c r="O158" i="1"/>
  <c r="G166" i="1"/>
  <c r="L166" i="1"/>
  <c r="K167" i="1"/>
  <c r="F158" i="1"/>
  <c r="M158" i="1"/>
  <c r="U41" i="1"/>
  <c r="N42" i="1" s="1"/>
  <c r="I41" i="1"/>
  <c r="H159" i="1"/>
  <c r="V167" i="1" l="1"/>
  <c r="Q167" i="1"/>
  <c r="R167" i="1"/>
  <c r="S167" i="1"/>
  <c r="T167" i="1"/>
  <c r="O159" i="1"/>
  <c r="G167" i="1"/>
  <c r="L167" i="1"/>
  <c r="K168" i="1"/>
  <c r="F159" i="1"/>
  <c r="M159" i="1"/>
  <c r="X42" i="1"/>
  <c r="Y42" i="1" s="1"/>
  <c r="J42" i="1" s="1"/>
  <c r="H160" i="1"/>
  <c r="V168" i="1" l="1"/>
  <c r="Q168" i="1"/>
  <c r="R168" i="1"/>
  <c r="S168" i="1"/>
  <c r="T168" i="1"/>
  <c r="O160" i="1"/>
  <c r="G168" i="1"/>
  <c r="L168" i="1"/>
  <c r="K169" i="1"/>
  <c r="F160" i="1"/>
  <c r="M160" i="1"/>
  <c r="W42" i="1"/>
  <c r="P42" i="1" s="1"/>
  <c r="U42" i="1" s="1"/>
  <c r="N43" i="1" s="1"/>
  <c r="H161" i="1"/>
  <c r="Q169" i="1" l="1"/>
  <c r="V169" i="1"/>
  <c r="R169" i="1"/>
  <c r="S169" i="1"/>
  <c r="T169" i="1"/>
  <c r="O161" i="1"/>
  <c r="G169" i="1"/>
  <c r="L169" i="1"/>
  <c r="K170" i="1"/>
  <c r="F161" i="1"/>
  <c r="M161" i="1"/>
  <c r="I42" i="1"/>
  <c r="X43" i="1"/>
  <c r="Y43" i="1" s="1"/>
  <c r="J43" i="1" s="1"/>
  <c r="H162" i="1"/>
  <c r="V170" i="1" l="1"/>
  <c r="Q170" i="1"/>
  <c r="S170" i="1"/>
  <c r="R170" i="1"/>
  <c r="T170" i="1"/>
  <c r="O162" i="1"/>
  <c r="G170" i="1"/>
  <c r="L170" i="1"/>
  <c r="K171" i="1"/>
  <c r="F162" i="1"/>
  <c r="M162" i="1"/>
  <c r="W43" i="1"/>
  <c r="H163" i="1"/>
  <c r="Q171" i="1" l="1"/>
  <c r="V171" i="1"/>
  <c r="R171" i="1"/>
  <c r="S171" i="1"/>
  <c r="T171" i="1"/>
  <c r="O163" i="1"/>
  <c r="G171" i="1"/>
  <c r="L171" i="1"/>
  <c r="K172" i="1"/>
  <c r="F163" i="1"/>
  <c r="M163" i="1"/>
  <c r="P43" i="1"/>
  <c r="H164" i="1"/>
  <c r="Q172" i="1" l="1"/>
  <c r="V172" i="1"/>
  <c r="R172" i="1"/>
  <c r="S172" i="1"/>
  <c r="T172" i="1"/>
  <c r="O164" i="1"/>
  <c r="G172" i="1"/>
  <c r="L172" i="1"/>
  <c r="K173" i="1"/>
  <c r="F164" i="1"/>
  <c r="M164" i="1"/>
  <c r="U43" i="1"/>
  <c r="N44" i="1" s="1"/>
  <c r="I43" i="1"/>
  <c r="H165" i="1"/>
  <c r="Q173" i="1" l="1"/>
  <c r="V173" i="1"/>
  <c r="S173" i="1"/>
  <c r="R173" i="1"/>
  <c r="T173" i="1"/>
  <c r="O165" i="1"/>
  <c r="G173" i="1"/>
  <c r="L173" i="1"/>
  <c r="K174" i="1"/>
  <c r="F165" i="1"/>
  <c r="M165" i="1"/>
  <c r="X44" i="1"/>
  <c r="Y44" i="1" s="1"/>
  <c r="W44" i="1" s="1"/>
  <c r="H166" i="1"/>
  <c r="V174" i="1" l="1"/>
  <c r="Q174" i="1"/>
  <c r="S174" i="1"/>
  <c r="R174" i="1"/>
  <c r="T174" i="1"/>
  <c r="O166" i="1"/>
  <c r="G174" i="1"/>
  <c r="L174" i="1"/>
  <c r="K175" i="1"/>
  <c r="F166" i="1"/>
  <c r="M166" i="1"/>
  <c r="P44" i="1"/>
  <c r="U44" i="1" s="1"/>
  <c r="N45" i="1" s="1"/>
  <c r="J44" i="1"/>
  <c r="H167" i="1"/>
  <c r="Q175" i="1" l="1"/>
  <c r="V175" i="1"/>
  <c r="S175" i="1"/>
  <c r="R175" i="1"/>
  <c r="T175" i="1"/>
  <c r="O167" i="1"/>
  <c r="G175" i="1"/>
  <c r="L175" i="1"/>
  <c r="K176" i="1"/>
  <c r="F167" i="1"/>
  <c r="M167" i="1"/>
  <c r="X45" i="1"/>
  <c r="Y45" i="1" s="1"/>
  <c r="I44" i="1"/>
  <c r="H168" i="1"/>
  <c r="Q176" i="1" l="1"/>
  <c r="V176" i="1"/>
  <c r="R176" i="1"/>
  <c r="S176" i="1"/>
  <c r="T176" i="1"/>
  <c r="O168" i="1"/>
  <c r="G176" i="1"/>
  <c r="L176" i="1"/>
  <c r="K177" i="1"/>
  <c r="F168" i="1"/>
  <c r="M168" i="1"/>
  <c r="J45" i="1"/>
  <c r="W45" i="1"/>
  <c r="H169" i="1"/>
  <c r="V177" i="1" l="1"/>
  <c r="Q177" i="1"/>
  <c r="S177" i="1"/>
  <c r="R177" i="1"/>
  <c r="T177" i="1"/>
  <c r="O169" i="1"/>
  <c r="G177" i="1"/>
  <c r="L177" i="1"/>
  <c r="K178" i="1"/>
  <c r="F169" i="1"/>
  <c r="M169" i="1"/>
  <c r="H170" i="1"/>
  <c r="Q178" i="1" l="1"/>
  <c r="V178" i="1"/>
  <c r="S178" i="1"/>
  <c r="R178" i="1"/>
  <c r="T178" i="1"/>
  <c r="O170" i="1"/>
  <c r="G178" i="1"/>
  <c r="L178" i="1"/>
  <c r="K179" i="1"/>
  <c r="F170" i="1"/>
  <c r="M170" i="1"/>
  <c r="P45" i="1"/>
  <c r="H171" i="1"/>
  <c r="Q179" i="1" l="1"/>
  <c r="V179" i="1"/>
  <c r="S179" i="1"/>
  <c r="R179" i="1"/>
  <c r="T179" i="1"/>
  <c r="O171" i="1"/>
  <c r="G179" i="1"/>
  <c r="L179" i="1"/>
  <c r="K180" i="1"/>
  <c r="F171" i="1"/>
  <c r="M171" i="1"/>
  <c r="U45" i="1"/>
  <c r="N46" i="1" s="1"/>
  <c r="I45" i="1"/>
  <c r="H172" i="1"/>
  <c r="Q180" i="1" l="1"/>
  <c r="V180" i="1"/>
  <c r="R180" i="1"/>
  <c r="S180" i="1"/>
  <c r="T180" i="1"/>
  <c r="O172" i="1"/>
  <c r="G180" i="1"/>
  <c r="L180" i="1"/>
  <c r="K181" i="1"/>
  <c r="F172" i="1"/>
  <c r="M172" i="1"/>
  <c r="X46" i="1"/>
  <c r="Y46" i="1" s="1"/>
  <c r="W46" i="1" s="1"/>
  <c r="H173" i="1"/>
  <c r="V181" i="1" l="1"/>
  <c r="Q181" i="1"/>
  <c r="R181" i="1"/>
  <c r="S181" i="1"/>
  <c r="T181" i="1"/>
  <c r="O173" i="1"/>
  <c r="G181" i="1"/>
  <c r="L181" i="1"/>
  <c r="K182" i="1"/>
  <c r="F173" i="1"/>
  <c r="M173" i="1"/>
  <c r="P46" i="1"/>
  <c r="U46" i="1" s="1"/>
  <c r="N47" i="1" s="1"/>
  <c r="J46" i="1"/>
  <c r="H174" i="1"/>
  <c r="V182" i="1" l="1"/>
  <c r="Q182" i="1"/>
  <c r="R182" i="1"/>
  <c r="S182" i="1"/>
  <c r="T182" i="1"/>
  <c r="O174" i="1"/>
  <c r="G182" i="1"/>
  <c r="L182" i="1"/>
  <c r="K183" i="1"/>
  <c r="F174" i="1"/>
  <c r="M174" i="1"/>
  <c r="X47" i="1"/>
  <c r="Y47" i="1" s="1"/>
  <c r="I46" i="1"/>
  <c r="H175" i="1"/>
  <c r="Q183" i="1" l="1"/>
  <c r="V183" i="1"/>
  <c r="R183" i="1"/>
  <c r="S183" i="1"/>
  <c r="T183" i="1"/>
  <c r="O175" i="1"/>
  <c r="G183" i="1"/>
  <c r="L183" i="1"/>
  <c r="K184" i="1"/>
  <c r="F175" i="1"/>
  <c r="M175" i="1"/>
  <c r="W47" i="1"/>
  <c r="H176" i="1"/>
  <c r="Q184" i="1" l="1"/>
  <c r="V184" i="1"/>
  <c r="R184" i="1"/>
  <c r="S184" i="1"/>
  <c r="T184" i="1"/>
  <c r="O176" i="1"/>
  <c r="G184" i="1"/>
  <c r="L184" i="1"/>
  <c r="K185" i="1"/>
  <c r="F176" i="1"/>
  <c r="M176" i="1"/>
  <c r="J47" i="1"/>
  <c r="H177" i="1"/>
  <c r="Q185" i="1" l="1"/>
  <c r="V185" i="1"/>
  <c r="R185" i="1"/>
  <c r="S185" i="1"/>
  <c r="T185" i="1"/>
  <c r="O177" i="1"/>
  <c r="G185" i="1"/>
  <c r="L185" i="1"/>
  <c r="K186" i="1"/>
  <c r="F177" i="1"/>
  <c r="M177" i="1"/>
  <c r="P47" i="1"/>
  <c r="H178" i="1"/>
  <c r="Q186" i="1" l="1"/>
  <c r="V186" i="1"/>
  <c r="S186" i="1"/>
  <c r="R186" i="1"/>
  <c r="T186" i="1"/>
  <c r="O178" i="1"/>
  <c r="G186" i="1"/>
  <c r="L186" i="1"/>
  <c r="K187" i="1"/>
  <c r="F178" i="1"/>
  <c r="M178" i="1"/>
  <c r="U47" i="1"/>
  <c r="N48" i="1" s="1"/>
  <c r="I47" i="1"/>
  <c r="H179" i="1"/>
  <c r="Q187" i="1" l="1"/>
  <c r="V187" i="1"/>
  <c r="S187" i="1"/>
  <c r="R187" i="1"/>
  <c r="T187" i="1"/>
  <c r="O179" i="1"/>
  <c r="G187" i="1"/>
  <c r="L187" i="1"/>
  <c r="K188" i="1"/>
  <c r="F179" i="1"/>
  <c r="M179" i="1"/>
  <c r="X48" i="1"/>
  <c r="Y48" i="1" s="1"/>
  <c r="W48" i="1" s="1"/>
  <c r="H180" i="1"/>
  <c r="Q188" i="1" l="1"/>
  <c r="V188" i="1"/>
  <c r="S188" i="1"/>
  <c r="R188" i="1"/>
  <c r="T188" i="1"/>
  <c r="O180" i="1"/>
  <c r="G188" i="1"/>
  <c r="L188" i="1"/>
  <c r="K189" i="1"/>
  <c r="F180" i="1"/>
  <c r="M180" i="1"/>
  <c r="J48" i="1"/>
  <c r="P48" i="1"/>
  <c r="U48" i="1" s="1"/>
  <c r="N49" i="1" s="1"/>
  <c r="H181" i="1"/>
  <c r="V189" i="1" l="1"/>
  <c r="Q189" i="1"/>
  <c r="S189" i="1"/>
  <c r="R189" i="1"/>
  <c r="T189" i="1"/>
  <c r="O181" i="1"/>
  <c r="G189" i="1"/>
  <c r="L189" i="1"/>
  <c r="K190" i="1"/>
  <c r="F181" i="1"/>
  <c r="M181" i="1"/>
  <c r="I48" i="1"/>
  <c r="X49" i="1"/>
  <c r="H182" i="1"/>
  <c r="V190" i="1" l="1"/>
  <c r="Q190" i="1"/>
  <c r="S190" i="1"/>
  <c r="R190" i="1"/>
  <c r="T190" i="1"/>
  <c r="O182" i="1"/>
  <c r="G190" i="1"/>
  <c r="L190" i="1"/>
  <c r="K191" i="1"/>
  <c r="F182" i="1"/>
  <c r="M182" i="1"/>
  <c r="Y49" i="1"/>
  <c r="J49" i="1" s="1"/>
  <c r="H183" i="1"/>
  <c r="V191" i="1" l="1"/>
  <c r="Q191" i="1"/>
  <c r="R191" i="1"/>
  <c r="S191" i="1"/>
  <c r="T191" i="1"/>
  <c r="O183" i="1"/>
  <c r="G191" i="1"/>
  <c r="L191" i="1"/>
  <c r="K192" i="1"/>
  <c r="F183" i="1"/>
  <c r="M183" i="1"/>
  <c r="W49" i="1"/>
  <c r="H184" i="1"/>
  <c r="V192" i="1" l="1"/>
  <c r="Q192" i="1"/>
  <c r="R192" i="1"/>
  <c r="S192" i="1"/>
  <c r="T192" i="1"/>
  <c r="O184" i="1"/>
  <c r="G192" i="1"/>
  <c r="L192" i="1"/>
  <c r="O192" i="1"/>
  <c r="K193" i="1"/>
  <c r="F184" i="1"/>
  <c r="M184" i="1"/>
  <c r="P49" i="1"/>
  <c r="H185" i="1"/>
  <c r="V193" i="1" l="1"/>
  <c r="Q193" i="1"/>
  <c r="R193" i="1"/>
  <c r="S193" i="1"/>
  <c r="T193" i="1"/>
  <c r="O185" i="1"/>
  <c r="G193" i="1"/>
  <c r="L193" i="1"/>
  <c r="O193" i="1"/>
  <c r="K194" i="1"/>
  <c r="F185" i="1"/>
  <c r="M185" i="1"/>
  <c r="U49" i="1"/>
  <c r="N50" i="1" s="1"/>
  <c r="I49" i="1"/>
  <c r="H186" i="1"/>
  <c r="V194" i="1" l="1"/>
  <c r="Q194" i="1"/>
  <c r="R194" i="1"/>
  <c r="S194" i="1"/>
  <c r="T194" i="1"/>
  <c r="O186" i="1"/>
  <c r="G194" i="1"/>
  <c r="L194" i="1"/>
  <c r="O194" i="1"/>
  <c r="K195" i="1"/>
  <c r="F186" i="1"/>
  <c r="M186" i="1"/>
  <c r="X50" i="1"/>
  <c r="Y50" i="1" s="1"/>
  <c r="W50" i="1" s="1"/>
  <c r="H187" i="1"/>
  <c r="V195" i="1" l="1"/>
  <c r="Q195" i="1"/>
  <c r="R195" i="1"/>
  <c r="S195" i="1"/>
  <c r="T195" i="1"/>
  <c r="O187" i="1"/>
  <c r="G195" i="1"/>
  <c r="L195" i="1"/>
  <c r="O195" i="1"/>
  <c r="F195" i="1"/>
  <c r="X195" i="1"/>
  <c r="K196" i="1"/>
  <c r="I195" i="1"/>
  <c r="Y195" i="1"/>
  <c r="F187" i="1"/>
  <c r="M187" i="1"/>
  <c r="J50" i="1"/>
  <c r="H188" i="1"/>
  <c r="Q196" i="1" l="1"/>
  <c r="V196" i="1"/>
  <c r="R196" i="1"/>
  <c r="S196" i="1"/>
  <c r="T196" i="1"/>
  <c r="O188" i="1"/>
  <c r="G196" i="1"/>
  <c r="L196" i="1"/>
  <c r="O196" i="1"/>
  <c r="F196" i="1"/>
  <c r="X196" i="1"/>
  <c r="Y196" i="1"/>
  <c r="I196" i="1"/>
  <c r="K197" i="1"/>
  <c r="F188" i="1"/>
  <c r="M188" i="1"/>
  <c r="P50" i="1"/>
  <c r="H189" i="1"/>
  <c r="Q197" i="1" l="1"/>
  <c r="V197" i="1"/>
  <c r="S197" i="1"/>
  <c r="R197" i="1"/>
  <c r="T197" i="1"/>
  <c r="O189" i="1"/>
  <c r="G197" i="1"/>
  <c r="L197" i="1"/>
  <c r="O197" i="1"/>
  <c r="F197" i="1"/>
  <c r="K198" i="1"/>
  <c r="Y197" i="1"/>
  <c r="I197" i="1"/>
  <c r="X197" i="1"/>
  <c r="F189" i="1"/>
  <c r="M189" i="1"/>
  <c r="U50" i="1"/>
  <c r="N51" i="1" s="1"/>
  <c r="I50" i="1"/>
  <c r="N195" i="1"/>
  <c r="U195" i="1"/>
  <c r="P195" i="1"/>
  <c r="M195" i="1"/>
  <c r="H190" i="1"/>
  <c r="Q198" i="1" l="1"/>
  <c r="V198" i="1"/>
  <c r="S198" i="1"/>
  <c r="R198" i="1"/>
  <c r="T198" i="1"/>
  <c r="O190" i="1"/>
  <c r="G198" i="1"/>
  <c r="L198" i="1"/>
  <c r="O198" i="1"/>
  <c r="X198" i="1"/>
  <c r="I198" i="1"/>
  <c r="Y198" i="1"/>
  <c r="F198" i="1"/>
  <c r="K199" i="1"/>
  <c r="F190" i="1"/>
  <c r="M190" i="1"/>
  <c r="X51" i="1"/>
  <c r="Y51" i="1" s="1"/>
  <c r="N196" i="1"/>
  <c r="P196" i="1"/>
  <c r="U196" i="1"/>
  <c r="M196" i="1"/>
  <c r="H191" i="1"/>
  <c r="V199" i="1" l="1"/>
  <c r="Q199" i="1"/>
  <c r="S199" i="1"/>
  <c r="R199" i="1"/>
  <c r="T199" i="1"/>
  <c r="O191" i="1"/>
  <c r="G199" i="1"/>
  <c r="L199" i="1"/>
  <c r="O199" i="1"/>
  <c r="Y199" i="1"/>
  <c r="F199" i="1"/>
  <c r="I199" i="1"/>
  <c r="X199" i="1"/>
  <c r="K200" i="1"/>
  <c r="F191" i="1"/>
  <c r="M191" i="1"/>
  <c r="J51" i="1"/>
  <c r="W51" i="1"/>
  <c r="U197" i="1"/>
  <c r="M197" i="1"/>
  <c r="N197" i="1"/>
  <c r="P197" i="1"/>
  <c r="H192" i="1"/>
  <c r="Q200" i="1" l="1"/>
  <c r="V200" i="1"/>
  <c r="S200" i="1"/>
  <c r="R200" i="1"/>
  <c r="T200" i="1"/>
  <c r="G200" i="1"/>
  <c r="L200" i="1"/>
  <c r="O200" i="1"/>
  <c r="K201" i="1"/>
  <c r="I200" i="1"/>
  <c r="Y200" i="1"/>
  <c r="X200" i="1"/>
  <c r="F200" i="1"/>
  <c r="F192" i="1"/>
  <c r="M192" i="1"/>
  <c r="U198" i="1"/>
  <c r="M198" i="1"/>
  <c r="N198" i="1"/>
  <c r="P198" i="1"/>
  <c r="J197" i="1"/>
  <c r="H193" i="1"/>
  <c r="V201" i="1" l="1"/>
  <c r="Q201" i="1"/>
  <c r="S201" i="1"/>
  <c r="R201" i="1"/>
  <c r="T201" i="1"/>
  <c r="G201" i="1"/>
  <c r="L201" i="1"/>
  <c r="O201" i="1"/>
  <c r="K202" i="1"/>
  <c r="Y201" i="1"/>
  <c r="X201" i="1"/>
  <c r="I201" i="1"/>
  <c r="F201" i="1"/>
  <c r="F193" i="1"/>
  <c r="M193" i="1"/>
  <c r="P51" i="1"/>
  <c r="U199" i="1"/>
  <c r="P199" i="1"/>
  <c r="M199" i="1"/>
  <c r="N199" i="1"/>
  <c r="J198" i="1"/>
  <c r="H194" i="1"/>
  <c r="V202" i="1" l="1"/>
  <c r="Q202" i="1"/>
  <c r="S202" i="1"/>
  <c r="R202" i="1"/>
  <c r="T202" i="1"/>
  <c r="G202" i="1"/>
  <c r="L202" i="1"/>
  <c r="O202" i="1"/>
  <c r="X202" i="1"/>
  <c r="Y202" i="1"/>
  <c r="K203" i="1"/>
  <c r="F202" i="1"/>
  <c r="I202" i="1"/>
  <c r="F194" i="1"/>
  <c r="V3" i="1"/>
  <c r="M194" i="1"/>
  <c r="U51" i="1"/>
  <c r="N52" i="1" s="1"/>
  <c r="X52" i="1" s="1"/>
  <c r="Y52" i="1" s="1"/>
  <c r="I51" i="1"/>
  <c r="N200" i="1"/>
  <c r="U200" i="1"/>
  <c r="P200" i="1"/>
  <c r="M200" i="1"/>
  <c r="J199" i="1"/>
  <c r="H195" i="1"/>
  <c r="V203" i="1" l="1"/>
  <c r="Q203" i="1"/>
  <c r="S203" i="1"/>
  <c r="R203" i="1"/>
  <c r="T203" i="1"/>
  <c r="G203" i="1"/>
  <c r="L203" i="1"/>
  <c r="O203" i="1"/>
  <c r="I203" i="1"/>
  <c r="K204" i="1"/>
  <c r="X203" i="1"/>
  <c r="F203" i="1"/>
  <c r="Y203" i="1"/>
  <c r="J52" i="1"/>
  <c r="W52" i="1"/>
  <c r="N201" i="1"/>
  <c r="U201" i="1"/>
  <c r="P201" i="1"/>
  <c r="M201" i="1"/>
  <c r="J200" i="1"/>
  <c r="H196" i="1"/>
  <c r="Q204" i="1" l="1"/>
  <c r="V204" i="1"/>
  <c r="R204" i="1"/>
  <c r="S204" i="1"/>
  <c r="T204" i="1"/>
  <c r="G204" i="1"/>
  <c r="L204" i="1"/>
  <c r="O204" i="1"/>
  <c r="I204" i="1"/>
  <c r="K205" i="1"/>
  <c r="Y204" i="1"/>
  <c r="X204" i="1"/>
  <c r="F204" i="1"/>
  <c r="U202" i="1"/>
  <c r="N202" i="1"/>
  <c r="P202" i="1"/>
  <c r="M202" i="1"/>
  <c r="J201" i="1"/>
  <c r="H197" i="1"/>
  <c r="V205" i="1" l="1"/>
  <c r="Q205" i="1"/>
  <c r="R205" i="1"/>
  <c r="S205" i="1"/>
  <c r="T205" i="1"/>
  <c r="G205" i="1"/>
  <c r="L205" i="1"/>
  <c r="O205" i="1"/>
  <c r="Y205" i="1"/>
  <c r="I205" i="1"/>
  <c r="X205" i="1"/>
  <c r="F205" i="1"/>
  <c r="K206" i="1"/>
  <c r="P52" i="1"/>
  <c r="U203" i="1"/>
  <c r="P203" i="1"/>
  <c r="M203" i="1"/>
  <c r="N203" i="1"/>
  <c r="J202" i="1"/>
  <c r="H198" i="1"/>
  <c r="Q206" i="1" l="1"/>
  <c r="V206" i="1"/>
  <c r="R206" i="1"/>
  <c r="S206" i="1"/>
  <c r="T206" i="1"/>
  <c r="G206" i="1"/>
  <c r="L206" i="1"/>
  <c r="O206" i="1"/>
  <c r="F206" i="1"/>
  <c r="X206" i="1"/>
  <c r="Y206" i="1"/>
  <c r="K207" i="1"/>
  <c r="I206" i="1"/>
  <c r="U52" i="1"/>
  <c r="N53" i="1" s="1"/>
  <c r="I52" i="1"/>
  <c r="X53" i="1"/>
  <c r="Y53" i="1" s="1"/>
  <c r="U204" i="1"/>
  <c r="N204" i="1"/>
  <c r="M204" i="1"/>
  <c r="P204" i="1"/>
  <c r="J203" i="1"/>
  <c r="H199" i="1"/>
  <c r="Q207" i="1" l="1"/>
  <c r="V207" i="1"/>
  <c r="R207" i="1"/>
  <c r="S207" i="1"/>
  <c r="T207" i="1"/>
  <c r="G207" i="1"/>
  <c r="L207" i="1"/>
  <c r="O207" i="1"/>
  <c r="Y207" i="1"/>
  <c r="F207" i="1"/>
  <c r="X207" i="1"/>
  <c r="K208" i="1"/>
  <c r="I207" i="1"/>
  <c r="J53" i="1"/>
  <c r="W53" i="1"/>
  <c r="P205" i="1"/>
  <c r="U205" i="1"/>
  <c r="N205" i="1"/>
  <c r="M205" i="1"/>
  <c r="J204" i="1"/>
  <c r="H200" i="1"/>
  <c r="Q208" i="1" l="1"/>
  <c r="V208" i="1"/>
  <c r="AA6" i="1"/>
  <c r="R208" i="1"/>
  <c r="T6" i="1" s="1"/>
  <c r="S208" i="1"/>
  <c r="T7" i="1" s="1"/>
  <c r="T208" i="1"/>
  <c r="T8" i="1" s="1"/>
  <c r="G208" i="1"/>
  <c r="L208" i="1"/>
  <c r="O208" i="1"/>
  <c r="F208" i="1"/>
  <c r="I208" i="1"/>
  <c r="X208" i="1"/>
  <c r="Y208" i="1"/>
  <c r="N206" i="1"/>
  <c r="P206" i="1"/>
  <c r="U206" i="1"/>
  <c r="M206" i="1"/>
  <c r="J205" i="1"/>
  <c r="H201" i="1"/>
  <c r="P53" i="1" l="1"/>
  <c r="U207" i="1"/>
  <c r="N207" i="1"/>
  <c r="P207" i="1"/>
  <c r="M207" i="1"/>
  <c r="J206" i="1"/>
  <c r="H202" i="1"/>
  <c r="U53" i="1" l="1"/>
  <c r="N54" i="1" s="1"/>
  <c r="I53" i="1"/>
  <c r="X54" i="1"/>
  <c r="Y54" i="1" s="1"/>
  <c r="U208" i="1"/>
  <c r="N208" i="1"/>
  <c r="P208" i="1"/>
  <c r="M208" i="1"/>
  <c r="J207" i="1"/>
  <c r="H203" i="1"/>
  <c r="W54" i="1" l="1"/>
  <c r="J54" i="1"/>
  <c r="J208" i="1"/>
  <c r="H204" i="1"/>
  <c r="H205" i="1" l="1"/>
  <c r="P54" i="1" l="1"/>
  <c r="H206" i="1"/>
  <c r="U54" i="1" l="1"/>
  <c r="N55" i="1" s="1"/>
  <c r="X55" i="1" s="1"/>
  <c r="Y55" i="1" s="1"/>
  <c r="I54" i="1"/>
  <c r="H207" i="1"/>
  <c r="W55" i="1" l="1"/>
  <c r="J55" i="1"/>
  <c r="H208" i="1"/>
  <c r="P55" i="1" l="1"/>
  <c r="U55" i="1" l="1"/>
  <c r="N56" i="1" s="1"/>
  <c r="X56" i="1" s="1"/>
  <c r="Y56" i="1" s="1"/>
  <c r="I55" i="1"/>
  <c r="W56" i="1" l="1"/>
  <c r="J56" i="1"/>
  <c r="P56" i="1" l="1"/>
  <c r="U56" i="1" l="1"/>
  <c r="N57" i="1" s="1"/>
  <c r="X57" i="1" s="1"/>
  <c r="Y57" i="1" s="1"/>
  <c r="I56" i="1"/>
  <c r="J57" i="1" l="1"/>
  <c r="W57" i="1"/>
  <c r="P57" i="1" l="1"/>
  <c r="U57" i="1" l="1"/>
  <c r="N58" i="1" s="1"/>
  <c r="X58" i="1" s="1"/>
  <c r="Y58" i="1" s="1"/>
  <c r="I57" i="1"/>
  <c r="W58" i="1" l="1"/>
  <c r="J58" i="1"/>
  <c r="P58" i="1" l="1"/>
  <c r="U58" i="1" l="1"/>
  <c r="N59" i="1" s="1"/>
  <c r="X59" i="1" s="1"/>
  <c r="I58" i="1"/>
  <c r="Y59" i="1" l="1"/>
  <c r="J59" i="1" s="1"/>
  <c r="W59" i="1" l="1"/>
  <c r="P59" i="1" l="1"/>
  <c r="U59" i="1" l="1"/>
  <c r="N60" i="1" s="1"/>
  <c r="I59" i="1"/>
  <c r="X60" i="1"/>
  <c r="Y60" i="1" l="1"/>
  <c r="J60" i="1" s="1"/>
  <c r="W60" i="1" l="1"/>
  <c r="P60" i="1" l="1"/>
  <c r="U60" i="1" l="1"/>
  <c r="N61" i="1" s="1"/>
  <c r="I60" i="1"/>
  <c r="X61" i="1"/>
  <c r="Y61" i="1" s="1"/>
  <c r="W61" i="1" l="1"/>
  <c r="J61" i="1"/>
  <c r="P61" i="1" l="1"/>
  <c r="U61" i="1" l="1"/>
  <c r="N62" i="1" s="1"/>
  <c r="X62" i="1" s="1"/>
  <c r="Y62" i="1" s="1"/>
  <c r="I61" i="1"/>
  <c r="W62" i="1" l="1"/>
  <c r="J62" i="1"/>
  <c r="P62" i="1" l="1"/>
  <c r="U62" i="1" l="1"/>
  <c r="N63" i="1" s="1"/>
  <c r="X63" i="1" s="1"/>
  <c r="Y63" i="1" s="1"/>
  <c r="I62" i="1"/>
  <c r="W63" i="1" l="1"/>
  <c r="J63" i="1"/>
  <c r="P63" i="1" l="1"/>
  <c r="U63" i="1" l="1"/>
  <c r="N64" i="1" s="1"/>
  <c r="X64" i="1" s="1"/>
  <c r="I63" i="1"/>
  <c r="Y64" i="1" l="1"/>
  <c r="W64" i="1" s="1"/>
  <c r="P64" i="1" l="1"/>
  <c r="U64" i="1" s="1"/>
  <c r="N65" i="1" s="1"/>
  <c r="J64" i="1"/>
  <c r="I64" i="1" l="1"/>
  <c r="X65" i="1"/>
  <c r="Y65" i="1" l="1"/>
  <c r="J65" i="1" l="1"/>
  <c r="W65" i="1"/>
  <c r="P65" i="1" l="1"/>
  <c r="U65" i="1" l="1"/>
  <c r="N66" i="1" s="1"/>
  <c r="X66" i="1" s="1"/>
  <c r="I65" i="1"/>
  <c r="Y66" i="1" l="1"/>
  <c r="J66" i="1" s="1"/>
  <c r="W66" i="1" l="1"/>
  <c r="P66" i="1" l="1"/>
  <c r="U66" i="1" l="1"/>
  <c r="N67" i="1" s="1"/>
  <c r="X67" i="1" s="1"/>
  <c r="Y67" i="1" s="1"/>
  <c r="I66" i="1"/>
  <c r="J67" i="1" l="1"/>
  <c r="W67" i="1"/>
  <c r="P67" i="1" l="1"/>
  <c r="U67" i="1" l="1"/>
  <c r="N68" i="1" s="1"/>
  <c r="X68" i="1" s="1"/>
  <c r="I67" i="1"/>
  <c r="Y68" i="1" l="1"/>
  <c r="J68" i="1" s="1"/>
  <c r="W68" i="1" l="1"/>
  <c r="P68" i="1" l="1"/>
  <c r="U68" i="1" l="1"/>
  <c r="N69" i="1" s="1"/>
  <c r="I68" i="1"/>
  <c r="X69" i="1"/>
  <c r="Y69" i="1" s="1"/>
  <c r="W69" i="1" l="1"/>
  <c r="J69" i="1"/>
  <c r="P69" i="1" l="1"/>
  <c r="U69" i="1" l="1"/>
  <c r="N70" i="1" s="1"/>
  <c r="I69" i="1"/>
  <c r="X70" i="1"/>
  <c r="Y70" i="1" l="1"/>
  <c r="W70" i="1" s="1"/>
  <c r="P70" i="1" l="1"/>
  <c r="U70" i="1" s="1"/>
  <c r="N71" i="1" s="1"/>
  <c r="J70" i="1"/>
  <c r="I70" i="1" l="1"/>
  <c r="X71" i="1" l="1"/>
  <c r="Y71" i="1" l="1"/>
  <c r="W71" i="1" l="1"/>
  <c r="J71" i="1"/>
  <c r="P71" i="1" l="1"/>
  <c r="U71" i="1" l="1"/>
  <c r="N72" i="1" s="1"/>
  <c r="X72" i="1" s="1"/>
  <c r="Y72" i="1" s="1"/>
  <c r="I71" i="1"/>
  <c r="W72" i="1" l="1"/>
  <c r="J72" i="1"/>
  <c r="P72" i="1" l="1"/>
  <c r="U72" i="1" l="1"/>
  <c r="N73" i="1" s="1"/>
  <c r="X73" i="1" s="1"/>
  <c r="Y73" i="1" s="1"/>
  <c r="I72" i="1"/>
  <c r="J73" i="1" l="1"/>
  <c r="W73" i="1"/>
  <c r="P73" i="1" l="1"/>
  <c r="U73" i="1" l="1"/>
  <c r="N74" i="1" s="1"/>
  <c r="I73" i="1"/>
  <c r="X74" i="1"/>
  <c r="Y74" i="1" s="1"/>
  <c r="J74" i="1" l="1"/>
  <c r="W74" i="1"/>
  <c r="P74" i="1" l="1"/>
  <c r="U74" i="1" l="1"/>
  <c r="N75" i="1" s="1"/>
  <c r="X75" i="1" s="1"/>
  <c r="I74" i="1"/>
  <c r="Y75" i="1" l="1"/>
  <c r="W75" i="1" s="1"/>
  <c r="P75" i="1" l="1"/>
  <c r="U75" i="1" s="1"/>
  <c r="N76" i="1" s="1"/>
  <c r="J75" i="1"/>
  <c r="I75" i="1" l="1"/>
  <c r="X76" i="1"/>
  <c r="Y76" i="1" s="1"/>
  <c r="J76" i="1" l="1"/>
  <c r="W76" i="1"/>
  <c r="P76" i="1" l="1"/>
  <c r="U76" i="1" l="1"/>
  <c r="N77" i="1" s="1"/>
  <c r="X77" i="1" s="1"/>
  <c r="Y77" i="1" s="1"/>
  <c r="I76" i="1"/>
  <c r="W77" i="1" l="1"/>
  <c r="J77" i="1"/>
  <c r="P77" i="1" l="1"/>
  <c r="U77" i="1" l="1"/>
  <c r="N78" i="1" s="1"/>
  <c r="I77" i="1"/>
  <c r="X78" i="1"/>
  <c r="Y78" i="1" s="1"/>
  <c r="J78" i="1" l="1"/>
  <c r="W78" i="1"/>
  <c r="P78" i="1" l="1"/>
  <c r="U78" i="1" l="1"/>
  <c r="N79" i="1" s="1"/>
  <c r="X79" i="1" s="1"/>
  <c r="I78" i="1"/>
  <c r="Y79" i="1" l="1"/>
  <c r="J79" i="1" s="1"/>
  <c r="W79" i="1" l="1"/>
  <c r="P79" i="1" l="1"/>
  <c r="U79" i="1" l="1"/>
  <c r="N80" i="1" s="1"/>
  <c r="X80" i="1" s="1"/>
  <c r="I79" i="1"/>
  <c r="Y80" i="1" l="1"/>
  <c r="J80" i="1" s="1"/>
  <c r="W80" i="1" l="1"/>
  <c r="P80" i="1" l="1"/>
  <c r="U80" i="1" l="1"/>
  <c r="N81" i="1" s="1"/>
  <c r="X81" i="1" s="1"/>
  <c r="I80" i="1"/>
  <c r="Y81" i="1" l="1"/>
  <c r="W81" i="1" s="1"/>
  <c r="P81" i="1" l="1"/>
  <c r="U81" i="1" s="1"/>
  <c r="N82" i="1" s="1"/>
  <c r="J81" i="1"/>
  <c r="I81" i="1" l="1"/>
  <c r="X82" i="1"/>
  <c r="Y82" i="1" l="1"/>
  <c r="W82" i="1" s="1"/>
  <c r="P82" i="1" l="1"/>
  <c r="U82" i="1" s="1"/>
  <c r="N83" i="1" s="1"/>
  <c r="J82" i="1"/>
  <c r="I82" i="1" l="1"/>
  <c r="X83" i="1"/>
  <c r="Y83" i="1" l="1"/>
  <c r="W83" i="1" s="1"/>
  <c r="P83" i="1" l="1"/>
  <c r="U83" i="1" s="1"/>
  <c r="N84" i="1" s="1"/>
  <c r="J83" i="1"/>
  <c r="I83" i="1" l="1"/>
  <c r="X84" i="1"/>
  <c r="Y84" i="1" l="1"/>
  <c r="W84" i="1" s="1"/>
  <c r="P84" i="1" l="1"/>
  <c r="U84" i="1" s="1"/>
  <c r="N85" i="1" s="1"/>
  <c r="J84" i="1"/>
  <c r="I84" i="1" l="1"/>
  <c r="X85" i="1" l="1"/>
  <c r="Y85" i="1" l="1"/>
  <c r="W85" i="1" s="1"/>
  <c r="P85" i="1" l="1"/>
  <c r="U85" i="1" s="1"/>
  <c r="N86" i="1" s="1"/>
  <c r="J85" i="1"/>
  <c r="I85" i="1" l="1"/>
  <c r="X86" i="1"/>
  <c r="Y86" i="1" s="1"/>
  <c r="W86" i="1" l="1"/>
  <c r="J86" i="1"/>
  <c r="P86" i="1" l="1"/>
  <c r="U86" i="1" l="1"/>
  <c r="N87" i="1" s="1"/>
  <c r="I86" i="1"/>
  <c r="X87" i="1"/>
  <c r="Y87" i="1" s="1"/>
  <c r="W87" i="1" l="1"/>
  <c r="J87" i="1"/>
  <c r="P87" i="1" l="1"/>
  <c r="U87" i="1" l="1"/>
  <c r="N88" i="1" s="1"/>
  <c r="X88" i="1" s="1"/>
  <c r="Y88" i="1" s="1"/>
  <c r="I87" i="1"/>
  <c r="W88" i="1" l="1"/>
  <c r="J88" i="1"/>
  <c r="P88" i="1" l="1"/>
  <c r="U88" i="1" l="1"/>
  <c r="N89" i="1" s="1"/>
  <c r="I88" i="1"/>
  <c r="X89" i="1"/>
  <c r="Y89" i="1" s="1"/>
  <c r="W89" i="1" l="1"/>
  <c r="J89" i="1"/>
  <c r="P89" i="1" l="1"/>
  <c r="U89" i="1" l="1"/>
  <c r="N90" i="1" s="1"/>
  <c r="I89" i="1"/>
  <c r="X90" i="1"/>
  <c r="Y90" i="1" l="1"/>
  <c r="J90" i="1" s="1"/>
  <c r="W90" i="1" l="1"/>
  <c r="P90" i="1" l="1"/>
  <c r="U90" i="1" l="1"/>
  <c r="N91" i="1" s="1"/>
  <c r="I90" i="1"/>
  <c r="X91" i="1"/>
  <c r="Y91" i="1" s="1"/>
  <c r="W91" i="1" l="1"/>
  <c r="J91" i="1"/>
  <c r="P91" i="1" l="1"/>
  <c r="U91" i="1" l="1"/>
  <c r="N92" i="1" s="1"/>
  <c r="I91" i="1"/>
  <c r="X92" i="1"/>
  <c r="Y92" i="1" s="1"/>
  <c r="J92" i="1" l="1"/>
  <c r="W92" i="1"/>
  <c r="P92" i="1" l="1"/>
  <c r="U92" i="1" l="1"/>
  <c r="N93" i="1" s="1"/>
  <c r="I92" i="1"/>
  <c r="X93" i="1"/>
  <c r="Y93" i="1" s="1"/>
  <c r="W93" i="1" l="1"/>
  <c r="J93" i="1"/>
  <c r="P93" i="1" l="1"/>
  <c r="U93" i="1" l="1"/>
  <c r="N94" i="1" s="1"/>
  <c r="X94" i="1" s="1"/>
  <c r="Y94" i="1" s="1"/>
  <c r="I93" i="1"/>
  <c r="J94" i="1" l="1"/>
  <c r="W94" i="1"/>
  <c r="P94" i="1" l="1"/>
  <c r="U94" i="1" l="1"/>
  <c r="N95" i="1" s="1"/>
  <c r="I94" i="1"/>
  <c r="X95" i="1"/>
  <c r="Y95" i="1" s="1"/>
  <c r="W95" i="1" l="1"/>
  <c r="J95" i="1"/>
  <c r="P95" i="1" l="1"/>
  <c r="U95" i="1" l="1"/>
  <c r="N96" i="1" s="1"/>
  <c r="I95" i="1"/>
  <c r="X96" i="1"/>
  <c r="Y96" i="1" s="1"/>
  <c r="W96" i="1" l="1"/>
  <c r="J96" i="1"/>
  <c r="P96" i="1" l="1"/>
  <c r="U96" i="1" l="1"/>
  <c r="N97" i="1" s="1"/>
  <c r="X97" i="1" s="1"/>
  <c r="Y97" i="1" s="1"/>
  <c r="I96" i="1"/>
  <c r="J97" i="1" l="1"/>
  <c r="W97" i="1"/>
  <c r="P97" i="1" l="1"/>
  <c r="U97" i="1" l="1"/>
  <c r="N98" i="1" s="1"/>
  <c r="X98" i="1" s="1"/>
  <c r="I97" i="1"/>
  <c r="Y98" i="1" l="1"/>
  <c r="W98" i="1" s="1"/>
  <c r="P98" i="1" l="1"/>
  <c r="U98" i="1" s="1"/>
  <c r="N99" i="1" s="1"/>
  <c r="J98" i="1"/>
  <c r="I98" i="1" l="1"/>
  <c r="X99" i="1"/>
  <c r="Y99" i="1" s="1"/>
  <c r="J99" i="1" l="1"/>
  <c r="W99" i="1"/>
  <c r="P99" i="1" l="1"/>
  <c r="U99" i="1" l="1"/>
  <c r="N100" i="1" s="1"/>
  <c r="X100" i="1" s="1"/>
  <c r="I99" i="1"/>
  <c r="Y100" i="1" l="1"/>
  <c r="J100" i="1" s="1"/>
  <c r="W100" i="1" l="1"/>
  <c r="P100" i="1" l="1"/>
  <c r="U100" i="1" l="1"/>
  <c r="N101" i="1" s="1"/>
  <c r="I100" i="1"/>
  <c r="X101" i="1"/>
  <c r="Y101" i="1" l="1"/>
  <c r="J101" i="1" s="1"/>
  <c r="W101" i="1" l="1"/>
  <c r="P101" i="1" l="1"/>
  <c r="U101" i="1" l="1"/>
  <c r="N102" i="1" s="1"/>
  <c r="I101" i="1"/>
  <c r="X102" i="1"/>
  <c r="Y102" i="1" s="1"/>
  <c r="J102" i="1" l="1"/>
  <c r="W102" i="1"/>
  <c r="P102" i="1" l="1"/>
  <c r="U102" i="1" l="1"/>
  <c r="N103" i="1" s="1"/>
  <c r="I102" i="1"/>
  <c r="X103" i="1"/>
  <c r="Y103" i="1" s="1"/>
  <c r="W103" i="1" l="1"/>
  <c r="J103" i="1"/>
  <c r="P103" i="1" l="1"/>
  <c r="U103" i="1" l="1"/>
  <c r="N104" i="1" s="1"/>
  <c r="I103" i="1"/>
  <c r="X104" i="1"/>
  <c r="Y104" i="1" l="1"/>
  <c r="W104" i="1" s="1"/>
  <c r="P104" i="1" l="1"/>
  <c r="U104" i="1" s="1"/>
  <c r="N105" i="1" s="1"/>
  <c r="J104" i="1"/>
  <c r="I104" i="1" l="1"/>
  <c r="X105" i="1" l="1"/>
  <c r="Y105" i="1" l="1"/>
  <c r="J105" i="1" s="1"/>
  <c r="W105" i="1" l="1"/>
  <c r="P105" i="1" l="1"/>
  <c r="U105" i="1" l="1"/>
  <c r="N106" i="1" s="1"/>
  <c r="X106" i="1" s="1"/>
  <c r="I105" i="1"/>
  <c r="Y106" i="1" l="1"/>
  <c r="W106" i="1" s="1"/>
  <c r="P106" i="1" l="1"/>
  <c r="U106" i="1" s="1"/>
  <c r="N107" i="1" s="1"/>
  <c r="J106" i="1"/>
  <c r="I106" i="1" l="1"/>
  <c r="X107" i="1" l="1"/>
  <c r="Y107" i="1" l="1"/>
  <c r="W107" i="1" s="1"/>
  <c r="P107" i="1" l="1"/>
  <c r="U107" i="1" s="1"/>
  <c r="N108" i="1" s="1"/>
  <c r="J107" i="1"/>
  <c r="I107" i="1" l="1"/>
  <c r="X108" i="1"/>
  <c r="Y108" i="1" l="1"/>
  <c r="J108" i="1" s="1"/>
  <c r="W108" i="1" l="1"/>
  <c r="W195" i="1"/>
  <c r="J195" i="1" l="1"/>
  <c r="P108" i="1" l="1"/>
  <c r="W196" i="1"/>
  <c r="U108" i="1" l="1"/>
  <c r="N109" i="1" s="1"/>
  <c r="X109" i="1" s="1"/>
  <c r="I108" i="1"/>
  <c r="J196" i="1"/>
  <c r="Y109" i="1" l="1"/>
  <c r="J109" i="1" s="1"/>
  <c r="W197" i="1"/>
  <c r="W109" i="1" l="1"/>
  <c r="W198" i="1"/>
  <c r="W199" i="1" l="1"/>
  <c r="P109" i="1" l="1"/>
  <c r="W200" i="1"/>
  <c r="U109" i="1" l="1"/>
  <c r="N110" i="1" s="1"/>
  <c r="I109" i="1"/>
  <c r="X110" i="1"/>
  <c r="W201" i="1"/>
  <c r="Y110" i="1" l="1"/>
  <c r="W110" i="1" s="1"/>
  <c r="W202" i="1"/>
  <c r="P110" i="1" l="1"/>
  <c r="U110" i="1" s="1"/>
  <c r="N111" i="1" s="1"/>
  <c r="J110" i="1"/>
  <c r="W203" i="1"/>
  <c r="I110" i="1" l="1"/>
  <c r="W204" i="1"/>
  <c r="X111" i="1" l="1"/>
  <c r="Y111" i="1" s="1"/>
  <c r="W205" i="1"/>
  <c r="W111" i="1" l="1"/>
  <c r="J111" i="1"/>
  <c r="W206" i="1"/>
  <c r="W207" i="1" l="1"/>
  <c r="P111" i="1" l="1"/>
  <c r="W208" i="1"/>
  <c r="U111" i="1" l="1"/>
  <c r="N112" i="1" s="1"/>
  <c r="X112" i="1" s="1"/>
  <c r="Y112" i="1" s="1"/>
  <c r="I111" i="1"/>
  <c r="J112" i="1" l="1"/>
  <c r="W112" i="1"/>
  <c r="P112" i="1" l="1"/>
  <c r="U112" i="1" l="1"/>
  <c r="N113" i="1" s="1"/>
  <c r="I112" i="1"/>
  <c r="X113" i="1"/>
  <c r="Y113" i="1" s="1"/>
  <c r="J113" i="1" l="1"/>
  <c r="W113" i="1"/>
  <c r="P113" i="1" l="1"/>
  <c r="U113" i="1" l="1"/>
  <c r="N114" i="1" s="1"/>
  <c r="X114" i="1" s="1"/>
  <c r="Y114" i="1" s="1"/>
  <c r="I113" i="1"/>
  <c r="J114" i="1" l="1"/>
  <c r="W114" i="1"/>
  <c r="P114" i="1" l="1"/>
  <c r="U114" i="1" l="1"/>
  <c r="N115" i="1" s="1"/>
  <c r="X115" i="1" s="1"/>
  <c r="I114" i="1"/>
  <c r="Y115" i="1" l="1"/>
  <c r="W115" i="1" s="1"/>
  <c r="P115" i="1" l="1"/>
  <c r="U115" i="1" s="1"/>
  <c r="N116" i="1" s="1"/>
  <c r="J115" i="1"/>
  <c r="I115" i="1" l="1"/>
  <c r="X116" i="1"/>
  <c r="Y116" i="1" s="1"/>
  <c r="W116" i="1" l="1"/>
  <c r="J116" i="1"/>
  <c r="P116" i="1" l="1"/>
  <c r="U116" i="1" l="1"/>
  <c r="N117" i="1" s="1"/>
  <c r="X117" i="1" s="1"/>
  <c r="Y117" i="1" s="1"/>
  <c r="I116" i="1"/>
  <c r="W117" i="1" l="1"/>
  <c r="J117" i="1"/>
  <c r="P117" i="1" l="1"/>
  <c r="U117" i="1" l="1"/>
  <c r="N118" i="1" s="1"/>
  <c r="I117" i="1"/>
  <c r="X118" i="1"/>
  <c r="Y118" i="1" l="1"/>
  <c r="W118" i="1" s="1"/>
  <c r="P118" i="1" l="1"/>
  <c r="U118" i="1" s="1"/>
  <c r="N119" i="1" s="1"/>
  <c r="J118" i="1"/>
  <c r="I118" i="1" l="1"/>
  <c r="X119" i="1" l="1"/>
  <c r="Y119" i="1" l="1"/>
  <c r="W119" i="1" s="1"/>
  <c r="P119" i="1" l="1"/>
  <c r="U119" i="1" s="1"/>
  <c r="N120" i="1" s="1"/>
  <c r="J119" i="1"/>
  <c r="I119" i="1" l="1"/>
  <c r="X120" i="1"/>
  <c r="Y120" i="1" l="1"/>
  <c r="J120" i="1" s="1"/>
  <c r="W120" i="1" l="1"/>
  <c r="P120" i="1" l="1"/>
  <c r="U120" i="1" l="1"/>
  <c r="N121" i="1" s="1"/>
  <c r="X121" i="1" s="1"/>
  <c r="Y121" i="1" s="1"/>
  <c r="I120" i="1"/>
  <c r="J121" i="1" l="1"/>
  <c r="W121" i="1"/>
  <c r="P121" i="1" l="1"/>
  <c r="U121" i="1" l="1"/>
  <c r="N122" i="1" s="1"/>
  <c r="X122" i="1" s="1"/>
  <c r="I121" i="1"/>
  <c r="Y122" i="1" l="1"/>
  <c r="W122" i="1" s="1"/>
  <c r="P122" i="1" l="1"/>
  <c r="U122" i="1" s="1"/>
  <c r="N123" i="1" s="1"/>
  <c r="J122" i="1"/>
  <c r="I122" i="1" l="1"/>
  <c r="X123" i="1"/>
  <c r="Y123" i="1" l="1"/>
  <c r="J123" i="1" s="1"/>
  <c r="W123" i="1" l="1"/>
  <c r="P123" i="1" l="1"/>
  <c r="U123" i="1" l="1"/>
  <c r="N124" i="1" s="1"/>
  <c r="I123" i="1"/>
  <c r="X124" i="1"/>
  <c r="Y124" i="1" l="1"/>
  <c r="W124" i="1" s="1"/>
  <c r="P124" i="1" l="1"/>
  <c r="U124" i="1" s="1"/>
  <c r="N125" i="1" s="1"/>
  <c r="J124" i="1"/>
  <c r="I124" i="1" l="1"/>
  <c r="X125" i="1" l="1"/>
  <c r="Y125" i="1" l="1"/>
  <c r="J125" i="1" s="1"/>
  <c r="W125" i="1" l="1"/>
  <c r="P125" i="1" l="1"/>
  <c r="U125" i="1" l="1"/>
  <c r="N126" i="1" s="1"/>
  <c r="I125" i="1"/>
  <c r="X126" i="1"/>
  <c r="Y126" i="1" l="1"/>
  <c r="W126" i="1" s="1"/>
  <c r="P126" i="1" l="1"/>
  <c r="U126" i="1" s="1"/>
  <c r="N127" i="1" s="1"/>
  <c r="J126" i="1"/>
  <c r="I126" i="1" l="1"/>
  <c r="X127" i="1"/>
  <c r="Y127" i="1" s="1"/>
  <c r="J127" i="1" l="1"/>
  <c r="W127" i="1"/>
  <c r="P127" i="1" l="1"/>
  <c r="U127" i="1" l="1"/>
  <c r="N128" i="1" s="1"/>
  <c r="I127" i="1"/>
  <c r="X128" i="1"/>
  <c r="Y128" i="1" s="1"/>
  <c r="J128" i="1" l="1"/>
  <c r="W128" i="1"/>
  <c r="P128" i="1" l="1"/>
  <c r="U128" i="1" l="1"/>
  <c r="N129" i="1" s="1"/>
  <c r="I128" i="1"/>
  <c r="X129" i="1"/>
  <c r="Y129" i="1" s="1"/>
  <c r="W129" i="1" l="1"/>
  <c r="J129" i="1"/>
  <c r="P129" i="1" l="1"/>
  <c r="U129" i="1" l="1"/>
  <c r="N130" i="1" s="1"/>
  <c r="I129" i="1"/>
  <c r="X130" i="1"/>
  <c r="Y130" i="1" l="1"/>
  <c r="J130" i="1" s="1"/>
  <c r="W130" i="1" l="1"/>
  <c r="P130" i="1" l="1"/>
  <c r="U130" i="1" l="1"/>
  <c r="N131" i="1" s="1"/>
  <c r="I130" i="1"/>
  <c r="X131" i="1"/>
  <c r="Y131" i="1" l="1"/>
  <c r="W131" i="1" s="1"/>
  <c r="P131" i="1" l="1"/>
  <c r="U131" i="1" s="1"/>
  <c r="N132" i="1" s="1"/>
  <c r="J131" i="1"/>
  <c r="I131" i="1" l="1"/>
  <c r="X132" i="1"/>
  <c r="Y132" i="1" l="1"/>
  <c r="J132" i="1" s="1"/>
  <c r="W132" i="1" l="1"/>
  <c r="P132" i="1" l="1"/>
  <c r="U132" i="1" l="1"/>
  <c r="N133" i="1" s="1"/>
  <c r="I132" i="1"/>
  <c r="X133" i="1"/>
  <c r="Y133" i="1" l="1"/>
  <c r="J133" i="1" s="1"/>
  <c r="W133" i="1" l="1"/>
  <c r="P133" i="1" l="1"/>
  <c r="U133" i="1" l="1"/>
  <c r="N134" i="1" s="1"/>
  <c r="I133" i="1"/>
  <c r="X134" i="1"/>
  <c r="Y134" i="1" l="1"/>
  <c r="W134" i="1" s="1"/>
  <c r="P134" i="1" l="1"/>
  <c r="U134" i="1" s="1"/>
  <c r="N135" i="1" s="1"/>
  <c r="J134" i="1"/>
  <c r="I134" i="1" l="1"/>
  <c r="X135" i="1" l="1"/>
  <c r="Y135" i="1" s="1"/>
  <c r="W135" i="1" l="1"/>
  <c r="J135" i="1"/>
  <c r="P135" i="1" l="1"/>
  <c r="U135" i="1" l="1"/>
  <c r="N136" i="1" s="1"/>
  <c r="I135" i="1"/>
  <c r="X136" i="1"/>
  <c r="Y136" i="1" s="1"/>
  <c r="J136" i="1" l="1"/>
  <c r="W136" i="1"/>
  <c r="P136" i="1" l="1"/>
  <c r="U136" i="1" l="1"/>
  <c r="N137" i="1" s="1"/>
  <c r="I136" i="1"/>
  <c r="X137" i="1"/>
  <c r="Y137" i="1" s="1"/>
  <c r="W137" i="1" l="1"/>
  <c r="J137" i="1"/>
  <c r="P137" i="1" l="1"/>
  <c r="U137" i="1" l="1"/>
  <c r="N138" i="1" s="1"/>
  <c r="I137" i="1"/>
  <c r="X138" i="1"/>
  <c r="Y138" i="1" s="1"/>
  <c r="J138" i="1" l="1"/>
  <c r="W138" i="1"/>
  <c r="P138" i="1" l="1"/>
  <c r="U138" i="1" l="1"/>
  <c r="N139" i="1" s="1"/>
  <c r="I138" i="1"/>
  <c r="X139" i="1"/>
  <c r="Y139" i="1" l="1"/>
  <c r="W139" i="1" s="1"/>
  <c r="P139" i="1" l="1"/>
  <c r="U139" i="1" s="1"/>
  <c r="N140" i="1" s="1"/>
  <c r="J139" i="1"/>
  <c r="I139" i="1" l="1"/>
  <c r="X140" i="1" l="1"/>
  <c r="Y140" i="1" s="1"/>
  <c r="W140" i="1" l="1"/>
  <c r="J140" i="1"/>
  <c r="P140" i="1" l="1"/>
  <c r="U140" i="1" l="1"/>
  <c r="N141" i="1" s="1"/>
  <c r="X141" i="1" s="1"/>
  <c r="I140" i="1"/>
  <c r="Y141" i="1" l="1"/>
  <c r="J141" i="1" s="1"/>
  <c r="W141" i="1" l="1"/>
  <c r="P141" i="1" l="1"/>
  <c r="U141" i="1" l="1"/>
  <c r="N142" i="1" s="1"/>
  <c r="X142" i="1" s="1"/>
  <c r="Y142" i="1" s="1"/>
  <c r="I141" i="1"/>
  <c r="W142" i="1" l="1"/>
  <c r="J142" i="1"/>
  <c r="P142" i="1" l="1"/>
  <c r="U142" i="1" l="1"/>
  <c r="N143" i="1" s="1"/>
  <c r="X143" i="1" s="1"/>
  <c r="Y143" i="1" s="1"/>
  <c r="I142" i="1"/>
  <c r="J143" i="1" l="1"/>
  <c r="W143" i="1"/>
  <c r="P143" i="1" l="1"/>
  <c r="U143" i="1" l="1"/>
  <c r="N144" i="1" s="1"/>
  <c r="X144" i="1" s="1"/>
  <c r="I143" i="1"/>
  <c r="Y144" i="1" l="1"/>
  <c r="J144" i="1" s="1"/>
  <c r="W144" i="1" l="1"/>
  <c r="P144" i="1" l="1"/>
  <c r="U144" i="1" l="1"/>
  <c r="N145" i="1" s="1"/>
  <c r="I144" i="1"/>
  <c r="X145" i="1"/>
  <c r="Y145" i="1" l="1"/>
  <c r="J145" i="1" s="1"/>
  <c r="W145" i="1" l="1"/>
  <c r="P145" i="1" l="1"/>
  <c r="U145" i="1" l="1"/>
  <c r="N146" i="1" s="1"/>
  <c r="X146" i="1" s="1"/>
  <c r="Y146" i="1" s="1"/>
  <c r="I145" i="1"/>
  <c r="J146" i="1" l="1"/>
  <c r="W146" i="1"/>
  <c r="P146" i="1" l="1"/>
  <c r="U146" i="1" l="1"/>
  <c r="N147" i="1" s="1"/>
  <c r="X147" i="1" s="1"/>
  <c r="I146" i="1"/>
  <c r="Y147" i="1" l="1"/>
  <c r="J147" i="1" s="1"/>
  <c r="W147" i="1" l="1"/>
  <c r="P147" i="1" l="1"/>
  <c r="U147" i="1" l="1"/>
  <c r="N148" i="1" s="1"/>
  <c r="X148" i="1" s="1"/>
  <c r="I147" i="1"/>
  <c r="Y148" i="1" l="1"/>
  <c r="W148" i="1" s="1"/>
  <c r="P148" i="1" l="1"/>
  <c r="U148" i="1" s="1"/>
  <c r="N149" i="1" s="1"/>
  <c r="J148" i="1"/>
  <c r="I148" i="1" l="1"/>
  <c r="X149" i="1" l="1"/>
  <c r="Y149" i="1" l="1"/>
  <c r="W149" i="1" s="1"/>
  <c r="P149" i="1" l="1"/>
  <c r="U149" i="1" s="1"/>
  <c r="N150" i="1" s="1"/>
  <c r="J149" i="1"/>
  <c r="I149" i="1" l="1"/>
  <c r="X150" i="1"/>
  <c r="Y150" i="1" l="1"/>
  <c r="W150" i="1" s="1"/>
  <c r="P150" i="1" l="1"/>
  <c r="U150" i="1" s="1"/>
  <c r="N151" i="1" s="1"/>
  <c r="J150" i="1"/>
  <c r="I150" i="1" l="1"/>
  <c r="X151" i="1"/>
  <c r="Y151" i="1" l="1"/>
  <c r="J151" i="1" s="1"/>
  <c r="W151" i="1" l="1"/>
  <c r="P151" i="1" l="1"/>
  <c r="U151" i="1" l="1"/>
  <c r="N152" i="1" s="1"/>
  <c r="X152" i="1" s="1"/>
  <c r="I151" i="1"/>
  <c r="Y152" i="1" l="1"/>
  <c r="W152" i="1" s="1"/>
  <c r="P152" i="1" l="1"/>
  <c r="U152" i="1" s="1"/>
  <c r="N153" i="1" s="1"/>
  <c r="J152" i="1"/>
  <c r="I152" i="1" l="1"/>
  <c r="X153" i="1" l="1"/>
  <c r="Y153" i="1" s="1"/>
  <c r="J153" i="1" l="1"/>
  <c r="W153" i="1"/>
  <c r="P153" i="1" l="1"/>
  <c r="U153" i="1" l="1"/>
  <c r="N154" i="1" s="1"/>
  <c r="I153" i="1"/>
  <c r="X154" i="1"/>
  <c r="Y154" i="1" s="1"/>
  <c r="J154" i="1" l="1"/>
  <c r="W154" i="1"/>
  <c r="P154" i="1" l="1"/>
  <c r="U154" i="1" l="1"/>
  <c r="N155" i="1" s="1"/>
  <c r="X155" i="1" s="1"/>
  <c r="I154" i="1"/>
  <c r="Y155" i="1" l="1"/>
  <c r="J155" i="1" s="1"/>
  <c r="W155" i="1" l="1"/>
  <c r="P155" i="1" l="1"/>
  <c r="U155" i="1" l="1"/>
  <c r="N156" i="1" s="1"/>
  <c r="I155" i="1"/>
  <c r="X156" i="1"/>
  <c r="Y156" i="1" s="1"/>
  <c r="W156" i="1" l="1"/>
  <c r="J156" i="1"/>
  <c r="P156" i="1" l="1"/>
  <c r="U156" i="1" l="1"/>
  <c r="N157" i="1" s="1"/>
  <c r="I156" i="1"/>
  <c r="X157" i="1"/>
  <c r="Y157" i="1" l="1"/>
  <c r="J157" i="1" s="1"/>
  <c r="W157" i="1" l="1"/>
  <c r="P157" i="1" l="1"/>
  <c r="U157" i="1" l="1"/>
  <c r="N158" i="1" s="1"/>
  <c r="X158" i="1" s="1"/>
  <c r="I157" i="1"/>
  <c r="Y158" i="1" l="1"/>
  <c r="W158" i="1" s="1"/>
  <c r="P158" i="1" l="1"/>
  <c r="U158" i="1" s="1"/>
  <c r="N159" i="1" s="1"/>
  <c r="J158" i="1"/>
  <c r="I158" i="1" l="1"/>
  <c r="X159" i="1" l="1"/>
  <c r="Y159" i="1" s="1"/>
  <c r="J159" i="1" l="1"/>
  <c r="W159" i="1"/>
  <c r="P159" i="1" l="1"/>
  <c r="U159" i="1" l="1"/>
  <c r="N160" i="1" s="1"/>
  <c r="X160" i="1" s="1"/>
  <c r="Y160" i="1" s="1"/>
  <c r="I159" i="1"/>
  <c r="J160" i="1" l="1"/>
  <c r="W160" i="1"/>
  <c r="P160" i="1" l="1"/>
  <c r="U160" i="1" l="1"/>
  <c r="N161" i="1" s="1"/>
  <c r="I160" i="1"/>
  <c r="X161" i="1"/>
  <c r="Y161" i="1" s="1"/>
  <c r="J161" i="1" l="1"/>
  <c r="W161" i="1"/>
  <c r="P161" i="1" l="1"/>
  <c r="U161" i="1" l="1"/>
  <c r="N162" i="1" s="1"/>
  <c r="X162" i="1" s="1"/>
  <c r="Y162" i="1" s="1"/>
  <c r="I161" i="1"/>
  <c r="W162" i="1" l="1"/>
  <c r="J162" i="1"/>
  <c r="P162" i="1" l="1"/>
  <c r="U162" i="1" l="1"/>
  <c r="N163" i="1" s="1"/>
  <c r="X163" i="1" s="1"/>
  <c r="I162" i="1"/>
  <c r="Y163" i="1" l="1"/>
  <c r="J163" i="1" s="1"/>
  <c r="W163" i="1" l="1"/>
  <c r="P163" i="1" l="1"/>
  <c r="U163" i="1" l="1"/>
  <c r="N164" i="1" s="1"/>
  <c r="X164" i="1" s="1"/>
  <c r="I163" i="1"/>
  <c r="Y164" i="1" l="1"/>
  <c r="W164" i="1" s="1"/>
  <c r="P164" i="1" l="1"/>
  <c r="U164" i="1" s="1"/>
  <c r="N165" i="1" s="1"/>
  <c r="J164" i="1"/>
  <c r="I164" i="1" l="1"/>
  <c r="X165" i="1"/>
  <c r="Y165" i="1" l="1"/>
  <c r="W165" i="1" s="1"/>
  <c r="I165" i="1" l="1"/>
  <c r="P165" i="1"/>
  <c r="U165" i="1" s="1"/>
  <c r="N166" i="1" s="1"/>
  <c r="J165" i="1"/>
  <c r="X166" i="1" l="1"/>
  <c r="Y166" i="1" l="1"/>
  <c r="J166" i="1" s="1"/>
  <c r="W166" i="1" l="1"/>
  <c r="I166" i="1" l="1"/>
  <c r="P166" i="1" l="1"/>
  <c r="U166" i="1" s="1"/>
  <c r="N167" i="1" s="1"/>
  <c r="X167" i="1" l="1"/>
  <c r="Y167" i="1" l="1"/>
  <c r="W167" i="1" s="1"/>
  <c r="I167" i="1" l="1"/>
  <c r="P167" i="1"/>
  <c r="U167" i="1" s="1"/>
  <c r="N168" i="1" s="1"/>
  <c r="J167" i="1"/>
  <c r="X168" i="1" l="1"/>
  <c r="Y168" i="1" l="1"/>
  <c r="J168" i="1" s="1"/>
  <c r="W168" i="1" l="1"/>
  <c r="I168" i="1" l="1"/>
  <c r="P168" i="1" l="1"/>
  <c r="U168" i="1" s="1"/>
  <c r="N169" i="1" l="1"/>
  <c r="X169" i="1" l="1"/>
  <c r="Y169" i="1" s="1"/>
  <c r="W169" i="1" l="1"/>
  <c r="J169" i="1"/>
  <c r="I169" i="1" l="1"/>
  <c r="P169" i="1" l="1"/>
  <c r="U169" i="1" s="1"/>
  <c r="N170" i="1" s="1"/>
  <c r="X170" i="1" l="1"/>
  <c r="Y170" i="1" s="1"/>
  <c r="J170" i="1" l="1"/>
  <c r="W170" i="1"/>
  <c r="I170" i="1" l="1"/>
  <c r="P170" i="1" l="1"/>
  <c r="U170" i="1" s="1"/>
  <c r="N171" i="1" s="1"/>
  <c r="X171" i="1" l="1"/>
  <c r="Y171" i="1" s="1"/>
  <c r="J171" i="1" l="1"/>
  <c r="W171" i="1"/>
  <c r="I171" i="1" l="1"/>
  <c r="P171" i="1" l="1"/>
  <c r="U171" i="1" s="1"/>
  <c r="N172" i="1" s="1"/>
  <c r="X172" i="1" l="1"/>
  <c r="Y172" i="1" s="1"/>
  <c r="J172" i="1" l="1"/>
  <c r="W172" i="1"/>
  <c r="I172" i="1" l="1"/>
  <c r="P172" i="1" l="1"/>
  <c r="U172" i="1" s="1"/>
  <c r="N173" i="1" s="1"/>
  <c r="X173" i="1" l="1"/>
  <c r="Y173" i="1" s="1"/>
  <c r="J173" i="1" l="1"/>
  <c r="W173" i="1"/>
  <c r="I173" i="1" l="1"/>
  <c r="P173" i="1" l="1"/>
  <c r="U173" i="1" s="1"/>
  <c r="N174" i="1" s="1"/>
  <c r="X174" i="1" l="1"/>
  <c r="Y174" i="1" l="1"/>
  <c r="W174" i="1" s="1"/>
  <c r="I174" i="1" l="1"/>
  <c r="P174" i="1"/>
  <c r="U174" i="1" s="1"/>
  <c r="N175" i="1" s="1"/>
  <c r="J174" i="1"/>
  <c r="X175" i="1" l="1"/>
  <c r="Y175" i="1" l="1"/>
  <c r="W175" i="1" s="1"/>
  <c r="I175" i="1" l="1"/>
  <c r="P175" i="1"/>
  <c r="U175" i="1" s="1"/>
  <c r="N176" i="1" s="1"/>
  <c r="J175" i="1"/>
  <c r="X176" i="1" l="1"/>
  <c r="Y176" i="1" l="1"/>
  <c r="W176" i="1" s="1"/>
  <c r="I176" i="1" l="1"/>
  <c r="P176" i="1"/>
  <c r="U176" i="1" s="1"/>
  <c r="N177" i="1" s="1"/>
  <c r="J176" i="1"/>
  <c r="X177" i="1" l="1"/>
  <c r="Y177" i="1" s="1"/>
  <c r="J177" i="1" l="1"/>
  <c r="W177" i="1"/>
  <c r="I177" i="1" l="1"/>
  <c r="P177" i="1" l="1"/>
  <c r="U177" i="1" s="1"/>
  <c r="N178" i="1" s="1"/>
  <c r="X178" i="1" l="1"/>
  <c r="Y178" i="1" s="1"/>
  <c r="W178" i="1" l="1"/>
  <c r="J178" i="1"/>
  <c r="I178" i="1" l="1"/>
  <c r="P178" i="1" l="1"/>
  <c r="U178" i="1" s="1"/>
  <c r="N179" i="1" s="1"/>
  <c r="X179" i="1" l="1"/>
  <c r="Y179" i="1" l="1"/>
  <c r="W179" i="1" s="1"/>
  <c r="I179" i="1" l="1"/>
  <c r="P179" i="1"/>
  <c r="U179" i="1" s="1"/>
  <c r="N180" i="1" s="1"/>
  <c r="J179" i="1"/>
  <c r="X180" i="1" l="1"/>
  <c r="Y180" i="1" s="1"/>
  <c r="J180" i="1" l="1"/>
  <c r="W180" i="1"/>
  <c r="I180" i="1" l="1"/>
  <c r="P180" i="1" l="1"/>
  <c r="U180" i="1" s="1"/>
  <c r="N181" i="1" s="1"/>
  <c r="X181" i="1" l="1"/>
  <c r="Y181" i="1" s="1"/>
  <c r="W181" i="1" l="1"/>
  <c r="J181" i="1"/>
  <c r="I181" i="1" l="1"/>
  <c r="P181" i="1" l="1"/>
  <c r="U181" i="1" s="1"/>
  <c r="N182" i="1" s="1"/>
  <c r="X182" i="1" l="1"/>
  <c r="Y182" i="1" l="1"/>
  <c r="W182" i="1" s="1"/>
  <c r="I182" i="1" l="1"/>
  <c r="P182" i="1"/>
  <c r="U182" i="1" s="1"/>
  <c r="N183" i="1" s="1"/>
  <c r="J182" i="1"/>
  <c r="X183" i="1" l="1"/>
  <c r="Y183" i="1" l="1"/>
  <c r="W183" i="1" s="1"/>
  <c r="I183" i="1" l="1"/>
  <c r="P183" i="1"/>
  <c r="U183" i="1" s="1"/>
  <c r="N184" i="1" s="1"/>
  <c r="J183" i="1"/>
  <c r="X184" i="1" l="1"/>
  <c r="Y184" i="1" l="1"/>
  <c r="J184" i="1" s="1"/>
  <c r="W184" i="1" l="1"/>
  <c r="I184" i="1" l="1"/>
  <c r="P184" i="1" l="1"/>
  <c r="U184" i="1" s="1"/>
  <c r="N185" i="1" s="1"/>
  <c r="X185" i="1" l="1"/>
  <c r="Y185" i="1" l="1"/>
  <c r="W185" i="1" s="1"/>
  <c r="I185" i="1" l="1"/>
  <c r="P185" i="1"/>
  <c r="U185" i="1" s="1"/>
  <c r="N186" i="1" s="1"/>
  <c r="J185" i="1"/>
  <c r="X186" i="1" l="1"/>
  <c r="Y186" i="1" l="1"/>
  <c r="J186" i="1" s="1"/>
  <c r="W186" i="1" l="1"/>
  <c r="I186" i="1" l="1"/>
  <c r="P186" i="1" l="1"/>
  <c r="U186" i="1" s="1"/>
  <c r="N187" i="1" s="1"/>
  <c r="X187" i="1" l="1"/>
  <c r="Y187" i="1" l="1"/>
  <c r="J187" i="1" s="1"/>
  <c r="W187" i="1" l="1"/>
  <c r="I187" i="1" l="1"/>
  <c r="P187" i="1" l="1"/>
  <c r="U187" i="1" s="1"/>
  <c r="N188" i="1" s="1"/>
  <c r="X188" i="1" l="1"/>
  <c r="Y188" i="1" s="1"/>
  <c r="W188" i="1" l="1"/>
  <c r="J188" i="1"/>
  <c r="I188" i="1" l="1"/>
  <c r="P188" i="1" l="1"/>
  <c r="U188" i="1" s="1"/>
  <c r="N189" i="1" s="1"/>
  <c r="X189" i="1" l="1"/>
  <c r="Y189" i="1" s="1"/>
  <c r="W189" i="1" l="1"/>
  <c r="J189" i="1"/>
  <c r="I189" i="1" l="1"/>
  <c r="P189" i="1" l="1"/>
  <c r="U189" i="1" s="1"/>
  <c r="N190" i="1" s="1"/>
  <c r="X190" i="1" l="1"/>
  <c r="Y190" i="1" s="1"/>
  <c r="W190" i="1" l="1"/>
  <c r="J190" i="1"/>
  <c r="I190" i="1" l="1"/>
  <c r="P190" i="1" l="1"/>
  <c r="U190" i="1" s="1"/>
  <c r="N191" i="1" s="1"/>
  <c r="X191" i="1" l="1"/>
  <c r="Y191" i="1" l="1"/>
  <c r="J191" i="1" s="1"/>
  <c r="W191" i="1" l="1"/>
  <c r="I191" i="1" l="1"/>
  <c r="P191" i="1" l="1"/>
  <c r="U191" i="1" s="1"/>
  <c r="N192" i="1" l="1"/>
  <c r="X192" i="1" l="1"/>
  <c r="Y192" i="1" s="1"/>
  <c r="W192" i="1" l="1"/>
  <c r="J192" i="1"/>
  <c r="I192" i="1" l="1"/>
  <c r="P192" i="1" l="1"/>
  <c r="U192" i="1" s="1"/>
  <c r="N193" i="1" l="1"/>
  <c r="X193" i="1" l="1"/>
  <c r="Y193" i="1" l="1"/>
  <c r="W193" i="1" s="1"/>
  <c r="I193" i="1" l="1"/>
  <c r="J193" i="1"/>
  <c r="P193" i="1" l="1"/>
  <c r="U193" i="1" s="1"/>
  <c r="N194" i="1" l="1"/>
  <c r="X194" i="1" l="1"/>
  <c r="Y194" i="1" s="1"/>
  <c r="W194" i="1" l="1"/>
  <c r="J194" i="1"/>
  <c r="I194" i="1" l="1"/>
  <c r="P194" i="1" l="1"/>
  <c r="U194" i="1" s="1"/>
  <c r="O32" i="1"/>
  <c r="M33" i="1" l="1"/>
  <c r="F32" i="1"/>
  <c r="M32" i="1"/>
  <c r="N37" i="1" l="1"/>
  <c r="O14" i="1" l="1"/>
  <c r="O13" i="1"/>
  <c r="V5" i="1" l="1"/>
  <c r="I12" i="1"/>
  <c r="N13" i="1" l="1"/>
  <c r="X13" i="1" s="1"/>
  <c r="Y13" i="1" l="1"/>
  <c r="W13" i="1" s="1"/>
  <c r="Q13" i="1" l="1"/>
  <c r="V13" i="1" s="1"/>
  <c r="J13" i="1"/>
  <c r="P13" i="1" l="1"/>
  <c r="U13" i="1" l="1"/>
  <c r="N14" i="1" s="1"/>
  <c r="X14" i="1" s="1"/>
  <c r="Y14" i="1" s="1"/>
  <c r="W14" i="1" s="1"/>
  <c r="I13" i="1"/>
  <c r="Q14" i="1" l="1"/>
  <c r="J14" i="1"/>
  <c r="V14" i="1" l="1"/>
  <c r="P14" i="1"/>
  <c r="U14" i="1" l="1"/>
  <c r="N15" i="1" s="1"/>
  <c r="X15" i="1" s="1"/>
  <c r="I14" i="1"/>
  <c r="Y15" i="1" l="1"/>
  <c r="W15" i="1" s="1"/>
  <c r="Q15" i="1" l="1"/>
  <c r="J15" i="1"/>
  <c r="P15" i="1" l="1"/>
  <c r="U15" i="1" s="1"/>
  <c r="N16" i="1" s="1"/>
  <c r="I15" i="1"/>
  <c r="V15" i="1"/>
  <c r="X16" i="1" l="1"/>
  <c r="Y16" i="1" s="1"/>
  <c r="W16" i="1" s="1"/>
  <c r="J16" i="1" l="1"/>
  <c r="Q16" i="1"/>
  <c r="V16" i="1" l="1"/>
  <c r="P16" i="1"/>
  <c r="U16" i="1" l="1"/>
  <c r="N17" i="1" s="1"/>
  <c r="X17" i="1" s="1"/>
  <c r="Y17" i="1" s="1"/>
  <c r="I16" i="1"/>
  <c r="W17" i="1" l="1"/>
  <c r="J17" i="1"/>
  <c r="Q17" i="1" l="1"/>
  <c r="V17" i="1" l="1"/>
  <c r="P17" i="1"/>
  <c r="U17" i="1" l="1"/>
  <c r="N18" i="1" s="1"/>
  <c r="X18" i="1" s="1"/>
  <c r="I17" i="1"/>
  <c r="Y18" i="1" l="1"/>
  <c r="J18" i="1" s="1"/>
  <c r="W18" i="1" l="1"/>
  <c r="Q18" i="1" l="1"/>
  <c r="V18" i="1" l="1"/>
  <c r="P18" i="1"/>
  <c r="U18" i="1" l="1"/>
  <c r="N19" i="1" s="1"/>
  <c r="X19" i="1" s="1"/>
  <c r="I18" i="1"/>
  <c r="Y19" i="1" l="1"/>
  <c r="W19" i="1" s="1"/>
  <c r="Q19" i="1" l="1"/>
  <c r="P19" i="1" s="1"/>
  <c r="U19" i="1" s="1"/>
  <c r="N20" i="1" s="1"/>
  <c r="J19" i="1"/>
  <c r="I19" i="1" l="1"/>
  <c r="V19" i="1"/>
  <c r="X20" i="1" s="1"/>
  <c r="Y20" i="1" s="1"/>
  <c r="W20" i="1" l="1"/>
  <c r="J20" i="1"/>
  <c r="Q20" i="1" l="1"/>
  <c r="P20" i="1" s="1"/>
  <c r="U20" i="1" s="1"/>
  <c r="N21" i="1" s="1"/>
  <c r="I20" i="1" l="1"/>
  <c r="V20" i="1"/>
  <c r="X21" i="1" s="1"/>
  <c r="Y21" i="1" s="1"/>
  <c r="W21" i="1" l="1"/>
  <c r="J21" i="1"/>
  <c r="Q21" i="1" l="1"/>
  <c r="V21" i="1" s="1"/>
  <c r="P21" i="1" l="1"/>
  <c r="U21" i="1" l="1"/>
  <c r="N22" i="1" s="1"/>
  <c r="I21" i="1"/>
  <c r="X22" i="1"/>
  <c r="Y22" i="1" l="1"/>
  <c r="J22" i="1" s="1"/>
  <c r="W22" i="1" l="1"/>
  <c r="Q22" i="1" l="1"/>
  <c r="P22" i="1" s="1"/>
  <c r="U22" i="1" s="1"/>
  <c r="N23" i="1" s="1"/>
  <c r="I22" i="1" l="1"/>
  <c r="V22" i="1"/>
  <c r="X23" i="1" s="1"/>
  <c r="Y23" i="1" s="1"/>
  <c r="W23" i="1" l="1"/>
  <c r="J23" i="1"/>
  <c r="Q23" i="1" l="1"/>
  <c r="P23" i="1" s="1"/>
  <c r="U23" i="1" s="1"/>
  <c r="N24" i="1" s="1"/>
  <c r="I23" i="1" l="1"/>
  <c r="V23" i="1"/>
  <c r="X24" i="1" s="1"/>
  <c r="Y24" i="1" l="1"/>
  <c r="J24" i="1" s="1"/>
  <c r="W24" i="1" l="1"/>
  <c r="Q24" i="1" l="1"/>
  <c r="P24" i="1" s="1"/>
  <c r="U24" i="1" s="1"/>
  <c r="N25" i="1" s="1"/>
  <c r="I24" i="1" l="1"/>
  <c r="V24" i="1"/>
  <c r="X25" i="1" s="1"/>
  <c r="Y25" i="1" l="1"/>
  <c r="W25" i="1" s="1"/>
  <c r="Q25" i="1" l="1"/>
  <c r="P25" i="1" s="1"/>
  <c r="U25" i="1" s="1"/>
  <c r="N26" i="1" s="1"/>
  <c r="J25" i="1"/>
  <c r="I25" i="1" l="1"/>
  <c r="V25" i="1"/>
  <c r="X26" i="1" s="1"/>
  <c r="Y26" i="1" l="1"/>
  <c r="J26" i="1" s="1"/>
  <c r="W26" i="1" l="1"/>
  <c r="Q26" i="1" l="1"/>
  <c r="P26" i="1" s="1"/>
  <c r="U26" i="1" s="1"/>
  <c r="N27" i="1" s="1"/>
  <c r="I26" i="1" l="1"/>
  <c r="V26" i="1"/>
  <c r="X27" i="1" s="1"/>
  <c r="Y27" i="1" s="1"/>
  <c r="W27" i="1" l="1"/>
  <c r="J27" i="1"/>
  <c r="Q27" i="1" l="1"/>
  <c r="P27" i="1" s="1"/>
  <c r="U27" i="1" s="1"/>
  <c r="N28" i="1" s="1"/>
  <c r="I27" i="1" l="1"/>
  <c r="V27" i="1"/>
  <c r="X28" i="1" s="1"/>
  <c r="Y28" i="1" l="1"/>
  <c r="J28" i="1" s="1"/>
  <c r="W28" i="1" l="1"/>
  <c r="Q28" i="1" l="1"/>
  <c r="P28" i="1" s="1"/>
  <c r="U28" i="1" s="1"/>
  <c r="N29" i="1" s="1"/>
  <c r="I28" i="1" l="1"/>
  <c r="V28" i="1"/>
  <c r="X29" i="1" s="1"/>
  <c r="Y29" i="1" s="1"/>
  <c r="J29" i="1" l="1"/>
  <c r="W29" i="1"/>
  <c r="Q29" i="1" l="1"/>
  <c r="P29" i="1" s="1"/>
  <c r="U29" i="1" s="1"/>
  <c r="N30" i="1" s="1"/>
  <c r="I29" i="1" l="1"/>
  <c r="V29" i="1"/>
  <c r="X30" i="1" s="1"/>
  <c r="Y30" i="1" s="1"/>
  <c r="W30" i="1" l="1"/>
  <c r="J30" i="1"/>
  <c r="Q30" i="1" l="1"/>
  <c r="P30" i="1" s="1"/>
  <c r="U30" i="1" s="1"/>
  <c r="N31" i="1" s="1"/>
  <c r="I30" i="1" l="1"/>
  <c r="V30" i="1"/>
  <c r="X31" i="1" s="1"/>
  <c r="Y31" i="1" s="1"/>
  <c r="W31" i="1" l="1"/>
  <c r="J31" i="1"/>
  <c r="Q31" i="1" l="1"/>
  <c r="P31" i="1" s="1"/>
  <c r="U31" i="1" s="1"/>
  <c r="N32" i="1" s="1"/>
  <c r="I31" i="1" l="1"/>
  <c r="V31" i="1"/>
  <c r="X32" i="1" s="1"/>
  <c r="Y32" i="1" l="1"/>
  <c r="J32" i="1" s="1"/>
  <c r="W32" i="1" l="1"/>
  <c r="Q32" i="1" l="1"/>
  <c r="P32" i="1" s="1"/>
  <c r="U32" i="1" s="1"/>
  <c r="N33" i="1" s="1"/>
  <c r="I32" i="1" l="1"/>
  <c r="V32" i="1"/>
  <c r="X33" i="1" s="1"/>
  <c r="Y33" i="1" s="1"/>
  <c r="W33" i="1" l="1"/>
  <c r="J33" i="1"/>
  <c r="Q33" i="1" l="1"/>
  <c r="P33" i="1" s="1"/>
  <c r="U33" i="1" s="1"/>
  <c r="N34" i="1" s="1"/>
  <c r="I33" i="1" l="1"/>
  <c r="V33" i="1"/>
  <c r="X34" i="1" s="1"/>
  <c r="Y34" i="1" l="1"/>
  <c r="W34" i="1" s="1"/>
  <c r="Q34" i="1" l="1"/>
  <c r="P34" i="1" s="1"/>
  <c r="U34" i="1" s="1"/>
  <c r="N35" i="1" s="1"/>
  <c r="J34" i="1"/>
  <c r="I34" i="1" l="1"/>
  <c r="V34" i="1"/>
  <c r="X35" i="1" s="1"/>
  <c r="Y35" i="1" l="1"/>
  <c r="J35" i="1" s="1"/>
  <c r="W35" i="1" l="1"/>
  <c r="Q35" i="1" l="1"/>
  <c r="I35" i="1"/>
  <c r="V35" i="1" l="1"/>
  <c r="P35" i="1"/>
  <c r="U35" i="1" s="1"/>
  <c r="N36" i="1" l="1"/>
  <c r="X36" i="1" l="1"/>
  <c r="Y36" i="1" s="1"/>
  <c r="J36" i="1" s="1"/>
  <c r="AA7" i="1" s="1"/>
  <c r="W36" i="1" l="1"/>
  <c r="Q36" i="1" l="1"/>
  <c r="I36" i="1"/>
  <c r="I11" i="1" s="1"/>
  <c r="V36" i="1"/>
  <c r="P36" i="1" l="1"/>
  <c r="U36" i="1" s="1"/>
  <c r="V7" i="1" s="1"/>
  <c r="V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Kenji Jhoncon</author>
  </authors>
  <commentList>
    <comment ref="P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Cuota Original</t>
        </r>
      </text>
    </comment>
    <comment ref="P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Cuotas Adicionales por reprogramacion.
Ampliacion de Plazo</t>
        </r>
      </text>
    </comment>
    <comment ref="P8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Parcial</t>
        </r>
      </text>
    </comment>
    <comment ref="P9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Total</t>
        </r>
      </text>
    </comment>
    <comment ref="A10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En blanco es cuota Regular
</t>
        </r>
      </text>
    </comment>
    <comment ref="B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Gracia Total
Valor numerico</t>
        </r>
      </text>
    </comment>
  </commentList>
</comments>
</file>

<file path=xl/sharedStrings.xml><?xml version="1.0" encoding="utf-8"?>
<sst xmlns="http://schemas.openxmlformats.org/spreadsheetml/2006/main" count="123" uniqueCount="122">
  <si>
    <t>ENE</t>
  </si>
  <si>
    <t>MAR</t>
  </si>
  <si>
    <t>MAY</t>
  </si>
  <si>
    <t>JUL</t>
  </si>
  <si>
    <t>SET</t>
  </si>
  <si>
    <t>NOV</t>
  </si>
  <si>
    <t>FEB</t>
  </si>
  <si>
    <t>ABR</t>
  </si>
  <si>
    <t>JUN</t>
  </si>
  <si>
    <t>AGO</t>
  </si>
  <si>
    <t>OCT</t>
  </si>
  <si>
    <t>DIC</t>
  </si>
  <si>
    <t>Desembolso</t>
  </si>
  <si>
    <t>Cuota</t>
  </si>
  <si>
    <t>sd</t>
  </si>
  <si>
    <t>Objetivo</t>
  </si>
  <si>
    <t>1ra Cuota</t>
  </si>
  <si>
    <t>Ncuotas</t>
  </si>
  <si>
    <t>sb</t>
  </si>
  <si>
    <t>Monto</t>
  </si>
  <si>
    <t>a</t>
  </si>
  <si>
    <t>c</t>
  </si>
  <si>
    <t>f</t>
  </si>
  <si>
    <t>d</t>
  </si>
  <si>
    <t>si</t>
  </si>
  <si>
    <t>k</t>
  </si>
  <si>
    <t>i</t>
  </si>
  <si>
    <t>sf</t>
  </si>
  <si>
    <t>sfi</t>
  </si>
  <si>
    <t>I 1TRAMO</t>
  </si>
  <si>
    <t>I 2TRAMO</t>
  </si>
  <si>
    <t>I 3TRAMO</t>
  </si>
  <si>
    <t>I 4TRAMO</t>
  </si>
  <si>
    <t>I 5TRAMO</t>
  </si>
  <si>
    <t>Aportes</t>
  </si>
  <si>
    <t>Desgrav</t>
  </si>
  <si>
    <t>Seguro</t>
  </si>
  <si>
    <t>Total Intereses</t>
  </si>
  <si>
    <t>I 6TRAMO</t>
  </si>
  <si>
    <t>Dia de Pago</t>
  </si>
  <si>
    <t>T.E.A.</t>
  </si>
  <si>
    <t>interes</t>
  </si>
  <si>
    <t>Prepago</t>
  </si>
  <si>
    <t>I 7TRAMO</t>
  </si>
  <si>
    <t>I 8TRAMO</t>
  </si>
  <si>
    <t>I 9TRAMO</t>
  </si>
  <si>
    <t>I 10TRAMO</t>
  </si>
  <si>
    <t>I 11TRAMO</t>
  </si>
  <si>
    <t>I 12TRAMO</t>
  </si>
  <si>
    <t>I 13TRAMO</t>
  </si>
  <si>
    <t>I 14TRAMO</t>
  </si>
  <si>
    <t>I 15TRAMO</t>
  </si>
  <si>
    <t>I 16TRAMO</t>
  </si>
  <si>
    <t>I 17TRAMO</t>
  </si>
  <si>
    <t>I 18TRAMO</t>
  </si>
  <si>
    <t>I 19TRAMO</t>
  </si>
  <si>
    <t>I 20TRAMO</t>
  </si>
  <si>
    <t>I 21TRAMO</t>
  </si>
  <si>
    <t>I 22TRAMO</t>
  </si>
  <si>
    <t>I 23TRAMO</t>
  </si>
  <si>
    <t>I 24TRAMO</t>
  </si>
  <si>
    <t>Total Pago</t>
  </si>
  <si>
    <t>I 25TRAMO</t>
  </si>
  <si>
    <t>I 26TRAMO</t>
  </si>
  <si>
    <t>I 27TRAMO</t>
  </si>
  <si>
    <t>I 28TRAMO</t>
  </si>
  <si>
    <t>I 29TRAMO</t>
  </si>
  <si>
    <t>I 30TRAMO</t>
  </si>
  <si>
    <t>I 31TRAMO</t>
  </si>
  <si>
    <t>I 32TRAMO</t>
  </si>
  <si>
    <t>I 33TRAMO</t>
  </si>
  <si>
    <t>I 34TRAMO</t>
  </si>
  <si>
    <t>I 35TRAMO</t>
  </si>
  <si>
    <t>I 36TRAMO</t>
  </si>
  <si>
    <t>I 37TRAMO</t>
  </si>
  <si>
    <t>I 38TRAMO</t>
  </si>
  <si>
    <t>I 39TRAMO</t>
  </si>
  <si>
    <t>I 40TRAMO</t>
  </si>
  <si>
    <t>I 41TRAMO</t>
  </si>
  <si>
    <t>I 42TRAMO</t>
  </si>
  <si>
    <t>I 43TRAMO</t>
  </si>
  <si>
    <t>I 44TRAMO</t>
  </si>
  <si>
    <t>I 45TRAMO</t>
  </si>
  <si>
    <t>I 46TRAMO</t>
  </si>
  <si>
    <t>I 47TRAMO</t>
  </si>
  <si>
    <t>I 48TRAMO</t>
  </si>
  <si>
    <t>I 49TRAMO</t>
  </si>
  <si>
    <t>I 50TRAMO</t>
  </si>
  <si>
    <t>I 51TRAMO</t>
  </si>
  <si>
    <t>I 52TRAMO</t>
  </si>
  <si>
    <t>I 53TRAMO</t>
  </si>
  <si>
    <t>I 54TRAMO</t>
  </si>
  <si>
    <t>I 55TRAMO</t>
  </si>
  <si>
    <t>I 56TRAMO</t>
  </si>
  <si>
    <t>I 57TRAMO</t>
  </si>
  <si>
    <t>I 58TRAMO</t>
  </si>
  <si>
    <t>I 59TRAMO</t>
  </si>
  <si>
    <t>I 60TRAMO</t>
  </si>
  <si>
    <t>I 61TRAMO</t>
  </si>
  <si>
    <t>Fijar Pago</t>
  </si>
  <si>
    <t>Tipo Cuota</t>
  </si>
  <si>
    <t>TIPO_CUOTAS</t>
  </si>
  <si>
    <t>Gracia Parcial</t>
  </si>
  <si>
    <t>Regular</t>
  </si>
  <si>
    <t>NCuotas Sin Contar Prepagos</t>
  </si>
  <si>
    <t>Arreglo</t>
  </si>
  <si>
    <t>CheckList Formulas</t>
  </si>
  <si>
    <t>Numero de cuotas</t>
  </si>
  <si>
    <t>Numero de tramos</t>
  </si>
  <si>
    <t>TramoCheck</t>
  </si>
  <si>
    <t>Fijar Fecha</t>
  </si>
  <si>
    <t>PagoSinFijar</t>
  </si>
  <si>
    <t>Gtotal</t>
  </si>
  <si>
    <t>cAdicional</t>
  </si>
  <si>
    <t>Ultima Cuota</t>
  </si>
  <si>
    <t>Dia</t>
  </si>
  <si>
    <t>Nprepago</t>
  </si>
  <si>
    <t>GraciaTotal</t>
  </si>
  <si>
    <t>UltimoDia</t>
  </si>
  <si>
    <t>v6.5</t>
  </si>
  <si>
    <t>Cuota Doble</t>
  </si>
  <si>
    <t>Fijar Interes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</si>
</sst>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left" indent="1"/>
    </xf>
    <xf numFmtId="4" fontId="0" fillId="0" borderId="0" xfId="0" applyNumberFormat="1"/>
    <xf numFmtId="14" fontId="2" fillId="0" borderId="0" xfId="0" applyNumberFormat="1" applyFont="1" applyFill="1"/>
    <xf numFmtId="14" fontId="0" fillId="0" borderId="0" xfId="0" applyNumberFormat="1"/>
    <xf numFmtId="164" fontId="0" fillId="0" borderId="0" xfId="0" applyNumberFormat="1"/>
    <xf numFmtId="14" fontId="0" fillId="0" borderId="0" xfId="0" applyNumberFormat="1" applyFill="1"/>
    <xf numFmtId="4" fontId="0" fillId="0" borderId="0" xfId="0" applyNumberFormat="1" applyFill="1"/>
    <xf numFmtId="3" fontId="0" fillId="0" borderId="0" xfId="0" applyNumberFormat="1" applyAlignment="1">
      <alignment horizontal="center"/>
    </xf>
    <xf numFmtId="0" fontId="0" fillId="0" borderId="0" xfId="0" applyFill="1"/>
    <xf numFmtId="0" fontId="0" fillId="2" borderId="1" xfId="0" applyFill="1" applyBorder="1" applyAlignment="1">
      <alignment horizontal="center"/>
    </xf>
    <xf numFmtId="14" fontId="0" fillId="2" borderId="0" xfId="0" applyNumberFormat="1" applyFill="1"/>
    <xf numFmtId="164" fontId="0" fillId="2" borderId="0" xfId="1" applyFont="1" applyFill="1"/>
    <xf numFmtId="0" fontId="0" fillId="2" borderId="0" xfId="0" applyFill="1"/>
    <xf numFmtId="2" fontId="0" fillId="2" borderId="0" xfId="0" applyNumberFormat="1" applyFill="1"/>
    <xf numFmtId="10" fontId="0" fillId="2" borderId="0" xfId="2" applyNumberFormat="1" applyFont="1" applyFill="1"/>
    <xf numFmtId="0" fontId="0" fillId="0" borderId="0" xfId="0" applyAlignment="1">
      <alignment horizontal="right"/>
    </xf>
    <xf numFmtId="0" fontId="0" fillId="0" borderId="0" xfId="1" applyNumberFormat="1" applyFont="1" applyAlignment="1">
      <alignment horizontal="center"/>
    </xf>
    <xf numFmtId="164" fontId="2" fillId="0" borderId="0" xfId="1" applyFont="1" applyFill="1"/>
    <xf numFmtId="164" fontId="0" fillId="0" borderId="0" xfId="1" applyFont="1"/>
    <xf numFmtId="0" fontId="2" fillId="0" borderId="0" xfId="0" applyNumberFormat="1" applyFont="1" applyFill="1"/>
    <xf numFmtId="0" fontId="0" fillId="0" borderId="0" xfId="0" applyNumberFormat="1"/>
    <xf numFmtId="19" fontId="0" fillId="0" borderId="0" xfId="0" applyNumberFormat="1"/>
    <xf numFmtId="164" fontId="1" fillId="0" borderId="0" xfId="1" applyFont="1" applyFill="1"/>
    <xf numFmtId="0" fontId="5" fillId="0" borderId="0" xfId="0" applyFont="1"/>
    <xf numFmtId="0" fontId="0" fillId="0" borderId="0" xfId="0" applyAlignment="1">
      <alignment horizontal="left" indent="2"/>
    </xf>
    <xf numFmtId="0" fontId="0" fillId="0" borderId="0" xfId="0" applyFill="1" applyAlignment="1"/>
    <xf numFmtId="9" fontId="0" fillId="0" borderId="0" xfId="2" applyFont="1"/>
    <xf numFmtId="0" fontId="4" fillId="0" borderId="0" xfId="0" applyNumberFormat="1" applyFont="1" applyAlignment="1"/>
    <xf numFmtId="0" fontId="0" fillId="0" borderId="0" xfId="0" applyAlignment="1">
      <alignment horizontal="left" indent="2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</cellXfs>
  <cellStyles count="3">
    <cellStyle name="Millares" xfId="1" builtinId="3"/>
    <cellStyle name="Normal" xfId="0" builtinId="0"/>
    <cellStyle name="Porcentaje" xfId="2" builtinId="5"/>
  </cellStyles>
  <dxfs count="8"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A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7</xdr:row>
          <xdr:rowOff>28575</xdr:rowOff>
        </xdr:from>
        <xdr:to>
          <xdr:col>3</xdr:col>
          <xdr:colOff>421482</xdr:colOff>
          <xdr:row>8</xdr:row>
          <xdr:rowOff>133350</xdr:rowOff>
        </xdr:to>
        <xdr:sp macro="" textlink="">
          <xdr:nvSpPr>
            <xdr:cNvPr id="1025" name="btnLimpi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4</xdr:row>
          <xdr:rowOff>66675</xdr:rowOff>
        </xdr:from>
        <xdr:to>
          <xdr:col>16</xdr:col>
          <xdr:colOff>866775</xdr:colOff>
          <xdr:row>6</xdr:row>
          <xdr:rowOff>114300</xdr:rowOff>
        </xdr:to>
        <xdr:sp macro="" textlink="">
          <xdr:nvSpPr>
            <xdr:cNvPr id="1027" name="btAjust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647701</xdr:colOff>
          <xdr:row>2</xdr:row>
          <xdr:rowOff>123825</xdr:rowOff>
        </xdr:to>
        <xdr:sp macro="" textlink="">
          <xdr:nvSpPr>
            <xdr:cNvPr id="1029" name="Option Button 5" descr="Mensual Fij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Mensual Fijo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123825</xdr:rowOff>
        </xdr:from>
        <xdr:to>
          <xdr:col>3</xdr:col>
          <xdr:colOff>628651</xdr:colOff>
          <xdr:row>4</xdr:row>
          <xdr:rowOff>28575</xdr:rowOff>
        </xdr:to>
        <xdr:sp macro="" textlink="">
          <xdr:nvSpPr>
            <xdr:cNvPr id="1030" name="Option Button 6" descr="Mensual Fij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Bimensual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47625</xdr:rowOff>
        </xdr:from>
        <xdr:to>
          <xdr:col>3</xdr:col>
          <xdr:colOff>647701</xdr:colOff>
          <xdr:row>5</xdr:row>
          <xdr:rowOff>123825</xdr:rowOff>
        </xdr:to>
        <xdr:sp macro="" textlink="">
          <xdr:nvSpPr>
            <xdr:cNvPr id="1031" name="Option Button 7" descr="Mensual Fij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Trimestrual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</xdr:row>
          <xdr:rowOff>161925</xdr:rowOff>
        </xdr:from>
        <xdr:to>
          <xdr:col>13</xdr:col>
          <xdr:colOff>981075</xdr:colOff>
          <xdr:row>7</xdr:row>
          <xdr:rowOff>19050</xdr:rowOff>
        </xdr:to>
        <xdr:sp macro="" textlink="">
          <xdr:nvSpPr>
            <xdr:cNvPr id="1042" name="cbUltimoDia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40481</xdr:colOff>
          <xdr:row>4</xdr:row>
          <xdr:rowOff>2381</xdr:rowOff>
        </xdr:from>
        <xdr:to>
          <xdr:col>23</xdr:col>
          <xdr:colOff>871537</xdr:colOff>
          <xdr:row>6</xdr:row>
          <xdr:rowOff>164306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.csv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F208"/>
  <sheetViews>
    <sheetView tabSelected="1" zoomScale="80" zoomScaleNormal="80" workbookViewId="0">
      <pane ySplit="10" topLeftCell="A11" activePane="bottomLeft" state="frozen"/>
      <selection pane="bottomLeft" activeCell="A2" sqref="A2"/>
    </sheetView>
  </sheetViews>
  <sheetFormatPr baseColWidth="10" defaultRowHeight="15" x14ac:dyDescent="0.25"/>
  <cols>
    <col min="1" max="1" width="13.28515625" customWidth="1"/>
    <col min="2" max="2" width="5.42578125" customWidth="1"/>
    <col min="3" max="4" width="13" style="20" customWidth="1"/>
    <col min="5" max="5" width="12.28515625" customWidth="1"/>
    <col min="6" max="6" width="6.28515625" hidden="1" customWidth="1"/>
    <col min="7" max="7" width="12.7109375" style="22" hidden="1" customWidth="1"/>
    <col min="8" max="10" width="9.28515625" style="22" hidden="1" customWidth="1"/>
    <col min="11" max="11" width="7.42578125" customWidth="1"/>
    <col min="12" max="12" width="13.7109375" customWidth="1"/>
    <col min="13" max="13" width="17.28515625" customWidth="1"/>
    <col min="14" max="14" width="15" customWidth="1"/>
    <col min="15" max="15" width="14.5703125" customWidth="1"/>
    <col min="16" max="16" width="14.7109375" customWidth="1"/>
    <col min="17" max="20" width="13.7109375" customWidth="1"/>
    <col min="21" max="21" width="20.7109375" customWidth="1"/>
    <col min="22" max="22" width="14.140625" customWidth="1"/>
    <col min="23" max="23" width="15.5703125" hidden="1" customWidth="1"/>
    <col min="24" max="24" width="13.7109375" customWidth="1"/>
    <col min="25" max="25" width="14.7109375" customWidth="1"/>
    <col min="26" max="26" width="15.5703125" customWidth="1"/>
  </cols>
  <sheetData>
    <row r="1" spans="1:84" x14ac:dyDescent="0.25">
      <c r="A1" s="1">
        <v>1</v>
      </c>
      <c r="B1" s="1">
        <v>0</v>
      </c>
      <c r="C1" s="19" t="str">
        <f>CONCATENATE($M$1,$M$2,$O$1,$O$2,$Q$1,$Q$2,$S$1,$S$2,$U$1,$U$2,$X$1,$X$2)</f>
        <v>111111111111</v>
      </c>
      <c r="D1" s="19"/>
      <c r="E1" s="4"/>
      <c r="H1" s="21"/>
      <c r="I1" s="21"/>
      <c r="J1" s="21"/>
      <c r="K1" s="31" t="s">
        <v>120</v>
      </c>
      <c r="L1" s="2" t="s">
        <v>0</v>
      </c>
      <c r="M1" s="11">
        <v>1</v>
      </c>
      <c r="N1" s="2" t="s">
        <v>1</v>
      </c>
      <c r="O1" s="11">
        <v>1</v>
      </c>
      <c r="P1" s="2" t="s">
        <v>2</v>
      </c>
      <c r="Q1" s="11">
        <v>1</v>
      </c>
      <c r="R1" s="2" t="s">
        <v>3</v>
      </c>
      <c r="S1" s="11">
        <v>1</v>
      </c>
      <c r="T1" s="2" t="s">
        <v>4</v>
      </c>
      <c r="U1" s="11">
        <v>1</v>
      </c>
      <c r="V1" s="2" t="s">
        <v>5</v>
      </c>
      <c r="W1" s="2"/>
      <c r="X1" s="11">
        <v>1</v>
      </c>
    </row>
    <row r="2" spans="1:84" x14ac:dyDescent="0.25">
      <c r="A2" t="s">
        <v>119</v>
      </c>
      <c r="K2" s="32"/>
      <c r="L2" s="2" t="s">
        <v>6</v>
      </c>
      <c r="M2" s="11">
        <v>1</v>
      </c>
      <c r="N2" s="2" t="s">
        <v>7</v>
      </c>
      <c r="O2" s="11">
        <v>1</v>
      </c>
      <c r="P2" s="2" t="s">
        <v>8</v>
      </c>
      <c r="Q2" s="11">
        <v>1</v>
      </c>
      <c r="R2" s="2" t="s">
        <v>9</v>
      </c>
      <c r="S2" s="11">
        <v>1</v>
      </c>
      <c r="T2" s="2" t="s">
        <v>10</v>
      </c>
      <c r="U2" s="11">
        <v>1</v>
      </c>
      <c r="V2" s="2" t="s">
        <v>11</v>
      </c>
      <c r="W2" s="2"/>
      <c r="X2" s="11">
        <v>1</v>
      </c>
      <c r="Z2" s="27"/>
      <c r="AA2" s="27"/>
    </row>
    <row r="3" spans="1:84" x14ac:dyDescent="0.25">
      <c r="U3" s="17" t="s">
        <v>114</v>
      </c>
      <c r="V3" s="3">
        <f>INDEX($O$12:$O1000,+NCUOTAS+CUOTAADICIONAL+PGRACIA)</f>
        <v>290.85000000000002</v>
      </c>
      <c r="AB3" s="3"/>
    </row>
    <row r="4" spans="1:84" x14ac:dyDescent="0.25">
      <c r="U4" s="17" t="s">
        <v>37</v>
      </c>
      <c r="V4" s="3">
        <f>SUM($Q$12:$Q1000)</f>
        <v>680.39999999999986</v>
      </c>
      <c r="Y4" s="25" t="s">
        <v>106</v>
      </c>
      <c r="AB4" s="3"/>
      <c r="AE4" s="28">
        <f>ROUND(($AE$5/100+1)^12-1,2)</f>
        <v>0.18</v>
      </c>
    </row>
    <row r="5" spans="1:84" x14ac:dyDescent="0.25">
      <c r="N5" s="5"/>
      <c r="O5" t="s">
        <v>13</v>
      </c>
      <c r="P5" s="8">
        <v>290.85000000000002</v>
      </c>
      <c r="R5" t="s">
        <v>40</v>
      </c>
      <c r="S5" s="16">
        <v>0.1</v>
      </c>
      <c r="T5" s="18">
        <f>ROUND(((1+$S$5)^(1/12)-1)*100,6)</f>
        <v>0.79741399999999996</v>
      </c>
      <c r="U5" s="17" t="s">
        <v>61</v>
      </c>
      <c r="V5" s="3">
        <f>SUM($O$12:$O1000)</f>
        <v>6980.4000000000024</v>
      </c>
      <c r="AB5" s="3"/>
      <c r="AE5" s="14">
        <v>1.388843</v>
      </c>
    </row>
    <row r="6" spans="1:84" x14ac:dyDescent="0.25">
      <c r="L6" t="s">
        <v>12</v>
      </c>
      <c r="M6" s="12">
        <v>43584</v>
      </c>
      <c r="N6" s="23"/>
      <c r="O6" t="s">
        <v>17</v>
      </c>
      <c r="P6" s="14">
        <v>24</v>
      </c>
      <c r="R6" t="s">
        <v>35</v>
      </c>
      <c r="S6" s="15">
        <v>0</v>
      </c>
      <c r="T6" s="3">
        <f>SUM($R$12:$R1000)</f>
        <v>0</v>
      </c>
      <c r="U6" s="17" t="s">
        <v>39</v>
      </c>
      <c r="V6">
        <f>DAY($M$7)</f>
        <v>25</v>
      </c>
      <c r="W6" s="3"/>
      <c r="Y6" s="30" t="s">
        <v>107</v>
      </c>
      <c r="Z6" s="30"/>
      <c r="AA6" t="str">
        <f>IF(COUNTA($K$12:$K1000)&lt;$P$6,"Falta Extender la formula hacia abajo","OK")</f>
        <v>OK</v>
      </c>
    </row>
    <row r="7" spans="1:84" x14ac:dyDescent="0.25">
      <c r="L7" t="s">
        <v>16</v>
      </c>
      <c r="M7" s="12">
        <v>43641</v>
      </c>
      <c r="O7" s="3" t="s">
        <v>113</v>
      </c>
      <c r="P7" s="14">
        <v>0</v>
      </c>
      <c r="R7" t="s">
        <v>36</v>
      </c>
      <c r="S7" s="15">
        <v>0</v>
      </c>
      <c r="T7" s="3">
        <f>SUM($S$12:$S1000)</f>
        <v>0</v>
      </c>
      <c r="U7" s="17" t="s">
        <v>15</v>
      </c>
      <c r="V7" s="3">
        <f>ROUND(INDEX($U$12:$U1000,+NCUOTAS+CUOTAADICIONAL+PGRACIA),2)</f>
        <v>0</v>
      </c>
      <c r="W7" s="8"/>
      <c r="Y7" s="26" t="s">
        <v>108</v>
      </c>
      <c r="Z7" s="26"/>
      <c r="AA7" t="str">
        <f>IF(SUM($J$12:$J1000)&gt;0,"Falta Extender la formula hacia la derecha","OK")</f>
        <v>OK</v>
      </c>
    </row>
    <row r="8" spans="1:84" x14ac:dyDescent="0.25">
      <c r="L8" t="s">
        <v>19</v>
      </c>
      <c r="M8" s="13">
        <v>6060</v>
      </c>
      <c r="O8" s="3" t="s">
        <v>116</v>
      </c>
      <c r="P8">
        <f>COUNTIF($A$12:$A1048576,"Prepago")</f>
        <v>0</v>
      </c>
      <c r="R8" t="s">
        <v>34</v>
      </c>
      <c r="S8" s="15">
        <v>10</v>
      </c>
      <c r="T8" s="3">
        <f>SUM($T$12:$T1000)</f>
        <v>240</v>
      </c>
      <c r="U8" s="17" t="s">
        <v>105</v>
      </c>
      <c r="V8" s="8">
        <v>0</v>
      </c>
      <c r="W8" s="3"/>
      <c r="AB8" s="3"/>
    </row>
    <row r="9" spans="1:84" x14ac:dyDescent="0.25">
      <c r="L9" s="5"/>
      <c r="M9" s="6"/>
      <c r="O9" t="s">
        <v>117</v>
      </c>
      <c r="P9">
        <f>SUM($B$12:$B1048576)</f>
        <v>0</v>
      </c>
    </row>
    <row r="10" spans="1:84" x14ac:dyDescent="0.25">
      <c r="A10" t="s">
        <v>100</v>
      </c>
      <c r="B10" t="s">
        <v>112</v>
      </c>
      <c r="C10" s="24" t="s">
        <v>99</v>
      </c>
      <c r="D10" s="24" t="s">
        <v>121</v>
      </c>
      <c r="E10" t="s">
        <v>110</v>
      </c>
      <c r="F10" t="s">
        <v>115</v>
      </c>
      <c r="G10" s="22" t="s">
        <v>118</v>
      </c>
      <c r="H10" s="22" t="s">
        <v>104</v>
      </c>
      <c r="I10" s="22" t="s">
        <v>111</v>
      </c>
      <c r="J10" s="22" t="s">
        <v>109</v>
      </c>
      <c r="K10" t="s">
        <v>21</v>
      </c>
      <c r="L10" t="s">
        <v>22</v>
      </c>
      <c r="M10" t="s">
        <v>23</v>
      </c>
      <c r="N10" t="s">
        <v>24</v>
      </c>
      <c r="O10" t="s">
        <v>21</v>
      </c>
      <c r="P10" t="s">
        <v>25</v>
      </c>
      <c r="Q10" t="s">
        <v>26</v>
      </c>
      <c r="R10" t="s">
        <v>14</v>
      </c>
      <c r="S10" t="s">
        <v>18</v>
      </c>
      <c r="T10" t="s">
        <v>20</v>
      </c>
      <c r="U10" t="s">
        <v>27</v>
      </c>
      <c r="V10" t="s">
        <v>28</v>
      </c>
      <c r="W10" t="s">
        <v>41</v>
      </c>
      <c r="X10" t="s">
        <v>29</v>
      </c>
      <c r="Y10" t="s">
        <v>30</v>
      </c>
      <c r="Z10" t="s">
        <v>31</v>
      </c>
      <c r="AA10" t="s">
        <v>32</v>
      </c>
      <c r="AB10" t="s">
        <v>33</v>
      </c>
      <c r="AC10" t="s">
        <v>38</v>
      </c>
      <c r="AD10" t="s">
        <v>43</v>
      </c>
      <c r="AE10" t="s">
        <v>44</v>
      </c>
      <c r="AF10" t="s">
        <v>45</v>
      </c>
      <c r="AG10" t="s">
        <v>46</v>
      </c>
      <c r="AH10" t="s">
        <v>47</v>
      </c>
      <c r="AI10" t="s">
        <v>48</v>
      </c>
      <c r="AJ10" t="s">
        <v>49</v>
      </c>
      <c r="AK10" t="s">
        <v>50</v>
      </c>
      <c r="AL10" t="s">
        <v>51</v>
      </c>
      <c r="AM10" t="s">
        <v>52</v>
      </c>
      <c r="AN10" t="s">
        <v>53</v>
      </c>
      <c r="AO10" t="s">
        <v>54</v>
      </c>
      <c r="AP10" t="s">
        <v>55</v>
      </c>
      <c r="AQ10" t="s">
        <v>56</v>
      </c>
      <c r="AR10" t="s">
        <v>57</v>
      </c>
      <c r="AS10" t="s">
        <v>58</v>
      </c>
      <c r="AT10" t="s">
        <v>59</v>
      </c>
      <c r="AU10" t="s">
        <v>60</v>
      </c>
      <c r="AV10" t="s">
        <v>62</v>
      </c>
      <c r="AW10" t="s">
        <v>63</v>
      </c>
      <c r="AX10" t="s">
        <v>64</v>
      </c>
      <c r="AY10" t="s">
        <v>65</v>
      </c>
      <c r="AZ10" t="s">
        <v>66</v>
      </c>
      <c r="BA10" t="s">
        <v>67</v>
      </c>
      <c r="BB10" t="s">
        <v>68</v>
      </c>
      <c r="BC10" t="s">
        <v>69</v>
      </c>
      <c r="BD10" t="s">
        <v>70</v>
      </c>
      <c r="BE10" t="s">
        <v>71</v>
      </c>
      <c r="BF10" t="s">
        <v>72</v>
      </c>
      <c r="BG10" t="s">
        <v>73</v>
      </c>
      <c r="BH10" t="s">
        <v>74</v>
      </c>
      <c r="BI10" t="s">
        <v>75</v>
      </c>
      <c r="BJ10" t="s">
        <v>76</v>
      </c>
      <c r="BK10" t="s">
        <v>77</v>
      </c>
      <c r="BL10" t="s">
        <v>78</v>
      </c>
      <c r="BM10" t="s">
        <v>79</v>
      </c>
      <c r="BN10" t="s">
        <v>80</v>
      </c>
      <c r="BO10" t="s">
        <v>81</v>
      </c>
      <c r="BP10" t="s">
        <v>82</v>
      </c>
      <c r="BQ10" t="s">
        <v>83</v>
      </c>
      <c r="BR10" t="s">
        <v>84</v>
      </c>
      <c r="BS10" t="s">
        <v>85</v>
      </c>
      <c r="BT10" t="s">
        <v>86</v>
      </c>
      <c r="BU10" t="s">
        <v>87</v>
      </c>
      <c r="BV10" t="s">
        <v>88</v>
      </c>
      <c r="BW10" t="s">
        <v>89</v>
      </c>
      <c r="BX10" t="s">
        <v>90</v>
      </c>
      <c r="BY10" t="s">
        <v>91</v>
      </c>
      <c r="BZ10" t="s">
        <v>92</v>
      </c>
      <c r="CA10" t="s">
        <v>93</v>
      </c>
      <c r="CB10" t="s">
        <v>94</v>
      </c>
      <c r="CC10" t="s">
        <v>95</v>
      </c>
      <c r="CD10" t="s">
        <v>96</v>
      </c>
      <c r="CE10" t="s">
        <v>97</v>
      </c>
      <c r="CF10" t="s">
        <v>98</v>
      </c>
    </row>
    <row r="11" spans="1:84" x14ac:dyDescent="0.25">
      <c r="A11" s="29"/>
      <c r="B11" s="29"/>
      <c r="C11" s="29">
        <f>COUNTA($C$12:$C1000)</f>
        <v>0</v>
      </c>
      <c r="D11" s="29"/>
      <c r="E11" s="29"/>
      <c r="G11" s="22">
        <f>MONTH(M6)</f>
        <v>4</v>
      </c>
      <c r="H11" s="22">
        <v>0</v>
      </c>
      <c r="I11" s="22">
        <f>SUM($I$12:$I208)</f>
        <v>920.39999999999986</v>
      </c>
      <c r="K11">
        <v>0</v>
      </c>
      <c r="L11" s="7">
        <f>$M$6</f>
        <v>43584</v>
      </c>
      <c r="U11" s="8">
        <f>$M$8</f>
        <v>6060</v>
      </c>
      <c r="X11">
        <v>30</v>
      </c>
      <c r="Y11">
        <v>60</v>
      </c>
      <c r="Z11">
        <v>90</v>
      </c>
      <c r="AA11">
        <v>120</v>
      </c>
      <c r="AB11">
        <v>150</v>
      </c>
      <c r="AC11">
        <v>180</v>
      </c>
      <c r="AD11">
        <v>210</v>
      </c>
      <c r="AE11">
        <v>240</v>
      </c>
      <c r="AF11">
        <v>270</v>
      </c>
      <c r="AG11">
        <v>300</v>
      </c>
      <c r="AH11">
        <v>330</v>
      </c>
      <c r="AI11">
        <v>360</v>
      </c>
      <c r="AJ11">
        <v>390</v>
      </c>
      <c r="AK11">
        <v>420</v>
      </c>
      <c r="AL11">
        <v>450</v>
      </c>
      <c r="AM11">
        <v>480</v>
      </c>
      <c r="AN11">
        <v>510</v>
      </c>
      <c r="AO11">
        <v>540</v>
      </c>
      <c r="AP11">
        <v>570</v>
      </c>
      <c r="AQ11">
        <v>600</v>
      </c>
      <c r="AR11">
        <v>630</v>
      </c>
      <c r="AS11">
        <v>660</v>
      </c>
      <c r="AT11">
        <v>690</v>
      </c>
      <c r="AU11">
        <v>720</v>
      </c>
      <c r="AV11">
        <v>750</v>
      </c>
      <c r="AW11">
        <v>780</v>
      </c>
      <c r="AX11">
        <v>810</v>
      </c>
      <c r="AY11">
        <v>840</v>
      </c>
      <c r="AZ11">
        <v>870</v>
      </c>
      <c r="BA11">
        <v>900</v>
      </c>
      <c r="BB11">
        <v>930</v>
      </c>
      <c r="BC11">
        <v>960</v>
      </c>
      <c r="BD11">
        <v>990</v>
      </c>
      <c r="BE11">
        <v>1020</v>
      </c>
      <c r="BF11">
        <v>1050</v>
      </c>
      <c r="BG11">
        <v>1080</v>
      </c>
      <c r="BH11">
        <v>1110</v>
      </c>
      <c r="BI11">
        <v>1140</v>
      </c>
      <c r="BJ11">
        <v>1170</v>
      </c>
      <c r="BK11">
        <v>1200</v>
      </c>
      <c r="BL11">
        <v>1230</v>
      </c>
      <c r="BM11">
        <v>1260</v>
      </c>
      <c r="BN11">
        <v>1290</v>
      </c>
      <c r="BO11">
        <v>1320</v>
      </c>
      <c r="BP11">
        <v>1350</v>
      </c>
      <c r="BQ11">
        <v>1380</v>
      </c>
      <c r="BR11">
        <v>1410</v>
      </c>
      <c r="BS11">
        <v>1440</v>
      </c>
      <c r="BT11">
        <v>1470</v>
      </c>
      <c r="BU11">
        <v>1500</v>
      </c>
      <c r="BV11">
        <v>1530</v>
      </c>
      <c r="BW11">
        <v>1560</v>
      </c>
      <c r="BX11">
        <v>1590</v>
      </c>
      <c r="BY11">
        <v>1620</v>
      </c>
      <c r="BZ11">
        <v>1650</v>
      </c>
      <c r="CA11">
        <v>1680</v>
      </c>
      <c r="CB11">
        <v>1710</v>
      </c>
      <c r="CC11">
        <v>1740</v>
      </c>
      <c r="CD11">
        <v>1770</v>
      </c>
      <c r="CE11">
        <v>1800</v>
      </c>
      <c r="CF11">
        <v>1830</v>
      </c>
    </row>
    <row r="12" spans="1:84" x14ac:dyDescent="0.25">
      <c r="E12" s="5"/>
      <c r="F12" t="str">
        <f>IF($K12&lt;&gt;"",TEXT(L12,"DDD"),"")</f>
        <v>ma</v>
      </c>
      <c r="G12" s="5">
        <f>IF($K12&lt;&gt;"",EOMONTH(DATE(YEAR($M$6),$G$11+K12+SUM($B$12:B12),1),0),"")</f>
        <v>43616</v>
      </c>
      <c r="H12" s="22">
        <f>IF($K12&lt;&gt;"",IF($A12="Prepago",$H11,$H11+1),"")</f>
        <v>1</v>
      </c>
      <c r="I12" s="22">
        <f>IF($K12&lt;&gt;"",IF(ISNUMBER($C12),-$P12+$W12-$Q12,ABS($W12)+$R12+$S12+$T12),"")</f>
        <v>102.04</v>
      </c>
      <c r="J12" s="22">
        <f>IF(K12&lt;&gt;"",IF(COUNTA($X12:$XFD12)*30&lt;$M12,1,0),"")</f>
        <v>0</v>
      </c>
      <c r="K12">
        <f>IF($K11&lt;NCUOTAS+CUOTAADICIONAL+PGRACIA,$K11+1,"")</f>
        <v>1</v>
      </c>
      <c r="L12" s="5">
        <f>IF($K12&lt;&gt;"",IF(ULTIMODIA=0,IF($E12="",DATE(YEAR($M$7),MONTH($M$7)+($A$1*($H12-1))+SUM($B$12:$B12),DAY($M$7)),$E12),G12),"")</f>
        <v>43641</v>
      </c>
      <c r="M12" s="9">
        <f>IF($K12&lt;&gt;"",$L12-$L11,"")</f>
        <v>57</v>
      </c>
      <c r="N12" s="3">
        <f>IF($K12&lt;&gt;"",$U11,"")</f>
        <v>6060</v>
      </c>
      <c r="O12" s="3">
        <f>IF($K12&lt;&gt;"",IF($A12="Gracia Parcial",IF(AND($C12&lt;$W12+$R12+$S12+$T12+$V11,$C12&gt;0),$C12,$W12+$R12+$S12+$T12+$V11),IF($A12="Gracia Total",0,IF($A12="Prepago",$C12,IF(ISNUMBER($C12),$C12*VALUE(MID($C$1,MONTH($L12),1)),$P$5*VALUE(MID($C$1,MONTH($L12),1))))))-IF($K13="",ARREGLO,0),"")</f>
        <v>290.85000000000002</v>
      </c>
      <c r="P12" s="3">
        <f>IF($K12&lt;&gt;"",IF($O12-$Q12&gt;0,$O12-$Q12-$R12-$S12-$T12,0),"")</f>
        <v>188.81</v>
      </c>
      <c r="Q12" s="3">
        <f>IF($K12&lt;&gt;"",IF($O12&gt;=IF($D12="",$W12,$D12)+$V11+$R12+$S12+$T12,IF($D12="",$W12,$D12)+$V11,$O12-$R12-$S12-$T12),"")</f>
        <v>92.04</v>
      </c>
      <c r="R12" s="3">
        <f>IF($K12&lt;&gt;"",IF($A12="Prepago",0,IF(($H12+SUM($B$12:$B12))*$S$6&gt;SUM($R$11:$R11)+$S$6,$S$6*2,$S$6)),"")</f>
        <v>0</v>
      </c>
      <c r="S12" s="3">
        <f>IF($K12&lt;&gt;"",IF($A12="Prepago",0,IF(($H12+SUM($B$12:$B12))*$S$7&gt;SUM($S$11:$S11)+$S$7,$S$7*2,$S$7)),"")</f>
        <v>0</v>
      </c>
      <c r="T12" s="3">
        <f>IF($K12&lt;&gt;"",IF($A12="Prepago",0,IF(($H12+SUM($B$12:$B12))*$S$8&gt;SUM($T$11:$T11)+$S$8,$S$8*2,$S$8)),"")</f>
        <v>10</v>
      </c>
      <c r="U12" s="3">
        <f>IF($K12&lt;&gt;"",$N12-$P12,"")</f>
        <v>5871.19</v>
      </c>
      <c r="V12" s="3">
        <f>IF($K12&lt;&gt;"",+$V11+IF($D12="",$W12,$D12)-$Q12,"")</f>
        <v>0</v>
      </c>
      <c r="W12" s="3">
        <f>IF($K12&lt;&gt;"",SUM($X12:$XFD12),"")</f>
        <v>92.04</v>
      </c>
      <c r="X12" s="3">
        <f>IF($K12&lt;&gt;"",IF($M12&gt;X$11,30,$M12)*ROUND(($N12+$V11)*$T$5/3000,2),"")</f>
        <v>48.300000000000004</v>
      </c>
      <c r="Y12" s="3">
        <f>IF($K12&lt;&gt;"",IF($M12&gt;X$11,IF($M12&lt;Y$11,$M12-X$11,30),0)*ROUND(($N12+$V11+SUM($X12:X12))*$T$5/3000,2),"")</f>
        <v>43.74</v>
      </c>
      <c r="Z12" s="3">
        <f>IF($K12&lt;&gt;"",IF($M12&gt;Y$11,IF($M12&lt;Z$11,$M12-Y$11,30),0)*ROUND(($N12+$V11+SUM($X12:Y12))*$T$5/3000,2),"")</f>
        <v>0</v>
      </c>
      <c r="AA12" s="3">
        <f>IF($K12&lt;&gt;"",IF($M12&gt;Z$11,IF($M12&lt;AA$11,$M12-Z$11,30),0)*ROUND(($N12+$V11+SUM($X12:Z12))*$T$5/3000,2),"")</f>
        <v>0</v>
      </c>
      <c r="AB12" s="3">
        <f>IF($K12&lt;&gt;"",IF($M12&gt;AA$11,IF($M12&lt;AB$11,$M12-AA$11,30),0)*ROUND(($N12+$V11+SUM($X12:AA12))*$T$5/3000,2),"")</f>
        <v>0</v>
      </c>
      <c r="AC12" s="3">
        <f>IF($K12&lt;&gt;"",IF($M12&gt;AB$11,IF($M12&lt;AC$11,$M12-AB$11,30),0)*ROUND(($N12+$V11+SUM($X12:AB12))*$T$5/3000,2),"")</f>
        <v>0</v>
      </c>
      <c r="AD12" s="3">
        <f>IF($K12&lt;&gt;"",IF($M12&gt;AC$11,IF($M12&lt;AD$11,$M12-AC$11,30),0)*ROUND(($N12+$V11+SUM($X12:AC12))*$T$5/3000,2),"")</f>
        <v>0</v>
      </c>
      <c r="AE12" s="3">
        <f>IF($K12&lt;&gt;"",IF($M12&gt;AD$11,IF($M12&lt;AE$11,$M12-AD$11,30),0)*ROUND(($N12+$V11+SUM($X12:AD12))*$T$5/3000,2),"")</f>
        <v>0</v>
      </c>
      <c r="AF12" s="3">
        <f>IF($K12&lt;&gt;"",IF($M12&gt;AE$11,IF($M12&lt;AF$11,$M12-AE$11,30),0)*ROUND(($N12+$V11+SUM($X12:AE12))*$T$5/3000,2),"")</f>
        <v>0</v>
      </c>
      <c r="AG12" s="3">
        <f>IF($K12&lt;&gt;"",IF($M12&gt;AF$11,IF($M12&lt;AG$11,$M12-AF$11,30),0)*ROUND(($N12+$V11+SUM($X12:AF12))*$T$5/3000,2),"")</f>
        <v>0</v>
      </c>
      <c r="AH12" s="3">
        <f>IF($K12&lt;&gt;"",IF($M12&gt;AG$11,IF($M12&lt;AH$11,$M12-AG$11,30),0)*ROUND(($N12+$V11+SUM($X12:AG12))*$T$5/3000,2),"")</f>
        <v>0</v>
      </c>
      <c r="AI12" s="3">
        <f>IF($K12&lt;&gt;"",IF($M12&gt;AH$11,IF($M12&lt;AI$11,$M12-AH$11,30),0)*ROUND(($N12+$V11+SUM($X12:AH12))*$T$5/3000,2),"")</f>
        <v>0</v>
      </c>
      <c r="AJ12" s="3">
        <f>IF($K12&lt;&gt;"",IF($M12&gt;AI$11,IF($M12&lt;AJ$11,$M12-AI$11,30),0)*ROUND(($N12+$V11+SUM($X12:AI12))*$T$5/3000,2),"")</f>
        <v>0</v>
      </c>
      <c r="AK12" s="3">
        <f>IF($K12&lt;&gt;"",IF($M12&gt;AJ$11,IF($M12&lt;AK$11,$M12-AJ$11,30),0)*ROUND(($N12+$V11+SUM($X12:AJ12))*$T$5/3000,2),"")</f>
        <v>0</v>
      </c>
      <c r="AL12" s="3">
        <f>IF($K12&lt;&gt;"",IF($M12&gt;AK$11,IF($M12&lt;AL$11,$M12-AK$11,30),0)*ROUND(($N12+$V11+SUM($X12:AK12))*$T$5/3000,2),"")</f>
        <v>0</v>
      </c>
      <c r="AM12" s="3">
        <f>IF($K12&lt;&gt;"",IF($M12&gt;AL$11,IF($M12&lt;AM$11,$M12-AL$11,30),0)*ROUND(($N12+$V11+SUM($X12:AL12))*$T$5/3000,2),"")</f>
        <v>0</v>
      </c>
      <c r="AN12" s="3">
        <f>IF($K12&lt;&gt;"",IF($M12&gt;AM$11,IF($M12&lt;AN$11,$M12-AM$11,30),0)*ROUND(($N12+$V11+SUM($X12:AM12))*$T$5/3000,2),"")</f>
        <v>0</v>
      </c>
      <c r="AO12" s="3">
        <f>IF($K12&lt;&gt;"",IF($M12&gt;AN$11,IF($M12&lt;AO$11,$M12-AN$11,30),0)*ROUND(($N12+$V11+SUM($X12:AN12))*$T$5/3000,2),"")</f>
        <v>0</v>
      </c>
      <c r="AP12" s="3">
        <f>IF($K12&lt;&gt;"",IF($M12&gt;AO$11,IF($M12&lt;AP$11,$M12-AO$11,30),0)*ROUND(($N12+$V11+SUM($X12:AO12))*$T$5/3000,2),"")</f>
        <v>0</v>
      </c>
      <c r="AQ12" s="3">
        <f>IF($K12&lt;&gt;"",IF($M12&gt;AP$11,IF($M12&lt;AQ$11,$M12-AP$11,30),0)*ROUND(($N12+$V11+SUM($X12:AP12))*$T$5/3000,2),"")</f>
        <v>0</v>
      </c>
      <c r="AR12" s="3">
        <f>IF($K12&lt;&gt;"",IF($M12&gt;AQ$11,IF($M12&lt;AR$11,$M12-AQ$11,30),0)*ROUND(($N12+$V11+SUM($X12:AQ12))*$T$5/3000,2),"")</f>
        <v>0</v>
      </c>
      <c r="AS12" s="3">
        <f>IF($K12&lt;&gt;"",IF($M12&gt;AR$11,IF($M12&lt;AS$11,$M12-AR$11,30),0)*ROUND(($N12+$V11+SUM($X12:AR12))*$T$5/3000,2),"")</f>
        <v>0</v>
      </c>
      <c r="AT12" s="3">
        <f>IF($K12&lt;&gt;"",IF($M12&gt;AS$11,IF($M12&lt;AT$11,$M12-AS$11,30),0)*ROUND(($N12+$V11+SUM($X12:AS12))*$T$5/3000,2),"")</f>
        <v>0</v>
      </c>
      <c r="AU12" s="3">
        <f>IF($K12&lt;&gt;"",IF($M12&gt;AT$11,IF($M12&lt;AU$11,$M12-AT$11,30),0)*ROUND(($N12+$V11+SUM($X12:AT12))*$T$5/3000,2),"")</f>
        <v>0</v>
      </c>
      <c r="AV12" s="3">
        <f>IF($K12&lt;&gt;"",IF($M12&gt;AU$11,IF($M12&lt;AV$11,$M12-AU$11,30),0)*ROUND(($N12+$V11+SUM($X12:AU12))*$T$5/3000,2),"")</f>
        <v>0</v>
      </c>
      <c r="AW12" s="3">
        <f>IF($K12&lt;&gt;"",IF($M12&gt;AV$11,IF($M12&lt;AW$11,$M12-AV$11,30),0)*ROUND(($N12+$V11+SUM($X12:AV12))*$T$5/3000,2),"")</f>
        <v>0</v>
      </c>
      <c r="AX12" s="3">
        <f>IF($K12&lt;&gt;"",IF($M12&gt;AW$11,IF($M12&lt;AX$11,$M12-AW$11,30),0)*ROUND(($N12+$V11+SUM($X12:AW12))*$T$5/3000,2),"")</f>
        <v>0</v>
      </c>
      <c r="AY12" s="3">
        <f>IF($K12&lt;&gt;"",IF($M12&gt;AX$11,IF($M12&lt;AY$11,$M12-AX$11,30),0)*ROUND(($N12+$V11+SUM($X12:AX12))*$T$5/3000,2),"")</f>
        <v>0</v>
      </c>
      <c r="AZ12" s="3">
        <f>IF($K12&lt;&gt;"",IF($M12&gt;AY$11,IF($M12&lt;AZ$11,$M12-AY$11,30),0)*ROUND(($N12+$V11+SUM($X12:AY12))*$T$5/3000,2),"")</f>
        <v>0</v>
      </c>
      <c r="BA12" s="3">
        <f>IF($K12&lt;&gt;"",IF($M12&gt;AZ$11,IF($M12&lt;BA$11,$M12-AZ$11,30),0)*ROUND(($N12+$V11+SUM($X12:AZ12))*$T$5/3000,2),"")</f>
        <v>0</v>
      </c>
      <c r="BB12" s="3">
        <f>IF($K12&lt;&gt;"",IF($M12&gt;BA$11,IF($M12&lt;BB$11,$M12-BA$11,30),0)*ROUND(($N12+$V11+SUM($X12:BA12))*$T$5/3000,2),"")</f>
        <v>0</v>
      </c>
      <c r="BC12" s="3">
        <f>IF($K12&lt;&gt;"",IF($M12&gt;BB$11,IF($M12&lt;BC$11,$M12-BB$11,30),0)*ROUND(($N12+$V11+SUM($X12:BB12))*$T$5/3000,2),"")</f>
        <v>0</v>
      </c>
      <c r="BD12" s="3">
        <f>IF($K12&lt;&gt;"",IF($M12&gt;BC$11,IF($M12&lt;BD$11,$M12-BC$11,30),0)*ROUND(($N12+$V11+SUM($X12:BC12))*$T$5/3000,2),"")</f>
        <v>0</v>
      </c>
      <c r="BE12" s="3">
        <f>IF($K12&lt;&gt;"",IF($M12&gt;BD$11,IF($M12&lt;BE$11,$M12-BD$11,30),0)*ROUND(($N12+$V11+SUM($X12:BD12))*$T$5/3000,2),"")</f>
        <v>0</v>
      </c>
      <c r="BF12" s="3">
        <f>IF($K12&lt;&gt;"",IF($M12&gt;BE$11,IF($M12&lt;BF$11,$M12-BE$11,30),0)*ROUND(($N12+$V11+SUM($X12:BE12))*$T$5/3000,2),"")</f>
        <v>0</v>
      </c>
      <c r="BG12" s="3">
        <f>IF($K12&lt;&gt;"",IF($M12&gt;BF$11,IF($M12&lt;BG$11,$M12-BF$11,30),0)*ROUND(($N12+$V11+SUM($X12:BF12))*$T$5/3000,2),"")</f>
        <v>0</v>
      </c>
      <c r="BH12" s="3">
        <f>IF($K12&lt;&gt;"",IF($M12&gt;BG$11,IF($M12&lt;BH$11,$M12-BG$11,30),0)*ROUND(($N12+$V11+SUM($X12:BG12))*$T$5/3000,2),"")</f>
        <v>0</v>
      </c>
      <c r="BI12" s="3">
        <f>IF($K12&lt;&gt;"",IF($M12&gt;BH$11,IF($M12&lt;BI$11,$M12-BH$11,30),0)*ROUND(($N12+$V11+SUM($X12:BH12))*$T$5/3000,2),"")</f>
        <v>0</v>
      </c>
      <c r="BJ12" s="3">
        <f>IF($K12&lt;&gt;"",IF($M12&gt;BI$11,IF($M12&lt;BJ$11,$M12-BI$11,30),0)*ROUND(($N12+$V11+SUM($X12:BI12))*$T$5/3000,2),"")</f>
        <v>0</v>
      </c>
      <c r="BK12" s="3">
        <f>IF($K12&lt;&gt;"",IF($M12&gt;BJ$11,IF($M12&lt;BK$11,$M12-BJ$11,30),0)*ROUND(($N12+$V11+SUM($X12:BJ12))*$T$5/3000,2),"")</f>
        <v>0</v>
      </c>
      <c r="BL12" s="3">
        <f>IF($K12&lt;&gt;"",IF($M12&gt;BK$11,IF($M12&lt;BL$11,$M12-BK$11,30),0)*ROUND(($N12+$V11+SUM($X12:BK12))*$T$5/3000,2),"")</f>
        <v>0</v>
      </c>
      <c r="BM12" s="3">
        <f>IF($K12&lt;&gt;"",IF($M12&gt;BL$11,IF($M12&lt;BM$11,$M12-BL$11,30),0)*ROUND(($N12+$V11+SUM($X12:BL12))*$T$5/3000,2),"")</f>
        <v>0</v>
      </c>
      <c r="BN12" s="3">
        <f>IF($K12&lt;&gt;"",IF($M12&gt;BM$11,IF($M12&lt;BN$11,$M12-BM$11,30),0)*ROUND(($N12+$V11+SUM($X12:BM12))*$T$5/3000,2),"")</f>
        <v>0</v>
      </c>
      <c r="BO12" s="3">
        <f>IF($K12&lt;&gt;"",IF($M12&gt;BN$11,IF($M12&lt;BO$11,$M12-BN$11,30),0)*ROUND(($N12+$V11+SUM($X12:BN12))*$T$5/3000,2),"")</f>
        <v>0</v>
      </c>
      <c r="BP12" s="3">
        <f>IF($K12&lt;&gt;"",IF($M12&gt;BO$11,IF($M12&lt;BP$11,$M12-BO$11,30),0)*ROUND(($N12+$V11+SUM($X12:BO12))*$T$5/3000,2),"")</f>
        <v>0</v>
      </c>
      <c r="BQ12" s="3">
        <f>IF($K12&lt;&gt;"",IF($M12&gt;BP$11,IF($M12&lt;BQ$11,$M12-BP$11,30),0)*ROUND(($N12+$V11+SUM($X12:BP12))*$T$5/3000,2),"")</f>
        <v>0</v>
      </c>
      <c r="BR12" s="3">
        <f>IF($K12&lt;&gt;"",IF($M12&gt;BQ$11,IF($M12&lt;BR$11,$M12-BQ$11,30),0)*ROUND(($N12+$V11+SUM($X12:BQ12))*$T$5/3000,2),"")</f>
        <v>0</v>
      </c>
      <c r="BS12" s="3">
        <f>IF($K12&lt;&gt;"",IF($M12&gt;BR$11,IF($M12&lt;BS$11,$M12-BR$11,30),0)*ROUND(($N12+$V11+SUM($X12:BR12))*$T$5/3000,2),"")</f>
        <v>0</v>
      </c>
      <c r="BT12" s="3">
        <f>IF($K12&lt;&gt;"",IF($M12&gt;BS$11,IF($M12&lt;BT$11,$M12-BS$11,30),0)*ROUND(($N12+$V11+SUM($X12:BS12))*$T$5/3000,2),"")</f>
        <v>0</v>
      </c>
      <c r="BU12" s="3">
        <f>IF($K12&lt;&gt;"",IF($M12&gt;BT$11,IF($M12&lt;BU$11,$M12-BT$11,30),0)*ROUND(($N12+$V11+SUM($X12:BT12))*$T$5/3000,2),"")</f>
        <v>0</v>
      </c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</row>
    <row r="13" spans="1:84" x14ac:dyDescent="0.25">
      <c r="E13" s="5"/>
      <c r="F13" t="str">
        <f>IF($K13&lt;&gt;"",TEXT(L13,"DDD"),"")</f>
        <v>ju</v>
      </c>
      <c r="G13" s="5">
        <f>IF($K13&lt;&gt;"",EOMONTH(DATE(YEAR($M$6),$G$11+K13+SUM($B$12:B13),1),0),"")</f>
        <v>43646</v>
      </c>
      <c r="H13" s="22">
        <f>IF($K13&lt;&gt;"",IF($A13="Prepago",$H12,$H12+1),"")</f>
        <v>2</v>
      </c>
      <c r="I13" s="22">
        <f>IF($K13&lt;&gt;"",IF(ISNUMBER($C13),-$P13+$W13-$Q13,ABS($W13)+$R13+$S13+$T13),"")</f>
        <v>56.800000000000004</v>
      </c>
      <c r="J13" s="22">
        <f>IF(K13&lt;&gt;"",IF(COUNTA($X13:$XFD13)*30&lt;$M13,1,0),"")</f>
        <v>0</v>
      </c>
      <c r="K13">
        <f>IF($K12&lt;NCUOTAS+CUOTAADICIONAL+PGRACIA,$K12+1,"")</f>
        <v>2</v>
      </c>
      <c r="L13" s="5">
        <f>IF($K13&lt;&gt;"",IF(ULTIMODIA=0,IF($E13="",DATE(YEAR($M$7),MONTH($M$7)+($A$1*($H13-1))+SUM($B$12:$B13),DAY($M$7)),$E13),G13),"")</f>
        <v>43671</v>
      </c>
      <c r="M13" s="9">
        <f>IF($K13&lt;&gt;"",$L13-$L12,"")</f>
        <v>30</v>
      </c>
      <c r="N13" s="3">
        <f>IF($K13&lt;&gt;"",$U12,"")</f>
        <v>5871.19</v>
      </c>
      <c r="O13" s="3">
        <f>IF($K13&lt;&gt;"",IF($A13="Gracia Parcial",IF(AND($C13&lt;$W13+$R13+$S13+$T13+$V12,$C13&gt;0),$C13,$W13+$R13+$S13+$T13+$V12),IF($A13="Gracia Total",0,IF($A13="Prepago",$C13,IF(ISNUMBER($C13),$C13*VALUE(MID($C$1,MONTH($L13),1)),$P$5*VALUE(MID($C$1,MONTH($L13),1))))))-IF($K14="",ARREGLO,0),"")</f>
        <v>290.85000000000002</v>
      </c>
      <c r="P13" s="3">
        <f>IF($K13&lt;&gt;"",IF($O13-$Q13&gt;0,$O13-$Q13-$R13-$S13-$T13,0),"")</f>
        <v>234.05</v>
      </c>
      <c r="Q13" s="3">
        <f t="shared" ref="Q13:Q76" si="0">IF($K13&lt;&gt;"",IF($O13&gt;=IF($D13="",$W13,$D13)+$V12+$R13+$S13+$T13,IF($D13="",$W13,$D13)+$V12,$O13-$R13-$S13-$T13),"")</f>
        <v>46.800000000000004</v>
      </c>
      <c r="R13" s="3">
        <f>IF($K13&lt;&gt;"",IF($A13="Prepago",0,IF(($H13+SUM($B$12:$B13))*$S$6&gt;SUM($R$11:$R12)+$S$6,$S$6*2,$S$6)),"")</f>
        <v>0</v>
      </c>
      <c r="S13" s="3">
        <f>IF($K13&lt;&gt;"",IF($A13="Prepago",0,IF(($H13+SUM($B$12:$B13))*$S$7&gt;SUM($S$11:$S12)+$S$7,$S$7*2,$S$7)),"")</f>
        <v>0</v>
      </c>
      <c r="T13" s="3">
        <f>IF($K13&lt;&gt;"",IF($A13="Prepago",0,IF(($H13+SUM($B$12:$B13))*$S$8&gt;SUM($T$11:$T12)+$S$8,$S$8*2,$S$8)),"")</f>
        <v>10</v>
      </c>
      <c r="U13" s="3">
        <f>IF($K13&lt;&gt;"",$N13-$P13,"")</f>
        <v>5637.1399999999994</v>
      </c>
      <c r="V13" s="3">
        <f>IF($K13&lt;&gt;"",+$V12+IF($D13="",$W13,$D13)-$Q13,"")</f>
        <v>0</v>
      </c>
      <c r="W13" s="3">
        <f>IF($K13&lt;&gt;"",SUM($X13:$XFD13),"")</f>
        <v>46.800000000000004</v>
      </c>
      <c r="X13" s="3">
        <f>IF($K13&lt;&gt;"",IF($M13&gt;X$11,30,$M13)*ROUND(($N13+$V12)*$T$5/3000,2),"")</f>
        <v>46.800000000000004</v>
      </c>
      <c r="Y13" s="3">
        <f>IF($K13&lt;&gt;"",IF($M13&gt;X$11,IF($M13&lt;Y$11,$M13-X$11,30),0)*ROUND(($N13+$V12+SUM($X13:X13))*$T$5/3000,2),"")</f>
        <v>0</v>
      </c>
      <c r="Z13" s="3"/>
      <c r="AA13" s="3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</row>
    <row r="14" spans="1:84" x14ac:dyDescent="0.25">
      <c r="E14" s="5"/>
      <c r="F14" t="str">
        <f>IF($K14&lt;&gt;"",TEXT(L14,"DDD"),"")</f>
        <v>do</v>
      </c>
      <c r="G14" s="5">
        <f>IF($K14&lt;&gt;"",EOMONTH(DATE(YEAR($M$6),$G$11+K14+SUM($B$12:B14),1),0),"")</f>
        <v>43677</v>
      </c>
      <c r="H14" s="22">
        <f>IF($K14&lt;&gt;"",IF($A14="Prepago",$H13,$H13+1),"")</f>
        <v>3</v>
      </c>
      <c r="I14" s="22">
        <f>IF($K14&lt;&gt;"",IF(ISNUMBER($C14),-$P14+$W14-$Q14,ABS($W14)+$R14+$S14+$T14),"")</f>
        <v>56.51</v>
      </c>
      <c r="J14" s="22">
        <f>IF(K14&lt;&gt;"",IF(COUNTA($X14:$XFD14)*30&lt;$M14,1,0),"")</f>
        <v>0</v>
      </c>
      <c r="K14">
        <f>IF($K13&lt;NCUOTAS+CUOTAADICIONAL+PGRACIA,$K13+1,"")</f>
        <v>3</v>
      </c>
      <c r="L14" s="5">
        <f>IF($K14&lt;&gt;"",IF(ULTIMODIA=0,IF($E14="",DATE(YEAR($M$7),MONTH($M$7)+($A$1*($H14-1))+SUM($B$12:$B14),DAY($M$7)),$E14),G14),"")</f>
        <v>43702</v>
      </c>
      <c r="M14" s="9">
        <f>IF($K14&lt;&gt;"",$L14-$L13,"")</f>
        <v>31</v>
      </c>
      <c r="N14" s="3">
        <f>IF($K14&lt;&gt;"",$U13,"")</f>
        <v>5637.1399999999994</v>
      </c>
      <c r="O14" s="3">
        <f>IF($K14&lt;&gt;"",IF($A14="Gracia Parcial",IF(AND($C14&lt;$W14+$R14+$S14+$T14+$V13,$C14&gt;0),$C14,$W14+$R14+$S14+$T14+$V13),IF($A14="Gracia Total",0,IF($A14="Prepago",$C14,IF(ISNUMBER($C14),$C14*VALUE(MID($C$1,MONTH($L14),1)),$P$5*VALUE(MID($C$1,MONTH($L14),1))))))-IF($K15="",ARREGLO,0),"")</f>
        <v>290.85000000000002</v>
      </c>
      <c r="P14" s="3">
        <f>IF($K14&lt;&gt;"",IF($O14-$Q14&gt;0,$O14-$Q14-$R14-$S14-$T14,0),"")</f>
        <v>234.34000000000003</v>
      </c>
      <c r="Q14" s="3">
        <f t="shared" si="0"/>
        <v>46.51</v>
      </c>
      <c r="R14" s="3">
        <f>IF($K14&lt;&gt;"",IF($A14="Prepago",0,IF(($H14+SUM($B$12:$B14))*$S$6&gt;SUM($R$11:$R13)+$S$6,$S$6*2,$S$6)),"")</f>
        <v>0</v>
      </c>
      <c r="S14" s="3">
        <f>IF($K14&lt;&gt;"",IF($A14="Prepago",0,IF(($H14+SUM($B$12:$B14))*$S$7&gt;SUM($S$11:$S13)+$S$7,$S$7*2,$S$7)),"")</f>
        <v>0</v>
      </c>
      <c r="T14" s="3">
        <f>IF($K14&lt;&gt;"",IF($A14="Prepago",0,IF(($H14+SUM($B$12:$B14))*$S$8&gt;SUM($T$11:$T13)+$S$8,$S$8*2,$S$8)),"")</f>
        <v>10</v>
      </c>
      <c r="U14" s="3">
        <f>IF($K14&lt;&gt;"",$N14-$P14,"")</f>
        <v>5402.7999999999993</v>
      </c>
      <c r="V14" s="3">
        <f t="shared" ref="V13:V76" si="1">IF($K14&lt;&gt;"",+$V13+IF($D14="",$W14,$D14)-$Q14,"")</f>
        <v>0</v>
      </c>
      <c r="W14" s="3">
        <f>IF($K14&lt;&gt;"",SUM($X14:$XFD14),"")</f>
        <v>46.51</v>
      </c>
      <c r="X14" s="3">
        <f>IF($K14&lt;&gt;"",IF($M14&gt;X$11,30,$M14)*ROUND(($N14+$V13)*$T$5/3000,2),"")</f>
        <v>45</v>
      </c>
      <c r="Y14" s="3">
        <f>IF($K14&lt;&gt;"",IF($M14&gt;X$11,IF($M14&lt;Y$11,$M14-X$11,30),0)*ROUND(($N14+$V13+SUM($X14:X14))*$T$5/3000,2),"")</f>
        <v>1.51</v>
      </c>
      <c r="Z14" s="3"/>
      <c r="AA14" s="3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</row>
    <row r="15" spans="1:84" x14ac:dyDescent="0.25">
      <c r="E15" s="5"/>
      <c r="F15" t="str">
        <f>IF($K15&lt;&gt;"",TEXT(L15,"DDD"),"")</f>
        <v>mi</v>
      </c>
      <c r="G15" s="5">
        <f>IF($K15&lt;&gt;"",EOMONTH(DATE(YEAR($M$6),$G$11+K15+SUM($B$12:B15),1),0),"")</f>
        <v>43708</v>
      </c>
      <c r="H15" s="22">
        <f>IF($K15&lt;&gt;"",IF($A15="Prepago",$H14,$H14+1),"")</f>
        <v>4</v>
      </c>
      <c r="I15" s="22">
        <f>IF($K15&lt;&gt;"",IF(ISNUMBER($C15),-$P15+$W15-$Q15,ABS($W15)+$R15+$S15+$T15),"")</f>
        <v>54.65</v>
      </c>
      <c r="J15" s="22">
        <f>IF(K15&lt;&gt;"",IF(COUNTA($X15:$XFD15)*30&lt;$M15,1,0),"")</f>
        <v>0</v>
      </c>
      <c r="K15">
        <f>IF($K14&lt;NCUOTAS+CUOTAADICIONAL+PGRACIA,$K14+1,"")</f>
        <v>4</v>
      </c>
      <c r="L15" s="5">
        <f>IF($K15&lt;&gt;"",IF(ULTIMODIA=0,IF($E15="",DATE(YEAR($M$7),MONTH($M$7)+($A$1*($H15-1))+SUM($B$12:$B15),DAY($M$7)),$E15),G15),"")</f>
        <v>43733</v>
      </c>
      <c r="M15" s="9">
        <f>IF($K15&lt;&gt;"",$L15-$L14,"")</f>
        <v>31</v>
      </c>
      <c r="N15" s="3">
        <f>IF($K15&lt;&gt;"",$U14,"")</f>
        <v>5402.7999999999993</v>
      </c>
      <c r="O15" s="3">
        <f>IF($K15&lt;&gt;"",IF($A15="Gracia Parcial",IF(AND($C15&lt;$W15+$R15+$S15+$T15+$V14,$C15&gt;0),$C15,$W15+$R15+$S15+$T15+$V14),IF($A15="Gracia Total",0,IF($A15="Prepago",$C15,IF(ISNUMBER($C15),$C15*VALUE(MID($C$1,MONTH($L15),1)),$P$5*VALUE(MID($C$1,MONTH($L15),1))))))-IF($K16="",ARREGLO,0),"")</f>
        <v>290.85000000000002</v>
      </c>
      <c r="P15" s="3">
        <f>IF($K15&lt;&gt;"",IF($O15-$Q15&gt;0,$O15-$Q15-$R15-$S15-$T15,0),"")</f>
        <v>236.20000000000002</v>
      </c>
      <c r="Q15" s="3">
        <f t="shared" si="0"/>
        <v>44.65</v>
      </c>
      <c r="R15" s="3">
        <f>IF($K15&lt;&gt;"",IF($A15="Prepago",0,IF(($H15+SUM($B$12:$B15))*$S$6&gt;SUM($R$11:$R14)+$S$6,$S$6*2,$S$6)),"")</f>
        <v>0</v>
      </c>
      <c r="S15" s="3">
        <f>IF($K15&lt;&gt;"",IF($A15="Prepago",0,IF(($H15+SUM($B$12:$B15))*$S$7&gt;SUM($S$11:$S14)+$S$7,$S$7*2,$S$7)),"")</f>
        <v>0</v>
      </c>
      <c r="T15" s="3">
        <f>IF($K15&lt;&gt;"",IF($A15="Prepago",0,IF(($H15+SUM($B$12:$B15))*$S$8&gt;SUM($T$11:$T14)+$S$8,$S$8*2,$S$8)),"")</f>
        <v>10</v>
      </c>
      <c r="U15" s="3">
        <f>IF($K15&lt;&gt;"",$N15-$P15,"")</f>
        <v>5166.5999999999995</v>
      </c>
      <c r="V15" s="3">
        <f t="shared" si="1"/>
        <v>0</v>
      </c>
      <c r="W15" s="3">
        <f>IF($K15&lt;&gt;"",SUM($X15:$XFD15),"")</f>
        <v>44.65</v>
      </c>
      <c r="X15" s="3">
        <f>IF($K15&lt;&gt;"",IF($M15&gt;X$11,30,$M15)*ROUND(($N15+$V14)*$T$5/3000,2),"")</f>
        <v>43.199999999999996</v>
      </c>
      <c r="Y15" s="3">
        <f>IF($K15&lt;&gt;"",IF($M15&gt;X$11,IF($M15&lt;Y$11,$M15-X$11,30),0)*ROUND(($N15+$V14+SUM($X15:X15))*$T$5/3000,2),"")</f>
        <v>1.45</v>
      </c>
      <c r="Z15" s="3"/>
      <c r="AA15" s="3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</row>
    <row r="16" spans="1:84" x14ac:dyDescent="0.25">
      <c r="E16" s="5"/>
      <c r="F16" t="str">
        <f>IF($K16&lt;&gt;"",TEXT(L16,"DDD"),"")</f>
        <v>vi</v>
      </c>
      <c r="G16" s="5">
        <f>IF($K16&lt;&gt;"",EOMONTH(DATE(YEAR($M$6),$G$11+K16+SUM($B$12:B16),1),0),"")</f>
        <v>43738</v>
      </c>
      <c r="H16" s="22">
        <f>IF($K16&lt;&gt;"",IF($A16="Prepago",$H15,$H15+1),"")</f>
        <v>5</v>
      </c>
      <c r="I16" s="22">
        <f>IF($K16&lt;&gt;"",IF(ISNUMBER($C16),-$P16+$W16-$Q16,ABS($W16)+$R16+$S16+$T16),"")</f>
        <v>51.1</v>
      </c>
      <c r="J16" s="22">
        <f>IF(K16&lt;&gt;"",IF(COUNTA($X16:$XFD16)*30&lt;$M16,1,0),"")</f>
        <v>0</v>
      </c>
      <c r="K16">
        <f>IF($K15&lt;NCUOTAS+CUOTAADICIONAL+PGRACIA,$K15+1,"")</f>
        <v>5</v>
      </c>
      <c r="L16" s="5">
        <f>IF($K16&lt;&gt;"",IF(ULTIMODIA=0,IF($E16="",DATE(YEAR($M$7),MONTH($M$7)+($A$1*($H16-1))+SUM($B$12:$B16),DAY($M$7)),$E16),G16),"")</f>
        <v>43763</v>
      </c>
      <c r="M16" s="9">
        <f>IF($K16&lt;&gt;"",$L16-$L15,"")</f>
        <v>30</v>
      </c>
      <c r="N16" s="3">
        <f>IF($K16&lt;&gt;"",$U15,"")</f>
        <v>5166.5999999999995</v>
      </c>
      <c r="O16" s="3">
        <f>IF($K16&lt;&gt;"",IF($A16="Gracia Parcial",IF(AND($C16&lt;$W16+$R16+$S16+$T16+$V15,$C16&gt;0),$C16,$W16+$R16+$S16+$T16+$V15),IF($A16="Gracia Total",0,IF($A16="Prepago",$C16,IF(ISNUMBER($C16),$C16*VALUE(MID($C$1,MONTH($L16),1)),$P$5*VALUE(MID($C$1,MONTH($L16),1))))))-IF($K17="",ARREGLO,0),"")</f>
        <v>290.85000000000002</v>
      </c>
      <c r="P16" s="3">
        <f>IF($K16&lt;&gt;"",IF($O16-$Q16&gt;0,$O16-$Q16-$R16-$S16-$T16,0),"")</f>
        <v>239.75000000000003</v>
      </c>
      <c r="Q16" s="3">
        <f t="shared" si="0"/>
        <v>41.1</v>
      </c>
      <c r="R16" s="3">
        <f>IF($K16&lt;&gt;"",IF($A16="Prepago",0,IF(($H16+SUM($B$12:$B16))*$S$6&gt;SUM($R$11:$R15)+$S$6,$S$6*2,$S$6)),"")</f>
        <v>0</v>
      </c>
      <c r="S16" s="3">
        <f>IF($K16&lt;&gt;"",IF($A16="Prepago",0,IF(($H16+SUM($B$12:$B16))*$S$7&gt;SUM($S$11:$S15)+$S$7,$S$7*2,$S$7)),"")</f>
        <v>0</v>
      </c>
      <c r="T16" s="3">
        <f>IF($K16&lt;&gt;"",IF($A16="Prepago",0,IF(($H16+SUM($B$12:$B16))*$S$8&gt;SUM($T$11:$T15)+$S$8,$S$8*2,$S$8)),"")</f>
        <v>10</v>
      </c>
      <c r="U16" s="3">
        <f>IF($K16&lt;&gt;"",$N16-$P16,"")</f>
        <v>4926.8499999999995</v>
      </c>
      <c r="V16" s="3">
        <f t="shared" si="1"/>
        <v>0</v>
      </c>
      <c r="W16" s="3">
        <f>IF($K16&lt;&gt;"",SUM($X16:$XFD16),"")</f>
        <v>41.1</v>
      </c>
      <c r="X16" s="3">
        <f>IF($K16&lt;&gt;"",IF($M16&gt;X$11,30,$M16)*ROUND(($N16+$V15)*$T$5/3000,2),"")</f>
        <v>41.1</v>
      </c>
      <c r="Y16" s="3">
        <f>IF($K16&lt;&gt;"",IF($M16&gt;X$11,IF($M16&lt;Y$11,$M16-X$11,30),0)*ROUND(($N16+$V15+SUM($X16:X16))*$T$5/3000,2),"")</f>
        <v>0</v>
      </c>
      <c r="Z16" s="3"/>
      <c r="AA16" s="3"/>
      <c r="AB16" s="3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</row>
    <row r="17" spans="1:84" x14ac:dyDescent="0.25">
      <c r="E17" s="5"/>
      <c r="F17" t="str">
        <f>IF($K17&lt;&gt;"",TEXT(L17,"DDD"),"")</f>
        <v>lu</v>
      </c>
      <c r="G17" s="5">
        <f>IF($K17&lt;&gt;"",EOMONTH(DATE(YEAR($M$6),$G$11+K17+SUM($B$12:B17),1),0),"")</f>
        <v>43769</v>
      </c>
      <c r="H17" s="22">
        <f>IF($K17&lt;&gt;"",IF($A17="Prepago",$H16,$H16+1),"")</f>
        <v>6</v>
      </c>
      <c r="I17" s="22">
        <f>IF($K17&lt;&gt;"",IF(ISNUMBER($C17),-$P17+$W17-$Q17,ABS($W17)+$R17+$S17+$T17),"")</f>
        <v>50.620000000000005</v>
      </c>
      <c r="J17" s="22">
        <f>IF(K17&lt;&gt;"",IF(COUNTA($X17:$XFD17)*30&lt;$M17,1,0),"")</f>
        <v>0</v>
      </c>
      <c r="K17">
        <f>IF($K16&lt;NCUOTAS+CUOTAADICIONAL+PGRACIA,$K16+1,"")</f>
        <v>6</v>
      </c>
      <c r="L17" s="5">
        <f>IF($K17&lt;&gt;"",IF(ULTIMODIA=0,IF($E17="",DATE(YEAR($M$7),MONTH($M$7)+($A$1*($H17-1))+SUM($B$12:$B17),DAY($M$7)),$E17),G17),"")</f>
        <v>43794</v>
      </c>
      <c r="M17" s="9">
        <f>IF($K17&lt;&gt;"",$L17-$L16,"")</f>
        <v>31</v>
      </c>
      <c r="N17" s="3">
        <f>IF($K17&lt;&gt;"",$U16,"")</f>
        <v>4926.8499999999995</v>
      </c>
      <c r="O17" s="3">
        <f>IF($K17&lt;&gt;"",IF($A17="Gracia Parcial",IF(AND($C17&lt;$W17+$R17+$S17+$T17+$V16,$C17&gt;0),$C17,$W17+$R17+$S17+$T17+$V16),IF($A17="Gracia Total",0,IF($A17="Prepago",$C17,IF(ISNUMBER($C17),$C17*VALUE(MID($C$1,MONTH($L17),1)),$P$5*VALUE(MID($C$1,MONTH($L17),1))))))-IF($K18="",ARREGLO,0),"")</f>
        <v>290.85000000000002</v>
      </c>
      <c r="P17" s="3">
        <f>IF($K17&lt;&gt;"",IF($O17-$Q17&gt;0,$O17-$Q17-$R17-$S17-$T17,0),"")</f>
        <v>240.23000000000002</v>
      </c>
      <c r="Q17" s="3">
        <f t="shared" si="0"/>
        <v>40.620000000000005</v>
      </c>
      <c r="R17" s="3">
        <f>IF($K17&lt;&gt;"",IF($A17="Prepago",0,IF(($H17+SUM($B$12:$B17))*$S$6&gt;SUM($R$11:$R16)+$S$6,$S$6*2,$S$6)),"")</f>
        <v>0</v>
      </c>
      <c r="S17" s="3">
        <f>IF($K17&lt;&gt;"",IF($A17="Prepago",0,IF(($H17+SUM($B$12:$B17))*$S$7&gt;SUM($S$11:$S16)+$S$7,$S$7*2,$S$7)),"")</f>
        <v>0</v>
      </c>
      <c r="T17" s="3">
        <f>IF($K17&lt;&gt;"",IF($A17="Prepago",0,IF(($H17+SUM($B$12:$B17))*$S$8&gt;SUM($T$11:$T16)+$S$8,$S$8*2,$S$8)),"")</f>
        <v>10</v>
      </c>
      <c r="U17" s="3">
        <f>IF($K17&lt;&gt;"",$N17-$P17,"")</f>
        <v>4686.619999999999</v>
      </c>
      <c r="V17" s="3">
        <f t="shared" si="1"/>
        <v>0</v>
      </c>
      <c r="W17" s="3">
        <f>IF($K17&lt;&gt;"",SUM($X17:$XFD17),"")</f>
        <v>40.620000000000005</v>
      </c>
      <c r="X17" s="3">
        <f>IF($K17&lt;&gt;"",IF($M17&gt;X$11,30,$M17)*ROUND(($N17+$V16)*$T$5/3000,2),"")</f>
        <v>39.300000000000004</v>
      </c>
      <c r="Y17" s="3">
        <f>IF($K17&lt;&gt;"",IF($M17&gt;X$11,IF($M17&lt;Y$11,$M17-X$11,30),0)*ROUND(($N17+$V16+SUM($X17:X17))*$T$5/3000,2),"")</f>
        <v>1.32</v>
      </c>
      <c r="Z17" s="3"/>
      <c r="AA17" s="3"/>
      <c r="AB17" s="3"/>
      <c r="AC17" s="3"/>
      <c r="AD17" s="3"/>
      <c r="AE17" s="3"/>
      <c r="AF17" s="3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</row>
    <row r="18" spans="1:84" x14ac:dyDescent="0.25">
      <c r="E18" s="5"/>
      <c r="F18" t="str">
        <f>IF($K18&lt;&gt;"",TEXT(L18,"DDD"),"")</f>
        <v>mi</v>
      </c>
      <c r="G18" s="5">
        <f>IF($K18&lt;&gt;"",EOMONTH(DATE(YEAR($M$6),$G$11+K18+SUM($B$12:B18),1),0),"")</f>
        <v>43799</v>
      </c>
      <c r="H18" s="22">
        <f>IF($K18&lt;&gt;"",IF($A18="Prepago",$H17,$H17+1),"")</f>
        <v>7</v>
      </c>
      <c r="I18" s="22">
        <f>IF($K18&lt;&gt;"",IF(ISNUMBER($C18),-$P18+$W18-$Q18,ABS($W18)+$R18+$S18+$T18),"")</f>
        <v>47.5</v>
      </c>
      <c r="J18" s="22">
        <f>IF(K18&lt;&gt;"",IF(COUNTA($X18:$XFD18)*30&lt;$M18,1,0),"")</f>
        <v>0</v>
      </c>
      <c r="K18">
        <f>IF($K17&lt;NCUOTAS+CUOTAADICIONAL+PGRACIA,$K17+1,"")</f>
        <v>7</v>
      </c>
      <c r="L18" s="5">
        <f>IF($K18&lt;&gt;"",IF(ULTIMODIA=0,IF($E18="",DATE(YEAR($M$7),MONTH($M$7)+($A$1*($H18-1))+SUM($B$12:$B18),DAY($M$7)),$E18),G18),"")</f>
        <v>43824</v>
      </c>
      <c r="M18" s="9">
        <f>IF($K18&lt;&gt;"",$L18-$L17,"")</f>
        <v>30</v>
      </c>
      <c r="N18" s="3">
        <f>IF($K18&lt;&gt;"",$U17,"")</f>
        <v>4686.619999999999</v>
      </c>
      <c r="O18" s="3">
        <f>IF($K18&lt;&gt;"",IF($A18="Gracia Parcial",IF(AND($C18&lt;$W18+$R18+$S18+$T18+$V17,$C18&gt;0),$C18,$W18+$R18+$S18+$T18+$V17),IF($A18="Gracia Total",0,IF($A18="Prepago",$C18,IF(ISNUMBER($C18),$C18*VALUE(MID($C$1,MONTH($L18),1)),$P$5*VALUE(MID($C$1,MONTH($L18),1))))))-IF($K19="",ARREGLO,0),"")</f>
        <v>290.85000000000002</v>
      </c>
      <c r="P18" s="3">
        <f>IF($K18&lt;&gt;"",IF($O18-$Q18&gt;0,$O18-$Q18-$R18-$S18-$T18,0),"")</f>
        <v>243.35000000000002</v>
      </c>
      <c r="Q18" s="3">
        <f t="shared" si="0"/>
        <v>37.5</v>
      </c>
      <c r="R18" s="3">
        <f>IF($K18&lt;&gt;"",IF($A18="Prepago",0,IF(($H18+SUM($B$12:$B18))*$S$6&gt;SUM($R$11:$R17)+$S$6,$S$6*2,$S$6)),"")</f>
        <v>0</v>
      </c>
      <c r="S18" s="3">
        <f>IF($K18&lt;&gt;"",IF($A18="Prepago",0,IF(($H18+SUM($B$12:$B18))*$S$7&gt;SUM($S$11:$S17)+$S$7,$S$7*2,$S$7)),"")</f>
        <v>0</v>
      </c>
      <c r="T18" s="3">
        <f>IF($K18&lt;&gt;"",IF($A18="Prepago",0,IF(($H18+SUM($B$12:$B18))*$S$8&gt;SUM($T$11:$T17)+$S$8,$S$8*2,$S$8)),"")</f>
        <v>10</v>
      </c>
      <c r="U18" s="3">
        <f>IF($K18&lt;&gt;"",$N18-$P18,"")</f>
        <v>4443.2699999999986</v>
      </c>
      <c r="V18" s="3">
        <f t="shared" si="1"/>
        <v>0</v>
      </c>
      <c r="W18" s="3">
        <f>IF($K18&lt;&gt;"",SUM($X18:$XFD18),"")</f>
        <v>37.5</v>
      </c>
      <c r="X18" s="3">
        <f>IF($K18&lt;&gt;"",IF($M18&gt;X$11,30,$M18)*ROUND(($N18+$V17)*$T$5/3000,2),"")</f>
        <v>37.5</v>
      </c>
      <c r="Y18" s="3">
        <f>IF($K18&lt;&gt;"",IF($M18&gt;X$11,IF($M18&lt;Y$11,$M18-X$11,30),0)*ROUND(($N18+$V17+SUM($X18:X18))*$T$5/3000,2),"")</f>
        <v>0</v>
      </c>
      <c r="Z18" s="3"/>
      <c r="AA18" s="3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</row>
    <row r="19" spans="1:84" x14ac:dyDescent="0.25">
      <c r="E19" s="5"/>
      <c r="F19" t="str">
        <f>IF($K19&lt;&gt;"",TEXT(L19,"DDD"),"")</f>
        <v>sá</v>
      </c>
      <c r="G19" s="5">
        <f>IF($K19&lt;&gt;"",EOMONTH(DATE(YEAR($M$6),$G$11+K19+SUM($B$12:B19),1),0),"")</f>
        <v>43830</v>
      </c>
      <c r="H19" s="22">
        <f>IF($K19&lt;&gt;"",IF($A19="Prepago",$H18,$H18+1),"")</f>
        <v>8</v>
      </c>
      <c r="I19" s="22">
        <f>IF($K19&lt;&gt;"",IF(ISNUMBER($C19),-$P19+$W19-$Q19,ABS($W19)+$R19+$S19+$T19),"")</f>
        <v>46.589999999999996</v>
      </c>
      <c r="J19" s="22">
        <f>IF(K19&lt;&gt;"",IF(COUNTA($X19:$XFD19)*30&lt;$M19,1,0),"")</f>
        <v>0</v>
      </c>
      <c r="K19">
        <f>IF($K18&lt;NCUOTAS+CUOTAADICIONAL+PGRACIA,$K18+1,"")</f>
        <v>8</v>
      </c>
      <c r="L19" s="5">
        <f>IF($K19&lt;&gt;"",IF(ULTIMODIA=0,IF($E19="",DATE(YEAR($M$7),MONTH($M$7)+($A$1*($H19-1))+SUM($B$12:$B19),DAY($M$7)),$E19),G19),"")</f>
        <v>43855</v>
      </c>
      <c r="M19" s="9">
        <f>IF($K19&lt;&gt;"",$L19-$L18,"")</f>
        <v>31</v>
      </c>
      <c r="N19" s="3">
        <f>IF($K19&lt;&gt;"",$U18,"")</f>
        <v>4443.2699999999986</v>
      </c>
      <c r="O19" s="3">
        <f>IF($K19&lt;&gt;"",IF($A19="Gracia Parcial",IF(AND($C19&lt;$W19+$R19+$S19+$T19+$V18,$C19&gt;0),$C19,$W19+$R19+$S19+$T19+$V18),IF($A19="Gracia Total",0,IF($A19="Prepago",$C19,IF(ISNUMBER($C19),$C19*VALUE(MID($C$1,MONTH($L19),1)),$P$5*VALUE(MID($C$1,MONTH($L19),1))))))-IF($K20="",ARREGLO,0),"")</f>
        <v>290.85000000000002</v>
      </c>
      <c r="P19" s="3">
        <f>IF($K19&lt;&gt;"",IF($O19-$Q19&gt;0,$O19-$Q19-$R19-$S19-$T19,0),"")</f>
        <v>244.26000000000002</v>
      </c>
      <c r="Q19" s="3">
        <f t="shared" si="0"/>
        <v>36.589999999999996</v>
      </c>
      <c r="R19" s="3">
        <f>IF($K19&lt;&gt;"",IF($A19="Prepago",0,IF(($H19+SUM($B$12:$B19))*$S$6&gt;SUM($R$11:$R18)+$S$6,$S$6*2,$S$6)),"")</f>
        <v>0</v>
      </c>
      <c r="S19" s="3">
        <f>IF($K19&lt;&gt;"",IF($A19="Prepago",0,IF(($H19+SUM($B$12:$B19))*$S$7&gt;SUM($S$11:$S18)+$S$7,$S$7*2,$S$7)),"")</f>
        <v>0</v>
      </c>
      <c r="T19" s="3">
        <f>IF($K19&lt;&gt;"",IF($A19="Prepago",0,IF(($H19+SUM($B$12:$B19))*$S$8&gt;SUM($T$11:$T18)+$S$8,$S$8*2,$S$8)),"")</f>
        <v>10</v>
      </c>
      <c r="U19" s="3">
        <f>IF($K19&lt;&gt;"",$N19-$P19,"")</f>
        <v>4199.0099999999984</v>
      </c>
      <c r="V19" s="3">
        <f t="shared" si="1"/>
        <v>0</v>
      </c>
      <c r="W19" s="3">
        <f>IF($K19&lt;&gt;"",SUM($X19:$XFD19),"")</f>
        <v>36.589999999999996</v>
      </c>
      <c r="X19" s="3">
        <f>IF($K19&lt;&gt;"",IF($M19&gt;X$11,30,$M19)*ROUND(($N19+$V18)*$T$5/3000,2),"")</f>
        <v>35.4</v>
      </c>
      <c r="Y19" s="3">
        <f>IF($K19&lt;&gt;"",IF($M19&gt;X$11,IF($M19&lt;Y$11,$M19-X$11,30),0)*ROUND(($N19+$V18+SUM($X19:X19))*$T$5/3000,2),"")</f>
        <v>1.19</v>
      </c>
      <c r="Z19" s="3"/>
      <c r="AA19" s="3"/>
      <c r="AB19" s="3"/>
      <c r="AC19" s="3"/>
      <c r="AD19" s="3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</row>
    <row r="20" spans="1:84" s="10" customFormat="1" x14ac:dyDescent="0.25">
      <c r="A20"/>
      <c r="B20"/>
      <c r="C20" s="20"/>
      <c r="D20" s="20"/>
      <c r="E20" s="5"/>
      <c r="F20" t="str">
        <f>IF($K20&lt;&gt;"",TEXT(L20,"DDD"),"")</f>
        <v>ma</v>
      </c>
      <c r="G20" s="5">
        <f>IF($K20&lt;&gt;"",EOMONTH(DATE(YEAR($M$6),$G$11+K20+SUM($B$12:B20),1),0),"")</f>
        <v>43861</v>
      </c>
      <c r="H20" s="22">
        <f>IF($K20&lt;&gt;"",IF($A20="Prepago",$H19,$H19+1),"")</f>
        <v>9</v>
      </c>
      <c r="I20" s="22">
        <f>IF($K20&lt;&gt;"",IF(ISNUMBER($C20),-$P20+$W20-$Q20,ABS($W20)+$R20+$S20+$T20),"")</f>
        <v>44.730000000000004</v>
      </c>
      <c r="J20" s="22">
        <f>IF(K20&lt;&gt;"",IF(COUNTA($X20:$XFD20)*30&lt;$M20,1,0),"")</f>
        <v>0</v>
      </c>
      <c r="K20">
        <f>IF($K19&lt;NCUOTAS+CUOTAADICIONAL+PGRACIA,$K19+1,"")</f>
        <v>9</v>
      </c>
      <c r="L20" s="5">
        <f>IF($K20&lt;&gt;"",IF(ULTIMODIA=0,IF($E20="",DATE(YEAR($M$7),MONTH($M$7)+($A$1*($H20-1))+SUM($B$12:$B20),DAY($M$7)),$E20),G20),"")</f>
        <v>43886</v>
      </c>
      <c r="M20" s="9">
        <f>IF($K20&lt;&gt;"",$L20-$L19,"")</f>
        <v>31</v>
      </c>
      <c r="N20" s="3">
        <f>IF($K20&lt;&gt;"",$U19,"")</f>
        <v>4199.0099999999984</v>
      </c>
      <c r="O20" s="3">
        <f>IF($K20&lt;&gt;"",IF($A20="Gracia Parcial",IF(AND($C20&lt;$W20+$R20+$S20+$T20+$V19,$C20&gt;0),$C20,$W20+$R20+$S20+$T20+$V19),IF($A20="Gracia Total",0,IF($A20="Prepago",$C20,IF(ISNUMBER($C20),$C20*VALUE(MID($C$1,MONTH($L20),1)),$P$5*VALUE(MID($C$1,MONTH($L20),1))))))-IF($K21="",ARREGLO,0),"")</f>
        <v>290.85000000000002</v>
      </c>
      <c r="P20" s="3">
        <f>IF($K20&lt;&gt;"",IF($O20-$Q20&gt;0,$O20-$Q20-$R20-$S20-$T20,0),"")</f>
        <v>246.12</v>
      </c>
      <c r="Q20" s="3">
        <f t="shared" si="0"/>
        <v>34.730000000000004</v>
      </c>
      <c r="R20" s="3">
        <f>IF($K20&lt;&gt;"",IF($A20="Prepago",0,IF(($H20+SUM($B$12:$B20))*$S$6&gt;SUM($R$11:$R19)+$S$6,$S$6*2,$S$6)),"")</f>
        <v>0</v>
      </c>
      <c r="S20" s="3">
        <f>IF($K20&lt;&gt;"",IF($A20="Prepago",0,IF(($H20+SUM($B$12:$B20))*$S$7&gt;SUM($S$11:$S19)+$S$7,$S$7*2,$S$7)),"")</f>
        <v>0</v>
      </c>
      <c r="T20" s="3">
        <f>IF($K20&lt;&gt;"",IF($A20="Prepago",0,IF(($H20+SUM($B$12:$B20))*$S$8&gt;SUM($T$11:$T19)+$S$8,$S$8*2,$S$8)),"")</f>
        <v>10</v>
      </c>
      <c r="U20" s="3">
        <f>IF($K20&lt;&gt;"",$N20-$P20,"")</f>
        <v>3952.8899999999985</v>
      </c>
      <c r="V20" s="3">
        <f t="shared" si="1"/>
        <v>0</v>
      </c>
      <c r="W20" s="3">
        <f>IF($K20&lt;&gt;"",SUM($X20:$XFD20),"")</f>
        <v>34.730000000000004</v>
      </c>
      <c r="X20" s="3">
        <f>IF($K20&lt;&gt;"",IF($M20&gt;X$11,30,$M20)*ROUND(($N20+$V19)*$T$5/3000,2),"")</f>
        <v>33.6</v>
      </c>
      <c r="Y20" s="3">
        <f>IF($K20&lt;&gt;"",IF($M20&gt;X$11,IF($M20&lt;Y$11,$M20-X$11,30),0)*ROUND(($N20+$V19+SUM($X20:X20))*$T$5/3000,2),"")</f>
        <v>1.1299999999999999</v>
      </c>
      <c r="Z20" s="3"/>
      <c r="AA20" s="3"/>
      <c r="AB20" s="3"/>
      <c r="AC20" s="3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</row>
    <row r="21" spans="1:84" x14ac:dyDescent="0.25">
      <c r="E21" s="5"/>
      <c r="F21" t="str">
        <f>IF($K21&lt;&gt;"",TEXT(L21,"DDD"),"")</f>
        <v>mi</v>
      </c>
      <c r="G21" s="5">
        <f>IF($K21&lt;&gt;"",EOMONTH(DATE(YEAR($M$6),$G$11+K21+SUM($B$12:B21),1),0),"")</f>
        <v>43890</v>
      </c>
      <c r="H21" s="22">
        <f>IF($K21&lt;&gt;"",IF($A21="Prepago",$H20,$H20+1),"")</f>
        <v>10</v>
      </c>
      <c r="I21" s="22">
        <f>IF($K21&lt;&gt;"",IF(ISNUMBER($C21),-$P21+$W21-$Q21,ABS($W21)+$R21+$S21+$T21),"")</f>
        <v>40.450000000000003</v>
      </c>
      <c r="J21" s="22">
        <f>IF(K21&lt;&gt;"",IF(COUNTA($X21:$XFD21)*30&lt;$M21,1,0),"")</f>
        <v>0</v>
      </c>
      <c r="K21">
        <f>IF($K20&lt;NCUOTAS+CUOTAADICIONAL+PGRACIA,$K20+1,"")</f>
        <v>10</v>
      </c>
      <c r="L21" s="5">
        <f>IF($K21&lt;&gt;"",IF(ULTIMODIA=0,IF($E21="",DATE(YEAR($M$7),MONTH($M$7)+($A$1*($H21-1))+SUM($B$12:$B21),DAY($M$7)),$E21),G21),"")</f>
        <v>43915</v>
      </c>
      <c r="M21" s="9">
        <f>IF($K21&lt;&gt;"",$L21-$L20,"")</f>
        <v>29</v>
      </c>
      <c r="N21" s="3">
        <f>IF($K21&lt;&gt;"",$U20,"")</f>
        <v>3952.8899999999985</v>
      </c>
      <c r="O21" s="3">
        <f>IF($K21&lt;&gt;"",IF($A21="Gracia Parcial",IF(AND($C21&lt;$W21+$R21+$S21+$T21+$V20,$C21&gt;0),$C21,$W21+$R21+$S21+$T21+$V20),IF($A21="Gracia Total",0,IF($A21="Prepago",$C21,IF(ISNUMBER($C21),$C21*VALUE(MID($C$1,MONTH($L21),1)),$P$5*VALUE(MID($C$1,MONTH($L21),1))))))-IF($K22="",ARREGLO,0),"")</f>
        <v>290.85000000000002</v>
      </c>
      <c r="P21" s="3">
        <f>IF($K21&lt;&gt;"",IF($O21-$Q21&gt;0,$O21-$Q21-$R21-$S21-$T21,0),"")</f>
        <v>250.40000000000003</v>
      </c>
      <c r="Q21" s="3">
        <f t="shared" si="0"/>
        <v>30.450000000000003</v>
      </c>
      <c r="R21" s="3">
        <f>IF($K21&lt;&gt;"",IF($A21="Prepago",0,IF(($H21+SUM($B$12:$B21))*$S$6&gt;SUM($R$11:$R20)+$S$6,$S$6*2,$S$6)),"")</f>
        <v>0</v>
      </c>
      <c r="S21" s="3">
        <f>IF($K21&lt;&gt;"",IF($A21="Prepago",0,IF(($H21+SUM($B$12:$B21))*$S$7&gt;SUM($S$11:$S20)+$S$7,$S$7*2,$S$7)),"")</f>
        <v>0</v>
      </c>
      <c r="T21" s="3">
        <f>IF($K21&lt;&gt;"",IF($A21="Prepago",0,IF(($H21+SUM($B$12:$B21))*$S$8&gt;SUM($T$11:$T20)+$S$8,$S$8*2,$S$8)),"")</f>
        <v>10</v>
      </c>
      <c r="U21" s="3">
        <f>IF($K21&lt;&gt;"",$N21-$P21,"")</f>
        <v>3702.4899999999984</v>
      </c>
      <c r="V21" s="3">
        <f t="shared" si="1"/>
        <v>0</v>
      </c>
      <c r="W21" s="3">
        <f>IF($K21&lt;&gt;"",SUM($X21:$XFD21),"")</f>
        <v>30.450000000000003</v>
      </c>
      <c r="X21" s="3">
        <f>IF($K21&lt;&gt;"",IF($M21&gt;X$11,30,$M21)*ROUND(($N21+$V20)*$T$5/3000,2),"")</f>
        <v>30.450000000000003</v>
      </c>
      <c r="Y21" s="3">
        <f>IF($K21&lt;&gt;"",IF($M21&gt;X$11,IF($M21&lt;Y$11,$M21-X$11,30),0)*ROUND(($N21+$V20+SUM($X21:X21))*$T$5/3000,2),"")</f>
        <v>0</v>
      </c>
      <c r="Z21" s="3"/>
      <c r="AA21" s="3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</row>
    <row r="22" spans="1:84" x14ac:dyDescent="0.25">
      <c r="E22" s="5"/>
      <c r="F22" t="str">
        <f>IF($K22&lt;&gt;"",TEXT(L22,"DDD"),"")</f>
        <v>sá</v>
      </c>
      <c r="G22" s="5">
        <f>IF($K22&lt;&gt;"",EOMONTH(DATE(YEAR($M$6),$G$11+K22+SUM($B$12:B22),1),0),"")</f>
        <v>43921</v>
      </c>
      <c r="H22" s="22">
        <f>IF($K22&lt;&gt;"",IF($A22="Prepago",$H21,$H21+1),"")</f>
        <v>11</v>
      </c>
      <c r="I22" s="22">
        <f>IF($K22&lt;&gt;"",IF(ISNUMBER($C22),-$P22+$W22-$Q22,ABS($W22)+$R22+$S22+$T22),"")</f>
        <v>40.39</v>
      </c>
      <c r="J22" s="22">
        <f>IF(K22&lt;&gt;"",IF(COUNTA($X22:$XFD22)*30&lt;$M22,1,0),"")</f>
        <v>0</v>
      </c>
      <c r="K22">
        <f>IF($K21&lt;NCUOTAS+CUOTAADICIONAL+PGRACIA,$K21+1,"")</f>
        <v>11</v>
      </c>
      <c r="L22" s="5">
        <f>IF($K22&lt;&gt;"",IF(ULTIMODIA=0,IF($E22="",DATE(YEAR($M$7),MONTH($M$7)+($A$1*($H22-1))+SUM($B$12:$B22),DAY($M$7)),$E22),G22),"")</f>
        <v>43946</v>
      </c>
      <c r="M22" s="9">
        <f>IF($K22&lt;&gt;"",$L22-$L21,"")</f>
        <v>31</v>
      </c>
      <c r="N22" s="3">
        <f>IF($K22&lt;&gt;"",$U21,"")</f>
        <v>3702.4899999999984</v>
      </c>
      <c r="O22" s="3">
        <f>IF($K22&lt;&gt;"",IF($A22="Gracia Parcial",IF(AND($C22&lt;$W22+$R22+$S22+$T22+$V21,$C22&gt;0),$C22,$W22+$R22+$S22+$T22+$V21),IF($A22="Gracia Total",0,IF($A22="Prepago",$C22,IF(ISNUMBER($C22),$C22*VALUE(MID($C$1,MONTH($L22),1)),$P$5*VALUE(MID($C$1,MONTH($L22),1))))))-IF($K23="",ARREGLO,0),"")</f>
        <v>290.85000000000002</v>
      </c>
      <c r="P22" s="3">
        <f>IF($K22&lt;&gt;"",IF($O22-$Q22&gt;0,$O22-$Q22-$R22-$S22-$T22,0),"")</f>
        <v>250.46000000000004</v>
      </c>
      <c r="Q22" s="3">
        <f t="shared" si="0"/>
        <v>30.389999999999997</v>
      </c>
      <c r="R22" s="3">
        <f>IF($K22&lt;&gt;"",IF($A22="Prepago",0,IF(($H22+SUM($B$12:$B22))*$S$6&gt;SUM($R$11:$R21)+$S$6,$S$6*2,$S$6)),"")</f>
        <v>0</v>
      </c>
      <c r="S22" s="3">
        <f>IF($K22&lt;&gt;"",IF($A22="Prepago",0,IF(($H22+SUM($B$12:$B22))*$S$7&gt;SUM($S$11:$S21)+$S$7,$S$7*2,$S$7)),"")</f>
        <v>0</v>
      </c>
      <c r="T22" s="3">
        <f>IF($K22&lt;&gt;"",IF($A22="Prepago",0,IF(($H22+SUM($B$12:$B22))*$S$8&gt;SUM($T$11:$T21)+$S$8,$S$8*2,$S$8)),"")</f>
        <v>10</v>
      </c>
      <c r="U22" s="3">
        <f>IF($K22&lt;&gt;"",$N22-$P22,"")</f>
        <v>3452.0299999999984</v>
      </c>
      <c r="V22" s="3">
        <f t="shared" si="1"/>
        <v>0</v>
      </c>
      <c r="W22" s="3">
        <f>IF($K22&lt;&gt;"",SUM($X22:$XFD22),"")</f>
        <v>30.389999999999997</v>
      </c>
      <c r="X22" s="3">
        <f>IF($K22&lt;&gt;"",IF($M22&gt;X$11,30,$M22)*ROUND(($N22+$V21)*$T$5/3000,2),"")</f>
        <v>29.4</v>
      </c>
      <c r="Y22" s="3">
        <f>IF($K22&lt;&gt;"",IF($M22&gt;X$11,IF($M22&lt;Y$11,$M22-X$11,30),0)*ROUND(($N22+$V21+SUM($X22:X22))*$T$5/3000,2),"")</f>
        <v>0.99</v>
      </c>
      <c r="Z22" s="3"/>
      <c r="AA22" s="3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</row>
    <row r="23" spans="1:84" x14ac:dyDescent="0.25">
      <c r="E23" s="5"/>
      <c r="F23" t="str">
        <f>IF($K23&lt;&gt;"",TEXT(L23,"DDD"),"")</f>
        <v>lu</v>
      </c>
      <c r="G23" s="5">
        <f>IF($K23&lt;&gt;"",EOMONTH(DATE(YEAR($M$6),$G$11+K23+SUM($B$12:B23),1),0),"")</f>
        <v>43951</v>
      </c>
      <c r="H23" s="22">
        <f>IF($K23&lt;&gt;"",IF($A23="Prepago",$H22,$H22+1),"")</f>
        <v>12</v>
      </c>
      <c r="I23" s="22">
        <f>IF($K23&lt;&gt;"",IF(ISNUMBER($C23),-$P23+$W23-$Q23,ABS($W23)+$R23+$S23+$T23),"")</f>
        <v>37.6</v>
      </c>
      <c r="J23" s="22">
        <f>IF(K23&lt;&gt;"",IF(COUNTA($X23:$XFD23)*30&lt;$M23,1,0),"")</f>
        <v>0</v>
      </c>
      <c r="K23">
        <f>IF($K22&lt;NCUOTAS+CUOTAADICIONAL+PGRACIA,$K22+1,"")</f>
        <v>12</v>
      </c>
      <c r="L23" s="5">
        <f>IF($K23&lt;&gt;"",IF(ULTIMODIA=0,IF($E23="",DATE(YEAR($M$7),MONTH($M$7)+($A$1*($H23-1))+SUM($B$12:$B23),DAY($M$7)),$E23),G23),"")</f>
        <v>43976</v>
      </c>
      <c r="M23" s="9">
        <f>IF($K23&lt;&gt;"",$L23-$L22,"")</f>
        <v>30</v>
      </c>
      <c r="N23" s="3">
        <f>IF($K23&lt;&gt;"",$U22,"")</f>
        <v>3452.0299999999984</v>
      </c>
      <c r="O23" s="3">
        <f>IF($K23&lt;&gt;"",IF($A23="Gracia Parcial",IF(AND($C23&lt;$W23+$R23+$S23+$T23+$V22,$C23&gt;0),$C23,$W23+$R23+$S23+$T23+$V22),IF($A23="Gracia Total",0,IF($A23="Prepago",$C23,IF(ISNUMBER($C23),$C23*VALUE(MID($C$1,MONTH($L23),1)),$P$5*VALUE(MID($C$1,MONTH($L23),1))))))-IF($K24="",ARREGLO,0),"")</f>
        <v>290.85000000000002</v>
      </c>
      <c r="P23" s="3">
        <f>IF($K23&lt;&gt;"",IF($O23-$Q23&gt;0,$O23-$Q23-$R23-$S23-$T23,0),"")</f>
        <v>253.25</v>
      </c>
      <c r="Q23" s="3">
        <f t="shared" si="0"/>
        <v>27.6</v>
      </c>
      <c r="R23" s="3">
        <f>IF($K23&lt;&gt;"",IF($A23="Prepago",0,IF(($H23+SUM($B$12:$B23))*$S$6&gt;SUM($R$11:$R22)+$S$6,$S$6*2,$S$6)),"")</f>
        <v>0</v>
      </c>
      <c r="S23" s="3">
        <f>IF($K23&lt;&gt;"",IF($A23="Prepago",0,IF(($H23+SUM($B$12:$B23))*$S$7&gt;SUM($S$11:$S22)+$S$7,$S$7*2,$S$7)),"")</f>
        <v>0</v>
      </c>
      <c r="T23" s="3">
        <f>IF($K23&lt;&gt;"",IF($A23="Prepago",0,IF(($H23+SUM($B$12:$B23))*$S$8&gt;SUM($T$11:$T22)+$S$8,$S$8*2,$S$8)),"")</f>
        <v>10</v>
      </c>
      <c r="U23" s="3">
        <f>IF($K23&lt;&gt;"",$N23-$P23,"")</f>
        <v>3198.7799999999984</v>
      </c>
      <c r="V23" s="3">
        <f t="shared" si="1"/>
        <v>0</v>
      </c>
      <c r="W23" s="3">
        <f>IF($K23&lt;&gt;"",SUM($X23:$XFD23),"")</f>
        <v>27.6</v>
      </c>
      <c r="X23" s="3">
        <f>IF($K23&lt;&gt;"",IF($M23&gt;X$11,30,$M23)*ROUND(($N23+$V22)*$T$5/3000,2),"")</f>
        <v>27.6</v>
      </c>
      <c r="Y23" s="3">
        <f>IF($K23&lt;&gt;"",IF($M23&gt;X$11,IF($M23&lt;Y$11,$M23-X$11,30),0)*ROUND(($N23+$V22+SUM($X23:X23))*$T$5/3000,2),"")</f>
        <v>0</v>
      </c>
      <c r="Z23" s="3"/>
      <c r="AA23" s="3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</row>
    <row r="24" spans="1:84" x14ac:dyDescent="0.25">
      <c r="E24" s="5"/>
      <c r="F24" t="str">
        <f>IF($K24&lt;&gt;"",TEXT(L24,"DDD"),"")</f>
        <v>ju</v>
      </c>
      <c r="G24" s="5">
        <f>IF($K24&lt;&gt;"",EOMONTH(DATE(YEAR($M$6),$G$11+K24+SUM($B$12:B24),1),0),"")</f>
        <v>43982</v>
      </c>
      <c r="H24" s="22">
        <f>IF($K24&lt;&gt;"",IF($A24="Prepago",$H23,$H23+1),"")</f>
        <v>13</v>
      </c>
      <c r="I24" s="22">
        <f>IF($K24&lt;&gt;"",IF(ISNUMBER($C24),-$P24+$W24-$Q24,ABS($W24)+$R24+$S24+$T24),"")</f>
        <v>36.36</v>
      </c>
      <c r="J24" s="22">
        <f>IF(K24&lt;&gt;"",IF(COUNTA($X24:$XFD24)*30&lt;$M24,1,0),"")</f>
        <v>0</v>
      </c>
      <c r="K24">
        <f>IF($K23&lt;NCUOTAS+CUOTAADICIONAL+PGRACIA,$K23+1,"")</f>
        <v>13</v>
      </c>
      <c r="L24" s="5">
        <f>IF($K24&lt;&gt;"",IF(ULTIMODIA=0,IF($E24="",DATE(YEAR($M$7),MONTH($M$7)+($A$1*($H24-1))+SUM($B$12:$B24),DAY($M$7)),$E24),G24),"")</f>
        <v>44007</v>
      </c>
      <c r="M24" s="9">
        <f>IF($K24&lt;&gt;"",$L24-$L23,"")</f>
        <v>31</v>
      </c>
      <c r="N24" s="3">
        <f>IF($K24&lt;&gt;"",$U23,"")</f>
        <v>3198.7799999999984</v>
      </c>
      <c r="O24" s="3">
        <f>IF($K24&lt;&gt;"",IF($A24="Gracia Parcial",IF(AND($C24&lt;$W24+$R24+$S24+$T24+$V23,$C24&gt;0),$C24,$W24+$R24+$S24+$T24+$V23),IF($A24="Gracia Total",0,IF($A24="Prepago",$C24,IF(ISNUMBER($C24),$C24*VALUE(MID($C$1,MONTH($L24),1)),$P$5*VALUE(MID($C$1,MONTH($L24),1))))))-IF($K25="",ARREGLO,0),"")</f>
        <v>290.85000000000002</v>
      </c>
      <c r="P24" s="3">
        <f>IF($K24&lt;&gt;"",IF($O24-$Q24&gt;0,$O24-$Q24-$R24-$S24-$T24,0),"")</f>
        <v>254.49</v>
      </c>
      <c r="Q24" s="3">
        <f t="shared" si="0"/>
        <v>26.36</v>
      </c>
      <c r="R24" s="3">
        <f>IF($K24&lt;&gt;"",IF($A24="Prepago",0,IF(($H24+SUM($B$12:$B24))*$S$6&gt;SUM($R$11:$R23)+$S$6,$S$6*2,$S$6)),"")</f>
        <v>0</v>
      </c>
      <c r="S24" s="3">
        <f>IF($K24&lt;&gt;"",IF($A24="Prepago",0,IF(($H24+SUM($B$12:$B24))*$S$7&gt;SUM($S$11:$S23)+$S$7,$S$7*2,$S$7)),"")</f>
        <v>0</v>
      </c>
      <c r="T24" s="3">
        <f>IF($K24&lt;&gt;"",IF($A24="Prepago",0,IF(($H24+SUM($B$12:$B24))*$S$8&gt;SUM($T$11:$T23)+$S$8,$S$8*2,$S$8)),"")</f>
        <v>10</v>
      </c>
      <c r="U24" s="3">
        <f>IF($K24&lt;&gt;"",$N24-$P24,"")</f>
        <v>2944.2899999999981</v>
      </c>
      <c r="V24" s="3">
        <f t="shared" si="1"/>
        <v>0</v>
      </c>
      <c r="W24" s="3">
        <f>IF($K24&lt;&gt;"",SUM($X24:$XFD24),"")</f>
        <v>26.36</v>
      </c>
      <c r="X24" s="3">
        <f>IF($K24&lt;&gt;"",IF($M24&gt;X$11,30,$M24)*ROUND(($N24+$V23)*$T$5/3000,2),"")</f>
        <v>25.5</v>
      </c>
      <c r="Y24" s="3">
        <f>IF($K24&lt;&gt;"",IF($M24&gt;X$11,IF($M24&lt;Y$11,$M24-X$11,30),0)*ROUND(($N24+$V23+SUM($X24:X24))*$T$5/3000,2),"")</f>
        <v>0.86</v>
      </c>
      <c r="Z24" s="3"/>
      <c r="AA24" s="3"/>
      <c r="AB24" s="3"/>
      <c r="AC24" s="3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</row>
    <row r="25" spans="1:84" x14ac:dyDescent="0.25">
      <c r="E25" s="5"/>
      <c r="F25" t="str">
        <f>IF($K25&lt;&gt;"",TEXT(L25,"DDD"),"")</f>
        <v>sá</v>
      </c>
      <c r="G25" s="5">
        <f>IF($K25&lt;&gt;"",EOMONTH(DATE(YEAR($M$6),$G$11+K25+SUM($B$12:B25),1),0),"")</f>
        <v>44012</v>
      </c>
      <c r="H25" s="22">
        <f>IF($K25&lt;&gt;"",IF($A25="Prepago",$H24,$H24+1),"")</f>
        <v>14</v>
      </c>
      <c r="I25" s="22">
        <f>IF($K25&lt;&gt;"",IF(ISNUMBER($C25),-$P25+$W25-$Q25,ABS($W25)+$R25+$S25+$T25),"")</f>
        <v>33.400000000000006</v>
      </c>
      <c r="J25" s="22">
        <f>IF(K25&lt;&gt;"",IF(COUNTA($X25:$XFD25)*30&lt;$M25,1,0),"")</f>
        <v>0</v>
      </c>
      <c r="K25">
        <f>IF($K24&lt;NCUOTAS+CUOTAADICIONAL+PGRACIA,$K24+1,"")</f>
        <v>14</v>
      </c>
      <c r="L25" s="5">
        <f>IF($K25&lt;&gt;"",IF(ULTIMODIA=0,IF($E25="",DATE(YEAR($M$7),MONTH($M$7)+($A$1*($H25-1))+SUM($B$12:$B25),DAY($M$7)),$E25),G25),"")</f>
        <v>44037</v>
      </c>
      <c r="M25" s="9">
        <f>IF($K25&lt;&gt;"",$L25-$L24,"")</f>
        <v>30</v>
      </c>
      <c r="N25" s="3">
        <f>IF($K25&lt;&gt;"",$U24,"")</f>
        <v>2944.2899999999981</v>
      </c>
      <c r="O25" s="3">
        <f>IF($K25&lt;&gt;"",IF($A25="Gracia Parcial",IF(AND($C25&lt;$W25+$R25+$S25+$T25+$V24,$C25&gt;0),$C25,$W25+$R25+$S25+$T25+$V24),IF($A25="Gracia Total",0,IF($A25="Prepago",$C25,IF(ISNUMBER($C25),$C25*VALUE(MID($C$1,MONTH($L25),1)),$P$5*VALUE(MID($C$1,MONTH($L25),1))))))-IF($K26="",ARREGLO,0),"")</f>
        <v>290.85000000000002</v>
      </c>
      <c r="P25" s="3">
        <f>IF($K25&lt;&gt;"",IF($O25-$Q25&gt;0,$O25-$Q25-$R25-$S25-$T25,0),"")</f>
        <v>257.45000000000005</v>
      </c>
      <c r="Q25" s="3">
        <f t="shared" si="0"/>
        <v>23.400000000000002</v>
      </c>
      <c r="R25" s="3">
        <f>IF($K25&lt;&gt;"",IF($A25="Prepago",0,IF(($H25+SUM($B$12:$B25))*$S$6&gt;SUM($R$11:$R24)+$S$6,$S$6*2,$S$6)),"")</f>
        <v>0</v>
      </c>
      <c r="S25" s="3">
        <f>IF($K25&lt;&gt;"",IF($A25="Prepago",0,IF(($H25+SUM($B$12:$B25))*$S$7&gt;SUM($S$11:$S24)+$S$7,$S$7*2,$S$7)),"")</f>
        <v>0</v>
      </c>
      <c r="T25" s="3">
        <f>IF($K25&lt;&gt;"",IF($A25="Prepago",0,IF(($H25+SUM($B$12:$B25))*$S$8&gt;SUM($T$11:$T24)+$S$8,$S$8*2,$S$8)),"")</f>
        <v>10</v>
      </c>
      <c r="U25" s="3">
        <f>IF($K25&lt;&gt;"",$N25-$P25,"")</f>
        <v>2686.8399999999983</v>
      </c>
      <c r="V25" s="3">
        <f t="shared" si="1"/>
        <v>0</v>
      </c>
      <c r="W25" s="3">
        <f>IF($K25&lt;&gt;"",SUM($X25:$XFD25),"")</f>
        <v>23.400000000000002</v>
      </c>
      <c r="X25" s="3">
        <f>IF($K25&lt;&gt;"",IF($M25&gt;X$11,30,$M25)*ROUND(($N25+$V24)*$T$5/3000,2),"")</f>
        <v>23.400000000000002</v>
      </c>
      <c r="Y25" s="3">
        <f>IF($K25&lt;&gt;"",IF($M25&gt;X$11,IF($M25&lt;Y$11,$M25-X$11,30),0)*ROUND(($N25+$V24+SUM($X25:X25))*$T$5/3000,2),"")</f>
        <v>0</v>
      </c>
      <c r="Z25" s="3"/>
      <c r="AA25" s="3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</row>
    <row r="26" spans="1:84" x14ac:dyDescent="0.25">
      <c r="E26" s="5"/>
      <c r="F26" t="str">
        <f>IF($K26&lt;&gt;"",TEXT(L26,"DDD"),"")</f>
        <v>ma</v>
      </c>
      <c r="G26" s="5">
        <f>IF($K26&lt;&gt;"",EOMONTH(DATE(YEAR($M$6),$G$11+K26+SUM($B$12:B26),1),0),"")</f>
        <v>44043</v>
      </c>
      <c r="H26" s="22">
        <f>IF($K26&lt;&gt;"",IF($A26="Prepago",$H25,$H25+1),"")</f>
        <v>15</v>
      </c>
      <c r="I26" s="22">
        <f>IF($K26&lt;&gt;"",IF(ISNUMBER($C26),-$P26+$W26-$Q26,ABS($W26)+$R26+$S26+$T26),"")</f>
        <v>32.019999999999996</v>
      </c>
      <c r="J26" s="22">
        <f>IF(K26&lt;&gt;"",IF(COUNTA($X26:$XFD26)*30&lt;$M26,1,0),"")</f>
        <v>0</v>
      </c>
      <c r="K26">
        <f>IF($K25&lt;NCUOTAS+CUOTAADICIONAL+PGRACIA,$K25+1,"")</f>
        <v>15</v>
      </c>
      <c r="L26" s="5">
        <f>IF($K26&lt;&gt;"",IF(ULTIMODIA=0,IF($E26="",DATE(YEAR($M$7),MONTH($M$7)+($A$1*($H26-1))+SUM($B$12:$B26),DAY($M$7)),$E26),G26),"")</f>
        <v>44068</v>
      </c>
      <c r="M26" s="9">
        <f>IF($K26&lt;&gt;"",$L26-$L25,"")</f>
        <v>31</v>
      </c>
      <c r="N26" s="3">
        <f>IF($K26&lt;&gt;"",$U25,"")</f>
        <v>2686.8399999999983</v>
      </c>
      <c r="O26" s="3">
        <f>IF($K26&lt;&gt;"",IF($A26="Gracia Parcial",IF(AND($C26&lt;$W26+$R26+$S26+$T26+$V25,$C26&gt;0),$C26,$W26+$R26+$S26+$T26+$V25),IF($A26="Gracia Total",0,IF($A26="Prepago",$C26,IF(ISNUMBER($C26),$C26*VALUE(MID($C$1,MONTH($L26),1)),$P$5*VALUE(MID($C$1,MONTH($L26),1))))))-IF($K27="",ARREGLO,0),"")</f>
        <v>290.85000000000002</v>
      </c>
      <c r="P26" s="3">
        <f>IF($K26&lt;&gt;"",IF($O26-$Q26&gt;0,$O26-$Q26-$R26-$S26-$T26,0),"")</f>
        <v>258.83000000000004</v>
      </c>
      <c r="Q26" s="3">
        <f t="shared" si="0"/>
        <v>22.019999999999996</v>
      </c>
      <c r="R26" s="3">
        <f>IF($K26&lt;&gt;"",IF($A26="Prepago",0,IF(($H26+SUM($B$12:$B26))*$S$6&gt;SUM($R$11:$R25)+$S$6,$S$6*2,$S$6)),"")</f>
        <v>0</v>
      </c>
      <c r="S26" s="3">
        <f>IF($K26&lt;&gt;"",IF($A26="Prepago",0,IF(($H26+SUM($B$12:$B26))*$S$7&gt;SUM($S$11:$S25)+$S$7,$S$7*2,$S$7)),"")</f>
        <v>0</v>
      </c>
      <c r="T26" s="3">
        <f>IF($K26&lt;&gt;"",IF($A26="Prepago",0,IF(($H26+SUM($B$12:$B26))*$S$8&gt;SUM($T$11:$T25)+$S$8,$S$8*2,$S$8)),"")</f>
        <v>10</v>
      </c>
      <c r="U26" s="3">
        <f>IF($K26&lt;&gt;"",$N26-$P26,"")</f>
        <v>2428.0099999999984</v>
      </c>
      <c r="V26" s="3">
        <f t="shared" si="1"/>
        <v>0</v>
      </c>
      <c r="W26" s="3">
        <f>IF($K26&lt;&gt;"",SUM($X26:$XFD26),"")</f>
        <v>22.019999999999996</v>
      </c>
      <c r="X26" s="3">
        <f>IF($K26&lt;&gt;"",IF($M26&gt;X$11,30,$M26)*ROUND(($N26+$V25)*$T$5/3000,2),"")</f>
        <v>21.299999999999997</v>
      </c>
      <c r="Y26" s="3">
        <f>IF($K26&lt;&gt;"",IF($M26&gt;X$11,IF($M26&lt;Y$11,$M26-X$11,30),0)*ROUND(($N26+$V25+SUM($X26:X26))*$T$5/3000,2),"")</f>
        <v>0.72</v>
      </c>
      <c r="Z26" s="3"/>
      <c r="AA26" s="3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</row>
    <row r="27" spans="1:84" x14ac:dyDescent="0.25">
      <c r="E27" s="5"/>
      <c r="F27" t="str">
        <f>IF($K27&lt;&gt;"",TEXT(L27,"DDD"),"")</f>
        <v>vi</v>
      </c>
      <c r="G27" s="5">
        <f>IF($K27&lt;&gt;"",EOMONTH(DATE(YEAR($M$6),$G$11+K27+SUM($B$12:B27),1),0),"")</f>
        <v>44074</v>
      </c>
      <c r="H27" s="22">
        <f>IF($K27&lt;&gt;"",IF($A27="Prepago",$H26,$H26+1),"")</f>
        <v>16</v>
      </c>
      <c r="I27" s="22">
        <f>IF($K27&lt;&gt;"",IF(ISNUMBER($C27),-$P27+$W27-$Q27,ABS($W27)+$R27+$S27+$T27),"")</f>
        <v>30.15</v>
      </c>
      <c r="J27" s="22">
        <f>IF(K27&lt;&gt;"",IF(COUNTA($X27:$XFD27)*30&lt;$M27,1,0),"")</f>
        <v>0</v>
      </c>
      <c r="K27">
        <f>IF($K26&lt;NCUOTAS+CUOTAADICIONAL+PGRACIA,$K26+1,"")</f>
        <v>16</v>
      </c>
      <c r="L27" s="5">
        <f>IF($K27&lt;&gt;"",IF(ULTIMODIA=0,IF($E27="",DATE(YEAR($M$7),MONTH($M$7)+($A$1*($H27-1))+SUM($B$12:$B27),DAY($M$7)),$E27),G27),"")</f>
        <v>44099</v>
      </c>
      <c r="M27" s="9">
        <f>IF($K27&lt;&gt;"",$L27-$L26,"")</f>
        <v>31</v>
      </c>
      <c r="N27" s="3">
        <f>IF($K27&lt;&gt;"",$U26,"")</f>
        <v>2428.0099999999984</v>
      </c>
      <c r="O27" s="3">
        <f>IF($K27&lt;&gt;"",IF($A27="Gracia Parcial",IF(AND($C27&lt;$W27+$R27+$S27+$T27+$V26,$C27&gt;0),$C27,$W27+$R27+$S27+$T27+$V26),IF($A27="Gracia Total",0,IF($A27="Prepago",$C27,IF(ISNUMBER($C27),$C27*VALUE(MID($C$1,MONTH($L27),1)),$P$5*VALUE(MID($C$1,MONTH($L27),1))))))-IF($K28="",ARREGLO,0),"")</f>
        <v>290.85000000000002</v>
      </c>
      <c r="P27" s="3">
        <f>IF($K27&lt;&gt;"",IF($O27-$Q27&gt;0,$O27-$Q27-$R27-$S27-$T27,0),"")</f>
        <v>260.70000000000005</v>
      </c>
      <c r="Q27" s="3">
        <f t="shared" si="0"/>
        <v>20.149999999999999</v>
      </c>
      <c r="R27" s="3">
        <f>IF($K27&lt;&gt;"",IF($A27="Prepago",0,IF(($H27+SUM($B$12:$B27))*$S$6&gt;SUM($R$11:$R26)+$S$6,$S$6*2,$S$6)),"")</f>
        <v>0</v>
      </c>
      <c r="S27" s="3">
        <f>IF($K27&lt;&gt;"",IF($A27="Prepago",0,IF(($H27+SUM($B$12:$B27))*$S$7&gt;SUM($S$11:$S26)+$S$7,$S$7*2,$S$7)),"")</f>
        <v>0</v>
      </c>
      <c r="T27" s="3">
        <f>IF($K27&lt;&gt;"",IF($A27="Prepago",0,IF(($H27+SUM($B$12:$B27))*$S$8&gt;SUM($T$11:$T26)+$S$8,$S$8*2,$S$8)),"")</f>
        <v>10</v>
      </c>
      <c r="U27" s="3">
        <f>IF($K27&lt;&gt;"",$N27-$P27,"")</f>
        <v>2167.3099999999986</v>
      </c>
      <c r="V27" s="3">
        <f t="shared" si="1"/>
        <v>0</v>
      </c>
      <c r="W27" s="3">
        <f>IF($K27&lt;&gt;"",SUM($X27:$XFD27),"")</f>
        <v>20.149999999999999</v>
      </c>
      <c r="X27" s="3">
        <f>IF($K27&lt;&gt;"",IF($M27&gt;X$11,30,$M27)*ROUND(($N27+$V26)*$T$5/3000,2),"")</f>
        <v>19.5</v>
      </c>
      <c r="Y27" s="3">
        <f>IF($K27&lt;&gt;"",IF($M27&gt;X$11,IF($M27&lt;Y$11,$M27-X$11,30),0)*ROUND(($N27+$V26+SUM($X27:X27))*$T$5/3000,2),"")</f>
        <v>0.65</v>
      </c>
      <c r="Z27" s="3"/>
      <c r="AA27" s="3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</row>
    <row r="28" spans="1:84" x14ac:dyDescent="0.25">
      <c r="E28" s="5"/>
      <c r="F28" t="str">
        <f>IF($K28&lt;&gt;"",TEXT(L28,"DDD"),"")</f>
        <v>do</v>
      </c>
      <c r="G28" s="5">
        <f>IF($K28&lt;&gt;"",EOMONTH(DATE(YEAR($M$6),$G$11+K28+SUM($B$12:B28),1),0),"")</f>
        <v>44104</v>
      </c>
      <c r="H28" s="22">
        <f>IF($K28&lt;&gt;"",IF($A28="Prepago",$H27,$H27+1),"")</f>
        <v>17</v>
      </c>
      <c r="I28" s="22">
        <f>IF($K28&lt;&gt;"",IF(ISNUMBER($C28),-$P28+$W28-$Q28,ABS($W28)+$R28+$S28+$T28),"")</f>
        <v>27.4</v>
      </c>
      <c r="J28" s="22">
        <f>IF(K28&lt;&gt;"",IF(COUNTA($X28:$XFD28)*30&lt;$M28,1,0),"")</f>
        <v>0</v>
      </c>
      <c r="K28">
        <f>IF($K27&lt;NCUOTAS+CUOTAADICIONAL+PGRACIA,$K27+1,"")</f>
        <v>17</v>
      </c>
      <c r="L28" s="5">
        <f>IF($K28&lt;&gt;"",IF(ULTIMODIA=0,IF($E28="",DATE(YEAR($M$7),MONTH($M$7)+($A$1*($H28-1))+SUM($B$12:$B28),DAY($M$7)),$E28),G28),"")</f>
        <v>44129</v>
      </c>
      <c r="M28" s="9">
        <f>IF($K28&lt;&gt;"",$L28-$L27,"")</f>
        <v>30</v>
      </c>
      <c r="N28" s="3">
        <f>IF($K28&lt;&gt;"",$U27,"")</f>
        <v>2167.3099999999986</v>
      </c>
      <c r="O28" s="3">
        <f>IF($K28&lt;&gt;"",IF($A28="Gracia Parcial",IF(AND($C28&lt;$W28+$R28+$S28+$T28+$V27,$C28&gt;0),$C28,$W28+$R28+$S28+$T28+$V27),IF($A28="Gracia Total",0,IF($A28="Prepago",$C28,IF(ISNUMBER($C28),$C28*VALUE(MID($C$1,MONTH($L28),1)),$P$5*VALUE(MID($C$1,MONTH($L28),1))))))-IF($K29="",ARREGLO,0),"")</f>
        <v>290.85000000000002</v>
      </c>
      <c r="P28" s="3">
        <f>IF($K28&lt;&gt;"",IF($O28-$Q28&gt;0,$O28-$Q28-$R28-$S28-$T28,0),"")</f>
        <v>263.45000000000005</v>
      </c>
      <c r="Q28" s="3">
        <f t="shared" si="0"/>
        <v>17.399999999999999</v>
      </c>
      <c r="R28" s="3">
        <f>IF($K28&lt;&gt;"",IF($A28="Prepago",0,IF(($H28+SUM($B$12:$B28))*$S$6&gt;SUM($R$11:$R27)+$S$6,$S$6*2,$S$6)),"")</f>
        <v>0</v>
      </c>
      <c r="S28" s="3">
        <f>IF($K28&lt;&gt;"",IF($A28="Prepago",0,IF(($H28+SUM($B$12:$B28))*$S$7&gt;SUM($S$11:$S27)+$S$7,$S$7*2,$S$7)),"")</f>
        <v>0</v>
      </c>
      <c r="T28" s="3">
        <f>IF($K28&lt;&gt;"",IF($A28="Prepago",0,IF(($H28+SUM($B$12:$B28))*$S$8&gt;SUM($T$11:$T27)+$S$8,$S$8*2,$S$8)),"")</f>
        <v>10</v>
      </c>
      <c r="U28" s="3">
        <f>IF($K28&lt;&gt;"",$N28-$P28,"")</f>
        <v>1903.8599999999985</v>
      </c>
      <c r="V28" s="3">
        <f t="shared" si="1"/>
        <v>0</v>
      </c>
      <c r="W28" s="3">
        <f>IF($K28&lt;&gt;"",SUM($X28:$XFD28),"")</f>
        <v>17.399999999999999</v>
      </c>
      <c r="X28" s="3">
        <f>IF($K28&lt;&gt;"",IF($M28&gt;X$11,30,$M28)*ROUND(($N28+$V27)*$T$5/3000,2),"")</f>
        <v>17.399999999999999</v>
      </c>
      <c r="Y28" s="3">
        <f>IF($K28&lt;&gt;"",IF($M28&gt;X$11,IF($M28&lt;Y$11,$M28-X$11,30),0)*ROUND(($N28+$V27+SUM($X28:X28))*$T$5/3000,2),"")</f>
        <v>0</v>
      </c>
      <c r="Z28" s="3"/>
      <c r="AA28" s="3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</row>
    <row r="29" spans="1:84" x14ac:dyDescent="0.25">
      <c r="E29" s="5"/>
      <c r="F29" t="str">
        <f>IF($K29&lt;&gt;"",TEXT(L29,"DDD"),"")</f>
        <v>mi</v>
      </c>
      <c r="G29" s="5">
        <f>IF($K29&lt;&gt;"",EOMONTH(DATE(YEAR($M$6),$G$11+K29+SUM($B$12:B29),1),0),"")</f>
        <v>44135</v>
      </c>
      <c r="H29" s="22">
        <f>IF($K29&lt;&gt;"",IF($A29="Prepago",$H28,$H28+1),"")</f>
        <v>18</v>
      </c>
      <c r="I29" s="22">
        <f>IF($K29&lt;&gt;"",IF(ISNUMBER($C29),-$P29+$W29-$Q29,ABS($W29)+$R29+$S29+$T29),"")</f>
        <v>25.810000000000002</v>
      </c>
      <c r="J29" s="22">
        <f>IF(K29&lt;&gt;"",IF(COUNTA($X29:$XFD29)*30&lt;$M29,1,0),"")</f>
        <v>0</v>
      </c>
      <c r="K29">
        <f>IF($K28&lt;NCUOTAS+CUOTAADICIONAL+PGRACIA,$K28+1,"")</f>
        <v>18</v>
      </c>
      <c r="L29" s="5">
        <f>IF($K29&lt;&gt;"",IF(ULTIMODIA=0,IF($E29="",DATE(YEAR($M$7),MONTH($M$7)+($A$1*($H29-1))+SUM($B$12:$B29),DAY($M$7)),$E29),G29),"")</f>
        <v>44160</v>
      </c>
      <c r="M29" s="9">
        <f>IF($K29&lt;&gt;"",$L29-$L28,"")</f>
        <v>31</v>
      </c>
      <c r="N29" s="3">
        <f>IF($K29&lt;&gt;"",$U28,"")</f>
        <v>1903.8599999999985</v>
      </c>
      <c r="O29" s="3">
        <f>IF($K29&lt;&gt;"",IF($A29="Gracia Parcial",IF(AND($C29&lt;$W29+$R29+$S29+$T29+$V28,$C29&gt;0),$C29,$W29+$R29+$S29+$T29+$V28),IF($A29="Gracia Total",0,IF($A29="Prepago",$C29,IF(ISNUMBER($C29),$C29*VALUE(MID($C$1,MONTH($L29),1)),$P$5*VALUE(MID($C$1,MONTH($L29),1))))))-IF($K30="",ARREGLO,0),"")</f>
        <v>290.85000000000002</v>
      </c>
      <c r="P29" s="3">
        <f>IF($K29&lt;&gt;"",IF($O29-$Q29&gt;0,$O29-$Q29-$R29-$S29-$T29,0),"")</f>
        <v>265.04000000000002</v>
      </c>
      <c r="Q29" s="3">
        <f t="shared" si="0"/>
        <v>15.81</v>
      </c>
      <c r="R29" s="3">
        <f>IF($K29&lt;&gt;"",IF($A29="Prepago",0,IF(($H29+SUM($B$12:$B29))*$S$6&gt;SUM($R$11:$R28)+$S$6,$S$6*2,$S$6)),"")</f>
        <v>0</v>
      </c>
      <c r="S29" s="3">
        <f>IF($K29&lt;&gt;"",IF($A29="Prepago",0,IF(($H29+SUM($B$12:$B29))*$S$7&gt;SUM($S$11:$S28)+$S$7,$S$7*2,$S$7)),"")</f>
        <v>0</v>
      </c>
      <c r="T29" s="3">
        <f>IF($K29&lt;&gt;"",IF($A29="Prepago",0,IF(($H29+SUM($B$12:$B29))*$S$8&gt;SUM($T$11:$T28)+$S$8,$S$8*2,$S$8)),"")</f>
        <v>10</v>
      </c>
      <c r="U29" s="3">
        <f>IF($K29&lt;&gt;"",$N29-$P29,"")</f>
        <v>1638.8199999999986</v>
      </c>
      <c r="V29" s="3">
        <f t="shared" si="1"/>
        <v>0</v>
      </c>
      <c r="W29" s="3">
        <f>IF($K29&lt;&gt;"",SUM($X29:$XFD29),"")</f>
        <v>15.81</v>
      </c>
      <c r="X29" s="3">
        <f>IF($K29&lt;&gt;"",IF($M29&gt;X$11,30,$M29)*ROUND(($N29+$V28)*$T$5/3000,2),"")</f>
        <v>15.3</v>
      </c>
      <c r="Y29" s="3">
        <f>IF($K29&lt;&gt;"",IF($M29&gt;X$11,IF($M29&lt;Y$11,$M29-X$11,30),0)*ROUND(($N29+$V28+SUM($X29:X29))*$T$5/3000,2),"")</f>
        <v>0.51</v>
      </c>
      <c r="Z29" s="3"/>
      <c r="AA29" s="3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</row>
    <row r="30" spans="1:84" x14ac:dyDescent="0.25">
      <c r="E30" s="5"/>
      <c r="F30" t="str">
        <f>IF($K30&lt;&gt;"",TEXT(L30,"DDD"),"")</f>
        <v>vi</v>
      </c>
      <c r="G30" s="5">
        <f>IF($K30&lt;&gt;"",EOMONTH(DATE(YEAR($M$6),$G$11+K30+SUM($B$12:B30),1),0),"")</f>
        <v>44165</v>
      </c>
      <c r="H30" s="22">
        <f>IF($K30&lt;&gt;"",IF($A30="Prepago",$H29,$H29+1),"")</f>
        <v>19</v>
      </c>
      <c r="I30" s="22">
        <f>IF($K30&lt;&gt;"",IF(ISNUMBER($C30),-$P30+$W30-$Q30,ABS($W30)+$R30+$S30+$T30),"")</f>
        <v>23.2</v>
      </c>
      <c r="J30" s="22">
        <f>IF(K30&lt;&gt;"",IF(COUNTA($X30:$XFD30)*30&lt;$M30,1,0),"")</f>
        <v>0</v>
      </c>
      <c r="K30">
        <f>IF($K29&lt;NCUOTAS+CUOTAADICIONAL+PGRACIA,$K29+1,"")</f>
        <v>19</v>
      </c>
      <c r="L30" s="5">
        <f>IF($K30&lt;&gt;"",IF(ULTIMODIA=0,IF($E30="",DATE(YEAR($M$7),MONTH($M$7)+($A$1*($H30-1))+SUM($B$12:$B30),DAY($M$7)),$E30),G30),"")</f>
        <v>44190</v>
      </c>
      <c r="M30" s="9">
        <f>IF($K30&lt;&gt;"",$L30-$L29,"")</f>
        <v>30</v>
      </c>
      <c r="N30" s="3">
        <f>IF($K30&lt;&gt;"",$U29,"")</f>
        <v>1638.8199999999986</v>
      </c>
      <c r="O30" s="3">
        <f>IF($K30&lt;&gt;"",IF($A30="Gracia Parcial",IF(AND($C30&lt;$W30+$R30+$S30+$T30+$V29,$C30&gt;0),$C30,$W30+$R30+$S30+$T30+$V29),IF($A30="Gracia Total",0,IF($A30="Prepago",$C30,IF(ISNUMBER($C30),$C30*VALUE(MID($C$1,MONTH($L30),1)),$P$5*VALUE(MID($C$1,MONTH($L30),1))))))-IF($K31="",ARREGLO,0),"")</f>
        <v>290.85000000000002</v>
      </c>
      <c r="P30" s="3">
        <f>IF($K30&lt;&gt;"",IF($O30-$Q30&gt;0,$O30-$Q30-$R30-$S30-$T30,0),"")</f>
        <v>267.65000000000003</v>
      </c>
      <c r="Q30" s="3">
        <f t="shared" si="0"/>
        <v>13.2</v>
      </c>
      <c r="R30" s="3">
        <f>IF($K30&lt;&gt;"",IF($A30="Prepago",0,IF(($H30+SUM($B$12:$B30))*$S$6&gt;SUM($R$11:$R29)+$S$6,$S$6*2,$S$6)),"")</f>
        <v>0</v>
      </c>
      <c r="S30" s="3">
        <f>IF($K30&lt;&gt;"",IF($A30="Prepago",0,IF(($H30+SUM($B$12:$B30))*$S$7&gt;SUM($S$11:$S29)+$S$7,$S$7*2,$S$7)),"")</f>
        <v>0</v>
      </c>
      <c r="T30" s="3">
        <f>IF($K30&lt;&gt;"",IF($A30="Prepago",0,IF(($H30+SUM($B$12:$B30))*$S$8&gt;SUM($T$11:$T29)+$S$8,$S$8*2,$S$8)),"")</f>
        <v>10</v>
      </c>
      <c r="U30" s="3">
        <f>IF($K30&lt;&gt;"",$N30-$P30,"")</f>
        <v>1371.1699999999985</v>
      </c>
      <c r="V30" s="3">
        <f t="shared" si="1"/>
        <v>0</v>
      </c>
      <c r="W30" s="3">
        <f>IF($K30&lt;&gt;"",SUM($X30:$XFD30),"")</f>
        <v>13.2</v>
      </c>
      <c r="X30" s="3">
        <f>IF($K30&lt;&gt;"",IF($M30&gt;X$11,30,$M30)*ROUND(($N30+$V29)*$T$5/3000,2),"")</f>
        <v>13.2</v>
      </c>
      <c r="Y30" s="3">
        <f>IF($K30&lt;&gt;"",IF($M30&gt;X$11,IF($M30&lt;Y$11,$M30-X$11,30),0)*ROUND(($N30+$V29+SUM($X30:X30))*$T$5/3000,2),"")</f>
        <v>0</v>
      </c>
      <c r="Z30" s="3"/>
      <c r="AA30" s="3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</row>
    <row r="31" spans="1:84" x14ac:dyDescent="0.25">
      <c r="E31" s="5"/>
      <c r="F31" t="str">
        <f>IF($K31&lt;&gt;"",TEXT(L31,"DDD"),"")</f>
        <v>lu</v>
      </c>
      <c r="G31" s="5">
        <f>IF($K31&lt;&gt;"",EOMONTH(DATE(YEAR($M$6),$G$11+K31+SUM($B$12:B31),1),0),"")</f>
        <v>44196</v>
      </c>
      <c r="H31" s="22">
        <f>IF($K31&lt;&gt;"",IF($A31="Prepago",$H30,$H30+1),"")</f>
        <v>20</v>
      </c>
      <c r="I31" s="22">
        <f>IF($K31&lt;&gt;"",IF(ISNUMBER($C31),-$P31+$W31-$Q31,ABS($W31)+$R31+$S31+$T31),"")</f>
        <v>21.169999999999998</v>
      </c>
      <c r="J31" s="22">
        <f>IF(K31&lt;&gt;"",IF(COUNTA($X31:$XFD31)*30&lt;$M31,1,0),"")</f>
        <v>0</v>
      </c>
      <c r="K31">
        <f>IF($K30&lt;NCUOTAS+CUOTAADICIONAL+PGRACIA,$K30+1,"")</f>
        <v>20</v>
      </c>
      <c r="L31" s="5">
        <f>IF($K31&lt;&gt;"",IF(ULTIMODIA=0,IF($E31="",DATE(YEAR($M$7),MONTH($M$7)+($A$1*($H31-1))+SUM($B$12:$B31),DAY($M$7)),$E31),G31),"")</f>
        <v>44221</v>
      </c>
      <c r="M31" s="9">
        <f>IF($K31&lt;&gt;"",$L31-$L30,"")</f>
        <v>31</v>
      </c>
      <c r="N31" s="3">
        <f>IF($K31&lt;&gt;"",$U30,"")</f>
        <v>1371.1699999999985</v>
      </c>
      <c r="O31" s="3">
        <f>IF($K31&lt;&gt;"",IF($A31="Gracia Parcial",IF(AND($C31&lt;$W31+$R31+$S31+$T31+$V30,$C31&gt;0),$C31,$W31+$R31+$S31+$T31+$V30),IF($A31="Gracia Total",0,IF($A31="Prepago",$C31,IF(ISNUMBER($C31),$C31*VALUE(MID($C$1,MONTH($L31),1)),$P$5*VALUE(MID($C$1,MONTH($L31),1))))))-IF($K32="",ARREGLO,0),"")</f>
        <v>290.85000000000002</v>
      </c>
      <c r="P31" s="3">
        <f>IF($K31&lt;&gt;"",IF($O31-$Q31&gt;0,$O31-$Q31-$R31-$S31-$T31,0),"")</f>
        <v>269.68</v>
      </c>
      <c r="Q31" s="3">
        <f t="shared" si="0"/>
        <v>11.169999999999998</v>
      </c>
      <c r="R31" s="3">
        <f>IF($K31&lt;&gt;"",IF($A31="Prepago",0,IF(($H31+SUM($B$12:$B31))*$S$6&gt;SUM($R$11:$R30)+$S$6,$S$6*2,$S$6)),"")</f>
        <v>0</v>
      </c>
      <c r="S31" s="3">
        <f>IF($K31&lt;&gt;"",IF($A31="Prepago",0,IF(($H31+SUM($B$12:$B31))*$S$7&gt;SUM($S$11:$S30)+$S$7,$S$7*2,$S$7)),"")</f>
        <v>0</v>
      </c>
      <c r="T31" s="3">
        <f>IF($K31&lt;&gt;"",IF($A31="Prepago",0,IF(($H31+SUM($B$12:$B31))*$S$8&gt;SUM($T$11:$T30)+$S$8,$S$8*2,$S$8)),"")</f>
        <v>10</v>
      </c>
      <c r="U31" s="3">
        <f>IF($K31&lt;&gt;"",$N31-$P31,"")</f>
        <v>1101.4899999999984</v>
      </c>
      <c r="V31" s="3">
        <f t="shared" si="1"/>
        <v>0</v>
      </c>
      <c r="W31" s="3">
        <f>IF($K31&lt;&gt;"",SUM($X31:$XFD31),"")</f>
        <v>11.169999999999998</v>
      </c>
      <c r="X31" s="3">
        <f>IF($K31&lt;&gt;"",IF($M31&gt;X$11,30,$M31)*ROUND(($N31+$V30)*$T$5/3000,2),"")</f>
        <v>10.799999999999999</v>
      </c>
      <c r="Y31" s="3">
        <f>IF($K31&lt;&gt;"",IF($M31&gt;X$11,IF($M31&lt;Y$11,$M31-X$11,30),0)*ROUND(($N31+$V30+SUM($X31:X31))*$T$5/3000,2),"")</f>
        <v>0.37</v>
      </c>
      <c r="Z31" s="3"/>
      <c r="AA31" s="3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</row>
    <row r="32" spans="1:84" x14ac:dyDescent="0.25">
      <c r="E32" s="5"/>
      <c r="F32" t="str">
        <f>IF($K32&lt;&gt;"",TEXT(L32,"DDD"),"")</f>
        <v>ju</v>
      </c>
      <c r="G32" s="5">
        <f>IF($K32&lt;&gt;"",EOMONTH(DATE(YEAR($M$6),$G$11+K32+SUM($B$12:B32),1),0),"")</f>
        <v>44227</v>
      </c>
      <c r="H32" s="22">
        <f>IF($K32&lt;&gt;"",IF($A32="Prepago",$H31,$H31+1),"")</f>
        <v>21</v>
      </c>
      <c r="I32" s="22">
        <f>IF($K32&lt;&gt;"",IF(ISNUMBER($C32),-$P32+$W32-$Q32,ABS($W32)+$R32+$S32+$T32),"")</f>
        <v>19</v>
      </c>
      <c r="J32" s="22">
        <f>IF(K32&lt;&gt;"",IF(COUNTA($X32:$XFD32)*30&lt;$M32,1,0),"")</f>
        <v>0</v>
      </c>
      <c r="K32">
        <f>IF($K31&lt;NCUOTAS+CUOTAADICIONAL+PGRACIA,$K31+1,"")</f>
        <v>21</v>
      </c>
      <c r="L32" s="5">
        <f>IF($K32&lt;&gt;"",IF(ULTIMODIA=0,IF($E32="",DATE(YEAR($M$7),MONTH($M$7)+($A$1*($H32-1))+SUM($B$12:$B32),DAY($M$7)),$E32),G32),"")</f>
        <v>44252</v>
      </c>
      <c r="M32" s="9">
        <f>IF($K32&lt;&gt;"",$L32-$L31,"")</f>
        <v>31</v>
      </c>
      <c r="N32" s="3">
        <f>IF($K32&lt;&gt;"",$U31,"")</f>
        <v>1101.4899999999984</v>
      </c>
      <c r="O32" s="3">
        <f>IF($K32&lt;&gt;"",IF($A32="Gracia Parcial",IF(AND($C32&lt;$W32+$R32+$S32+$T32+$V31,$C32&gt;0),$C32,$W32+$R32+$S32+$T32+$V31),IF($A32="Gracia Total",0,IF($A32="Prepago",$C32,IF(ISNUMBER($C32),$C32*VALUE(MID($C$1,MONTH($L32),1)),$P$5*VALUE(MID($C$1,MONTH($L32),1))))))-IF($K33="",ARREGLO,0),"")</f>
        <v>290.85000000000002</v>
      </c>
      <c r="P32" s="3">
        <f>IF($K32&lt;&gt;"",IF($O32-$Q32&gt;0,$O32-$Q32-$R32-$S32-$T32,0),"")</f>
        <v>271.85000000000002</v>
      </c>
      <c r="Q32" s="3">
        <f t="shared" si="0"/>
        <v>9</v>
      </c>
      <c r="R32" s="3">
        <f>IF($K32&lt;&gt;"",IF($A32="Prepago",0,IF(($H32+SUM($B$12:$B32))*$S$6&gt;SUM($R$11:$R31)+$S$6,$S$6*2,$S$6)),"")</f>
        <v>0</v>
      </c>
      <c r="S32" s="3">
        <f>IF($K32&lt;&gt;"",IF($A32="Prepago",0,IF(($H32+SUM($B$12:$B32))*$S$7&gt;SUM($S$11:$S31)+$S$7,$S$7*2,$S$7)),"")</f>
        <v>0</v>
      </c>
      <c r="T32" s="3">
        <f>IF($K32&lt;&gt;"",IF($A32="Prepago",0,IF(($H32+SUM($B$12:$B32))*$S$8&gt;SUM($T$11:$T31)+$S$8,$S$8*2,$S$8)),"")</f>
        <v>10</v>
      </c>
      <c r="U32" s="3">
        <f>IF($K32&lt;&gt;"",$N32-$P32,"")</f>
        <v>829.63999999999839</v>
      </c>
      <c r="V32" s="3">
        <f t="shared" si="1"/>
        <v>0</v>
      </c>
      <c r="W32" s="3">
        <f>IF($K32&lt;&gt;"",SUM($X32:$XFD32),"")</f>
        <v>9</v>
      </c>
      <c r="X32" s="3">
        <f>IF($K32&lt;&gt;"",IF($M32&gt;X$11,30,$M32)*ROUND(($N32+$V31)*$T$5/3000,2),"")</f>
        <v>8.6999999999999993</v>
      </c>
      <c r="Y32" s="3">
        <f>IF($K32&lt;&gt;"",IF($M32&gt;X$11,IF($M32&lt;Y$11,$M32-X$11,30),0)*ROUND(($N32+$V31+SUM($X32:X32))*$T$5/3000,2),"")</f>
        <v>0.3</v>
      </c>
      <c r="Z32" s="3"/>
      <c r="AA32" s="3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</row>
    <row r="33" spans="5:84" x14ac:dyDescent="0.25">
      <c r="E33" s="5"/>
      <c r="F33" t="str">
        <f>IF($K33&lt;&gt;"",TEXT(L33,"DDD"),"")</f>
        <v>ju</v>
      </c>
      <c r="G33" s="5">
        <f>IF($K33&lt;&gt;"",EOMONTH(DATE(YEAR($M$6),$G$11+K33+SUM($B$12:B33),1),0),"")</f>
        <v>44255</v>
      </c>
      <c r="H33" s="22">
        <f>IF($K33&lt;&gt;"",IF($A33="Prepago",$H32,$H32+1),"")</f>
        <v>22</v>
      </c>
      <c r="I33" s="22">
        <f>IF($K33&lt;&gt;"",IF(ISNUMBER($C33),-$P33+$W33-$Q33,ABS($W33)+$R33+$S33+$T33),"")</f>
        <v>16.16</v>
      </c>
      <c r="J33" s="22">
        <f>IF(K33&lt;&gt;"",IF(COUNTA($X33:$XFD33)*30&lt;$M33,1,0),"")</f>
        <v>0</v>
      </c>
      <c r="K33">
        <f>IF($K32&lt;NCUOTAS+CUOTAADICIONAL+PGRACIA,$K32+1,"")</f>
        <v>22</v>
      </c>
      <c r="L33" s="5">
        <f>IF($K33&lt;&gt;"",IF(ULTIMODIA=0,IF($E33="",DATE(YEAR($M$7),MONTH($M$7)+($A$1*($H33-1))+SUM($B$12:$B33),DAY($M$7)),$E33),G33),"")</f>
        <v>44280</v>
      </c>
      <c r="M33" s="9">
        <f>IF($K33&lt;&gt;"",$L33-$L32,"")</f>
        <v>28</v>
      </c>
      <c r="N33" s="3">
        <f>IF($K33&lt;&gt;"",$U32,"")</f>
        <v>829.63999999999839</v>
      </c>
      <c r="O33" s="3">
        <f>IF($K33&lt;&gt;"",IF($A33="Gracia Parcial",IF(AND($C33&lt;$W33+$R33+$S33+$T33+$V32,$C33&gt;0),$C33,$W33+$R33+$S33+$T33+$V32),IF($A33="Gracia Total",0,IF($A33="Prepago",$C33,IF(ISNUMBER($C33),$C33*VALUE(MID($C$1,MONTH($L33),1)),$P$5*VALUE(MID($C$1,MONTH($L33),1))))))-IF($K34="",ARREGLO,0),"")</f>
        <v>290.85000000000002</v>
      </c>
      <c r="P33" s="3">
        <f>IF($K33&lt;&gt;"",IF($O33-$Q33&gt;0,$O33-$Q33-$R33-$S33-$T33,0),"")</f>
        <v>274.69</v>
      </c>
      <c r="Q33" s="3">
        <f t="shared" si="0"/>
        <v>6.16</v>
      </c>
      <c r="R33" s="3">
        <f>IF($K33&lt;&gt;"",IF($A33="Prepago",0,IF(($H33+SUM($B$12:$B33))*$S$6&gt;SUM($R$11:$R32)+$S$6,$S$6*2,$S$6)),"")</f>
        <v>0</v>
      </c>
      <c r="S33" s="3">
        <f>IF($K33&lt;&gt;"",IF($A33="Prepago",0,IF(($H33+SUM($B$12:$B33))*$S$7&gt;SUM($S$11:$S32)+$S$7,$S$7*2,$S$7)),"")</f>
        <v>0</v>
      </c>
      <c r="T33" s="3">
        <f>IF($K33&lt;&gt;"",IF($A33="Prepago",0,IF(($H33+SUM($B$12:$B33))*$S$8&gt;SUM($T$11:$T32)+$S$8,$S$8*2,$S$8)),"")</f>
        <v>10</v>
      </c>
      <c r="U33" s="3">
        <f>IF($K33&lt;&gt;"",$N33-$P33,"")</f>
        <v>554.94999999999845</v>
      </c>
      <c r="V33" s="3">
        <f t="shared" si="1"/>
        <v>0</v>
      </c>
      <c r="W33" s="3">
        <f>IF($K33&lt;&gt;"",SUM($X33:$XFD33),"")</f>
        <v>6.16</v>
      </c>
      <c r="X33" s="3">
        <f>IF($K33&lt;&gt;"",IF($M33&gt;X$11,30,$M33)*ROUND(($N33+$V32)*$T$5/3000,2),"")</f>
        <v>6.16</v>
      </c>
      <c r="Y33" s="3">
        <f>IF($K33&lt;&gt;"",IF($M33&gt;X$11,IF($M33&lt;Y$11,$M33-X$11,30),0)*ROUND(($N33+$V32+SUM($X33:X33))*$T$5/3000,2),"")</f>
        <v>0</v>
      </c>
      <c r="Z33" s="3"/>
      <c r="AA33" s="3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</row>
    <row r="34" spans="5:84" x14ac:dyDescent="0.25">
      <c r="E34" s="5"/>
      <c r="F34" t="str">
        <f>IF($K34&lt;&gt;"",TEXT(L34,"DDD"),"")</f>
        <v>do</v>
      </c>
      <c r="G34" s="5">
        <f>IF($K34&lt;&gt;"",EOMONTH(DATE(YEAR($M$6),$G$11+K34+SUM($B$12:B34),1),0),"")</f>
        <v>44286</v>
      </c>
      <c r="H34" s="22">
        <f>IF($K34&lt;&gt;"",IF($A34="Prepago",$H33,$H33+1),"")</f>
        <v>23</v>
      </c>
      <c r="I34" s="22">
        <f>IF($K34&lt;&gt;"",IF(ISNUMBER($C34),-$P34+$W34-$Q34,ABS($W34)+$R34+$S34+$T34),"")</f>
        <v>14.65</v>
      </c>
      <c r="J34" s="22">
        <f>IF(K34&lt;&gt;"",IF(COUNTA($X34:$XFD34)*30&lt;$M34,1,0),"")</f>
        <v>0</v>
      </c>
      <c r="K34">
        <f>IF($K33&lt;NCUOTAS+CUOTAADICIONAL+PGRACIA,$K33+1,"")</f>
        <v>23</v>
      </c>
      <c r="L34" s="5">
        <f>IF($K34&lt;&gt;"",IF(ULTIMODIA=0,IF($E34="",DATE(YEAR($M$7),MONTH($M$7)+($A$1*($H34-1))+SUM($B$12:$B34),DAY($M$7)),$E34),G34),"")</f>
        <v>44311</v>
      </c>
      <c r="M34" s="9">
        <f>IF($K34&lt;&gt;"",$L34-$L33,"")</f>
        <v>31</v>
      </c>
      <c r="N34" s="3">
        <f>IF($K34&lt;&gt;"",$U33,"")</f>
        <v>554.94999999999845</v>
      </c>
      <c r="O34" s="3">
        <f>IF($K34&lt;&gt;"",IF($A34="Gracia Parcial",IF(AND($C34&lt;$W34+$R34+$S34+$T34+$V33,$C34&gt;0),$C34,$W34+$R34+$S34+$T34+$V33),IF($A34="Gracia Total",0,IF($A34="Prepago",$C34,IF(ISNUMBER($C34),$C34*VALUE(MID($C$1,MONTH($L34),1)),$P$5*VALUE(MID($C$1,MONTH($L34),1))))))-IF($K35="",ARREGLO,0),"")</f>
        <v>290.85000000000002</v>
      </c>
      <c r="P34" s="3">
        <f>IF($K34&lt;&gt;"",IF($O34-$Q34&gt;0,$O34-$Q34-$R34-$S34-$T34,0),"")</f>
        <v>276.20000000000005</v>
      </c>
      <c r="Q34" s="3">
        <f t="shared" si="0"/>
        <v>4.6500000000000004</v>
      </c>
      <c r="R34" s="3">
        <f>IF($K34&lt;&gt;"",IF($A34="Prepago",0,IF(($H34+SUM($B$12:$B34))*$S$6&gt;SUM($R$11:$R33)+$S$6,$S$6*2,$S$6)),"")</f>
        <v>0</v>
      </c>
      <c r="S34" s="3">
        <f>IF($K34&lt;&gt;"",IF($A34="Prepago",0,IF(($H34+SUM($B$12:$B34))*$S$7&gt;SUM($S$11:$S33)+$S$7,$S$7*2,$S$7)),"")</f>
        <v>0</v>
      </c>
      <c r="T34" s="3">
        <f>IF($K34&lt;&gt;"",IF($A34="Prepago",0,IF(($H34+SUM($B$12:$B34))*$S$8&gt;SUM($T$11:$T33)+$S$8,$S$8*2,$S$8)),"")</f>
        <v>10</v>
      </c>
      <c r="U34" s="3">
        <f>IF($K34&lt;&gt;"",$N34-$P34,"")</f>
        <v>278.74999999999841</v>
      </c>
      <c r="V34" s="3">
        <f t="shared" si="1"/>
        <v>0</v>
      </c>
      <c r="W34" s="3">
        <f>IF($K34&lt;&gt;"",SUM($X34:$XFD34),"")</f>
        <v>4.6500000000000004</v>
      </c>
      <c r="X34" s="3">
        <f>IF($K34&lt;&gt;"",IF($M34&gt;X$11,30,$M34)*ROUND(($N34+$V33)*$T$5/3000,2),"")</f>
        <v>4.5</v>
      </c>
      <c r="Y34" s="3">
        <f>IF($K34&lt;&gt;"",IF($M34&gt;X$11,IF($M34&lt;Y$11,$M34-X$11,30),0)*ROUND(($N34+$V33+SUM($X34:X34))*$T$5/3000,2),"")</f>
        <v>0.15</v>
      </c>
      <c r="Z34" s="3"/>
      <c r="AA34" s="3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</row>
    <row r="35" spans="5:84" x14ac:dyDescent="0.25">
      <c r="E35" s="5"/>
      <c r="F35" t="str">
        <f>IF($K35&lt;&gt;"",TEXT(L35,"DDD"),"")</f>
        <v>ma</v>
      </c>
      <c r="G35" s="5">
        <f>IF($K35&lt;&gt;"",EOMONTH(DATE(YEAR($M$6),$G$11+K35+SUM($B$12:B35),1),0),"")</f>
        <v>44316</v>
      </c>
      <c r="H35" s="22">
        <f>IF($K35&lt;&gt;"",IF($A35="Prepago",$H34,$H34+1),"")</f>
        <v>24</v>
      </c>
      <c r="I35" s="22">
        <f>IF($K35&lt;&gt;"",IF(ISNUMBER($C35),-$P35+$W35-$Q35,ABS($W35)+$R35+$S35+$T35),"")</f>
        <v>12.1</v>
      </c>
      <c r="J35" s="22">
        <f>IF(K35&lt;&gt;"",IF(COUNTA($X35:$XFD35)*30&lt;$M35,1,0),"")</f>
        <v>0</v>
      </c>
      <c r="K35">
        <f>IF($K34&lt;NCUOTAS+CUOTAADICIONAL+PGRACIA,$K34+1,"")</f>
        <v>24</v>
      </c>
      <c r="L35" s="5">
        <f>IF($K35&lt;&gt;"",IF(ULTIMODIA=0,IF($E35="",DATE(YEAR($M$7),MONTH($M$7)+($A$1*($H35-1))+SUM($B$12:$B35),DAY($M$7)),$E35),G35),"")</f>
        <v>44341</v>
      </c>
      <c r="M35" s="9">
        <f>IF($K35&lt;&gt;"",$L35-$L34,"")</f>
        <v>30</v>
      </c>
      <c r="N35" s="3">
        <f>IF($K35&lt;&gt;"",$U34,"")</f>
        <v>278.74999999999841</v>
      </c>
      <c r="O35" s="3">
        <f>IF($K35&lt;&gt;"",IF($A35="Gracia Parcial",IF(AND($C35&lt;$W35+$R35+$S35+$T35+$V34,$C35&gt;0),$C35,$W35+$R35+$S35+$T35+$V34),IF($A35="Gracia Total",0,IF($A35="Prepago",$C35,IF(ISNUMBER($C35),$C35*VALUE(MID($C$1,MONTH($L35),1)),$P$5*VALUE(MID($C$1,MONTH($L35),1))))))-IF($K36="",ARREGLO,0),"")</f>
        <v>290.85000000000002</v>
      </c>
      <c r="P35" s="3">
        <f>IF($K35&lt;&gt;"",IF($O35-$Q35&gt;0,$O35-$Q35-$R35-$S35-$T35,0),"")</f>
        <v>278.75</v>
      </c>
      <c r="Q35" s="3">
        <f t="shared" si="0"/>
        <v>2.1</v>
      </c>
      <c r="R35" s="3">
        <f>IF($K35&lt;&gt;"",IF($A35="Prepago",0,IF(($H35+SUM($B$12:$B35))*$S$6&gt;SUM($R$11:$R34)+$S$6,$S$6*2,$S$6)),"")</f>
        <v>0</v>
      </c>
      <c r="S35" s="3">
        <f>IF($K35&lt;&gt;"",IF($A35="Prepago",0,IF(($H35+SUM($B$12:$B35))*$S$7&gt;SUM($S$11:$S34)+$S$7,$S$7*2,$S$7)),"")</f>
        <v>0</v>
      </c>
      <c r="T35" s="3">
        <f>IF($K35&lt;&gt;"",IF($A35="Prepago",0,IF(($H35+SUM($B$12:$B35))*$S$8&gt;SUM($T$11:$T34)+$S$8,$S$8*2,$S$8)),"")</f>
        <v>10</v>
      </c>
      <c r="U35" s="3">
        <f>IF($K35&lt;&gt;"",$N35-$P35,"")</f>
        <v>-1.5916157281026244E-12</v>
      </c>
      <c r="V35" s="3">
        <f t="shared" si="1"/>
        <v>0</v>
      </c>
      <c r="W35" s="3">
        <f>IF($K35&lt;&gt;"",SUM($X35:$XFD35),"")</f>
        <v>2.1</v>
      </c>
      <c r="X35" s="3">
        <f>IF($K35&lt;&gt;"",IF($M35&gt;X$11,30,$M35)*ROUND(($N35+$V34)*$T$5/3000,2),"")</f>
        <v>2.1</v>
      </c>
      <c r="Y35" s="3">
        <f>IF($K35&lt;&gt;"",IF($M35&gt;X$11,IF($M35&lt;Y$11,$M35-X$11,30),0)*ROUND(($N35+$V34+SUM($X35:X35))*$T$5/3000,2),"")</f>
        <v>0</v>
      </c>
      <c r="Z35" s="3"/>
      <c r="AA35" s="3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</row>
    <row r="36" spans="5:84" x14ac:dyDescent="0.25">
      <c r="E36" s="5"/>
      <c r="F36" t="str">
        <f>IF($K36&lt;&gt;"",TEXT(L36,"DDD"),"")</f>
        <v/>
      </c>
      <c r="G36" s="5" t="str">
        <f>IF($K36&lt;&gt;"",EOMONTH(DATE(YEAR($M$6),$G$11+K36+SUM($B$12:B36),1),0),"")</f>
        <v/>
      </c>
      <c r="H36" s="22" t="str">
        <f>IF($K36&lt;&gt;"",IF($A36="Prepago",$H35,$H35+1),"")</f>
        <v/>
      </c>
      <c r="I36" s="22" t="str">
        <f>IF($K36&lt;&gt;"",IF(ISNUMBER($C36),-$P36+$W36-$Q36,ABS($W36)+$R36+$S36+$T36),"")</f>
        <v/>
      </c>
      <c r="J36" s="22" t="str">
        <f>IF(K36&lt;&gt;"",IF(COUNTA($X36:$XFD36)*30&lt;$M36,1,0),"")</f>
        <v/>
      </c>
      <c r="K36" t="str">
        <f>IF($K35&lt;NCUOTAS+CUOTAADICIONAL+PGRACIA,$K35+1,"")</f>
        <v/>
      </c>
      <c r="L36" s="5" t="str">
        <f>IF($K36&lt;&gt;"",IF(ULTIMODIA=0,IF($E36="",DATE(YEAR($M$7),MONTH($M$7)+($A$1*($H36-1))+SUM($B$12:$B36),DAY($M$7)),$E36),G36),"")</f>
        <v/>
      </c>
      <c r="M36" s="9" t="str">
        <f>IF($K36&lt;&gt;"",$L36-$L35,"")</f>
        <v/>
      </c>
      <c r="N36" s="3" t="str">
        <f>IF($K36&lt;&gt;"",$U35,"")</f>
        <v/>
      </c>
      <c r="O36" s="3" t="str">
        <f>IF($K36&lt;&gt;"",IF($A36="Gracia Parcial",IF(AND($C36&lt;$W36+$R36+$S36+$T36+$V35,$C36&gt;0),$C36,$W36+$R36+$S36+$T36+$V35),IF($A36="Gracia Total",0,IF($A36="Prepago",$C36,IF(ISNUMBER($C36),$C36*VALUE(MID($C$1,MONTH($L36),1)),$P$5*VALUE(MID($C$1,MONTH($L36),1))))))-IF($K37="",ARREGLO,0),"")</f>
        <v/>
      </c>
      <c r="P36" s="3" t="str">
        <f>IF($K36&lt;&gt;"",IF($O36-$Q36&gt;0,$O36-$Q36-$R36-$S36-$T36,0),"")</f>
        <v/>
      </c>
      <c r="Q36" s="3" t="str">
        <f t="shared" si="0"/>
        <v/>
      </c>
      <c r="R36" s="3" t="str">
        <f>IF($K36&lt;&gt;"",IF($A36="Prepago",0,IF(($H36+SUM($B$12:$B36))*$S$6&gt;SUM($R$11:$R35)+$S$6,$S$6*2,$S$6)),"")</f>
        <v/>
      </c>
      <c r="S36" s="3" t="str">
        <f>IF($K36&lt;&gt;"",IF($A36="Prepago",0,IF(($H36+SUM($B$12:$B36))*$S$7&gt;SUM($S$11:$S35)+$S$7,$S$7*2,$S$7)),"")</f>
        <v/>
      </c>
      <c r="T36" s="3" t="str">
        <f>IF($K36&lt;&gt;"",IF($A36="Prepago",0,IF(($H36+SUM($B$12:$B36))*$S$8&gt;SUM($T$11:$T35)+$S$8,$S$8*2,$S$8)),"")</f>
        <v/>
      </c>
      <c r="U36" s="3" t="str">
        <f>IF($K36&lt;&gt;"",$N36-$P36,"")</f>
        <v/>
      </c>
      <c r="V36" s="3" t="str">
        <f t="shared" si="1"/>
        <v/>
      </c>
      <c r="W36" s="3" t="str">
        <f>IF($K36&lt;&gt;"",SUM($X36:$XFD36),"")</f>
        <v/>
      </c>
      <c r="X36" s="3" t="str">
        <f>IF($K36&lt;&gt;"",IF($M36&gt;X$11,30,$M36)*ROUND(($N36+$V35)*$T$5/3000,2),"")</f>
        <v/>
      </c>
      <c r="Y36" s="3" t="str">
        <f>IF($K36&lt;&gt;"",IF($M36&gt;X$11,IF($M36&lt;Y$11,$M36-X$11,30),0)*ROUND(($N36+$V35+SUM($X36:X36))*$T$5/3000,2),"")</f>
        <v/>
      </c>
      <c r="Z36" s="3"/>
      <c r="AA36" s="3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</row>
    <row r="37" spans="5:84" x14ac:dyDescent="0.25">
      <c r="E37" s="5"/>
      <c r="F37" t="str">
        <f>IF($K37&lt;&gt;"",TEXT(L37,"DDD"),"")</f>
        <v/>
      </c>
      <c r="G37" s="5" t="str">
        <f>IF($K37&lt;&gt;"",EOMONTH(DATE(YEAR($M$6),$G$11+K37+SUM($B$12:B37),1),0),"")</f>
        <v/>
      </c>
      <c r="H37" s="22" t="str">
        <f>IF($K37&lt;&gt;"",IF($A37="Prepago",$H36,$H36+1),"")</f>
        <v/>
      </c>
      <c r="I37" s="22" t="str">
        <f>IF($K37&lt;&gt;"",IF(ISNUMBER($C37),-$P37+$W37-$Q37,ABS($W37)+$R37+$S37+$T37),"")</f>
        <v/>
      </c>
      <c r="J37" s="22" t="str">
        <f>IF(K37&lt;&gt;"",IF(COUNTA($X37:$XFD37)*30&lt;$M37,1,0),"")</f>
        <v/>
      </c>
      <c r="K37" t="str">
        <f>IF($K36&lt;NCUOTAS+CUOTAADICIONAL+PGRACIA,$K36+1,"")</f>
        <v/>
      </c>
      <c r="L37" s="5" t="str">
        <f>IF($K37&lt;&gt;"",IF(ULTIMODIA=0,IF($E37="",DATE(YEAR($M$7),MONTH($M$7)+($A$1*($H37-1))+SUM($B$12:$B37),DAY($M$7)),$E37),G37),"")</f>
        <v/>
      </c>
      <c r="M37" s="9" t="str">
        <f>IF($K37&lt;&gt;"",$L37-$L36,"")</f>
        <v/>
      </c>
      <c r="N37" s="3" t="str">
        <f>IF($K37&lt;&gt;"",$U36,"")</f>
        <v/>
      </c>
      <c r="O37" s="3" t="str">
        <f>IF($K37&lt;&gt;"",IF($A37="Gracia Parcial",IF(AND($C37&lt;$W37+$R37+$S37+$T37+$V36,$C37&gt;0),$C37,$W37+$R37+$S37+$T37+$V36),IF($A37="Gracia Total",0,IF($A37="Prepago",$C37,IF(ISNUMBER($C37),$C37*VALUE(MID($C$1,MONTH($L37),1)),$P$5*VALUE(MID($C$1,MONTH($L37),1))))))-IF($K38="",ARREGLO,0),"")</f>
        <v/>
      </c>
      <c r="P37" s="3" t="str">
        <f>IF($K37&lt;&gt;"",IF($O37-$Q37&gt;0,$O37-$Q37-$R37-$S37-$T37,0),"")</f>
        <v/>
      </c>
      <c r="Q37" s="3" t="str">
        <f t="shared" si="0"/>
        <v/>
      </c>
      <c r="R37" s="3" t="str">
        <f>IF($K37&lt;&gt;"",IF($A37="Prepago",0,IF(($H37+SUM($B$12:$B37))*$S$6&gt;SUM($R$11:$R36)+$S$6,$S$6*2,$S$6)),"")</f>
        <v/>
      </c>
      <c r="S37" s="3" t="str">
        <f>IF($K37&lt;&gt;"",IF($A37="Prepago",0,IF(($H37+SUM($B$12:$B37))*$S$7&gt;SUM($S$11:$S36)+$S$7,$S$7*2,$S$7)),"")</f>
        <v/>
      </c>
      <c r="T37" s="3" t="str">
        <f>IF($K37&lt;&gt;"",IF($A37="Prepago",0,IF(($H37+SUM($B$12:$B37))*$S$8&gt;SUM($T$11:$T36)+$S$8,$S$8*2,$S$8)),"")</f>
        <v/>
      </c>
      <c r="U37" s="3" t="str">
        <f>IF($K37&lt;&gt;"",$N37-$P37,"")</f>
        <v/>
      </c>
      <c r="V37" s="3" t="str">
        <f t="shared" si="1"/>
        <v/>
      </c>
      <c r="W37" s="3" t="str">
        <f>IF($K37&lt;&gt;"",SUM($X37:$XFD37),"")</f>
        <v/>
      </c>
      <c r="X37" s="3" t="str">
        <f>IF($K37&lt;&gt;"",IF($M37&gt;X$11,30,$M37)*ROUND(($N37+$V36)*$T$5/3000,2),"")</f>
        <v/>
      </c>
      <c r="Y37" s="3" t="str">
        <f>IF($K37&lt;&gt;"",IF($M37&gt;X$11,IF($M37&lt;Y$11,$M37-X$11,30),0)*ROUND(($N37+$V36+SUM($X37:X37))*$T$5/3000,2),"")</f>
        <v/>
      </c>
      <c r="Z37" s="3"/>
      <c r="AA37" s="3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</row>
    <row r="38" spans="5:84" x14ac:dyDescent="0.25">
      <c r="E38" s="5"/>
      <c r="F38" t="str">
        <f>IF($K38&lt;&gt;"",TEXT(L38,"DDD"),"")</f>
        <v/>
      </c>
      <c r="G38" s="5" t="str">
        <f>IF($K38&lt;&gt;"",EOMONTH(DATE(YEAR($M$6),$G$11+K38+SUM($B$12:B38),1),0),"")</f>
        <v/>
      </c>
      <c r="H38" s="22" t="str">
        <f>IF($K38&lt;&gt;"",IF($A38="Prepago",$H37,$H37+1),"")</f>
        <v/>
      </c>
      <c r="I38" s="22" t="str">
        <f>IF($K38&lt;&gt;"",IF(ISNUMBER($C38),-$P38+$W38-$Q38,ABS($W38)+$R38+$S38+$T38),"")</f>
        <v/>
      </c>
      <c r="J38" s="22" t="str">
        <f>IF(K38&lt;&gt;"",IF(COUNTA($X38:$XFD38)*30&lt;$M38,1,0),"")</f>
        <v/>
      </c>
      <c r="K38" t="str">
        <f>IF($K37&lt;NCUOTAS+CUOTAADICIONAL+PGRACIA,$K37+1,"")</f>
        <v/>
      </c>
      <c r="L38" s="5" t="str">
        <f>IF($K38&lt;&gt;"",IF(ULTIMODIA=0,IF($E38="",DATE(YEAR($M$7),MONTH($M$7)+($A$1*($H38-1))+SUM($B$12:$B38),DAY($M$7)),$E38),G38),"")</f>
        <v/>
      </c>
      <c r="M38" s="9" t="str">
        <f>IF($K38&lt;&gt;"",$L38-$L37,"")</f>
        <v/>
      </c>
      <c r="N38" s="3" t="str">
        <f>IF($K38&lt;&gt;"",$U37,"")</f>
        <v/>
      </c>
      <c r="O38" s="3" t="str">
        <f>IF($K38&lt;&gt;"",IF($A38="Gracia Parcial",IF(AND($C38&lt;$W38+$R38+$S38+$T38+$V37,$C38&gt;0),$C38,$W38+$R38+$S38+$T38+$V37),IF($A38="Gracia Total",0,IF($A38="Prepago",$C38,IF(ISNUMBER($C38),$C38*VALUE(MID($C$1,MONTH($L38),1)),$P$5*VALUE(MID($C$1,MONTH($L38),1))))))-IF($K39="",ARREGLO,0),"")</f>
        <v/>
      </c>
      <c r="P38" s="3" t="str">
        <f>IF($K38&lt;&gt;"",IF($O38-$Q38&gt;0,$O38-$Q38-$R38-$S38-$T38,0),"")</f>
        <v/>
      </c>
      <c r="Q38" s="3" t="str">
        <f t="shared" si="0"/>
        <v/>
      </c>
      <c r="R38" s="3" t="str">
        <f>IF($K38&lt;&gt;"",IF($A38="Prepago",0,IF(($H38+SUM($B$12:$B38))*$S$6&gt;SUM($R$11:$R37)+$S$6,$S$6*2,$S$6)),"")</f>
        <v/>
      </c>
      <c r="S38" s="3" t="str">
        <f>IF($K38&lt;&gt;"",IF($A38="Prepago",0,IF(($H38+SUM($B$12:$B38))*$S$7&gt;SUM($S$11:$S37)+$S$7,$S$7*2,$S$7)),"")</f>
        <v/>
      </c>
      <c r="T38" s="3" t="str">
        <f>IF($K38&lt;&gt;"",IF($A38="Prepago",0,IF(($H38+SUM($B$12:$B38))*$S$8&gt;SUM($T$11:$T37)+$S$8,$S$8*2,$S$8)),"")</f>
        <v/>
      </c>
      <c r="U38" s="3" t="str">
        <f>IF($K38&lt;&gt;"",$N38-$P38,"")</f>
        <v/>
      </c>
      <c r="V38" s="3" t="str">
        <f t="shared" si="1"/>
        <v/>
      </c>
      <c r="W38" s="3" t="str">
        <f>IF($K38&lt;&gt;"",SUM($X38:$XFD38),"")</f>
        <v/>
      </c>
      <c r="X38" s="3" t="str">
        <f>IF($K38&lt;&gt;"",IF($M38&gt;X$11,30,$M38)*ROUND(($N38+$V37)*$T$5/3000,2),"")</f>
        <v/>
      </c>
      <c r="Y38" s="3" t="str">
        <f>IF($K38&lt;&gt;"",IF($M38&gt;X$11,IF($M38&lt;Y$11,$M38-X$11,30),0)*ROUND(($N38+$V37+SUM($X38:X38))*$T$5/3000,2),"")</f>
        <v/>
      </c>
      <c r="Z38" s="3"/>
      <c r="AA38" s="3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</row>
    <row r="39" spans="5:84" x14ac:dyDescent="0.25">
      <c r="E39" s="5"/>
      <c r="F39" t="str">
        <f>IF($K39&lt;&gt;"",TEXT(L39,"DDD"),"")</f>
        <v/>
      </c>
      <c r="G39" s="5" t="str">
        <f>IF($K39&lt;&gt;"",EOMONTH(DATE(YEAR($M$6),$G$11+K39+SUM($B$12:B39),1),0),"")</f>
        <v/>
      </c>
      <c r="H39" s="22" t="str">
        <f>IF($K39&lt;&gt;"",IF($A39="Prepago",$H38,$H38+1),"")</f>
        <v/>
      </c>
      <c r="I39" s="22" t="str">
        <f>IF($K39&lt;&gt;"",IF(ISNUMBER($C39),-$P39+$W39-$Q39,ABS($W39)+$R39+$S39+$T39),"")</f>
        <v/>
      </c>
      <c r="J39" s="22" t="str">
        <f>IF(K39&lt;&gt;"",IF(COUNTA($X39:$XFD39)*30&lt;$M39,1,0),"")</f>
        <v/>
      </c>
      <c r="K39" t="str">
        <f>IF($K38&lt;NCUOTAS+CUOTAADICIONAL+PGRACIA,$K38+1,"")</f>
        <v/>
      </c>
      <c r="L39" s="5" t="str">
        <f>IF($K39&lt;&gt;"",IF(ULTIMODIA=0,IF($E39="",DATE(YEAR($M$7),MONTH($M$7)+($A$1*($H39-1))+SUM($B$12:$B39),DAY($M$7)),$E39),G39),"")</f>
        <v/>
      </c>
      <c r="M39" s="9" t="str">
        <f>IF($K39&lt;&gt;"",$L39-$L38,"")</f>
        <v/>
      </c>
      <c r="N39" s="3" t="str">
        <f>IF($K39&lt;&gt;"",$U38,"")</f>
        <v/>
      </c>
      <c r="O39" s="3" t="str">
        <f>IF($K39&lt;&gt;"",IF($A39="Gracia Parcial",IF(AND($C39&lt;$W39+$R39+$S39+$T39+$V38,$C39&gt;0),$C39,$W39+$R39+$S39+$T39+$V38),IF($A39="Gracia Total",0,IF($A39="Prepago",$C39,IF(ISNUMBER($C39),$C39*VALUE(MID($C$1,MONTH($L39),1)),$P$5*VALUE(MID($C$1,MONTH($L39),1))))))-IF($K40="",ARREGLO,0),"")</f>
        <v/>
      </c>
      <c r="P39" s="3" t="str">
        <f>IF($K39&lt;&gt;"",IF($O39-$Q39&gt;0,$O39-$Q39-$R39-$S39-$T39,0),"")</f>
        <v/>
      </c>
      <c r="Q39" s="3" t="str">
        <f t="shared" si="0"/>
        <v/>
      </c>
      <c r="R39" s="3" t="str">
        <f>IF($K39&lt;&gt;"",IF($A39="Prepago",0,IF(($H39+SUM($B$12:$B39))*$S$6&gt;SUM($R$11:$R38)+$S$6,$S$6*2,$S$6)),"")</f>
        <v/>
      </c>
      <c r="S39" s="3" t="str">
        <f>IF($K39&lt;&gt;"",IF($A39="Prepago",0,IF(($H39+SUM($B$12:$B39))*$S$7&gt;SUM($S$11:$S38)+$S$7,$S$7*2,$S$7)),"")</f>
        <v/>
      </c>
      <c r="T39" s="3" t="str">
        <f>IF($K39&lt;&gt;"",IF($A39="Prepago",0,IF(($H39+SUM($B$12:$B39))*$S$8&gt;SUM($T$11:$T38)+$S$8,$S$8*2,$S$8)),"")</f>
        <v/>
      </c>
      <c r="U39" s="3" t="str">
        <f>IF($K39&lt;&gt;"",$N39-$P39,"")</f>
        <v/>
      </c>
      <c r="V39" s="3" t="str">
        <f t="shared" si="1"/>
        <v/>
      </c>
      <c r="W39" s="3" t="str">
        <f>IF($K39&lt;&gt;"",SUM($X39:$XFD39),"")</f>
        <v/>
      </c>
      <c r="X39" s="3" t="str">
        <f>IF($K39&lt;&gt;"",IF($M39&gt;X$11,30,$M39)*ROUND(($N39+$V38)*$T$5/3000,2),"")</f>
        <v/>
      </c>
      <c r="Y39" s="3" t="str">
        <f>IF($K39&lt;&gt;"",IF($M39&gt;X$11,IF($M39&lt;Y$11,$M39-X$11,30),0)*ROUND(($N39+$V38+SUM($X39:X39))*$T$5/3000,2),"")</f>
        <v/>
      </c>
      <c r="Z39" s="3"/>
      <c r="AA39" s="3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</row>
    <row r="40" spans="5:84" x14ac:dyDescent="0.25">
      <c r="E40" s="5"/>
      <c r="F40" t="str">
        <f>IF($K40&lt;&gt;"",TEXT(L40,"DDD"),"")</f>
        <v/>
      </c>
      <c r="G40" s="5" t="str">
        <f>IF($K40&lt;&gt;"",EOMONTH(DATE(YEAR($M$6),$G$11+K40+SUM($B$12:B40),1),0),"")</f>
        <v/>
      </c>
      <c r="H40" s="22" t="str">
        <f>IF($K40&lt;&gt;"",IF($A40="Prepago",$H39,$H39+1),"")</f>
        <v/>
      </c>
      <c r="I40" s="22" t="str">
        <f>IF($K40&lt;&gt;"",IF(ISNUMBER($C40),-$P40+$W40-$Q40,ABS($W40)+$R40+$S40+$T40),"")</f>
        <v/>
      </c>
      <c r="J40" s="22" t="str">
        <f>IF(K40&lt;&gt;"",IF(COUNTA($X40:$XFD40)*30&lt;$M40,1,0),"")</f>
        <v/>
      </c>
      <c r="K40" t="str">
        <f>IF($K39&lt;NCUOTAS+CUOTAADICIONAL+PGRACIA,$K39+1,"")</f>
        <v/>
      </c>
      <c r="L40" s="5" t="str">
        <f>IF($K40&lt;&gt;"",IF(ULTIMODIA=0,IF($E40="",DATE(YEAR($M$7),MONTH($M$7)+($A$1*($H40-1))+SUM($B$12:$B40),DAY($M$7)),$E40),G40),"")</f>
        <v/>
      </c>
      <c r="M40" s="9" t="str">
        <f>IF($K40&lt;&gt;"",$L40-$L39,"")</f>
        <v/>
      </c>
      <c r="N40" s="3" t="str">
        <f>IF($K40&lt;&gt;"",$U39,"")</f>
        <v/>
      </c>
      <c r="O40" s="3" t="str">
        <f>IF($K40&lt;&gt;"",IF($A40="Gracia Parcial",IF(AND($C40&lt;$W40+$R40+$S40+$T40+$V39,$C40&gt;0),$C40,$W40+$R40+$S40+$T40+$V39),IF($A40="Gracia Total",0,IF($A40="Prepago",$C40,IF(ISNUMBER($C40),$C40*VALUE(MID($C$1,MONTH($L40),1)),$P$5*VALUE(MID($C$1,MONTH($L40),1))))))-IF($K41="",ARREGLO,0),"")</f>
        <v/>
      </c>
      <c r="P40" s="3" t="str">
        <f>IF($K40&lt;&gt;"",IF($O40-$Q40&gt;0,$O40-$Q40-$R40-$S40-$T40,0),"")</f>
        <v/>
      </c>
      <c r="Q40" s="3" t="str">
        <f t="shared" si="0"/>
        <v/>
      </c>
      <c r="R40" s="3" t="str">
        <f>IF($K40&lt;&gt;"",IF($A40="Prepago",0,IF(($H40+SUM($B$12:$B40))*$S$6&gt;SUM($R$11:$R39)+$S$6,$S$6*2,$S$6)),"")</f>
        <v/>
      </c>
      <c r="S40" s="3" t="str">
        <f>IF($K40&lt;&gt;"",IF($A40="Prepago",0,IF(($H40+SUM($B$12:$B40))*$S$7&gt;SUM($S$11:$S39)+$S$7,$S$7*2,$S$7)),"")</f>
        <v/>
      </c>
      <c r="T40" s="3" t="str">
        <f>IF($K40&lt;&gt;"",IF($A40="Prepago",0,IF(($H40+SUM($B$12:$B40))*$S$8&gt;SUM($T$11:$T39)+$S$8,$S$8*2,$S$8)),"")</f>
        <v/>
      </c>
      <c r="U40" s="3" t="str">
        <f>IF($K40&lt;&gt;"",$N40-$P40,"")</f>
        <v/>
      </c>
      <c r="V40" s="3" t="str">
        <f t="shared" si="1"/>
        <v/>
      </c>
      <c r="W40" s="3" t="str">
        <f>IF($K40&lt;&gt;"",SUM($X40:$XFD40),"")</f>
        <v/>
      </c>
      <c r="X40" s="3" t="str">
        <f>IF($K40&lt;&gt;"",IF($M40&gt;X$11,30,$M40)*ROUND(($N40+$V39)*$T$5/3000,2),"")</f>
        <v/>
      </c>
      <c r="Y40" s="3" t="str">
        <f>IF($K40&lt;&gt;"",IF($M40&gt;X$11,IF($M40&lt;Y$11,$M40-X$11,30),0)*ROUND(($N40+$V39+SUM($X40:X40))*$T$5/3000,2),"")</f>
        <v/>
      </c>
      <c r="Z40" s="3"/>
      <c r="AA40" s="3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</row>
    <row r="41" spans="5:84" x14ac:dyDescent="0.25">
      <c r="E41" s="5"/>
      <c r="F41" t="str">
        <f>IF($K41&lt;&gt;"",TEXT(L41,"DDD"),"")</f>
        <v/>
      </c>
      <c r="G41" s="5" t="str">
        <f>IF($K41&lt;&gt;"",EOMONTH(DATE(YEAR($M$6),$G$11+K41+SUM($B$12:B41),1),0),"")</f>
        <v/>
      </c>
      <c r="H41" s="22" t="str">
        <f>IF($K41&lt;&gt;"",IF($A41="Prepago",$H40,$H40+1),"")</f>
        <v/>
      </c>
      <c r="I41" s="22" t="str">
        <f>IF($K41&lt;&gt;"",IF(ISNUMBER($C41),-$P41+$W41-$Q41,ABS($W41)+$R41+$S41+$T41),"")</f>
        <v/>
      </c>
      <c r="J41" s="22" t="str">
        <f>IF(K41&lt;&gt;"",IF(COUNTA($X41:$XFD41)*30&lt;$M41,1,0),"")</f>
        <v/>
      </c>
      <c r="K41" t="str">
        <f>IF($K40&lt;NCUOTAS+CUOTAADICIONAL+PGRACIA,$K40+1,"")</f>
        <v/>
      </c>
      <c r="L41" s="5" t="str">
        <f>IF($K41&lt;&gt;"",IF(ULTIMODIA=0,IF($E41="",DATE(YEAR($M$7),MONTH($M$7)+($A$1*($H41-1))+SUM($B$12:$B41),DAY($M$7)),$E41),G41),"")</f>
        <v/>
      </c>
      <c r="M41" s="9" t="str">
        <f>IF($K41&lt;&gt;"",$L41-$L40,"")</f>
        <v/>
      </c>
      <c r="N41" s="3" t="str">
        <f>IF($K41&lt;&gt;"",$U40,"")</f>
        <v/>
      </c>
      <c r="O41" s="3" t="str">
        <f>IF($K41&lt;&gt;"",IF($A41="Gracia Parcial",IF(AND($C41&lt;$W41+$R41+$S41+$T41+$V40,$C41&gt;0),$C41,$W41+$R41+$S41+$T41+$V40),IF($A41="Gracia Total",0,IF($A41="Prepago",$C41,IF(ISNUMBER($C41),$C41*VALUE(MID($C$1,MONTH($L41),1)),$P$5*VALUE(MID($C$1,MONTH($L41),1))))))-IF($K42="",ARREGLO,0),"")</f>
        <v/>
      </c>
      <c r="P41" s="3" t="str">
        <f>IF($K41&lt;&gt;"",IF($O41-$Q41&gt;0,$O41-$Q41-$R41-$S41-$T41,0),"")</f>
        <v/>
      </c>
      <c r="Q41" s="3" t="str">
        <f t="shared" si="0"/>
        <v/>
      </c>
      <c r="R41" s="3" t="str">
        <f>IF($K41&lt;&gt;"",IF($A41="Prepago",0,IF(($H41+SUM($B$12:$B41))*$S$6&gt;SUM($R$11:$R40)+$S$6,$S$6*2,$S$6)),"")</f>
        <v/>
      </c>
      <c r="S41" s="3" t="str">
        <f>IF($K41&lt;&gt;"",IF($A41="Prepago",0,IF(($H41+SUM($B$12:$B41))*$S$7&gt;SUM($S$11:$S40)+$S$7,$S$7*2,$S$7)),"")</f>
        <v/>
      </c>
      <c r="T41" s="3" t="str">
        <f>IF($K41&lt;&gt;"",IF($A41="Prepago",0,IF(($H41+SUM($B$12:$B41))*$S$8&gt;SUM($T$11:$T40)+$S$8,$S$8*2,$S$8)),"")</f>
        <v/>
      </c>
      <c r="U41" s="3" t="str">
        <f>IF($K41&lt;&gt;"",$N41-$P41,"")</f>
        <v/>
      </c>
      <c r="V41" s="3" t="str">
        <f t="shared" si="1"/>
        <v/>
      </c>
      <c r="W41" s="3" t="str">
        <f>IF($K41&lt;&gt;"",SUM($X41:$XFD41),"")</f>
        <v/>
      </c>
      <c r="X41" s="3" t="str">
        <f>IF($K41&lt;&gt;"",IF($M41&gt;X$11,30,$M41)*ROUND(($N41+$V40)*$T$5/3000,2),"")</f>
        <v/>
      </c>
      <c r="Y41" s="3" t="str">
        <f>IF($K41&lt;&gt;"",IF($M41&gt;X$11,IF($M41&lt;Y$11,$M41-X$11,30),0)*ROUND(($N41+$V40+SUM($X41:X41))*$T$5/3000,2),"")</f>
        <v/>
      </c>
      <c r="Z41" s="3"/>
      <c r="AA41" s="3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</row>
    <row r="42" spans="5:84" x14ac:dyDescent="0.25">
      <c r="E42" s="5"/>
      <c r="F42" t="str">
        <f>IF($K42&lt;&gt;"",TEXT(L42,"DDD"),"")</f>
        <v/>
      </c>
      <c r="G42" s="5" t="str">
        <f>IF($K42&lt;&gt;"",EOMONTH(DATE(YEAR($M$6),$G$11+K42+SUM($B$12:B42),1),0),"")</f>
        <v/>
      </c>
      <c r="H42" s="22" t="str">
        <f>IF($K42&lt;&gt;"",IF($A42="Prepago",$H41,$H41+1),"")</f>
        <v/>
      </c>
      <c r="I42" s="22" t="str">
        <f>IF($K42&lt;&gt;"",IF(ISNUMBER($C42),-$P42+$W42-$Q42,ABS($W42)+$R42+$S42+$T42),"")</f>
        <v/>
      </c>
      <c r="J42" s="22" t="str">
        <f>IF(K42&lt;&gt;"",IF(COUNTA($X42:$XFD42)*30&lt;$M42,1,0),"")</f>
        <v/>
      </c>
      <c r="K42" t="str">
        <f>IF($K41&lt;NCUOTAS+CUOTAADICIONAL+PGRACIA,$K41+1,"")</f>
        <v/>
      </c>
      <c r="L42" s="5" t="str">
        <f>IF($K42&lt;&gt;"",IF(ULTIMODIA=0,IF($E42="",DATE(YEAR($M$7),MONTH($M$7)+($A$1*($H42-1))+SUM($B$12:$B42),DAY($M$7)),$E42),G42),"")</f>
        <v/>
      </c>
      <c r="M42" s="9" t="str">
        <f>IF($K42&lt;&gt;"",$L42-$L41,"")</f>
        <v/>
      </c>
      <c r="N42" s="3" t="str">
        <f>IF($K42&lt;&gt;"",$U41,"")</f>
        <v/>
      </c>
      <c r="O42" s="3" t="str">
        <f>IF($K42&lt;&gt;"",IF($A42="Gracia Parcial",IF(AND($C42&lt;$W42+$R42+$S42+$T42+$V41,$C42&gt;0),$C42,$W42+$R42+$S42+$T42+$V41),IF($A42="Gracia Total",0,IF($A42="Prepago",$C42,IF(ISNUMBER($C42),$C42*VALUE(MID($C$1,MONTH($L42),1)),$P$5*VALUE(MID($C$1,MONTH($L42),1))))))-IF($K43="",ARREGLO,0),"")</f>
        <v/>
      </c>
      <c r="P42" s="3" t="str">
        <f>IF($K42&lt;&gt;"",IF($O42-$Q42&gt;0,$O42-$Q42-$R42-$S42-$T42,0),"")</f>
        <v/>
      </c>
      <c r="Q42" s="3" t="str">
        <f t="shared" si="0"/>
        <v/>
      </c>
      <c r="R42" s="3" t="str">
        <f>IF($K42&lt;&gt;"",IF($A42="Prepago",0,IF(($H42+SUM($B$12:$B42))*$S$6&gt;SUM($R$11:$R41)+$S$6,$S$6*2,$S$6)),"")</f>
        <v/>
      </c>
      <c r="S42" s="3" t="str">
        <f>IF($K42&lt;&gt;"",IF($A42="Prepago",0,IF(($H42+SUM($B$12:$B42))*$S$7&gt;SUM($S$11:$S41)+$S$7,$S$7*2,$S$7)),"")</f>
        <v/>
      </c>
      <c r="T42" s="3" t="str">
        <f>IF($K42&lt;&gt;"",IF($A42="Prepago",0,IF(($H42+SUM($B$12:$B42))*$S$8&gt;SUM($T$11:$T41)+$S$8,$S$8*2,$S$8)),"")</f>
        <v/>
      </c>
      <c r="U42" s="3" t="str">
        <f>IF($K42&lt;&gt;"",$N42-$P42,"")</f>
        <v/>
      </c>
      <c r="V42" s="3" t="str">
        <f t="shared" si="1"/>
        <v/>
      </c>
      <c r="W42" s="3" t="str">
        <f>IF($K42&lt;&gt;"",SUM($X42:$XFD42),"")</f>
        <v/>
      </c>
      <c r="X42" s="3" t="str">
        <f>IF($K42&lt;&gt;"",IF($M42&gt;X$11,30,$M42)*ROUND(($N42+$V41)*$T$5/3000,2),"")</f>
        <v/>
      </c>
      <c r="Y42" s="3" t="str">
        <f>IF($K42&lt;&gt;"",IF($M42&gt;X$11,IF($M42&lt;Y$11,$M42-X$11,30),0)*ROUND(($N42+$V41+SUM($X42:X42))*$T$5/3000,2),"")</f>
        <v/>
      </c>
      <c r="Z42" s="3"/>
      <c r="AA42" s="3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</row>
    <row r="43" spans="5:84" x14ac:dyDescent="0.25">
      <c r="E43" s="5"/>
      <c r="F43" t="str">
        <f>IF($K43&lt;&gt;"",TEXT(L43,"DDD"),"")</f>
        <v/>
      </c>
      <c r="G43" s="5" t="str">
        <f>IF($K43&lt;&gt;"",EOMONTH(DATE(YEAR($M$6),$G$11+K43+SUM($B$12:B43),1),0),"")</f>
        <v/>
      </c>
      <c r="H43" s="22" t="str">
        <f>IF($K43&lt;&gt;"",IF($A43="Prepago",$H42,$H42+1),"")</f>
        <v/>
      </c>
      <c r="I43" s="22" t="str">
        <f>IF($K43&lt;&gt;"",IF(ISNUMBER($C43),-$P43+$W43-$Q43,ABS($W43)+$R43+$S43+$T43),"")</f>
        <v/>
      </c>
      <c r="J43" s="22" t="str">
        <f>IF(K43&lt;&gt;"",IF(COUNTA($X43:$XFD43)*30&lt;$M43,1,0),"")</f>
        <v/>
      </c>
      <c r="K43" t="str">
        <f>IF($K42&lt;NCUOTAS+CUOTAADICIONAL+PGRACIA,$K42+1,"")</f>
        <v/>
      </c>
      <c r="L43" s="5" t="str">
        <f>IF($K43&lt;&gt;"",IF(ULTIMODIA=0,IF($E43="",DATE(YEAR($M$7),MONTH($M$7)+($A$1*($H43-1))+SUM($B$12:$B43),DAY($M$7)),$E43),G43),"")</f>
        <v/>
      </c>
      <c r="M43" s="9" t="str">
        <f>IF($K43&lt;&gt;"",$L43-$L42,"")</f>
        <v/>
      </c>
      <c r="N43" s="3" t="str">
        <f>IF($K43&lt;&gt;"",$U42,"")</f>
        <v/>
      </c>
      <c r="O43" s="3" t="str">
        <f>IF($K43&lt;&gt;"",IF($A43="Gracia Parcial",IF(AND($C43&lt;$W43+$R43+$S43+$T43+$V42,$C43&gt;0),$C43,$W43+$R43+$S43+$T43+$V42),IF($A43="Gracia Total",0,IF($A43="Prepago",$C43,IF(ISNUMBER($C43),$C43*VALUE(MID($C$1,MONTH($L43),1)),$P$5*VALUE(MID($C$1,MONTH($L43),1))))))-IF($K44="",ARREGLO,0),"")</f>
        <v/>
      </c>
      <c r="P43" s="3" t="str">
        <f>IF($K43&lt;&gt;"",IF($O43-$Q43&gt;0,$O43-$Q43-$R43-$S43-$T43,0),"")</f>
        <v/>
      </c>
      <c r="Q43" s="3" t="str">
        <f t="shared" si="0"/>
        <v/>
      </c>
      <c r="R43" s="3" t="str">
        <f>IF($K43&lt;&gt;"",IF($A43="Prepago",0,IF(($H43+SUM($B$12:$B43))*$S$6&gt;SUM($R$11:$R42)+$S$6,$S$6*2,$S$6)),"")</f>
        <v/>
      </c>
      <c r="S43" s="3" t="str">
        <f>IF($K43&lt;&gt;"",IF($A43="Prepago",0,IF(($H43+SUM($B$12:$B43))*$S$7&gt;SUM($S$11:$S42)+$S$7,$S$7*2,$S$7)),"")</f>
        <v/>
      </c>
      <c r="T43" s="3" t="str">
        <f>IF($K43&lt;&gt;"",IF($A43="Prepago",0,IF(($H43+SUM($B$12:$B43))*$S$8&gt;SUM($T$11:$T42)+$S$8,$S$8*2,$S$8)),"")</f>
        <v/>
      </c>
      <c r="U43" s="3" t="str">
        <f>IF($K43&lt;&gt;"",$N43-$P43,"")</f>
        <v/>
      </c>
      <c r="V43" s="3" t="str">
        <f t="shared" si="1"/>
        <v/>
      </c>
      <c r="W43" s="3" t="str">
        <f>IF($K43&lt;&gt;"",SUM($X43:$XFD43),"")</f>
        <v/>
      </c>
      <c r="X43" s="3" t="str">
        <f>IF($K43&lt;&gt;"",IF($M43&gt;X$11,30,$M43)*ROUND(($N43+$V42)*$T$5/3000,2),"")</f>
        <v/>
      </c>
      <c r="Y43" s="3" t="str">
        <f>IF($K43&lt;&gt;"",IF($M43&gt;X$11,IF($M43&lt;Y$11,$M43-X$11,30),0)*ROUND(($N43+$V42+SUM($X43:X43))*$T$5/3000,2),"")</f>
        <v/>
      </c>
      <c r="Z43" s="3"/>
      <c r="AA43" s="3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</row>
    <row r="44" spans="5:84" x14ac:dyDescent="0.25">
      <c r="E44" s="5"/>
      <c r="F44" t="str">
        <f>IF($K44&lt;&gt;"",TEXT(L44,"DDD"),"")</f>
        <v/>
      </c>
      <c r="G44" s="5" t="str">
        <f>IF($K44&lt;&gt;"",EOMONTH(DATE(YEAR($M$6),$G$11+K44+SUM($B$12:B44),1),0),"")</f>
        <v/>
      </c>
      <c r="H44" s="22" t="str">
        <f>IF($K44&lt;&gt;"",IF($A44="Prepago",$H43,$H43+1),"")</f>
        <v/>
      </c>
      <c r="I44" s="22" t="str">
        <f>IF($K44&lt;&gt;"",IF(ISNUMBER($C44),-$P44+$W44-$Q44,ABS($W44)+$R44+$S44+$T44),"")</f>
        <v/>
      </c>
      <c r="J44" s="22" t="str">
        <f>IF(K44&lt;&gt;"",IF(COUNTA($X44:$XFD44)*30&lt;$M44,1,0),"")</f>
        <v/>
      </c>
      <c r="K44" t="str">
        <f>IF($K43&lt;NCUOTAS+CUOTAADICIONAL+PGRACIA,$K43+1,"")</f>
        <v/>
      </c>
      <c r="L44" s="5" t="str">
        <f>IF($K44&lt;&gt;"",IF(ULTIMODIA=0,IF($E44="",DATE(YEAR($M$7),MONTH($M$7)+($A$1*($H44-1))+SUM($B$12:$B44),DAY($M$7)),$E44),G44),"")</f>
        <v/>
      </c>
      <c r="M44" s="9" t="str">
        <f>IF($K44&lt;&gt;"",$L44-$L43,"")</f>
        <v/>
      </c>
      <c r="N44" s="3" t="str">
        <f>IF($K44&lt;&gt;"",$U43,"")</f>
        <v/>
      </c>
      <c r="O44" s="3" t="str">
        <f>IF($K44&lt;&gt;"",IF($A44="Gracia Parcial",IF(AND($C44&lt;$W44+$R44+$S44+$T44+$V43,$C44&gt;0),$C44,$W44+$R44+$S44+$T44+$V43),IF($A44="Gracia Total",0,IF($A44="Prepago",$C44,IF(ISNUMBER($C44),$C44*VALUE(MID($C$1,MONTH($L44),1)),$P$5*VALUE(MID($C$1,MONTH($L44),1))))))-IF($K45="",ARREGLO,0),"")</f>
        <v/>
      </c>
      <c r="P44" s="3" t="str">
        <f>IF($K44&lt;&gt;"",IF($O44-$Q44&gt;0,$O44-$Q44-$R44-$S44-$T44,0),"")</f>
        <v/>
      </c>
      <c r="Q44" s="3" t="str">
        <f t="shared" si="0"/>
        <v/>
      </c>
      <c r="R44" s="3" t="str">
        <f>IF($K44&lt;&gt;"",IF($A44="Prepago",0,IF(($H44+SUM($B$12:$B44))*$S$6&gt;SUM($R$11:$R43)+$S$6,$S$6*2,$S$6)),"")</f>
        <v/>
      </c>
      <c r="S44" s="3" t="str">
        <f>IF($K44&lt;&gt;"",IF($A44="Prepago",0,IF(($H44+SUM($B$12:$B44))*$S$7&gt;SUM($S$11:$S43)+$S$7,$S$7*2,$S$7)),"")</f>
        <v/>
      </c>
      <c r="T44" s="3" t="str">
        <f>IF($K44&lt;&gt;"",IF($A44="Prepago",0,IF(($H44+SUM($B$12:$B44))*$S$8&gt;SUM($T$11:$T43)+$S$8,$S$8*2,$S$8)),"")</f>
        <v/>
      </c>
      <c r="U44" s="3" t="str">
        <f>IF($K44&lt;&gt;"",$N44-$P44,"")</f>
        <v/>
      </c>
      <c r="V44" s="3" t="str">
        <f t="shared" si="1"/>
        <v/>
      </c>
      <c r="W44" s="3" t="str">
        <f>IF($K44&lt;&gt;"",SUM($X44:$XFD44),"")</f>
        <v/>
      </c>
      <c r="X44" s="3" t="str">
        <f>IF($K44&lt;&gt;"",IF($M44&gt;X$11,30,$M44)*ROUND(($N44+$V43)*$T$5/3000,2),"")</f>
        <v/>
      </c>
      <c r="Y44" s="3" t="str">
        <f>IF($K44&lt;&gt;"",IF($M44&gt;X$11,IF($M44&lt;Y$11,$M44-X$11,30),0)*ROUND(($N44+$V43+SUM($X44:X44))*$T$5/3000,2),"")</f>
        <v/>
      </c>
      <c r="Z44" s="3"/>
      <c r="AA44" s="3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</row>
    <row r="45" spans="5:84" x14ac:dyDescent="0.25">
      <c r="E45" s="5"/>
      <c r="F45" t="str">
        <f>IF($K45&lt;&gt;"",TEXT(L45,"DDD"),"")</f>
        <v/>
      </c>
      <c r="G45" s="5" t="str">
        <f>IF($K45&lt;&gt;"",EOMONTH(DATE(YEAR($M$6),$G$11+K45+SUM($B$12:B45),1),0),"")</f>
        <v/>
      </c>
      <c r="H45" s="22" t="str">
        <f>IF($K45&lt;&gt;"",IF($A45="Prepago",$H44,$H44+1),"")</f>
        <v/>
      </c>
      <c r="I45" s="22" t="str">
        <f>IF($K45&lt;&gt;"",IF(ISNUMBER($C45),-$P45+$W45-$Q45,ABS($W45)+$R45+$S45+$T45),"")</f>
        <v/>
      </c>
      <c r="J45" s="22" t="str">
        <f>IF(K45&lt;&gt;"",IF(COUNTA($X45:$XFD45)*30&lt;$M45,1,0),"")</f>
        <v/>
      </c>
      <c r="K45" t="str">
        <f>IF($K44&lt;NCUOTAS+CUOTAADICIONAL+PGRACIA,$K44+1,"")</f>
        <v/>
      </c>
      <c r="L45" s="5" t="str">
        <f>IF($K45&lt;&gt;"",IF(ULTIMODIA=0,IF($E45="",DATE(YEAR($M$7),MONTH($M$7)+($A$1*($H45-1))+SUM($B$12:$B45),DAY($M$7)),$E45),G45),"")</f>
        <v/>
      </c>
      <c r="M45" s="9" t="str">
        <f>IF($K45&lt;&gt;"",$L45-$L44,"")</f>
        <v/>
      </c>
      <c r="N45" s="3" t="str">
        <f>IF($K45&lt;&gt;"",$U44,"")</f>
        <v/>
      </c>
      <c r="O45" s="3" t="str">
        <f>IF($K45&lt;&gt;"",IF($A45="Gracia Parcial",IF(AND($C45&lt;$W45+$R45+$S45+$T45+$V44,$C45&gt;0),$C45,$W45+$R45+$S45+$T45+$V44),IF($A45="Gracia Total",0,IF($A45="Prepago",$C45,IF(ISNUMBER($C45),$C45*VALUE(MID($C$1,MONTH($L45),1)),$P$5*VALUE(MID($C$1,MONTH($L45),1))))))-IF($K46="",ARREGLO,0),"")</f>
        <v/>
      </c>
      <c r="P45" s="3" t="str">
        <f>IF($K45&lt;&gt;"",IF($O45-$Q45&gt;0,$O45-$Q45-$R45-$S45-$T45,0),"")</f>
        <v/>
      </c>
      <c r="Q45" s="3" t="str">
        <f t="shared" si="0"/>
        <v/>
      </c>
      <c r="R45" s="3" t="str">
        <f>IF($K45&lt;&gt;"",IF($A45="Prepago",0,IF(($H45+SUM($B$12:$B45))*$S$6&gt;SUM($R$11:$R44)+$S$6,$S$6*2,$S$6)),"")</f>
        <v/>
      </c>
      <c r="S45" s="3" t="str">
        <f>IF($K45&lt;&gt;"",IF($A45="Prepago",0,IF(($H45+SUM($B$12:$B45))*$S$7&gt;SUM($S$11:$S44)+$S$7,$S$7*2,$S$7)),"")</f>
        <v/>
      </c>
      <c r="T45" s="3" t="str">
        <f>IF($K45&lt;&gt;"",IF($A45="Prepago",0,IF(($H45+SUM($B$12:$B45))*$S$8&gt;SUM($T$11:$T44)+$S$8,$S$8*2,$S$8)),"")</f>
        <v/>
      </c>
      <c r="U45" s="3" t="str">
        <f>IF($K45&lt;&gt;"",$N45-$P45,"")</f>
        <v/>
      </c>
      <c r="V45" s="3" t="str">
        <f t="shared" si="1"/>
        <v/>
      </c>
      <c r="W45" s="3" t="str">
        <f>IF($K45&lt;&gt;"",SUM($X45:$XFD45),"")</f>
        <v/>
      </c>
      <c r="X45" s="3" t="str">
        <f>IF($K45&lt;&gt;"",IF($M45&gt;X$11,30,$M45)*ROUND(($N45+$V44)*$T$5/3000,2),"")</f>
        <v/>
      </c>
      <c r="Y45" s="3" t="str">
        <f>IF($K45&lt;&gt;"",IF($M45&gt;X$11,IF($M45&lt;Y$11,$M45-X$11,30),0)*ROUND(($N45+$V44+SUM($X45:X45))*$T$5/3000,2),"")</f>
        <v/>
      </c>
      <c r="Z45" s="3"/>
      <c r="AA45" s="3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</row>
    <row r="46" spans="5:84" x14ac:dyDescent="0.25">
      <c r="E46" s="5"/>
      <c r="F46" t="str">
        <f>IF($K46&lt;&gt;"",TEXT(L46,"DDD"),"")</f>
        <v/>
      </c>
      <c r="G46" s="5" t="str">
        <f>IF($K46&lt;&gt;"",EOMONTH(DATE(YEAR($M$6),$G$11+K46+SUM($B$12:B46),1),0),"")</f>
        <v/>
      </c>
      <c r="H46" s="22" t="str">
        <f>IF($K46&lt;&gt;"",IF($A46="Prepago",$H45,$H45+1),"")</f>
        <v/>
      </c>
      <c r="I46" s="22" t="str">
        <f>IF($K46&lt;&gt;"",IF(ISNUMBER($C46),-$P46+$W46-$Q46,ABS($W46)+$R46+$S46+$T46),"")</f>
        <v/>
      </c>
      <c r="J46" s="22" t="str">
        <f>IF(K46&lt;&gt;"",IF(COUNTA($X46:$XFD46)*30&lt;$M46,1,0),"")</f>
        <v/>
      </c>
      <c r="K46" t="str">
        <f>IF($K45&lt;NCUOTAS+CUOTAADICIONAL+PGRACIA,$K45+1,"")</f>
        <v/>
      </c>
      <c r="L46" s="5" t="str">
        <f>IF($K46&lt;&gt;"",IF(ULTIMODIA=0,IF($E46="",DATE(YEAR($M$7),MONTH($M$7)+($A$1*($H46-1))+SUM($B$12:$B46),DAY($M$7)),$E46),G46),"")</f>
        <v/>
      </c>
      <c r="M46" s="9" t="str">
        <f>IF($K46&lt;&gt;"",$L46-$L45,"")</f>
        <v/>
      </c>
      <c r="N46" s="3" t="str">
        <f>IF($K46&lt;&gt;"",$U45,"")</f>
        <v/>
      </c>
      <c r="O46" s="3" t="str">
        <f>IF($K46&lt;&gt;"",IF($A46="Gracia Parcial",IF(AND($C46&lt;$W46+$R46+$S46+$T46+$V45,$C46&gt;0),$C46,$W46+$R46+$S46+$T46+$V45),IF($A46="Gracia Total",0,IF($A46="Prepago",$C46,IF(ISNUMBER($C46),$C46*VALUE(MID($C$1,MONTH($L46),1)),$P$5*VALUE(MID($C$1,MONTH($L46),1))))))-IF($K47="",ARREGLO,0),"")</f>
        <v/>
      </c>
      <c r="P46" s="3" t="str">
        <f>IF($K46&lt;&gt;"",IF($O46-$Q46&gt;0,$O46-$Q46-$R46-$S46-$T46,0),"")</f>
        <v/>
      </c>
      <c r="Q46" s="3" t="str">
        <f t="shared" si="0"/>
        <v/>
      </c>
      <c r="R46" s="3" t="str">
        <f>IF($K46&lt;&gt;"",IF($A46="Prepago",0,IF(($H46+SUM($B$12:$B46))*$S$6&gt;SUM($R$11:$R45)+$S$6,$S$6*2,$S$6)),"")</f>
        <v/>
      </c>
      <c r="S46" s="3" t="str">
        <f>IF($K46&lt;&gt;"",IF($A46="Prepago",0,IF(($H46+SUM($B$12:$B46))*$S$7&gt;SUM($S$11:$S45)+$S$7,$S$7*2,$S$7)),"")</f>
        <v/>
      </c>
      <c r="T46" s="3" t="str">
        <f>IF($K46&lt;&gt;"",IF($A46="Prepago",0,IF(($H46+SUM($B$12:$B46))*$S$8&gt;SUM($T$11:$T45)+$S$8,$S$8*2,$S$8)),"")</f>
        <v/>
      </c>
      <c r="U46" s="3" t="str">
        <f>IF($K46&lt;&gt;"",$N46-$P46,"")</f>
        <v/>
      </c>
      <c r="V46" s="3" t="str">
        <f t="shared" si="1"/>
        <v/>
      </c>
      <c r="W46" s="3" t="str">
        <f>IF($K46&lt;&gt;"",SUM($X46:$XFD46),"")</f>
        <v/>
      </c>
      <c r="X46" s="3" t="str">
        <f>IF($K46&lt;&gt;"",IF($M46&gt;X$11,30,$M46)*ROUND(($N46+$V45)*$T$5/3000,2),"")</f>
        <v/>
      </c>
      <c r="Y46" s="3" t="str">
        <f>IF($K46&lt;&gt;"",IF($M46&gt;X$11,IF($M46&lt;Y$11,$M46-X$11,30),0)*ROUND(($N46+$V45+SUM($X46:X46))*$T$5/3000,2),"")</f>
        <v/>
      </c>
      <c r="Z46" s="3"/>
      <c r="AA46" s="3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</row>
    <row r="47" spans="5:84" x14ac:dyDescent="0.25">
      <c r="E47" s="5"/>
      <c r="F47" t="str">
        <f>IF($K47&lt;&gt;"",TEXT(L47,"DDD"),"")</f>
        <v/>
      </c>
      <c r="G47" s="5" t="str">
        <f>IF($K47&lt;&gt;"",EOMONTH(DATE(YEAR($M$6),$G$11+K47+SUM($B$12:B47),1),0),"")</f>
        <v/>
      </c>
      <c r="H47" s="22" t="str">
        <f>IF($K47&lt;&gt;"",IF($A47="Prepago",$H46,$H46+1),"")</f>
        <v/>
      </c>
      <c r="I47" s="22" t="str">
        <f>IF($K47&lt;&gt;"",IF(ISNUMBER($C47),-$P47+$W47-$Q47,ABS($W47)+$R47+$S47+$T47),"")</f>
        <v/>
      </c>
      <c r="J47" s="22" t="str">
        <f>IF(K47&lt;&gt;"",IF(COUNTA($X47:$XFD47)*30&lt;$M47,1,0),"")</f>
        <v/>
      </c>
      <c r="K47" t="str">
        <f>IF($K46&lt;NCUOTAS+CUOTAADICIONAL+PGRACIA,$K46+1,"")</f>
        <v/>
      </c>
      <c r="L47" s="5" t="str">
        <f>IF($K47&lt;&gt;"",IF(ULTIMODIA=0,IF($E47="",DATE(YEAR($M$7),MONTH($M$7)+($A$1*($H47-1))+SUM($B$12:$B47),DAY($M$7)),$E47),G47),"")</f>
        <v/>
      </c>
      <c r="M47" s="9" t="str">
        <f>IF($K47&lt;&gt;"",$L47-$L46,"")</f>
        <v/>
      </c>
      <c r="N47" s="3" t="str">
        <f>IF($K47&lt;&gt;"",$U46,"")</f>
        <v/>
      </c>
      <c r="O47" s="3" t="str">
        <f>IF($K47&lt;&gt;"",IF($A47="Gracia Parcial",IF(AND($C47&lt;$W47+$R47+$S47+$T47+$V46,$C47&gt;0),$C47,$W47+$R47+$S47+$T47+$V46),IF($A47="Gracia Total",0,IF($A47="Prepago",$C47,IF(ISNUMBER($C47),$C47*VALUE(MID($C$1,MONTH($L47),1)),$P$5*VALUE(MID($C$1,MONTH($L47),1))))))-IF($K48="",ARREGLO,0),"")</f>
        <v/>
      </c>
      <c r="P47" s="3" t="str">
        <f>IF($K47&lt;&gt;"",IF($O47-$Q47&gt;0,$O47-$Q47-$R47-$S47-$T47,0),"")</f>
        <v/>
      </c>
      <c r="Q47" s="3" t="str">
        <f t="shared" si="0"/>
        <v/>
      </c>
      <c r="R47" s="3" t="str">
        <f>IF($K47&lt;&gt;"",IF($A47="Prepago",0,IF(($H47+SUM($B$12:$B47))*$S$6&gt;SUM($R$11:$R46)+$S$6,$S$6*2,$S$6)),"")</f>
        <v/>
      </c>
      <c r="S47" s="3" t="str">
        <f>IF($K47&lt;&gt;"",IF($A47="Prepago",0,IF(($H47+SUM($B$12:$B47))*$S$7&gt;SUM($S$11:$S46)+$S$7,$S$7*2,$S$7)),"")</f>
        <v/>
      </c>
      <c r="T47" s="3" t="str">
        <f>IF($K47&lt;&gt;"",IF($A47="Prepago",0,IF(($H47+SUM($B$12:$B47))*$S$8&gt;SUM($T$11:$T46)+$S$8,$S$8*2,$S$8)),"")</f>
        <v/>
      </c>
      <c r="U47" s="3" t="str">
        <f>IF($K47&lt;&gt;"",$N47-$P47,"")</f>
        <v/>
      </c>
      <c r="V47" s="3" t="str">
        <f t="shared" si="1"/>
        <v/>
      </c>
      <c r="W47" s="3" t="str">
        <f>IF($K47&lt;&gt;"",SUM($X47:$XFD47),"")</f>
        <v/>
      </c>
      <c r="X47" s="3" t="str">
        <f>IF($K47&lt;&gt;"",IF($M47&gt;X$11,30,$M47)*ROUND(($N47+$V46)*$T$5/3000,2),"")</f>
        <v/>
      </c>
      <c r="Y47" s="3" t="str">
        <f>IF($K47&lt;&gt;"",IF($M47&gt;X$11,IF($M47&lt;Y$11,$M47-X$11,30),0)*ROUND(($N47+$V46+SUM($X47:X47))*$T$5/3000,2),"")</f>
        <v/>
      </c>
      <c r="Z47" s="3"/>
      <c r="AA47" s="3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</row>
    <row r="48" spans="5:84" x14ac:dyDescent="0.25">
      <c r="E48" s="5"/>
      <c r="F48" t="str">
        <f>IF($K48&lt;&gt;"",TEXT(L48,"DDD"),"")</f>
        <v/>
      </c>
      <c r="G48" s="5" t="str">
        <f>IF($K48&lt;&gt;"",EOMONTH(DATE(YEAR($M$6),$G$11+K48+SUM($B$12:B48),1),0),"")</f>
        <v/>
      </c>
      <c r="H48" s="22" t="str">
        <f>IF($K48&lt;&gt;"",IF($A48="Prepago",$H47,$H47+1),"")</f>
        <v/>
      </c>
      <c r="I48" s="22" t="str">
        <f>IF($K48&lt;&gt;"",IF(ISNUMBER($C48),-$P48+$W48-$Q48,ABS($W48)+$R48+$S48+$T48),"")</f>
        <v/>
      </c>
      <c r="J48" s="22" t="str">
        <f>IF(K48&lt;&gt;"",IF(COUNTA($X48:$XFD48)*30&lt;$M48,1,0),"")</f>
        <v/>
      </c>
      <c r="K48" t="str">
        <f>IF($K47&lt;NCUOTAS+CUOTAADICIONAL+PGRACIA,$K47+1,"")</f>
        <v/>
      </c>
      <c r="L48" s="5" t="str">
        <f>IF($K48&lt;&gt;"",IF(ULTIMODIA=0,IF($E48="",DATE(YEAR($M$7),MONTH($M$7)+($A$1*($H48-1))+SUM($B$12:$B48),DAY($M$7)),$E48),G48),"")</f>
        <v/>
      </c>
      <c r="M48" s="9" t="str">
        <f>IF($K48&lt;&gt;"",$L48-$L47,"")</f>
        <v/>
      </c>
      <c r="N48" s="3" t="str">
        <f>IF($K48&lt;&gt;"",$U47,"")</f>
        <v/>
      </c>
      <c r="O48" s="3" t="str">
        <f>IF($K48&lt;&gt;"",IF($A48="Gracia Parcial",IF(AND($C48&lt;$W48+$R48+$S48+$T48+$V47,$C48&gt;0),$C48,$W48+$R48+$S48+$T48+$V47),IF($A48="Gracia Total",0,IF($A48="Prepago",$C48,IF(ISNUMBER($C48),$C48*VALUE(MID($C$1,MONTH($L48),1)),$P$5*VALUE(MID($C$1,MONTH($L48),1))))))-IF($K49="",ARREGLO,0),"")</f>
        <v/>
      </c>
      <c r="P48" s="3" t="str">
        <f>IF($K48&lt;&gt;"",IF($O48-$Q48&gt;0,$O48-$Q48-$R48-$S48-$T48,0),"")</f>
        <v/>
      </c>
      <c r="Q48" s="3" t="str">
        <f t="shared" si="0"/>
        <v/>
      </c>
      <c r="R48" s="3" t="str">
        <f>IF($K48&lt;&gt;"",IF($A48="Prepago",0,IF(($H48+SUM($B$12:$B48))*$S$6&gt;SUM($R$11:$R47)+$S$6,$S$6*2,$S$6)),"")</f>
        <v/>
      </c>
      <c r="S48" s="3" t="str">
        <f>IF($K48&lt;&gt;"",IF($A48="Prepago",0,IF(($H48+SUM($B$12:$B48))*$S$7&gt;SUM($S$11:$S47)+$S$7,$S$7*2,$S$7)),"")</f>
        <v/>
      </c>
      <c r="T48" s="3" t="str">
        <f>IF($K48&lt;&gt;"",IF($A48="Prepago",0,IF(($H48+SUM($B$12:$B48))*$S$8&gt;SUM($T$11:$T47)+$S$8,$S$8*2,$S$8)),"")</f>
        <v/>
      </c>
      <c r="U48" s="3" t="str">
        <f>IF($K48&lt;&gt;"",$N48-$P48,"")</f>
        <v/>
      </c>
      <c r="V48" s="3" t="str">
        <f t="shared" si="1"/>
        <v/>
      </c>
      <c r="W48" s="3" t="str">
        <f>IF($K48&lt;&gt;"",SUM($X48:$XFD48),"")</f>
        <v/>
      </c>
      <c r="X48" s="3" t="str">
        <f>IF($K48&lt;&gt;"",IF($M48&gt;X$11,30,$M48)*ROUND(($N48+$V47)*$T$5/3000,2),"")</f>
        <v/>
      </c>
      <c r="Y48" s="3" t="str">
        <f>IF($K48&lt;&gt;"",IF($M48&gt;X$11,IF($M48&lt;Y$11,$M48-X$11,30),0)*ROUND(($N48+$V47+SUM($X48:X48))*$T$5/3000,2),"")</f>
        <v/>
      </c>
      <c r="Z48" s="3"/>
      <c r="AA48" s="3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</row>
    <row r="49" spans="5:84" x14ac:dyDescent="0.25">
      <c r="E49" s="5"/>
      <c r="F49" t="str">
        <f>IF($K49&lt;&gt;"",TEXT(L49,"DDD"),"")</f>
        <v/>
      </c>
      <c r="G49" s="5" t="str">
        <f>IF($K49&lt;&gt;"",EOMONTH(DATE(YEAR($M$6),$G$11+K49+SUM($B$12:B49),1),0),"")</f>
        <v/>
      </c>
      <c r="H49" s="22" t="str">
        <f>IF($K49&lt;&gt;"",IF($A49="Prepago",$H48,$H48+1),"")</f>
        <v/>
      </c>
      <c r="I49" s="22" t="str">
        <f>IF($K49&lt;&gt;"",IF(ISNUMBER($C49),-$P49+$W49-$Q49,ABS($W49)+$R49+$S49+$T49),"")</f>
        <v/>
      </c>
      <c r="J49" s="22" t="str">
        <f>IF(K49&lt;&gt;"",IF(COUNTA($X49:$XFD49)*30&lt;$M49,1,0),"")</f>
        <v/>
      </c>
      <c r="K49" t="str">
        <f>IF($K48&lt;NCUOTAS+CUOTAADICIONAL+PGRACIA,$K48+1,"")</f>
        <v/>
      </c>
      <c r="L49" s="5" t="str">
        <f>IF($K49&lt;&gt;"",IF(ULTIMODIA=0,IF($E49="",DATE(YEAR($M$7),MONTH($M$7)+($A$1*($H49-1))+SUM($B$12:$B49),DAY($M$7)),$E49),G49),"")</f>
        <v/>
      </c>
      <c r="M49" s="9" t="str">
        <f>IF($K49&lt;&gt;"",$L49-$L48,"")</f>
        <v/>
      </c>
      <c r="N49" s="3" t="str">
        <f>IF($K49&lt;&gt;"",$U48,"")</f>
        <v/>
      </c>
      <c r="O49" s="3" t="str">
        <f>IF($K49&lt;&gt;"",IF($A49="Gracia Parcial",IF(AND($C49&lt;$W49+$R49+$S49+$T49+$V48,$C49&gt;0),$C49,$W49+$R49+$S49+$T49+$V48),IF($A49="Gracia Total",0,IF($A49="Prepago",$C49,IF(ISNUMBER($C49),$C49*VALUE(MID($C$1,MONTH($L49),1)),$P$5*VALUE(MID($C$1,MONTH($L49),1))))))-IF($K50="",ARREGLO,0),"")</f>
        <v/>
      </c>
      <c r="P49" s="3" t="str">
        <f>IF($K49&lt;&gt;"",IF($O49-$Q49&gt;0,$O49-$Q49-$R49-$S49-$T49,0),"")</f>
        <v/>
      </c>
      <c r="Q49" s="3" t="str">
        <f t="shared" si="0"/>
        <v/>
      </c>
      <c r="R49" s="3" t="str">
        <f>IF($K49&lt;&gt;"",IF($A49="Prepago",0,IF(($H49+SUM($B$12:$B49))*$S$6&gt;SUM($R$11:$R48)+$S$6,$S$6*2,$S$6)),"")</f>
        <v/>
      </c>
      <c r="S49" s="3" t="str">
        <f>IF($K49&lt;&gt;"",IF($A49="Prepago",0,IF(($H49+SUM($B$12:$B49))*$S$7&gt;SUM($S$11:$S48)+$S$7,$S$7*2,$S$7)),"")</f>
        <v/>
      </c>
      <c r="T49" s="3" t="str">
        <f>IF($K49&lt;&gt;"",IF($A49="Prepago",0,IF(($H49+SUM($B$12:$B49))*$S$8&gt;SUM($T$11:$T48)+$S$8,$S$8*2,$S$8)),"")</f>
        <v/>
      </c>
      <c r="U49" s="3" t="str">
        <f>IF($K49&lt;&gt;"",$N49-$P49,"")</f>
        <v/>
      </c>
      <c r="V49" s="3" t="str">
        <f t="shared" si="1"/>
        <v/>
      </c>
      <c r="W49" s="3" t="str">
        <f>IF($K49&lt;&gt;"",SUM($X49:$XFD49),"")</f>
        <v/>
      </c>
      <c r="X49" s="3" t="str">
        <f>IF($K49&lt;&gt;"",IF($M49&gt;X$11,30,$M49)*ROUND(($N49+$V48)*$T$5/3000,2),"")</f>
        <v/>
      </c>
      <c r="Y49" s="3" t="str">
        <f>IF($K49&lt;&gt;"",IF($M49&gt;X$11,IF($M49&lt;Y$11,$M49-X$11,30),0)*ROUND(($N49+$V48+SUM($X49:X49))*$T$5/3000,2),"")</f>
        <v/>
      </c>
      <c r="Z49" s="3"/>
      <c r="AA49" s="3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</row>
    <row r="50" spans="5:84" x14ac:dyDescent="0.25">
      <c r="E50" s="5"/>
      <c r="F50" t="str">
        <f>IF($K50&lt;&gt;"",TEXT(L50,"DDD"),"")</f>
        <v/>
      </c>
      <c r="G50" s="5" t="str">
        <f>IF($K50&lt;&gt;"",EOMONTH(DATE(YEAR($M$6),$G$11+K50+SUM($B$12:B50),1),0),"")</f>
        <v/>
      </c>
      <c r="H50" s="22" t="str">
        <f>IF($K50&lt;&gt;"",IF($A50="Prepago",$H49,$H49+1),"")</f>
        <v/>
      </c>
      <c r="I50" s="22" t="str">
        <f>IF($K50&lt;&gt;"",IF(ISNUMBER($C50),-$P50+$W50-$Q50,ABS($W50)+$R50+$S50+$T50),"")</f>
        <v/>
      </c>
      <c r="J50" s="22" t="str">
        <f>IF(K50&lt;&gt;"",IF(COUNTA($X50:$XFD50)*30&lt;$M50,1,0),"")</f>
        <v/>
      </c>
      <c r="K50" t="str">
        <f>IF($K49&lt;NCUOTAS+CUOTAADICIONAL+PGRACIA,$K49+1,"")</f>
        <v/>
      </c>
      <c r="L50" s="5" t="str">
        <f>IF($K50&lt;&gt;"",IF(ULTIMODIA=0,IF($E50="",DATE(YEAR($M$7),MONTH($M$7)+($A$1*($H50-1))+SUM($B$12:$B50),DAY($M$7)),$E50),G50),"")</f>
        <v/>
      </c>
      <c r="M50" s="9" t="str">
        <f>IF($K50&lt;&gt;"",$L50-$L49,"")</f>
        <v/>
      </c>
      <c r="N50" s="3" t="str">
        <f>IF($K50&lt;&gt;"",$U49,"")</f>
        <v/>
      </c>
      <c r="O50" s="3" t="str">
        <f>IF($K50&lt;&gt;"",IF($A50="Gracia Parcial",IF(AND($C50&lt;$W50+$R50+$S50+$T50+$V49,$C50&gt;0),$C50,$W50+$R50+$S50+$T50+$V49),IF($A50="Gracia Total",0,IF($A50="Prepago",$C50,IF(ISNUMBER($C50),$C50*VALUE(MID($C$1,MONTH($L50),1)),$P$5*VALUE(MID($C$1,MONTH($L50),1))))))-IF($K51="",ARREGLO,0),"")</f>
        <v/>
      </c>
      <c r="P50" s="3" t="str">
        <f>IF($K50&lt;&gt;"",IF($O50-$Q50&gt;0,$O50-$Q50-$R50-$S50-$T50,0),"")</f>
        <v/>
      </c>
      <c r="Q50" s="3" t="str">
        <f t="shared" si="0"/>
        <v/>
      </c>
      <c r="R50" s="3" t="str">
        <f>IF($K50&lt;&gt;"",IF($A50="Prepago",0,IF(($H50+SUM($B$12:$B50))*$S$6&gt;SUM($R$11:$R49)+$S$6,$S$6*2,$S$6)),"")</f>
        <v/>
      </c>
      <c r="S50" s="3" t="str">
        <f>IF($K50&lt;&gt;"",IF($A50="Prepago",0,IF(($H50+SUM($B$12:$B50))*$S$7&gt;SUM($S$11:$S49)+$S$7,$S$7*2,$S$7)),"")</f>
        <v/>
      </c>
      <c r="T50" s="3" t="str">
        <f>IF($K50&lt;&gt;"",IF($A50="Prepago",0,IF(($H50+SUM($B$12:$B50))*$S$8&gt;SUM($T$11:$T49)+$S$8,$S$8*2,$S$8)),"")</f>
        <v/>
      </c>
      <c r="U50" s="3" t="str">
        <f>IF($K50&lt;&gt;"",$N50-$P50,"")</f>
        <v/>
      </c>
      <c r="V50" s="3" t="str">
        <f t="shared" si="1"/>
        <v/>
      </c>
      <c r="W50" s="3" t="str">
        <f>IF($K50&lt;&gt;"",SUM($X50:$XFD50),"")</f>
        <v/>
      </c>
      <c r="X50" s="3" t="str">
        <f>IF($K50&lt;&gt;"",IF($M50&gt;X$11,30,$M50)*ROUND(($N50+$V49)*$T$5/3000,2),"")</f>
        <v/>
      </c>
      <c r="Y50" s="3" t="str">
        <f>IF($K50&lt;&gt;"",IF($M50&gt;X$11,IF($M50&lt;Y$11,$M50-X$11,30),0)*ROUND(($N50+$V49+SUM($X50:X50))*$T$5/3000,2),"")</f>
        <v/>
      </c>
      <c r="Z50" s="3"/>
      <c r="AA50" s="3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</row>
    <row r="51" spans="5:84" x14ac:dyDescent="0.25">
      <c r="E51" s="5"/>
      <c r="F51" t="str">
        <f>IF($K51&lt;&gt;"",TEXT(L51,"DDD"),"")</f>
        <v/>
      </c>
      <c r="G51" s="5" t="str">
        <f>IF($K51&lt;&gt;"",EOMONTH(DATE(YEAR($M$6),$G$11+K51+SUM($B$12:B51),1),0),"")</f>
        <v/>
      </c>
      <c r="H51" s="22" t="str">
        <f>IF($K51&lt;&gt;"",IF($A51="Prepago",$H50,$H50+1),"")</f>
        <v/>
      </c>
      <c r="I51" s="22" t="str">
        <f>IF($K51&lt;&gt;"",IF(ISNUMBER($C51),-$P51+$W51-$Q51,ABS($W51)+$R51+$S51+$T51),"")</f>
        <v/>
      </c>
      <c r="J51" s="22" t="str">
        <f>IF(K51&lt;&gt;"",IF(COUNTA($X51:$XFD51)*30&lt;$M51,1,0),"")</f>
        <v/>
      </c>
      <c r="K51" t="str">
        <f>IF($K50&lt;NCUOTAS+CUOTAADICIONAL+PGRACIA,$K50+1,"")</f>
        <v/>
      </c>
      <c r="L51" s="5" t="str">
        <f>IF($K51&lt;&gt;"",IF(ULTIMODIA=0,IF($E51="",DATE(YEAR($M$7),MONTH($M$7)+($A$1*($H51-1))+SUM($B$12:$B51),DAY($M$7)),$E51),G51),"")</f>
        <v/>
      </c>
      <c r="M51" s="9" t="str">
        <f>IF($K51&lt;&gt;"",$L51-$L50,"")</f>
        <v/>
      </c>
      <c r="N51" s="3" t="str">
        <f>IF($K51&lt;&gt;"",$U50,"")</f>
        <v/>
      </c>
      <c r="O51" s="3" t="str">
        <f>IF($K51&lt;&gt;"",IF($A51="Gracia Parcial",IF(AND($C51&lt;$W51+$R51+$S51+$T51+$V50,$C51&gt;0),$C51,$W51+$R51+$S51+$T51+$V50),IF($A51="Gracia Total",0,IF($A51="Prepago",$C51,IF(ISNUMBER($C51),$C51*VALUE(MID($C$1,MONTH($L51),1)),$P$5*VALUE(MID($C$1,MONTH($L51),1))))))-IF($K52="",ARREGLO,0),"")</f>
        <v/>
      </c>
      <c r="P51" s="3" t="str">
        <f>IF($K51&lt;&gt;"",IF($O51-$Q51&gt;0,$O51-$Q51-$R51-$S51-$T51,0),"")</f>
        <v/>
      </c>
      <c r="Q51" s="3" t="str">
        <f t="shared" si="0"/>
        <v/>
      </c>
      <c r="R51" s="3" t="str">
        <f>IF($K51&lt;&gt;"",IF($A51="Prepago",0,IF(($H51+SUM($B$12:$B51))*$S$6&gt;SUM($R$11:$R50)+$S$6,$S$6*2,$S$6)),"")</f>
        <v/>
      </c>
      <c r="S51" s="3" t="str">
        <f>IF($K51&lt;&gt;"",IF($A51="Prepago",0,IF(($H51+SUM($B$12:$B51))*$S$7&gt;SUM($S$11:$S50)+$S$7,$S$7*2,$S$7)),"")</f>
        <v/>
      </c>
      <c r="T51" s="3" t="str">
        <f>IF($K51&lt;&gt;"",IF($A51="Prepago",0,IF(($H51+SUM($B$12:$B51))*$S$8&gt;SUM($T$11:$T50)+$S$8,$S$8*2,$S$8)),"")</f>
        <v/>
      </c>
      <c r="U51" s="3" t="str">
        <f>IF($K51&lt;&gt;"",$N51-$P51,"")</f>
        <v/>
      </c>
      <c r="V51" s="3" t="str">
        <f t="shared" si="1"/>
        <v/>
      </c>
      <c r="W51" s="3" t="str">
        <f>IF($K51&lt;&gt;"",SUM($X51:$XFD51),"")</f>
        <v/>
      </c>
      <c r="X51" s="3" t="str">
        <f>IF($K51&lt;&gt;"",IF($M51&gt;X$11,30,$M51)*ROUND(($N51+$V50)*$T$5/3000,2),"")</f>
        <v/>
      </c>
      <c r="Y51" s="3" t="str">
        <f>IF($K51&lt;&gt;"",IF($M51&gt;X$11,IF($M51&lt;Y$11,$M51-X$11,30),0)*ROUND(($N51+$V50+SUM($X51:X51))*$T$5/3000,2),"")</f>
        <v/>
      </c>
      <c r="Z51" s="3"/>
      <c r="AA51" s="3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</row>
    <row r="52" spans="5:84" x14ac:dyDescent="0.25">
      <c r="E52" s="5"/>
      <c r="F52" t="str">
        <f>IF($K52&lt;&gt;"",TEXT(L52,"DDD"),"")</f>
        <v/>
      </c>
      <c r="G52" s="5" t="str">
        <f>IF($K52&lt;&gt;"",EOMONTH(DATE(YEAR($M$6),$G$11+K52+SUM($B$12:B52),1),0),"")</f>
        <v/>
      </c>
      <c r="H52" s="22" t="str">
        <f>IF($K52&lt;&gt;"",IF($A52="Prepago",$H51,$H51+1),"")</f>
        <v/>
      </c>
      <c r="I52" s="22" t="str">
        <f>IF($K52&lt;&gt;"",IF(ISNUMBER($C52),-$P52+$W52-$Q52,ABS($W52)+$R52+$S52+$T52),"")</f>
        <v/>
      </c>
      <c r="J52" s="22" t="str">
        <f>IF(K52&lt;&gt;"",IF(COUNTA($X52:$XFD52)*30&lt;$M52,1,0),"")</f>
        <v/>
      </c>
      <c r="K52" t="str">
        <f>IF($K51&lt;NCUOTAS+CUOTAADICIONAL+PGRACIA,$K51+1,"")</f>
        <v/>
      </c>
      <c r="L52" s="5" t="str">
        <f>IF($K52&lt;&gt;"",IF(ULTIMODIA=0,IF($E52="",DATE(YEAR($M$7),MONTH($M$7)+($A$1*($H52-1))+SUM($B$12:$B52),DAY($M$7)),$E52),G52),"")</f>
        <v/>
      </c>
      <c r="M52" s="9" t="str">
        <f>IF($K52&lt;&gt;"",$L52-$L51,"")</f>
        <v/>
      </c>
      <c r="N52" s="3" t="str">
        <f>IF($K52&lt;&gt;"",$U51,"")</f>
        <v/>
      </c>
      <c r="O52" s="3" t="str">
        <f>IF($K52&lt;&gt;"",IF($A52="Gracia Parcial",IF(AND($C52&lt;$W52+$R52+$S52+$T52+$V51,$C52&gt;0),$C52,$W52+$R52+$S52+$T52+$V51),IF($A52="Gracia Total",0,IF($A52="Prepago",$C52,IF(ISNUMBER($C52),$C52*VALUE(MID($C$1,MONTH($L52),1)),$P$5*VALUE(MID($C$1,MONTH($L52),1))))))-IF($K53="",ARREGLO,0),"")</f>
        <v/>
      </c>
      <c r="P52" s="3" t="str">
        <f>IF($K52&lt;&gt;"",IF($O52-$Q52&gt;0,$O52-$Q52-$R52-$S52-$T52,0),"")</f>
        <v/>
      </c>
      <c r="Q52" s="3" t="str">
        <f t="shared" si="0"/>
        <v/>
      </c>
      <c r="R52" s="3" t="str">
        <f>IF($K52&lt;&gt;"",IF($A52="Prepago",0,IF(($H52+SUM($B$12:$B52))*$S$6&gt;SUM($R$11:$R51)+$S$6,$S$6*2,$S$6)),"")</f>
        <v/>
      </c>
      <c r="S52" s="3" t="str">
        <f>IF($K52&lt;&gt;"",IF($A52="Prepago",0,IF(($H52+SUM($B$12:$B52))*$S$7&gt;SUM($S$11:$S51)+$S$7,$S$7*2,$S$7)),"")</f>
        <v/>
      </c>
      <c r="T52" s="3" t="str">
        <f>IF($K52&lt;&gt;"",IF($A52="Prepago",0,IF(($H52+SUM($B$12:$B52))*$S$8&gt;SUM($T$11:$T51)+$S$8,$S$8*2,$S$8)),"")</f>
        <v/>
      </c>
      <c r="U52" s="3" t="str">
        <f>IF($K52&lt;&gt;"",$N52-$P52,"")</f>
        <v/>
      </c>
      <c r="V52" s="3" t="str">
        <f t="shared" si="1"/>
        <v/>
      </c>
      <c r="W52" s="3" t="str">
        <f>IF($K52&lt;&gt;"",SUM($X52:$XFD52),"")</f>
        <v/>
      </c>
      <c r="X52" s="3" t="str">
        <f>IF($K52&lt;&gt;"",IF($M52&gt;X$11,30,$M52)*ROUND(($N52+$V51)*$T$5/3000,2),"")</f>
        <v/>
      </c>
      <c r="Y52" s="3" t="str">
        <f>IF($K52&lt;&gt;"",IF($M52&gt;X$11,IF($M52&lt;Y$11,$M52-X$11,30),0)*ROUND(($N52+$V51+SUM($X52:X52))*$T$5/3000,2),"")</f>
        <v/>
      </c>
      <c r="Z52" s="3"/>
      <c r="AA52" s="3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</row>
    <row r="53" spans="5:84" x14ac:dyDescent="0.25">
      <c r="E53" s="5"/>
      <c r="F53" t="str">
        <f>IF($K53&lt;&gt;"",TEXT(L53,"DDD"),"")</f>
        <v/>
      </c>
      <c r="G53" s="5" t="str">
        <f>IF($K53&lt;&gt;"",EOMONTH(DATE(YEAR($M$6),$G$11+K53+SUM($B$12:B53),1),0),"")</f>
        <v/>
      </c>
      <c r="H53" s="22" t="str">
        <f>IF($K53&lt;&gt;"",IF($A53="Prepago",$H52,$H52+1),"")</f>
        <v/>
      </c>
      <c r="I53" s="22" t="str">
        <f>IF($K53&lt;&gt;"",IF(ISNUMBER($C53),-$P53+$W53-$Q53,ABS($W53)+$R53+$S53+$T53),"")</f>
        <v/>
      </c>
      <c r="J53" s="22" t="str">
        <f>IF(K53&lt;&gt;"",IF(COUNTA($X53:$XFD53)*30&lt;$M53,1,0),"")</f>
        <v/>
      </c>
      <c r="K53" t="str">
        <f>IF($K52&lt;NCUOTAS+CUOTAADICIONAL+PGRACIA,$K52+1,"")</f>
        <v/>
      </c>
      <c r="L53" s="5" t="str">
        <f>IF($K53&lt;&gt;"",IF(ULTIMODIA=0,IF($E53="",DATE(YEAR($M$7),MONTH($M$7)+($A$1*($H53-1))+SUM($B$12:$B53),DAY($M$7)),$E53),G53),"")</f>
        <v/>
      </c>
      <c r="M53" s="9" t="str">
        <f>IF($K53&lt;&gt;"",$L53-$L52,"")</f>
        <v/>
      </c>
      <c r="N53" s="3" t="str">
        <f>IF($K53&lt;&gt;"",$U52,"")</f>
        <v/>
      </c>
      <c r="O53" s="3" t="str">
        <f>IF($K53&lt;&gt;"",IF($A53="Gracia Parcial",IF(AND($C53&lt;$W53+$R53+$S53+$T53+$V52,$C53&gt;0),$C53,$W53+$R53+$S53+$T53+$V52),IF($A53="Gracia Total",0,IF($A53="Prepago",$C53,IF(ISNUMBER($C53),$C53*VALUE(MID($C$1,MONTH($L53),1)),$P$5*VALUE(MID($C$1,MONTH($L53),1))))))-IF($K54="",ARREGLO,0),"")</f>
        <v/>
      </c>
      <c r="P53" s="3" t="str">
        <f>IF($K53&lt;&gt;"",IF($O53-$Q53&gt;0,$O53-$Q53-$R53-$S53-$T53,0),"")</f>
        <v/>
      </c>
      <c r="Q53" s="3" t="str">
        <f t="shared" si="0"/>
        <v/>
      </c>
      <c r="R53" s="3" t="str">
        <f>IF($K53&lt;&gt;"",IF($A53="Prepago",0,IF(($H53+SUM($B$12:$B53))*$S$6&gt;SUM($R$11:$R52)+$S$6,$S$6*2,$S$6)),"")</f>
        <v/>
      </c>
      <c r="S53" s="3" t="str">
        <f>IF($K53&lt;&gt;"",IF($A53="Prepago",0,IF(($H53+SUM($B$12:$B53))*$S$7&gt;SUM($S$11:$S52)+$S$7,$S$7*2,$S$7)),"")</f>
        <v/>
      </c>
      <c r="T53" s="3" t="str">
        <f>IF($K53&lt;&gt;"",IF($A53="Prepago",0,IF(($H53+SUM($B$12:$B53))*$S$8&gt;SUM($T$11:$T52)+$S$8,$S$8*2,$S$8)),"")</f>
        <v/>
      </c>
      <c r="U53" s="3" t="str">
        <f>IF($K53&lt;&gt;"",$N53-$P53,"")</f>
        <v/>
      </c>
      <c r="V53" s="3" t="str">
        <f t="shared" si="1"/>
        <v/>
      </c>
      <c r="W53" s="3" t="str">
        <f>IF($K53&lt;&gt;"",SUM($X53:$XFD53),"")</f>
        <v/>
      </c>
      <c r="X53" s="3" t="str">
        <f>IF($K53&lt;&gt;"",IF($M53&gt;X$11,30,$M53)*ROUND(($N53+$V52)*$T$5/3000,2),"")</f>
        <v/>
      </c>
      <c r="Y53" s="3" t="str">
        <f>IF($K53&lt;&gt;"",IF($M53&gt;X$11,IF($M53&lt;Y$11,$M53-X$11,30),0)*ROUND(($N53+$V52+SUM($X53:X53))*$T$5/3000,2),"")</f>
        <v/>
      </c>
      <c r="Z53" s="3"/>
      <c r="AA53" s="3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</row>
    <row r="54" spans="5:84" x14ac:dyDescent="0.25">
      <c r="E54" s="5"/>
      <c r="F54" t="str">
        <f>IF($K54&lt;&gt;"",TEXT(L54,"DDD"),"")</f>
        <v/>
      </c>
      <c r="G54" s="5" t="str">
        <f>IF($K54&lt;&gt;"",EOMONTH(DATE(YEAR($M$6),$G$11+K54+SUM($B$12:B54),1),0),"")</f>
        <v/>
      </c>
      <c r="H54" s="22" t="str">
        <f>IF($K54&lt;&gt;"",IF($A54="Prepago",$H53,$H53+1),"")</f>
        <v/>
      </c>
      <c r="I54" s="22" t="str">
        <f>IF($K54&lt;&gt;"",IF(ISNUMBER($C54),-$P54+$W54-$Q54,ABS($W54)+$R54+$S54+$T54),"")</f>
        <v/>
      </c>
      <c r="J54" s="22" t="str">
        <f>IF(K54&lt;&gt;"",IF(COUNTA($X54:$XFD54)*30&lt;$M54,1,0),"")</f>
        <v/>
      </c>
      <c r="K54" t="str">
        <f>IF($K53&lt;NCUOTAS+CUOTAADICIONAL+PGRACIA,$K53+1,"")</f>
        <v/>
      </c>
      <c r="L54" s="5" t="str">
        <f>IF($K54&lt;&gt;"",IF(ULTIMODIA=0,IF($E54="",DATE(YEAR($M$7),MONTH($M$7)+($A$1*($H54-1))+SUM($B$12:$B54),DAY($M$7)),$E54),G54),"")</f>
        <v/>
      </c>
      <c r="M54" s="9" t="str">
        <f>IF($K54&lt;&gt;"",$L54-$L53,"")</f>
        <v/>
      </c>
      <c r="N54" s="3" t="str">
        <f>IF($K54&lt;&gt;"",$U53,"")</f>
        <v/>
      </c>
      <c r="O54" s="3" t="str">
        <f>IF($K54&lt;&gt;"",IF($A54="Gracia Parcial",IF(AND($C54&lt;$W54+$R54+$S54+$T54+$V53,$C54&gt;0),$C54,$W54+$R54+$S54+$T54+$V53),IF($A54="Gracia Total",0,IF($A54="Prepago",$C54,IF(ISNUMBER($C54),$C54*VALUE(MID($C$1,MONTH($L54),1)),$P$5*VALUE(MID($C$1,MONTH($L54),1))))))-IF($K55="",ARREGLO,0),"")</f>
        <v/>
      </c>
      <c r="P54" s="3" t="str">
        <f>IF($K54&lt;&gt;"",IF($O54-$Q54&gt;0,$O54-$Q54-$R54-$S54-$T54,0),"")</f>
        <v/>
      </c>
      <c r="Q54" s="3" t="str">
        <f t="shared" si="0"/>
        <v/>
      </c>
      <c r="R54" s="3" t="str">
        <f>IF($K54&lt;&gt;"",IF($A54="Prepago",0,IF(($H54+SUM($B$12:$B54))*$S$6&gt;SUM($R$11:$R53)+$S$6,$S$6*2,$S$6)),"")</f>
        <v/>
      </c>
      <c r="S54" s="3" t="str">
        <f>IF($K54&lt;&gt;"",IF($A54="Prepago",0,IF(($H54+SUM($B$12:$B54))*$S$7&gt;SUM($S$11:$S53)+$S$7,$S$7*2,$S$7)),"")</f>
        <v/>
      </c>
      <c r="T54" s="3" t="str">
        <f>IF($K54&lt;&gt;"",IF($A54="Prepago",0,IF(($H54+SUM($B$12:$B54))*$S$8&gt;SUM($T$11:$T53)+$S$8,$S$8*2,$S$8)),"")</f>
        <v/>
      </c>
      <c r="U54" s="3" t="str">
        <f>IF($K54&lt;&gt;"",$N54-$P54,"")</f>
        <v/>
      </c>
      <c r="V54" s="3" t="str">
        <f t="shared" si="1"/>
        <v/>
      </c>
      <c r="W54" s="3" t="str">
        <f>IF($K54&lt;&gt;"",SUM($X54:$XFD54),"")</f>
        <v/>
      </c>
      <c r="X54" s="3" t="str">
        <f>IF($K54&lt;&gt;"",IF($M54&gt;X$11,30,$M54)*ROUND(($N54+$V53)*$T$5/3000,2),"")</f>
        <v/>
      </c>
      <c r="Y54" s="3" t="str">
        <f>IF($K54&lt;&gt;"",IF($M54&gt;X$11,IF($M54&lt;Y$11,$M54-X$11,30),0)*ROUND(($N54+$V53+SUM($X54:X54))*$T$5/3000,2),"")</f>
        <v/>
      </c>
      <c r="Z54" s="3"/>
      <c r="AA54" s="3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</row>
    <row r="55" spans="5:84" x14ac:dyDescent="0.25">
      <c r="E55" s="5"/>
      <c r="F55" t="str">
        <f>IF($K55&lt;&gt;"",TEXT(L55,"DDD"),"")</f>
        <v/>
      </c>
      <c r="G55" s="5" t="str">
        <f>IF($K55&lt;&gt;"",EOMONTH(DATE(YEAR($M$6),$G$11+K55+SUM($B$12:B55),1),0),"")</f>
        <v/>
      </c>
      <c r="H55" s="22" t="str">
        <f>IF($K55&lt;&gt;"",IF($A55="Prepago",$H54,$H54+1),"")</f>
        <v/>
      </c>
      <c r="I55" s="22" t="str">
        <f>IF($K55&lt;&gt;"",IF(ISNUMBER($C55),-$P55+$W55-$Q55,ABS($W55)+$R55+$S55+$T55),"")</f>
        <v/>
      </c>
      <c r="J55" s="22" t="str">
        <f>IF(K55&lt;&gt;"",IF(COUNTA($X55:$XFD55)*30&lt;$M55,1,0),"")</f>
        <v/>
      </c>
      <c r="K55" t="str">
        <f>IF($K54&lt;NCUOTAS+CUOTAADICIONAL+PGRACIA,$K54+1,"")</f>
        <v/>
      </c>
      <c r="L55" s="5" t="str">
        <f>IF($K55&lt;&gt;"",IF(ULTIMODIA=0,IF($E55="",DATE(YEAR($M$7),MONTH($M$7)+($A$1*($H55-1))+SUM($B$12:$B55),DAY($M$7)),$E55),G55),"")</f>
        <v/>
      </c>
      <c r="M55" s="9" t="str">
        <f>IF($K55&lt;&gt;"",$L55-$L54,"")</f>
        <v/>
      </c>
      <c r="N55" s="3" t="str">
        <f>IF($K55&lt;&gt;"",$U54,"")</f>
        <v/>
      </c>
      <c r="O55" s="3" t="str">
        <f>IF($K55&lt;&gt;"",IF($A55="Gracia Parcial",IF(AND($C55&lt;$W55+$R55+$S55+$T55+$V54,$C55&gt;0),$C55,$W55+$R55+$S55+$T55+$V54),IF($A55="Gracia Total",0,IF($A55="Prepago",$C55,IF(ISNUMBER($C55),$C55*VALUE(MID($C$1,MONTH($L55),1)),$P$5*VALUE(MID($C$1,MONTH($L55),1))))))-IF($K56="",ARREGLO,0),"")</f>
        <v/>
      </c>
      <c r="P55" s="3" t="str">
        <f>IF($K55&lt;&gt;"",IF($O55-$Q55&gt;0,$O55-$Q55-$R55-$S55-$T55,0),"")</f>
        <v/>
      </c>
      <c r="Q55" s="3" t="str">
        <f t="shared" si="0"/>
        <v/>
      </c>
      <c r="R55" s="3" t="str">
        <f>IF($K55&lt;&gt;"",IF($A55="Prepago",0,IF(($H55+SUM($B$12:$B55))*$S$6&gt;SUM($R$11:$R54)+$S$6,$S$6*2,$S$6)),"")</f>
        <v/>
      </c>
      <c r="S55" s="3" t="str">
        <f>IF($K55&lt;&gt;"",IF($A55="Prepago",0,IF(($H55+SUM($B$12:$B55))*$S$7&gt;SUM($S$11:$S54)+$S$7,$S$7*2,$S$7)),"")</f>
        <v/>
      </c>
      <c r="T55" s="3" t="str">
        <f>IF($K55&lt;&gt;"",IF($A55="Prepago",0,IF(($H55+SUM($B$12:$B55))*$S$8&gt;SUM($T$11:$T54)+$S$8,$S$8*2,$S$8)),"")</f>
        <v/>
      </c>
      <c r="U55" s="3" t="str">
        <f>IF($K55&lt;&gt;"",$N55-$P55,"")</f>
        <v/>
      </c>
      <c r="V55" s="3" t="str">
        <f t="shared" si="1"/>
        <v/>
      </c>
      <c r="W55" s="3" t="str">
        <f>IF($K55&lt;&gt;"",SUM($X55:$XFD55),"")</f>
        <v/>
      </c>
      <c r="X55" s="3" t="str">
        <f>IF($K55&lt;&gt;"",IF($M55&gt;X$11,30,$M55)*ROUND(($N55+$V54)*$T$5/3000,2),"")</f>
        <v/>
      </c>
      <c r="Y55" s="3" t="str">
        <f>IF($K55&lt;&gt;"",IF($M55&gt;X$11,IF($M55&lt;Y$11,$M55-X$11,30),0)*ROUND(($N55+$V54+SUM($X55:X55))*$T$5/3000,2),"")</f>
        <v/>
      </c>
      <c r="Z55" s="3"/>
      <c r="AA55" s="3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</row>
    <row r="56" spans="5:84" x14ac:dyDescent="0.25">
      <c r="E56" s="5"/>
      <c r="F56" t="str">
        <f>IF($K56&lt;&gt;"",TEXT(L56,"DDD"),"")</f>
        <v/>
      </c>
      <c r="G56" s="5" t="str">
        <f>IF($K56&lt;&gt;"",EOMONTH(DATE(YEAR($M$6),$G$11+K56+SUM($B$12:B56),1),0),"")</f>
        <v/>
      </c>
      <c r="H56" s="22" t="str">
        <f>IF($K56&lt;&gt;"",IF($A56="Prepago",$H55,$H55+1),"")</f>
        <v/>
      </c>
      <c r="I56" s="22" t="str">
        <f>IF($K56&lt;&gt;"",IF(ISNUMBER($C56),-$P56+$W56-$Q56,ABS($W56)+$R56+$S56+$T56),"")</f>
        <v/>
      </c>
      <c r="J56" s="22" t="str">
        <f>IF(K56&lt;&gt;"",IF(COUNTA($X56:$XFD56)*30&lt;$M56,1,0),"")</f>
        <v/>
      </c>
      <c r="K56" t="str">
        <f>IF($K55&lt;NCUOTAS+CUOTAADICIONAL+PGRACIA,$K55+1,"")</f>
        <v/>
      </c>
      <c r="L56" s="5" t="str">
        <f>IF($K56&lt;&gt;"",IF(ULTIMODIA=0,IF($E56="",DATE(YEAR($M$7),MONTH($M$7)+($A$1*($H56-1))+SUM($B$12:$B56),DAY($M$7)),$E56),G56),"")</f>
        <v/>
      </c>
      <c r="M56" s="9" t="str">
        <f>IF($K56&lt;&gt;"",$L56-$L55,"")</f>
        <v/>
      </c>
      <c r="N56" s="3" t="str">
        <f>IF($K56&lt;&gt;"",$U55,"")</f>
        <v/>
      </c>
      <c r="O56" s="3" t="str">
        <f>IF($K56&lt;&gt;"",IF($A56="Gracia Parcial",IF(AND($C56&lt;$W56+$R56+$S56+$T56+$V55,$C56&gt;0),$C56,$W56+$R56+$S56+$T56+$V55),IF($A56="Gracia Total",0,IF($A56="Prepago",$C56,IF(ISNUMBER($C56),$C56*VALUE(MID($C$1,MONTH($L56),1)),$P$5*VALUE(MID($C$1,MONTH($L56),1))))))-IF($K57="",ARREGLO,0),"")</f>
        <v/>
      </c>
      <c r="P56" s="3" t="str">
        <f>IF($K56&lt;&gt;"",IF($O56-$Q56&gt;0,$O56-$Q56-$R56-$S56-$T56,0),"")</f>
        <v/>
      </c>
      <c r="Q56" s="3" t="str">
        <f t="shared" si="0"/>
        <v/>
      </c>
      <c r="R56" s="3" t="str">
        <f>IF($K56&lt;&gt;"",IF($A56="Prepago",0,IF(($H56+SUM($B$12:$B56))*$S$6&gt;SUM($R$11:$R55)+$S$6,$S$6*2,$S$6)),"")</f>
        <v/>
      </c>
      <c r="S56" s="3" t="str">
        <f>IF($K56&lt;&gt;"",IF($A56="Prepago",0,IF(($H56+SUM($B$12:$B56))*$S$7&gt;SUM($S$11:$S55)+$S$7,$S$7*2,$S$7)),"")</f>
        <v/>
      </c>
      <c r="T56" s="3" t="str">
        <f>IF($K56&lt;&gt;"",IF($A56="Prepago",0,IF(($H56+SUM($B$12:$B56))*$S$8&gt;SUM($T$11:$T55)+$S$8,$S$8*2,$S$8)),"")</f>
        <v/>
      </c>
      <c r="U56" s="3" t="str">
        <f>IF($K56&lt;&gt;"",$N56-$P56,"")</f>
        <v/>
      </c>
      <c r="V56" s="3" t="str">
        <f t="shared" si="1"/>
        <v/>
      </c>
      <c r="W56" s="3" t="str">
        <f>IF($K56&lt;&gt;"",SUM($X56:$XFD56),"")</f>
        <v/>
      </c>
      <c r="X56" s="3" t="str">
        <f>IF($K56&lt;&gt;"",IF($M56&gt;X$11,30,$M56)*ROUND(($N56+$V55)*$T$5/3000,2),"")</f>
        <v/>
      </c>
      <c r="Y56" s="3" t="str">
        <f>IF($K56&lt;&gt;"",IF($M56&gt;X$11,IF($M56&lt;Y$11,$M56-X$11,30),0)*ROUND(($N56+$V55+SUM($X56:X56))*$T$5/3000,2),"")</f>
        <v/>
      </c>
      <c r="Z56" s="3"/>
      <c r="AA56" s="3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</row>
    <row r="57" spans="5:84" x14ac:dyDescent="0.25">
      <c r="E57" s="5"/>
      <c r="F57" t="str">
        <f>IF($K57&lt;&gt;"",TEXT(L57,"DDD"),"")</f>
        <v/>
      </c>
      <c r="G57" s="5" t="str">
        <f>IF($K57&lt;&gt;"",EOMONTH(DATE(YEAR($M$6),$G$11+K57+SUM($B$12:B57),1),0),"")</f>
        <v/>
      </c>
      <c r="H57" s="22" t="str">
        <f>IF($K57&lt;&gt;"",IF($A57="Prepago",$H56,$H56+1),"")</f>
        <v/>
      </c>
      <c r="I57" s="22" t="str">
        <f>IF($K57&lt;&gt;"",IF(ISNUMBER($C57),-$P57+$W57-$Q57,ABS($W57)+$R57+$S57+$T57),"")</f>
        <v/>
      </c>
      <c r="J57" s="22" t="str">
        <f>IF(K57&lt;&gt;"",IF(COUNTA($X57:$XFD57)*30&lt;$M57,1,0),"")</f>
        <v/>
      </c>
      <c r="K57" t="str">
        <f>IF($K56&lt;NCUOTAS+CUOTAADICIONAL+PGRACIA,$K56+1,"")</f>
        <v/>
      </c>
      <c r="L57" s="5" t="str">
        <f>IF($K57&lt;&gt;"",IF(ULTIMODIA=0,IF($E57="",DATE(YEAR($M$7),MONTH($M$7)+($A$1*($H57-1))+SUM($B$12:$B57),DAY($M$7)),$E57),G57),"")</f>
        <v/>
      </c>
      <c r="M57" s="9" t="str">
        <f>IF($K57&lt;&gt;"",$L57-$L56,"")</f>
        <v/>
      </c>
      <c r="N57" s="3" t="str">
        <f>IF($K57&lt;&gt;"",$U56,"")</f>
        <v/>
      </c>
      <c r="O57" s="3" t="str">
        <f>IF($K57&lt;&gt;"",IF($A57="Gracia Parcial",IF(AND($C57&lt;$W57+$R57+$S57+$T57+$V56,$C57&gt;0),$C57,$W57+$R57+$S57+$T57+$V56),IF($A57="Gracia Total",0,IF($A57="Prepago",$C57,IF(ISNUMBER($C57),$C57*VALUE(MID($C$1,MONTH($L57),1)),$P$5*VALUE(MID($C$1,MONTH($L57),1))))))-IF($K58="",ARREGLO,0),"")</f>
        <v/>
      </c>
      <c r="P57" s="3" t="str">
        <f>IF($K57&lt;&gt;"",IF($O57-$Q57&gt;0,$O57-$Q57-$R57-$S57-$T57,0),"")</f>
        <v/>
      </c>
      <c r="Q57" s="3" t="str">
        <f t="shared" si="0"/>
        <v/>
      </c>
      <c r="R57" s="3" t="str">
        <f>IF($K57&lt;&gt;"",IF($A57="Prepago",0,IF(($H57+SUM($B$12:$B57))*$S$6&gt;SUM($R$11:$R56)+$S$6,$S$6*2,$S$6)),"")</f>
        <v/>
      </c>
      <c r="S57" s="3" t="str">
        <f>IF($K57&lt;&gt;"",IF($A57="Prepago",0,IF(($H57+SUM($B$12:$B57))*$S$7&gt;SUM($S$11:$S56)+$S$7,$S$7*2,$S$7)),"")</f>
        <v/>
      </c>
      <c r="T57" s="3" t="str">
        <f>IF($K57&lt;&gt;"",IF($A57="Prepago",0,IF(($H57+SUM($B$12:$B57))*$S$8&gt;SUM($T$11:$T56)+$S$8,$S$8*2,$S$8)),"")</f>
        <v/>
      </c>
      <c r="U57" s="3" t="str">
        <f>IF($K57&lt;&gt;"",$N57-$P57,"")</f>
        <v/>
      </c>
      <c r="V57" s="3" t="str">
        <f t="shared" si="1"/>
        <v/>
      </c>
      <c r="W57" s="3" t="str">
        <f>IF($K57&lt;&gt;"",SUM($X57:$XFD57),"")</f>
        <v/>
      </c>
      <c r="X57" s="3" t="str">
        <f>IF($K57&lt;&gt;"",IF($M57&gt;X$11,30,$M57)*ROUND(($N57+$V56)*$T$5/3000,2),"")</f>
        <v/>
      </c>
      <c r="Y57" s="3" t="str">
        <f>IF($K57&lt;&gt;"",IF($M57&gt;X$11,IF($M57&lt;Y$11,$M57-X$11,30),0)*ROUND(($N57+$V56+SUM($X57:X57))*$T$5/3000,2),"")</f>
        <v/>
      </c>
      <c r="Z57" s="3"/>
      <c r="AA57" s="3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</row>
    <row r="58" spans="5:84" x14ac:dyDescent="0.25">
      <c r="E58" s="5"/>
      <c r="F58" t="str">
        <f>IF($K58&lt;&gt;"",TEXT(L58,"DDD"),"")</f>
        <v/>
      </c>
      <c r="G58" s="5" t="str">
        <f>IF($K58&lt;&gt;"",EOMONTH(DATE(YEAR($M$6),$G$11+K58+SUM($B$12:B58),1),0),"")</f>
        <v/>
      </c>
      <c r="H58" s="22" t="str">
        <f>IF($K58&lt;&gt;"",IF($A58="Prepago",$H57,$H57+1),"")</f>
        <v/>
      </c>
      <c r="I58" s="22" t="str">
        <f>IF($K58&lt;&gt;"",IF(ISNUMBER($C58),-$P58+$W58-$Q58,ABS($W58)+$R58+$S58+$T58),"")</f>
        <v/>
      </c>
      <c r="J58" s="22" t="str">
        <f>IF(K58&lt;&gt;"",IF(COUNTA($X58:$XFD58)*30&lt;$M58,1,0),"")</f>
        <v/>
      </c>
      <c r="K58" t="str">
        <f>IF($K57&lt;NCUOTAS+CUOTAADICIONAL+PGRACIA,$K57+1,"")</f>
        <v/>
      </c>
      <c r="L58" s="5" t="str">
        <f>IF($K58&lt;&gt;"",IF(ULTIMODIA=0,IF($E58="",DATE(YEAR($M$7),MONTH($M$7)+($A$1*($H58-1))+SUM($B$12:$B58),DAY($M$7)),$E58),G58),"")</f>
        <v/>
      </c>
      <c r="M58" s="9" t="str">
        <f>IF($K58&lt;&gt;"",$L58-$L57,"")</f>
        <v/>
      </c>
      <c r="N58" s="3" t="str">
        <f>IF($K58&lt;&gt;"",$U57,"")</f>
        <v/>
      </c>
      <c r="O58" s="3" t="str">
        <f>IF($K58&lt;&gt;"",IF($A58="Gracia Parcial",IF(AND($C58&lt;$W58+$R58+$S58+$T58+$V57,$C58&gt;0),$C58,$W58+$R58+$S58+$T58+$V57),IF($A58="Gracia Total",0,IF($A58="Prepago",$C58,IF(ISNUMBER($C58),$C58*VALUE(MID($C$1,MONTH($L58),1)),$P$5*VALUE(MID($C$1,MONTH($L58),1))))))-IF($K59="",ARREGLO,0),"")</f>
        <v/>
      </c>
      <c r="P58" s="3" t="str">
        <f>IF($K58&lt;&gt;"",IF($O58-$Q58&gt;0,$O58-$Q58-$R58-$S58-$T58,0),"")</f>
        <v/>
      </c>
      <c r="Q58" s="3" t="str">
        <f t="shared" si="0"/>
        <v/>
      </c>
      <c r="R58" s="3" t="str">
        <f>IF($K58&lt;&gt;"",IF($A58="Prepago",0,IF(($H58+SUM($B$12:$B58))*$S$6&gt;SUM($R$11:$R57)+$S$6,$S$6*2,$S$6)),"")</f>
        <v/>
      </c>
      <c r="S58" s="3" t="str">
        <f>IF($K58&lt;&gt;"",IF($A58="Prepago",0,IF(($H58+SUM($B$12:$B58))*$S$7&gt;SUM($S$11:$S57)+$S$7,$S$7*2,$S$7)),"")</f>
        <v/>
      </c>
      <c r="T58" s="3" t="str">
        <f>IF($K58&lt;&gt;"",IF($A58="Prepago",0,IF(($H58+SUM($B$12:$B58))*$S$8&gt;SUM($T$11:$T57)+$S$8,$S$8*2,$S$8)),"")</f>
        <v/>
      </c>
      <c r="U58" s="3" t="str">
        <f>IF($K58&lt;&gt;"",$N58-$P58,"")</f>
        <v/>
      </c>
      <c r="V58" s="3" t="str">
        <f t="shared" si="1"/>
        <v/>
      </c>
      <c r="W58" s="3" t="str">
        <f>IF($K58&lt;&gt;"",SUM($X58:$XFD58),"")</f>
        <v/>
      </c>
      <c r="X58" s="3" t="str">
        <f>IF($K58&lt;&gt;"",IF($M58&gt;X$11,30,$M58)*ROUND(($N58+$V57)*$T$5/3000,2),"")</f>
        <v/>
      </c>
      <c r="Y58" s="3" t="str">
        <f>IF($K58&lt;&gt;"",IF($M58&gt;X$11,IF($M58&lt;Y$11,$M58-X$11,30),0)*ROUND(($N58+$V57+SUM($X58:X58))*$T$5/3000,2),"")</f>
        <v/>
      </c>
      <c r="Z58" s="3"/>
      <c r="AA58" s="3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</row>
    <row r="59" spans="5:84" x14ac:dyDescent="0.25">
      <c r="E59" s="5"/>
      <c r="F59" t="str">
        <f>IF($K59&lt;&gt;"",TEXT(L59,"DDD"),"")</f>
        <v/>
      </c>
      <c r="G59" s="5" t="str">
        <f>IF($K59&lt;&gt;"",EOMONTH(DATE(YEAR($M$6),$G$11+K59+SUM($B$12:B59),1),0),"")</f>
        <v/>
      </c>
      <c r="H59" s="22" t="str">
        <f>IF($K59&lt;&gt;"",IF($A59="Prepago",$H58,$H58+1),"")</f>
        <v/>
      </c>
      <c r="I59" s="22" t="str">
        <f>IF($K59&lt;&gt;"",IF(ISNUMBER($C59),-$P59+$W59-$Q59,ABS($W59)+$R59+$S59+$T59),"")</f>
        <v/>
      </c>
      <c r="J59" s="22" t="str">
        <f>IF(K59&lt;&gt;"",IF(COUNTA($X59:$XFD59)*30&lt;$M59,1,0),"")</f>
        <v/>
      </c>
      <c r="K59" t="str">
        <f>IF($K58&lt;NCUOTAS+CUOTAADICIONAL+PGRACIA,$K58+1,"")</f>
        <v/>
      </c>
      <c r="L59" s="5" t="str">
        <f>IF($K59&lt;&gt;"",IF(ULTIMODIA=0,IF($E59="",DATE(YEAR($M$7),MONTH($M$7)+($A$1*($H59-1))+SUM($B$12:$B59),DAY($M$7)),$E59),G59),"")</f>
        <v/>
      </c>
      <c r="M59" s="9" t="str">
        <f>IF($K59&lt;&gt;"",$L59-$L58,"")</f>
        <v/>
      </c>
      <c r="N59" s="3" t="str">
        <f>IF($K59&lt;&gt;"",$U58,"")</f>
        <v/>
      </c>
      <c r="O59" s="3" t="str">
        <f>IF($K59&lt;&gt;"",IF($A59="Gracia Parcial",IF(AND($C59&lt;$W59+$R59+$S59+$T59+$V58,$C59&gt;0),$C59,$W59+$R59+$S59+$T59+$V58),IF($A59="Gracia Total",0,IF($A59="Prepago",$C59,IF(ISNUMBER($C59),$C59*VALUE(MID($C$1,MONTH($L59),1)),$P$5*VALUE(MID($C$1,MONTH($L59),1))))))-IF($K60="",ARREGLO,0),"")</f>
        <v/>
      </c>
      <c r="P59" s="3" t="str">
        <f>IF($K59&lt;&gt;"",IF($O59-$Q59&gt;0,$O59-$Q59-$R59-$S59-$T59,0),"")</f>
        <v/>
      </c>
      <c r="Q59" s="3" t="str">
        <f t="shared" si="0"/>
        <v/>
      </c>
      <c r="R59" s="3" t="str">
        <f>IF($K59&lt;&gt;"",IF($A59="Prepago",0,IF(($H59+SUM($B$12:$B59))*$S$6&gt;SUM($R$11:$R58)+$S$6,$S$6*2,$S$6)),"")</f>
        <v/>
      </c>
      <c r="S59" s="3" t="str">
        <f>IF($K59&lt;&gt;"",IF($A59="Prepago",0,IF(($H59+SUM($B$12:$B59))*$S$7&gt;SUM($S$11:$S58)+$S$7,$S$7*2,$S$7)),"")</f>
        <v/>
      </c>
      <c r="T59" s="3" t="str">
        <f>IF($K59&lt;&gt;"",IF($A59="Prepago",0,IF(($H59+SUM($B$12:$B59))*$S$8&gt;SUM($T$11:$T58)+$S$8,$S$8*2,$S$8)),"")</f>
        <v/>
      </c>
      <c r="U59" s="3" t="str">
        <f>IF($K59&lt;&gt;"",$N59-$P59,"")</f>
        <v/>
      </c>
      <c r="V59" s="3" t="str">
        <f t="shared" si="1"/>
        <v/>
      </c>
      <c r="W59" s="3" t="str">
        <f>IF($K59&lt;&gt;"",SUM($X59:$XFD59),"")</f>
        <v/>
      </c>
      <c r="X59" s="3" t="str">
        <f>IF($K59&lt;&gt;"",IF($M59&gt;X$11,30,$M59)*ROUND(($N59+$V58)*$T$5/3000,2),"")</f>
        <v/>
      </c>
      <c r="Y59" s="3" t="str">
        <f>IF($K59&lt;&gt;"",IF($M59&gt;X$11,IF($M59&lt;Y$11,$M59-X$11,30),0)*ROUND(($N59+$V58+SUM($X59:X59))*$T$5/3000,2),"")</f>
        <v/>
      </c>
      <c r="Z59" s="3"/>
      <c r="AA59" s="3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</row>
    <row r="60" spans="5:84" x14ac:dyDescent="0.25">
      <c r="E60" s="5"/>
      <c r="F60" t="str">
        <f>IF($K60&lt;&gt;"",TEXT(L60,"DDD"),"")</f>
        <v/>
      </c>
      <c r="G60" s="5" t="str">
        <f>IF($K60&lt;&gt;"",EOMONTH(DATE(YEAR($M$6),$G$11+K60+SUM($B$12:B60),1),0),"")</f>
        <v/>
      </c>
      <c r="H60" s="22" t="str">
        <f>IF($K60&lt;&gt;"",IF($A60="Prepago",$H59,$H59+1),"")</f>
        <v/>
      </c>
      <c r="I60" s="22" t="str">
        <f>IF($K60&lt;&gt;"",IF(ISNUMBER($C60),-$P60+$W60-$Q60,ABS($W60)+$R60+$S60+$T60),"")</f>
        <v/>
      </c>
      <c r="J60" s="22" t="str">
        <f>IF(K60&lt;&gt;"",IF(COUNTA($X60:$XFD60)*30&lt;$M60,1,0),"")</f>
        <v/>
      </c>
      <c r="K60" t="str">
        <f>IF($K59&lt;NCUOTAS+CUOTAADICIONAL+PGRACIA,$K59+1,"")</f>
        <v/>
      </c>
      <c r="L60" s="5" t="str">
        <f>IF($K60&lt;&gt;"",IF(ULTIMODIA=0,IF($E60="",DATE(YEAR($M$7),MONTH($M$7)+($A$1*($H60-1))+SUM($B$12:$B60),DAY($M$7)),$E60),G60),"")</f>
        <v/>
      </c>
      <c r="M60" s="9" t="str">
        <f>IF($K60&lt;&gt;"",$L60-$L59,"")</f>
        <v/>
      </c>
      <c r="N60" s="3" t="str">
        <f>IF($K60&lt;&gt;"",$U59,"")</f>
        <v/>
      </c>
      <c r="O60" s="3" t="str">
        <f>IF($K60&lt;&gt;"",IF($A60="Gracia Parcial",IF(AND($C60&lt;$W60+$R60+$S60+$T60+$V59,$C60&gt;0),$C60,$W60+$R60+$S60+$T60+$V59),IF($A60="Gracia Total",0,IF($A60="Prepago",$C60,IF(ISNUMBER($C60),$C60*VALUE(MID($C$1,MONTH($L60),1)),$P$5*VALUE(MID($C$1,MONTH($L60),1))))))-IF($K61="",ARREGLO,0),"")</f>
        <v/>
      </c>
      <c r="P60" s="3" t="str">
        <f>IF($K60&lt;&gt;"",IF($O60-$Q60&gt;0,$O60-$Q60-$R60-$S60-$T60,0),"")</f>
        <v/>
      </c>
      <c r="Q60" s="3" t="str">
        <f t="shared" si="0"/>
        <v/>
      </c>
      <c r="R60" s="3" t="str">
        <f>IF($K60&lt;&gt;"",IF($A60="Prepago",0,IF(($H60+SUM($B$12:$B60))*$S$6&gt;SUM($R$11:$R59)+$S$6,$S$6*2,$S$6)),"")</f>
        <v/>
      </c>
      <c r="S60" s="3" t="str">
        <f>IF($K60&lt;&gt;"",IF($A60="Prepago",0,IF(($H60+SUM($B$12:$B60))*$S$7&gt;SUM($S$11:$S59)+$S$7,$S$7*2,$S$7)),"")</f>
        <v/>
      </c>
      <c r="T60" s="3" t="str">
        <f>IF($K60&lt;&gt;"",IF($A60="Prepago",0,IF(($H60+SUM($B$12:$B60))*$S$8&gt;SUM($T$11:$T59)+$S$8,$S$8*2,$S$8)),"")</f>
        <v/>
      </c>
      <c r="U60" s="3" t="str">
        <f>IF($K60&lt;&gt;"",$N60-$P60,"")</f>
        <v/>
      </c>
      <c r="V60" s="3" t="str">
        <f t="shared" si="1"/>
        <v/>
      </c>
      <c r="W60" s="3" t="str">
        <f>IF($K60&lt;&gt;"",SUM($X60:$XFD60),"")</f>
        <v/>
      </c>
      <c r="X60" s="3" t="str">
        <f>IF($K60&lt;&gt;"",IF($M60&gt;X$11,30,$M60)*ROUND(($N60+$V59)*$T$5/3000,2),"")</f>
        <v/>
      </c>
      <c r="Y60" s="3" t="str">
        <f>IF($K60&lt;&gt;"",IF($M60&gt;X$11,IF($M60&lt;Y$11,$M60-X$11,30),0)*ROUND(($N60+$V59+SUM($X60:X60))*$T$5/3000,2),"")</f>
        <v/>
      </c>
      <c r="Z60" s="3"/>
      <c r="AA60" s="3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</row>
    <row r="61" spans="5:84" x14ac:dyDescent="0.25">
      <c r="E61" s="5"/>
      <c r="F61" t="str">
        <f>IF($K61&lt;&gt;"",TEXT(L61,"DDD"),"")</f>
        <v/>
      </c>
      <c r="G61" s="5" t="str">
        <f>IF($K61&lt;&gt;"",EOMONTH(DATE(YEAR($M$6),$G$11+K61+SUM($B$12:B61),1),0),"")</f>
        <v/>
      </c>
      <c r="H61" s="22" t="str">
        <f>IF($K61&lt;&gt;"",IF($A61="Prepago",$H60,$H60+1),"")</f>
        <v/>
      </c>
      <c r="I61" s="22" t="str">
        <f>IF($K61&lt;&gt;"",IF(ISNUMBER($C61),-$P61+$W61-$Q61,ABS($W61)+$R61+$S61+$T61),"")</f>
        <v/>
      </c>
      <c r="J61" s="22" t="str">
        <f>IF(K61&lt;&gt;"",IF(COUNTA($X61:$XFD61)*30&lt;$M61,1,0),"")</f>
        <v/>
      </c>
      <c r="K61" t="str">
        <f>IF($K60&lt;NCUOTAS+CUOTAADICIONAL+PGRACIA,$K60+1,"")</f>
        <v/>
      </c>
      <c r="L61" s="5" t="str">
        <f>IF($K61&lt;&gt;"",IF(ULTIMODIA=0,IF($E61="",DATE(YEAR($M$7),MONTH($M$7)+($A$1*($H61-1))+SUM($B$12:$B61),DAY($M$7)),$E61),G61),"")</f>
        <v/>
      </c>
      <c r="M61" s="9" t="str">
        <f>IF($K61&lt;&gt;"",$L61-$L60,"")</f>
        <v/>
      </c>
      <c r="N61" s="3" t="str">
        <f>IF($K61&lt;&gt;"",$U60,"")</f>
        <v/>
      </c>
      <c r="O61" s="3" t="str">
        <f>IF($K61&lt;&gt;"",IF($A61="Gracia Parcial",IF(AND($C61&lt;$W61+$R61+$S61+$T61+$V60,$C61&gt;0),$C61,$W61+$R61+$S61+$T61+$V60),IF($A61="Gracia Total",0,IF($A61="Prepago",$C61,IF(ISNUMBER($C61),$C61*VALUE(MID($C$1,MONTH($L61),1)),$P$5*VALUE(MID($C$1,MONTH($L61),1))))))-IF($K62="",ARREGLO,0),"")</f>
        <v/>
      </c>
      <c r="P61" s="3" t="str">
        <f>IF($K61&lt;&gt;"",IF($O61-$Q61&gt;0,$O61-$Q61-$R61-$S61-$T61,0),"")</f>
        <v/>
      </c>
      <c r="Q61" s="3" t="str">
        <f t="shared" si="0"/>
        <v/>
      </c>
      <c r="R61" s="3" t="str">
        <f>IF($K61&lt;&gt;"",IF($A61="Prepago",0,IF(($H61+SUM($B$12:$B61))*$S$6&gt;SUM($R$11:$R60)+$S$6,$S$6*2,$S$6)),"")</f>
        <v/>
      </c>
      <c r="S61" s="3" t="str">
        <f>IF($K61&lt;&gt;"",IF($A61="Prepago",0,IF(($H61+SUM($B$12:$B61))*$S$7&gt;SUM($S$11:$S60)+$S$7,$S$7*2,$S$7)),"")</f>
        <v/>
      </c>
      <c r="T61" s="3" t="str">
        <f>IF($K61&lt;&gt;"",IF($A61="Prepago",0,IF(($H61+SUM($B$12:$B61))*$S$8&gt;SUM($T$11:$T60)+$S$8,$S$8*2,$S$8)),"")</f>
        <v/>
      </c>
      <c r="U61" s="3" t="str">
        <f>IF($K61&lt;&gt;"",$N61-$P61,"")</f>
        <v/>
      </c>
      <c r="V61" s="3" t="str">
        <f t="shared" si="1"/>
        <v/>
      </c>
      <c r="W61" s="3" t="str">
        <f>IF($K61&lt;&gt;"",SUM($X61:$XFD61),"")</f>
        <v/>
      </c>
      <c r="X61" s="3" t="str">
        <f>IF($K61&lt;&gt;"",IF($M61&gt;X$11,30,$M61)*ROUND(($N61+$V60)*$T$5/3000,2),"")</f>
        <v/>
      </c>
      <c r="Y61" s="3" t="str">
        <f>IF($K61&lt;&gt;"",IF($M61&gt;X$11,IF($M61&lt;Y$11,$M61-X$11,30),0)*ROUND(($N61+$V60+SUM($X61:X61))*$T$5/3000,2),"")</f>
        <v/>
      </c>
      <c r="Z61" s="3"/>
      <c r="AA61" s="3"/>
    </row>
    <row r="62" spans="5:84" x14ac:dyDescent="0.25">
      <c r="E62" s="5"/>
      <c r="F62" t="str">
        <f>IF($K62&lt;&gt;"",TEXT(L62,"DDD"),"")</f>
        <v/>
      </c>
      <c r="G62" s="5" t="str">
        <f>IF($K62&lt;&gt;"",EOMONTH(DATE(YEAR($M$6),$G$11+K62+SUM($B$12:B62),1),0),"")</f>
        <v/>
      </c>
      <c r="H62" s="22" t="str">
        <f>IF($K62&lt;&gt;"",IF($A62="Prepago",$H61,$H61+1),"")</f>
        <v/>
      </c>
      <c r="I62" s="22" t="str">
        <f>IF($K62&lt;&gt;"",IF(ISNUMBER($C62),-$P62+$W62-$Q62,ABS($W62)+$R62+$S62+$T62),"")</f>
        <v/>
      </c>
      <c r="J62" s="22" t="str">
        <f>IF(K62&lt;&gt;"",IF(COUNTA($X62:$XFD62)*30&lt;$M62,1,0),"")</f>
        <v/>
      </c>
      <c r="K62" t="str">
        <f>IF($K61&lt;NCUOTAS+CUOTAADICIONAL+PGRACIA,$K61+1,"")</f>
        <v/>
      </c>
      <c r="L62" s="5" t="str">
        <f>IF($K62&lt;&gt;"",IF(ULTIMODIA=0,IF($E62="",DATE(YEAR($M$7),MONTH($M$7)+($A$1*($H62-1))+SUM($B$12:$B62),DAY($M$7)),$E62),G62),"")</f>
        <v/>
      </c>
      <c r="M62" s="9" t="str">
        <f>IF($K62&lt;&gt;"",$L62-$L61,"")</f>
        <v/>
      </c>
      <c r="N62" s="3" t="str">
        <f>IF($K62&lt;&gt;"",$U61,"")</f>
        <v/>
      </c>
      <c r="O62" s="3" t="str">
        <f>IF($K62&lt;&gt;"",IF($A62="Gracia Parcial",IF(AND($C62&lt;$W62+$R62+$S62+$T62+$V61,$C62&gt;0),$C62,$W62+$R62+$S62+$T62+$V61),IF($A62="Gracia Total",0,IF($A62="Prepago",$C62,IF(ISNUMBER($C62),$C62*VALUE(MID($C$1,MONTH($L62),1)),$P$5*VALUE(MID($C$1,MONTH($L62),1))))))-IF($K63="",ARREGLO,0),"")</f>
        <v/>
      </c>
      <c r="P62" s="3" t="str">
        <f>IF($K62&lt;&gt;"",IF($O62-$Q62&gt;0,$O62-$Q62-$R62-$S62-$T62,0),"")</f>
        <v/>
      </c>
      <c r="Q62" s="3" t="str">
        <f t="shared" si="0"/>
        <v/>
      </c>
      <c r="R62" s="3" t="str">
        <f>IF($K62&lt;&gt;"",IF($A62="Prepago",0,IF(($H62+SUM($B$12:$B62))*$S$6&gt;SUM($R$11:$R61)+$S$6,$S$6*2,$S$6)),"")</f>
        <v/>
      </c>
      <c r="S62" s="3" t="str">
        <f>IF($K62&lt;&gt;"",IF($A62="Prepago",0,IF(($H62+SUM($B$12:$B62))*$S$7&gt;SUM($S$11:$S61)+$S$7,$S$7*2,$S$7)),"")</f>
        <v/>
      </c>
      <c r="T62" s="3" t="str">
        <f>IF($K62&lt;&gt;"",IF($A62="Prepago",0,IF(($H62+SUM($B$12:$B62))*$S$8&gt;SUM($T$11:$T61)+$S$8,$S$8*2,$S$8)),"")</f>
        <v/>
      </c>
      <c r="U62" s="3" t="str">
        <f>IF($K62&lt;&gt;"",$N62-$P62,"")</f>
        <v/>
      </c>
      <c r="V62" s="3" t="str">
        <f t="shared" si="1"/>
        <v/>
      </c>
      <c r="W62" s="3" t="str">
        <f>IF($K62&lt;&gt;"",SUM($X62:$XFD62),"")</f>
        <v/>
      </c>
      <c r="X62" s="3" t="str">
        <f>IF($K62&lt;&gt;"",IF($M62&gt;X$11,30,$M62)*ROUND(($N62+$V61)*$T$5/3000,2),"")</f>
        <v/>
      </c>
      <c r="Y62" s="3" t="str">
        <f>IF($K62&lt;&gt;"",IF($M62&gt;X$11,IF($M62&lt;Y$11,$M62-X$11,30),0)*ROUND(($N62+$V61+SUM($X62:X62))*$T$5/3000,2),"")</f>
        <v/>
      </c>
      <c r="Z62" s="3"/>
      <c r="AA62" s="3"/>
    </row>
    <row r="63" spans="5:84" x14ac:dyDescent="0.25">
      <c r="E63" s="5"/>
      <c r="F63" t="str">
        <f>IF($K63&lt;&gt;"",TEXT(L63,"DDD"),"")</f>
        <v/>
      </c>
      <c r="G63" s="5" t="str">
        <f>IF($K63&lt;&gt;"",EOMONTH(DATE(YEAR($M$6),$G$11+K63+SUM($B$12:B63),1),0),"")</f>
        <v/>
      </c>
      <c r="H63" s="22" t="str">
        <f>IF($K63&lt;&gt;"",IF($A63="Prepago",$H62,$H62+1),"")</f>
        <v/>
      </c>
      <c r="I63" s="22" t="str">
        <f>IF($K63&lt;&gt;"",IF(ISNUMBER($C63),-$P63+$W63-$Q63,ABS($W63)+$R63+$S63+$T63),"")</f>
        <v/>
      </c>
      <c r="J63" s="22" t="str">
        <f>IF(K63&lt;&gt;"",IF(COUNTA($X63:$XFD63)*30&lt;$M63,1,0),"")</f>
        <v/>
      </c>
      <c r="K63" t="str">
        <f>IF($K62&lt;NCUOTAS+CUOTAADICIONAL+PGRACIA,$K62+1,"")</f>
        <v/>
      </c>
      <c r="L63" s="5" t="str">
        <f>IF($K63&lt;&gt;"",IF(ULTIMODIA=0,IF($E63="",DATE(YEAR($M$7),MONTH($M$7)+($A$1*($H63-1))+SUM($B$12:$B63),DAY($M$7)),$E63),G63),"")</f>
        <v/>
      </c>
      <c r="M63" s="9" t="str">
        <f>IF($K63&lt;&gt;"",$L63-$L62,"")</f>
        <v/>
      </c>
      <c r="N63" s="3" t="str">
        <f>IF($K63&lt;&gt;"",$U62,"")</f>
        <v/>
      </c>
      <c r="O63" s="3" t="str">
        <f>IF($K63&lt;&gt;"",IF($A63="Gracia Parcial",IF(AND($C63&lt;$W63+$R63+$S63+$T63+$V62,$C63&gt;0),$C63,$W63+$R63+$S63+$T63+$V62),IF($A63="Gracia Total",0,IF($A63="Prepago",$C63,IF(ISNUMBER($C63),$C63*VALUE(MID($C$1,MONTH($L63),1)),$P$5*VALUE(MID($C$1,MONTH($L63),1))))))-IF($K64="",ARREGLO,0),"")</f>
        <v/>
      </c>
      <c r="P63" s="3" t="str">
        <f>IF($K63&lt;&gt;"",IF($O63-$Q63&gt;0,$O63-$Q63-$R63-$S63-$T63,0),"")</f>
        <v/>
      </c>
      <c r="Q63" s="3" t="str">
        <f t="shared" si="0"/>
        <v/>
      </c>
      <c r="R63" s="3" t="str">
        <f>IF($K63&lt;&gt;"",IF($A63="Prepago",0,IF(($H63+SUM($B$12:$B63))*$S$6&gt;SUM($R$11:$R62)+$S$6,$S$6*2,$S$6)),"")</f>
        <v/>
      </c>
      <c r="S63" s="3" t="str">
        <f>IF($K63&lt;&gt;"",IF($A63="Prepago",0,IF(($H63+SUM($B$12:$B63))*$S$7&gt;SUM($S$11:$S62)+$S$7,$S$7*2,$S$7)),"")</f>
        <v/>
      </c>
      <c r="T63" s="3" t="str">
        <f>IF($K63&lt;&gt;"",IF($A63="Prepago",0,IF(($H63+SUM($B$12:$B63))*$S$8&gt;SUM($T$11:$T62)+$S$8,$S$8*2,$S$8)),"")</f>
        <v/>
      </c>
      <c r="U63" s="3" t="str">
        <f>IF($K63&lt;&gt;"",$N63-$P63,"")</f>
        <v/>
      </c>
      <c r="V63" s="3" t="str">
        <f t="shared" si="1"/>
        <v/>
      </c>
      <c r="W63" s="3" t="str">
        <f>IF($K63&lt;&gt;"",SUM($X63:$XFD63),"")</f>
        <v/>
      </c>
      <c r="X63" s="3" t="str">
        <f>IF($K63&lt;&gt;"",IF($M63&gt;X$11,30,$M63)*ROUND(($N63+$V62)*$T$5/3000,2),"")</f>
        <v/>
      </c>
      <c r="Y63" s="3" t="str">
        <f>IF($K63&lt;&gt;"",IF($M63&gt;X$11,IF($M63&lt;Y$11,$M63-X$11,30),0)*ROUND(($N63+$V62+SUM($X63:X63))*$T$5/3000,2),"")</f>
        <v/>
      </c>
      <c r="Z63" s="3"/>
      <c r="AA63" s="3"/>
    </row>
    <row r="64" spans="5:84" x14ac:dyDescent="0.25">
      <c r="E64" s="5"/>
      <c r="F64" t="str">
        <f>IF($K64&lt;&gt;"",TEXT(L64,"DDD"),"")</f>
        <v/>
      </c>
      <c r="G64" s="5" t="str">
        <f>IF($K64&lt;&gt;"",EOMONTH(DATE(YEAR($M$6),$G$11+K64+SUM($B$12:B64),1),0),"")</f>
        <v/>
      </c>
      <c r="H64" s="22" t="str">
        <f>IF($K64&lt;&gt;"",IF($A64="Prepago",$H63,$H63+1),"")</f>
        <v/>
      </c>
      <c r="I64" s="22" t="str">
        <f>IF($K64&lt;&gt;"",IF(ISNUMBER($C64),-$P64+$W64-$Q64,ABS($W64)+$R64+$S64+$T64),"")</f>
        <v/>
      </c>
      <c r="J64" s="22" t="str">
        <f>IF(K64&lt;&gt;"",IF(COUNTA($X64:$XFD64)*30&lt;$M64,1,0),"")</f>
        <v/>
      </c>
      <c r="K64" t="str">
        <f>IF($K63&lt;NCUOTAS+CUOTAADICIONAL+PGRACIA,$K63+1,"")</f>
        <v/>
      </c>
      <c r="L64" s="5" t="str">
        <f>IF($K64&lt;&gt;"",IF(ULTIMODIA=0,IF($E64="",DATE(YEAR($M$7),MONTH($M$7)+($A$1*($H64-1))+SUM($B$12:$B64),DAY($M$7)),$E64),G64),"")</f>
        <v/>
      </c>
      <c r="M64" s="9" t="str">
        <f>IF($K64&lt;&gt;"",$L64-$L63,"")</f>
        <v/>
      </c>
      <c r="N64" s="3" t="str">
        <f>IF($K64&lt;&gt;"",$U63,"")</f>
        <v/>
      </c>
      <c r="O64" s="3" t="str">
        <f>IF($K64&lt;&gt;"",IF($A64="Gracia Parcial",IF(AND($C64&lt;$W64+$R64+$S64+$T64+$V63,$C64&gt;0),$C64,$W64+$R64+$S64+$T64+$V63),IF($A64="Gracia Total",0,IF($A64="Prepago",$C64,IF(ISNUMBER($C64),$C64*VALUE(MID($C$1,MONTH($L64),1)),$P$5*VALUE(MID($C$1,MONTH($L64),1))))))-IF($K65="",ARREGLO,0),"")</f>
        <v/>
      </c>
      <c r="P64" s="3" t="str">
        <f>IF($K64&lt;&gt;"",IF($O64-$Q64&gt;0,$O64-$Q64-$R64-$S64-$T64,0),"")</f>
        <v/>
      </c>
      <c r="Q64" s="3" t="str">
        <f t="shared" si="0"/>
        <v/>
      </c>
      <c r="R64" s="3" t="str">
        <f>IF($K64&lt;&gt;"",IF($A64="Prepago",0,IF(($H64+SUM($B$12:$B64))*$S$6&gt;SUM($R$11:$R63)+$S$6,$S$6*2,$S$6)),"")</f>
        <v/>
      </c>
      <c r="S64" s="3" t="str">
        <f>IF($K64&lt;&gt;"",IF($A64="Prepago",0,IF(($H64+SUM($B$12:$B64))*$S$7&gt;SUM($S$11:$S63)+$S$7,$S$7*2,$S$7)),"")</f>
        <v/>
      </c>
      <c r="T64" s="3" t="str">
        <f>IF($K64&lt;&gt;"",IF($A64="Prepago",0,IF(($H64+SUM($B$12:$B64))*$S$8&gt;SUM($T$11:$T63)+$S$8,$S$8*2,$S$8)),"")</f>
        <v/>
      </c>
      <c r="U64" s="3" t="str">
        <f>IF($K64&lt;&gt;"",$N64-$P64,"")</f>
        <v/>
      </c>
      <c r="V64" s="3" t="str">
        <f t="shared" si="1"/>
        <v/>
      </c>
      <c r="W64" s="3" t="str">
        <f>IF($K64&lt;&gt;"",SUM($X64:$XFD64),"")</f>
        <v/>
      </c>
      <c r="X64" s="3" t="str">
        <f>IF($K64&lt;&gt;"",IF($M64&gt;X$11,30,$M64)*ROUND(($N64+$V63)*$T$5/3000,2),"")</f>
        <v/>
      </c>
      <c r="Y64" s="3" t="str">
        <f>IF($K64&lt;&gt;"",IF($M64&gt;X$11,IF($M64&lt;Y$11,$M64-X$11,30),0)*ROUND(($N64+$V63+SUM($X64:X64))*$T$5/3000,2),"")</f>
        <v/>
      </c>
      <c r="Z64" s="3"/>
      <c r="AA64" s="3"/>
    </row>
    <row r="65" spans="5:27" x14ac:dyDescent="0.25">
      <c r="E65" s="5"/>
      <c r="F65" t="str">
        <f>IF($K65&lt;&gt;"",TEXT(L65,"DDD"),"")</f>
        <v/>
      </c>
      <c r="G65" s="5" t="str">
        <f>IF($K65&lt;&gt;"",EOMONTH(DATE(YEAR($M$6),$G$11+K65+SUM($B$12:B65),1),0),"")</f>
        <v/>
      </c>
      <c r="H65" s="22" t="str">
        <f>IF($K65&lt;&gt;"",IF($A65="Prepago",$H64,$H64+1),"")</f>
        <v/>
      </c>
      <c r="I65" s="22" t="str">
        <f>IF($K65&lt;&gt;"",IF(ISNUMBER($C65),-$P65+$W65-$Q65,ABS($W65)+$R65+$S65+$T65),"")</f>
        <v/>
      </c>
      <c r="J65" s="22" t="str">
        <f>IF(K65&lt;&gt;"",IF(COUNTA($X65:$XFD65)*30&lt;$M65,1,0),"")</f>
        <v/>
      </c>
      <c r="K65" t="str">
        <f>IF($K64&lt;NCUOTAS+CUOTAADICIONAL+PGRACIA,$K64+1,"")</f>
        <v/>
      </c>
      <c r="L65" s="5" t="str">
        <f>IF($K65&lt;&gt;"",IF(ULTIMODIA=0,IF($E65="",DATE(YEAR($M$7),MONTH($M$7)+($A$1*($H65-1))+SUM($B$12:$B65),DAY($M$7)),$E65),G65),"")</f>
        <v/>
      </c>
      <c r="M65" s="9" t="str">
        <f>IF($K65&lt;&gt;"",$L65-$L64,"")</f>
        <v/>
      </c>
      <c r="N65" s="3" t="str">
        <f>IF($K65&lt;&gt;"",$U64,"")</f>
        <v/>
      </c>
      <c r="O65" s="3" t="str">
        <f>IF($K65&lt;&gt;"",IF($A65="Gracia Parcial",IF(AND($C65&lt;$W65+$R65+$S65+$T65+$V64,$C65&gt;0),$C65,$W65+$R65+$S65+$T65+$V64),IF($A65="Gracia Total",0,IF($A65="Prepago",$C65,IF(ISNUMBER($C65),$C65*VALUE(MID($C$1,MONTH($L65),1)),$P$5*VALUE(MID($C$1,MONTH($L65),1))))))-IF($K66="",ARREGLO,0),"")</f>
        <v/>
      </c>
      <c r="P65" s="3" t="str">
        <f>IF($K65&lt;&gt;"",IF($O65-$Q65&gt;0,$O65-$Q65-$R65-$S65-$T65,0),"")</f>
        <v/>
      </c>
      <c r="Q65" s="3" t="str">
        <f t="shared" si="0"/>
        <v/>
      </c>
      <c r="R65" s="3" t="str">
        <f>IF($K65&lt;&gt;"",IF($A65="Prepago",0,IF(($H65+SUM($B$12:$B65))*$S$6&gt;SUM($R$11:$R64)+$S$6,$S$6*2,$S$6)),"")</f>
        <v/>
      </c>
      <c r="S65" s="3" t="str">
        <f>IF($K65&lt;&gt;"",IF($A65="Prepago",0,IF(($H65+SUM($B$12:$B65))*$S$7&gt;SUM($S$11:$S64)+$S$7,$S$7*2,$S$7)),"")</f>
        <v/>
      </c>
      <c r="T65" s="3" t="str">
        <f>IF($K65&lt;&gt;"",IF($A65="Prepago",0,IF(($H65+SUM($B$12:$B65))*$S$8&gt;SUM($T$11:$T64)+$S$8,$S$8*2,$S$8)),"")</f>
        <v/>
      </c>
      <c r="U65" s="3" t="str">
        <f>IF($K65&lt;&gt;"",$N65-$P65,"")</f>
        <v/>
      </c>
      <c r="V65" s="3" t="str">
        <f t="shared" si="1"/>
        <v/>
      </c>
      <c r="W65" s="3" t="str">
        <f>IF($K65&lt;&gt;"",SUM($X65:$XFD65),"")</f>
        <v/>
      </c>
      <c r="X65" s="3" t="str">
        <f>IF($K65&lt;&gt;"",IF($M65&gt;X$11,30,$M65)*ROUND(($N65+$V64)*$T$5/3000,2),"")</f>
        <v/>
      </c>
      <c r="Y65" s="3" t="str">
        <f>IF($K65&lt;&gt;"",IF($M65&gt;X$11,IF($M65&lt;Y$11,$M65-X$11,30),0)*ROUND(($N65+$V64+SUM($X65:X65))*$T$5/3000,2),"")</f>
        <v/>
      </c>
      <c r="Z65" s="3"/>
      <c r="AA65" s="3"/>
    </row>
    <row r="66" spans="5:27" x14ac:dyDescent="0.25">
      <c r="E66" s="5"/>
      <c r="F66" t="str">
        <f>IF($K66&lt;&gt;"",TEXT(L66,"DDD"),"")</f>
        <v/>
      </c>
      <c r="G66" s="5" t="str">
        <f>IF($K66&lt;&gt;"",EOMONTH(DATE(YEAR($M$6),$G$11+K66+SUM($B$12:B66),1),0),"")</f>
        <v/>
      </c>
      <c r="H66" s="22" t="str">
        <f>IF($K66&lt;&gt;"",IF($A66="Prepago",$H65,$H65+1),"")</f>
        <v/>
      </c>
      <c r="I66" s="22" t="str">
        <f>IF($K66&lt;&gt;"",IF(ISNUMBER($C66),-$P66+$W66-$Q66,ABS($W66)+$R66+$S66+$T66),"")</f>
        <v/>
      </c>
      <c r="J66" s="22" t="str">
        <f>IF(K66&lt;&gt;"",IF(COUNTA($X66:$XFD66)*30&lt;$M66,1,0),"")</f>
        <v/>
      </c>
      <c r="K66" t="str">
        <f>IF($K65&lt;NCUOTAS+CUOTAADICIONAL+PGRACIA,$K65+1,"")</f>
        <v/>
      </c>
      <c r="L66" s="5" t="str">
        <f>IF($K66&lt;&gt;"",IF(ULTIMODIA=0,IF($E66="",DATE(YEAR($M$7),MONTH($M$7)+($A$1*($H66-1))+SUM($B$12:$B66),DAY($M$7)),$E66),G66),"")</f>
        <v/>
      </c>
      <c r="M66" s="9" t="str">
        <f>IF($K66&lt;&gt;"",$L66-$L65,"")</f>
        <v/>
      </c>
      <c r="N66" s="3" t="str">
        <f>IF($K66&lt;&gt;"",$U65,"")</f>
        <v/>
      </c>
      <c r="O66" s="3" t="str">
        <f>IF($K66&lt;&gt;"",IF($A66="Gracia Parcial",IF(AND($C66&lt;$W66+$R66+$S66+$T66+$V65,$C66&gt;0),$C66,$W66+$R66+$S66+$T66+$V65),IF($A66="Gracia Total",0,IF($A66="Prepago",$C66,IF(ISNUMBER($C66),$C66*VALUE(MID($C$1,MONTH($L66),1)),$P$5*VALUE(MID($C$1,MONTH($L66),1))))))-IF($K67="",ARREGLO,0),"")</f>
        <v/>
      </c>
      <c r="P66" s="3" t="str">
        <f>IF($K66&lt;&gt;"",IF($O66-$Q66&gt;0,$O66-$Q66-$R66-$S66-$T66,0),"")</f>
        <v/>
      </c>
      <c r="Q66" s="3" t="str">
        <f t="shared" si="0"/>
        <v/>
      </c>
      <c r="R66" s="3" t="str">
        <f>IF($K66&lt;&gt;"",IF($A66="Prepago",0,IF(($H66+SUM($B$12:$B66))*$S$6&gt;SUM($R$11:$R65)+$S$6,$S$6*2,$S$6)),"")</f>
        <v/>
      </c>
      <c r="S66" s="3" t="str">
        <f>IF($K66&lt;&gt;"",IF($A66="Prepago",0,IF(($H66+SUM($B$12:$B66))*$S$7&gt;SUM($S$11:$S65)+$S$7,$S$7*2,$S$7)),"")</f>
        <v/>
      </c>
      <c r="T66" s="3" t="str">
        <f>IF($K66&lt;&gt;"",IF($A66="Prepago",0,IF(($H66+SUM($B$12:$B66))*$S$8&gt;SUM($T$11:$T65)+$S$8,$S$8*2,$S$8)),"")</f>
        <v/>
      </c>
      <c r="U66" s="3" t="str">
        <f>IF($K66&lt;&gt;"",$N66-$P66,"")</f>
        <v/>
      </c>
      <c r="V66" s="3" t="str">
        <f t="shared" si="1"/>
        <v/>
      </c>
      <c r="W66" s="3" t="str">
        <f>IF($K66&lt;&gt;"",SUM($X66:$XFD66),"")</f>
        <v/>
      </c>
      <c r="X66" s="3" t="str">
        <f>IF($K66&lt;&gt;"",IF($M66&gt;X$11,30,$M66)*ROUND(($N66+$V65)*$T$5/3000,2),"")</f>
        <v/>
      </c>
      <c r="Y66" s="3" t="str">
        <f>IF($K66&lt;&gt;"",IF($M66&gt;X$11,IF($M66&lt;Y$11,$M66-X$11,30),0)*ROUND(($N66+$V65+SUM($X66:X66))*$T$5/3000,2),"")</f>
        <v/>
      </c>
      <c r="Z66" s="3"/>
      <c r="AA66" s="3"/>
    </row>
    <row r="67" spans="5:27" x14ac:dyDescent="0.25">
      <c r="E67" s="5"/>
      <c r="F67" t="str">
        <f>IF($K67&lt;&gt;"",TEXT(L67,"DDD"),"")</f>
        <v/>
      </c>
      <c r="G67" s="5" t="str">
        <f>IF($K67&lt;&gt;"",EOMONTH(DATE(YEAR($M$6),$G$11+K67+SUM($B$12:B67),1),0),"")</f>
        <v/>
      </c>
      <c r="H67" s="22" t="str">
        <f>IF($K67&lt;&gt;"",IF($A67="Prepago",$H66,$H66+1),"")</f>
        <v/>
      </c>
      <c r="I67" s="22" t="str">
        <f>IF($K67&lt;&gt;"",IF(ISNUMBER($C67),-$P67+$W67-$Q67,ABS($W67)+$R67+$S67+$T67),"")</f>
        <v/>
      </c>
      <c r="J67" s="22" t="str">
        <f>IF(K67&lt;&gt;"",IF(COUNTA($X67:$XFD67)*30&lt;$M67,1,0),"")</f>
        <v/>
      </c>
      <c r="K67" t="str">
        <f>IF($K66&lt;NCUOTAS+CUOTAADICIONAL+PGRACIA,$K66+1,"")</f>
        <v/>
      </c>
      <c r="L67" s="5" t="str">
        <f>IF($K67&lt;&gt;"",IF(ULTIMODIA=0,IF($E67="",DATE(YEAR($M$7),MONTH($M$7)+($A$1*($H67-1))+SUM($B$12:$B67),DAY($M$7)),$E67),G67),"")</f>
        <v/>
      </c>
      <c r="M67" s="9" t="str">
        <f>IF($K67&lt;&gt;"",$L67-$L66,"")</f>
        <v/>
      </c>
      <c r="N67" s="3" t="str">
        <f>IF($K67&lt;&gt;"",$U66,"")</f>
        <v/>
      </c>
      <c r="O67" s="3" t="str">
        <f>IF($K67&lt;&gt;"",IF($A67="Gracia Parcial",IF(AND($C67&lt;$W67+$R67+$S67+$T67+$V66,$C67&gt;0),$C67,$W67+$R67+$S67+$T67+$V66),IF($A67="Gracia Total",0,IF($A67="Prepago",$C67,IF(ISNUMBER($C67),$C67*VALUE(MID($C$1,MONTH($L67),1)),$P$5*VALUE(MID($C$1,MONTH($L67),1))))))-IF($K68="",ARREGLO,0),"")</f>
        <v/>
      </c>
      <c r="P67" s="3" t="str">
        <f>IF($K67&lt;&gt;"",IF($O67-$Q67&gt;0,$O67-$Q67-$R67-$S67-$T67,0),"")</f>
        <v/>
      </c>
      <c r="Q67" s="3" t="str">
        <f t="shared" si="0"/>
        <v/>
      </c>
      <c r="R67" s="3" t="str">
        <f>IF($K67&lt;&gt;"",IF($A67="Prepago",0,IF(($H67+SUM($B$12:$B67))*$S$6&gt;SUM($R$11:$R66)+$S$6,$S$6*2,$S$6)),"")</f>
        <v/>
      </c>
      <c r="S67" s="3" t="str">
        <f>IF($K67&lt;&gt;"",IF($A67="Prepago",0,IF(($H67+SUM($B$12:$B67))*$S$7&gt;SUM($S$11:$S66)+$S$7,$S$7*2,$S$7)),"")</f>
        <v/>
      </c>
      <c r="T67" s="3" t="str">
        <f>IF($K67&lt;&gt;"",IF($A67="Prepago",0,IF(($H67+SUM($B$12:$B67))*$S$8&gt;SUM($T$11:$T66)+$S$8,$S$8*2,$S$8)),"")</f>
        <v/>
      </c>
      <c r="U67" s="3" t="str">
        <f>IF($K67&lt;&gt;"",$N67-$P67,"")</f>
        <v/>
      </c>
      <c r="V67" s="3" t="str">
        <f t="shared" si="1"/>
        <v/>
      </c>
      <c r="W67" s="3" t="str">
        <f>IF($K67&lt;&gt;"",SUM($X67:$XFD67),"")</f>
        <v/>
      </c>
      <c r="X67" s="3" t="str">
        <f>IF($K67&lt;&gt;"",IF($M67&gt;X$11,30,$M67)*ROUND(($N67+$V66)*$T$5/3000,2),"")</f>
        <v/>
      </c>
      <c r="Y67" s="3" t="str">
        <f>IF($K67&lt;&gt;"",IF($M67&gt;X$11,IF($M67&lt;Y$11,$M67-X$11,30),0)*ROUND(($N67+$V66+SUM($X67:X67))*$T$5/3000,2),"")</f>
        <v/>
      </c>
      <c r="Z67" s="3"/>
      <c r="AA67" s="3"/>
    </row>
    <row r="68" spans="5:27" x14ac:dyDescent="0.25">
      <c r="E68" s="5"/>
      <c r="F68" t="str">
        <f>IF($K68&lt;&gt;"",TEXT(L68,"DDD"),"")</f>
        <v/>
      </c>
      <c r="G68" s="5" t="str">
        <f>IF($K68&lt;&gt;"",EOMONTH(DATE(YEAR($M$6),$G$11+K68+SUM($B$12:B68),1),0),"")</f>
        <v/>
      </c>
      <c r="H68" s="22" t="str">
        <f>IF($K68&lt;&gt;"",IF($A68="Prepago",$H67,$H67+1),"")</f>
        <v/>
      </c>
      <c r="I68" s="22" t="str">
        <f>IF($K68&lt;&gt;"",IF(ISNUMBER($C68),-$P68+$W68-$Q68,ABS($W68)+$R68+$S68+$T68),"")</f>
        <v/>
      </c>
      <c r="J68" s="22" t="str">
        <f>IF(K68&lt;&gt;"",IF(COUNTA($X68:$XFD68)*30&lt;$M68,1,0),"")</f>
        <v/>
      </c>
      <c r="K68" t="str">
        <f>IF($K67&lt;NCUOTAS+CUOTAADICIONAL+PGRACIA,$K67+1,"")</f>
        <v/>
      </c>
      <c r="L68" s="5" t="str">
        <f>IF($K68&lt;&gt;"",IF(ULTIMODIA=0,IF($E68="",DATE(YEAR($M$7),MONTH($M$7)+($A$1*($H68-1))+SUM($B$12:$B68),DAY($M$7)),$E68),G68),"")</f>
        <v/>
      </c>
      <c r="M68" s="9" t="str">
        <f>IF($K68&lt;&gt;"",$L68-$L67,"")</f>
        <v/>
      </c>
      <c r="N68" s="3" t="str">
        <f>IF($K68&lt;&gt;"",$U67,"")</f>
        <v/>
      </c>
      <c r="O68" s="3" t="str">
        <f>IF($K68&lt;&gt;"",IF($A68="Gracia Parcial",IF(AND($C68&lt;$W68+$R68+$S68+$T68+$V67,$C68&gt;0),$C68,$W68+$R68+$S68+$T68+$V67),IF($A68="Gracia Total",0,IF($A68="Prepago",$C68,IF(ISNUMBER($C68),$C68*VALUE(MID($C$1,MONTH($L68),1)),$P$5*VALUE(MID($C$1,MONTH($L68),1))))))-IF($K69="",ARREGLO,0),"")</f>
        <v/>
      </c>
      <c r="P68" s="3" t="str">
        <f>IF($K68&lt;&gt;"",IF($O68-$Q68&gt;0,$O68-$Q68-$R68-$S68-$T68,0),"")</f>
        <v/>
      </c>
      <c r="Q68" s="3" t="str">
        <f t="shared" si="0"/>
        <v/>
      </c>
      <c r="R68" s="3" t="str">
        <f>IF($K68&lt;&gt;"",IF($A68="Prepago",0,IF(($H68+SUM($B$12:$B68))*$S$6&gt;SUM($R$11:$R67)+$S$6,$S$6*2,$S$6)),"")</f>
        <v/>
      </c>
      <c r="S68" s="3" t="str">
        <f>IF($K68&lt;&gt;"",IF($A68="Prepago",0,IF(($H68+SUM($B$12:$B68))*$S$7&gt;SUM($S$11:$S67)+$S$7,$S$7*2,$S$7)),"")</f>
        <v/>
      </c>
      <c r="T68" s="3" t="str">
        <f>IF($K68&lt;&gt;"",IF($A68="Prepago",0,IF(($H68+SUM($B$12:$B68))*$S$8&gt;SUM($T$11:$T67)+$S$8,$S$8*2,$S$8)),"")</f>
        <v/>
      </c>
      <c r="U68" s="3" t="str">
        <f>IF($K68&lt;&gt;"",$N68-$P68,"")</f>
        <v/>
      </c>
      <c r="V68" s="3" t="str">
        <f t="shared" si="1"/>
        <v/>
      </c>
      <c r="W68" s="3" t="str">
        <f>IF($K68&lt;&gt;"",SUM($X68:$XFD68),"")</f>
        <v/>
      </c>
      <c r="X68" s="3" t="str">
        <f>IF($K68&lt;&gt;"",IF($M68&gt;X$11,30,$M68)*ROUND(($N68+$V67)*$T$5/3000,2),"")</f>
        <v/>
      </c>
      <c r="Y68" s="3" t="str">
        <f>IF($K68&lt;&gt;"",IF($M68&gt;X$11,IF($M68&lt;Y$11,$M68-X$11,30),0)*ROUND(($N68+$V67+SUM($X68:X68))*$T$5/3000,2),"")</f>
        <v/>
      </c>
      <c r="Z68" s="3"/>
      <c r="AA68" s="3"/>
    </row>
    <row r="69" spans="5:27" x14ac:dyDescent="0.25">
      <c r="E69" s="5"/>
      <c r="F69" t="str">
        <f>IF($K69&lt;&gt;"",TEXT(L69,"DDD"),"")</f>
        <v/>
      </c>
      <c r="G69" s="5" t="str">
        <f>IF($K69&lt;&gt;"",EOMONTH(DATE(YEAR($M$6),$G$11+K69+SUM($B$12:B69),1),0),"")</f>
        <v/>
      </c>
      <c r="H69" s="22" t="str">
        <f>IF($K69&lt;&gt;"",IF($A69="Prepago",$H68,$H68+1),"")</f>
        <v/>
      </c>
      <c r="I69" s="22" t="str">
        <f>IF($K69&lt;&gt;"",IF(ISNUMBER($C69),-$P69+$W69-$Q69,ABS($W69)+$R69+$S69+$T69),"")</f>
        <v/>
      </c>
      <c r="J69" s="22" t="str">
        <f>IF(K69&lt;&gt;"",IF(COUNTA($X69:$XFD69)*30&lt;$M69,1,0),"")</f>
        <v/>
      </c>
      <c r="K69" t="str">
        <f>IF($K68&lt;NCUOTAS+CUOTAADICIONAL+PGRACIA,$K68+1,"")</f>
        <v/>
      </c>
      <c r="L69" s="5" t="str">
        <f>IF($K69&lt;&gt;"",IF(ULTIMODIA=0,IF($E69="",DATE(YEAR($M$7),MONTH($M$7)+($A$1*($H69-1))+SUM($B$12:$B69),DAY($M$7)),$E69),G69),"")</f>
        <v/>
      </c>
      <c r="M69" s="9" t="str">
        <f>IF($K69&lt;&gt;"",$L69-$L68,"")</f>
        <v/>
      </c>
      <c r="N69" s="3" t="str">
        <f>IF($K69&lt;&gt;"",$U68,"")</f>
        <v/>
      </c>
      <c r="O69" s="3" t="str">
        <f>IF($K69&lt;&gt;"",IF($A69="Gracia Parcial",IF(AND($C69&lt;$W69+$R69+$S69+$T69+$V68,$C69&gt;0),$C69,$W69+$R69+$S69+$T69+$V68),IF($A69="Gracia Total",0,IF($A69="Prepago",$C69,IF(ISNUMBER($C69),$C69*VALUE(MID($C$1,MONTH($L69),1)),$P$5*VALUE(MID($C$1,MONTH($L69),1))))))-IF($K70="",ARREGLO,0),"")</f>
        <v/>
      </c>
      <c r="P69" s="3" t="str">
        <f>IF($K69&lt;&gt;"",IF($O69-$Q69&gt;0,$O69-$Q69-$R69-$S69-$T69,0),"")</f>
        <v/>
      </c>
      <c r="Q69" s="3" t="str">
        <f t="shared" si="0"/>
        <v/>
      </c>
      <c r="R69" s="3" t="str">
        <f>IF($K69&lt;&gt;"",IF($A69="Prepago",0,IF(($H69+SUM($B$12:$B69))*$S$6&gt;SUM($R$11:$R68)+$S$6,$S$6*2,$S$6)),"")</f>
        <v/>
      </c>
      <c r="S69" s="3" t="str">
        <f>IF($K69&lt;&gt;"",IF($A69="Prepago",0,IF(($H69+SUM($B$12:$B69))*$S$7&gt;SUM($S$11:$S68)+$S$7,$S$7*2,$S$7)),"")</f>
        <v/>
      </c>
      <c r="T69" s="3" t="str">
        <f>IF($K69&lt;&gt;"",IF($A69="Prepago",0,IF(($H69+SUM($B$12:$B69))*$S$8&gt;SUM($T$11:$T68)+$S$8,$S$8*2,$S$8)),"")</f>
        <v/>
      </c>
      <c r="U69" s="3" t="str">
        <f>IF($K69&lt;&gt;"",$N69-$P69,"")</f>
        <v/>
      </c>
      <c r="V69" s="3" t="str">
        <f t="shared" si="1"/>
        <v/>
      </c>
      <c r="W69" s="3" t="str">
        <f>IF($K69&lt;&gt;"",SUM($X69:$XFD69),"")</f>
        <v/>
      </c>
      <c r="X69" s="3" t="str">
        <f>IF($K69&lt;&gt;"",IF($M69&gt;X$11,30,$M69)*ROUND(($N69+$V68)*$T$5/3000,2),"")</f>
        <v/>
      </c>
      <c r="Y69" s="3" t="str">
        <f>IF($K69&lt;&gt;"",IF($M69&gt;X$11,IF($M69&lt;Y$11,$M69-X$11,30),0)*ROUND(($N69+$V68+SUM($X69:X69))*$T$5/3000,2),"")</f>
        <v/>
      </c>
      <c r="Z69" s="3"/>
      <c r="AA69" s="3"/>
    </row>
    <row r="70" spans="5:27" x14ac:dyDescent="0.25">
      <c r="E70" s="5"/>
      <c r="F70" t="str">
        <f>IF($K70&lt;&gt;"",TEXT(L70,"DDD"),"")</f>
        <v/>
      </c>
      <c r="G70" s="5" t="str">
        <f>IF($K70&lt;&gt;"",EOMONTH(DATE(YEAR($M$6),$G$11+K70+SUM($B$12:B70),1),0),"")</f>
        <v/>
      </c>
      <c r="H70" s="22" t="str">
        <f>IF($K70&lt;&gt;"",IF($A70="Prepago",$H69,$H69+1),"")</f>
        <v/>
      </c>
      <c r="I70" s="22" t="str">
        <f>IF($K70&lt;&gt;"",IF(ISNUMBER($C70),-$P70+$W70-$Q70,ABS($W70)+$R70+$S70+$T70),"")</f>
        <v/>
      </c>
      <c r="J70" s="22" t="str">
        <f>IF(K70&lt;&gt;"",IF(COUNTA($X70:$XFD70)*30&lt;$M70,1,0),"")</f>
        <v/>
      </c>
      <c r="K70" t="str">
        <f>IF($K69&lt;NCUOTAS+CUOTAADICIONAL+PGRACIA,$K69+1,"")</f>
        <v/>
      </c>
      <c r="L70" s="5" t="str">
        <f>IF($K70&lt;&gt;"",IF(ULTIMODIA=0,IF($E70="",DATE(YEAR($M$7),MONTH($M$7)+($A$1*($H70-1))+SUM($B$12:$B70),DAY($M$7)),$E70),G70),"")</f>
        <v/>
      </c>
      <c r="M70" s="9" t="str">
        <f>IF($K70&lt;&gt;"",$L70-$L69,"")</f>
        <v/>
      </c>
      <c r="N70" s="3" t="str">
        <f>IF($K70&lt;&gt;"",$U69,"")</f>
        <v/>
      </c>
      <c r="O70" s="3" t="str">
        <f>IF($K70&lt;&gt;"",IF($A70="Gracia Parcial",IF(AND($C70&lt;$W70+$R70+$S70+$T70+$V69,$C70&gt;0),$C70,$W70+$R70+$S70+$T70+$V69),IF($A70="Gracia Total",0,IF($A70="Prepago",$C70,IF(ISNUMBER($C70),$C70*VALUE(MID($C$1,MONTH($L70),1)),$P$5*VALUE(MID($C$1,MONTH($L70),1))))))-IF($K71="",ARREGLO,0),"")</f>
        <v/>
      </c>
      <c r="P70" s="3" t="str">
        <f>IF($K70&lt;&gt;"",IF($O70-$Q70&gt;0,$O70-$Q70-$R70-$S70-$T70,0),"")</f>
        <v/>
      </c>
      <c r="Q70" s="3" t="str">
        <f t="shared" si="0"/>
        <v/>
      </c>
      <c r="R70" s="3" t="str">
        <f>IF($K70&lt;&gt;"",IF($A70="Prepago",0,IF(($H70+SUM($B$12:$B70))*$S$6&gt;SUM($R$11:$R69)+$S$6,$S$6*2,$S$6)),"")</f>
        <v/>
      </c>
      <c r="S70" s="3" t="str">
        <f>IF($K70&lt;&gt;"",IF($A70="Prepago",0,IF(($H70+SUM($B$12:$B70))*$S$7&gt;SUM($S$11:$S69)+$S$7,$S$7*2,$S$7)),"")</f>
        <v/>
      </c>
      <c r="T70" s="3" t="str">
        <f>IF($K70&lt;&gt;"",IF($A70="Prepago",0,IF(($H70+SUM($B$12:$B70))*$S$8&gt;SUM($T$11:$T69)+$S$8,$S$8*2,$S$8)),"")</f>
        <v/>
      </c>
      <c r="U70" s="3" t="str">
        <f>IF($K70&lt;&gt;"",$N70-$P70,"")</f>
        <v/>
      </c>
      <c r="V70" s="3" t="str">
        <f t="shared" si="1"/>
        <v/>
      </c>
      <c r="W70" s="3" t="str">
        <f>IF($K70&lt;&gt;"",SUM($X70:$XFD70),"")</f>
        <v/>
      </c>
      <c r="X70" s="3" t="str">
        <f>IF($K70&lt;&gt;"",IF($M70&gt;X$11,30,$M70)*ROUND(($N70+$V69)*$T$5/3000,2),"")</f>
        <v/>
      </c>
      <c r="Y70" s="3" t="str">
        <f>IF($K70&lt;&gt;"",IF($M70&gt;X$11,IF($M70&lt;Y$11,$M70-X$11,30),0)*ROUND(($N70+$V69+SUM($X70:X70))*$T$5/3000,2),"")</f>
        <v/>
      </c>
      <c r="Z70" s="3"/>
      <c r="AA70" s="3"/>
    </row>
    <row r="71" spans="5:27" x14ac:dyDescent="0.25">
      <c r="E71" s="5"/>
      <c r="F71" t="str">
        <f>IF($K71&lt;&gt;"",TEXT(L71,"DDD"),"")</f>
        <v/>
      </c>
      <c r="G71" s="5" t="str">
        <f>IF($K71&lt;&gt;"",EOMONTH(DATE(YEAR($M$6),$G$11+K71+SUM($B$12:B71),1),0),"")</f>
        <v/>
      </c>
      <c r="H71" s="22" t="str">
        <f>IF($K71&lt;&gt;"",IF($A71="Prepago",$H70,$H70+1),"")</f>
        <v/>
      </c>
      <c r="I71" s="22" t="str">
        <f>IF($K71&lt;&gt;"",IF(ISNUMBER($C71),-$P71+$W71-$Q71,ABS($W71)+$R71+$S71+$T71),"")</f>
        <v/>
      </c>
      <c r="J71" s="22" t="str">
        <f>IF(K71&lt;&gt;"",IF(COUNTA($X71:$XFD71)*30&lt;$M71,1,0),"")</f>
        <v/>
      </c>
      <c r="K71" t="str">
        <f>IF($K70&lt;NCUOTAS+CUOTAADICIONAL+PGRACIA,$K70+1,"")</f>
        <v/>
      </c>
      <c r="L71" s="5" t="str">
        <f>IF($K71&lt;&gt;"",IF(ULTIMODIA=0,IF($E71="",DATE(YEAR($M$7),MONTH($M$7)+($A$1*($H71-1))+SUM($B$12:$B71),DAY($M$7)),$E71),G71),"")</f>
        <v/>
      </c>
      <c r="M71" s="9" t="str">
        <f>IF($K71&lt;&gt;"",$L71-$L70,"")</f>
        <v/>
      </c>
      <c r="N71" s="3" t="str">
        <f>IF($K71&lt;&gt;"",$U70,"")</f>
        <v/>
      </c>
      <c r="O71" s="3" t="str">
        <f>IF($K71&lt;&gt;"",IF($A71="Gracia Parcial",IF(AND($C71&lt;$W71+$R71+$S71+$T71+$V70,$C71&gt;0),$C71,$W71+$R71+$S71+$T71+$V70),IF($A71="Gracia Total",0,IF($A71="Prepago",$C71,IF(ISNUMBER($C71),$C71*VALUE(MID($C$1,MONTH($L71),1)),$P$5*VALUE(MID($C$1,MONTH($L71),1))))))-IF($K72="",ARREGLO,0),"")</f>
        <v/>
      </c>
      <c r="P71" s="3" t="str">
        <f>IF($K71&lt;&gt;"",IF($O71-$Q71&gt;0,$O71-$Q71-$R71-$S71-$T71,0),"")</f>
        <v/>
      </c>
      <c r="Q71" s="3" t="str">
        <f t="shared" si="0"/>
        <v/>
      </c>
      <c r="R71" s="3" t="str">
        <f>IF($K71&lt;&gt;"",IF($A71="Prepago",0,IF(($H71+SUM($B$12:$B71))*$S$6&gt;SUM($R$11:$R70)+$S$6,$S$6*2,$S$6)),"")</f>
        <v/>
      </c>
      <c r="S71" s="3" t="str">
        <f>IF($K71&lt;&gt;"",IF($A71="Prepago",0,IF(($H71+SUM($B$12:$B71))*$S$7&gt;SUM($S$11:$S70)+$S$7,$S$7*2,$S$7)),"")</f>
        <v/>
      </c>
      <c r="T71" s="3" t="str">
        <f>IF($K71&lt;&gt;"",IF($A71="Prepago",0,IF(($H71+SUM($B$12:$B71))*$S$8&gt;SUM($T$11:$T70)+$S$8,$S$8*2,$S$8)),"")</f>
        <v/>
      </c>
      <c r="U71" s="3" t="str">
        <f>IF($K71&lt;&gt;"",$N71-$P71,"")</f>
        <v/>
      </c>
      <c r="V71" s="3" t="str">
        <f t="shared" si="1"/>
        <v/>
      </c>
      <c r="W71" s="3" t="str">
        <f>IF($K71&lt;&gt;"",SUM($X71:$XFD71),"")</f>
        <v/>
      </c>
      <c r="X71" s="3" t="str">
        <f>IF($K71&lt;&gt;"",IF($M71&gt;X$11,30,$M71)*ROUND(($N71+$V70)*$T$5/3000,2),"")</f>
        <v/>
      </c>
      <c r="Y71" s="3" t="str">
        <f>IF($K71&lt;&gt;"",IF($M71&gt;X$11,IF($M71&lt;Y$11,$M71-X$11,30),0)*ROUND(($N71+$V70+SUM($X71:X71))*$T$5/3000,2),"")</f>
        <v/>
      </c>
      <c r="Z71" s="3"/>
      <c r="AA71" s="3"/>
    </row>
    <row r="72" spans="5:27" x14ac:dyDescent="0.25">
      <c r="E72" s="5"/>
      <c r="F72" t="str">
        <f>IF($K72&lt;&gt;"",TEXT(L72,"DDD"),"")</f>
        <v/>
      </c>
      <c r="G72" s="5" t="str">
        <f>IF($K72&lt;&gt;"",EOMONTH(DATE(YEAR($M$6),$G$11+K72+SUM($B$12:B72),1),0),"")</f>
        <v/>
      </c>
      <c r="H72" s="22" t="str">
        <f>IF($K72&lt;&gt;"",IF($A72="Prepago",$H71,$H71+1),"")</f>
        <v/>
      </c>
      <c r="I72" s="22" t="str">
        <f>IF($K72&lt;&gt;"",IF(ISNUMBER($C72),-$P72+$W72-$Q72,ABS($W72)+$R72+$S72+$T72),"")</f>
        <v/>
      </c>
      <c r="J72" s="22" t="str">
        <f>IF(K72&lt;&gt;"",IF(COUNTA($X72:$XFD72)*30&lt;$M72,1,0),"")</f>
        <v/>
      </c>
      <c r="K72" t="str">
        <f>IF($K71&lt;NCUOTAS+CUOTAADICIONAL+PGRACIA,$K71+1,"")</f>
        <v/>
      </c>
      <c r="L72" s="5" t="str">
        <f>IF($K72&lt;&gt;"",IF(ULTIMODIA=0,IF($E72="",DATE(YEAR($M$7),MONTH($M$7)+($A$1*($H72-1))+SUM($B$12:$B72),DAY($M$7)),$E72),G72),"")</f>
        <v/>
      </c>
      <c r="M72" s="9" t="str">
        <f>IF($K72&lt;&gt;"",$L72-$L71,"")</f>
        <v/>
      </c>
      <c r="N72" s="3" t="str">
        <f>IF($K72&lt;&gt;"",$U71,"")</f>
        <v/>
      </c>
      <c r="O72" s="3" t="str">
        <f>IF($K72&lt;&gt;"",IF($A72="Gracia Parcial",IF(AND($C72&lt;$W72+$R72+$S72+$T72+$V71,$C72&gt;0),$C72,$W72+$R72+$S72+$T72+$V71),IF($A72="Gracia Total",0,IF($A72="Prepago",$C72,IF(ISNUMBER($C72),$C72*VALUE(MID($C$1,MONTH($L72),1)),$P$5*VALUE(MID($C$1,MONTH($L72),1))))))-IF($K73="",ARREGLO,0),"")</f>
        <v/>
      </c>
      <c r="P72" s="3" t="str">
        <f>IF($K72&lt;&gt;"",IF($O72-$Q72&gt;0,$O72-$Q72-$R72-$S72-$T72,0),"")</f>
        <v/>
      </c>
      <c r="Q72" s="3" t="str">
        <f t="shared" si="0"/>
        <v/>
      </c>
      <c r="R72" s="3" t="str">
        <f>IF($K72&lt;&gt;"",IF($A72="Prepago",0,IF(($H72+SUM($B$12:$B72))*$S$6&gt;SUM($R$11:$R71)+$S$6,$S$6*2,$S$6)),"")</f>
        <v/>
      </c>
      <c r="S72" s="3" t="str">
        <f>IF($K72&lt;&gt;"",IF($A72="Prepago",0,IF(($H72+SUM($B$12:$B72))*$S$7&gt;SUM($S$11:$S71)+$S$7,$S$7*2,$S$7)),"")</f>
        <v/>
      </c>
      <c r="T72" s="3" t="str">
        <f>IF($K72&lt;&gt;"",IF($A72="Prepago",0,IF(($H72+SUM($B$12:$B72))*$S$8&gt;SUM($T$11:$T71)+$S$8,$S$8*2,$S$8)),"")</f>
        <v/>
      </c>
      <c r="U72" s="3" t="str">
        <f>IF($K72&lt;&gt;"",$N72-$P72,"")</f>
        <v/>
      </c>
      <c r="V72" s="3" t="str">
        <f t="shared" si="1"/>
        <v/>
      </c>
      <c r="W72" s="3" t="str">
        <f>IF($K72&lt;&gt;"",SUM($X72:$XFD72),"")</f>
        <v/>
      </c>
      <c r="X72" s="3" t="str">
        <f>IF($K72&lt;&gt;"",IF($M72&gt;X$11,30,$M72)*ROUND(($N72+$V71)*$T$5/3000,2),"")</f>
        <v/>
      </c>
      <c r="Y72" s="3" t="str">
        <f>IF($K72&lt;&gt;"",IF($M72&gt;X$11,IF($M72&lt;Y$11,$M72-X$11,30),0)*ROUND(($N72+$V71+SUM($X72:X72))*$T$5/3000,2),"")</f>
        <v/>
      </c>
      <c r="Z72" s="3"/>
      <c r="AA72" s="3"/>
    </row>
    <row r="73" spans="5:27" x14ac:dyDescent="0.25">
      <c r="E73" s="5"/>
      <c r="F73" t="str">
        <f>IF($K73&lt;&gt;"",TEXT(L73,"DDD"),"")</f>
        <v/>
      </c>
      <c r="G73" s="5" t="str">
        <f>IF($K73&lt;&gt;"",EOMONTH(DATE(YEAR($M$6),$G$11+K73+SUM($B$12:B73),1),0),"")</f>
        <v/>
      </c>
      <c r="H73" s="22" t="str">
        <f>IF($K73&lt;&gt;"",IF($A73="Prepago",$H72,$H72+1),"")</f>
        <v/>
      </c>
      <c r="I73" s="22" t="str">
        <f>IF($K73&lt;&gt;"",IF(ISNUMBER($C73),-$P73+$W73-$Q73,ABS($W73)+$R73+$S73+$T73),"")</f>
        <v/>
      </c>
      <c r="J73" s="22" t="str">
        <f>IF(K73&lt;&gt;"",IF(COUNTA($X73:$XFD73)*30&lt;$M73,1,0),"")</f>
        <v/>
      </c>
      <c r="K73" t="str">
        <f>IF($K72&lt;NCUOTAS+CUOTAADICIONAL+PGRACIA,$K72+1,"")</f>
        <v/>
      </c>
      <c r="L73" s="5" t="str">
        <f>IF($K73&lt;&gt;"",IF(ULTIMODIA=0,IF($E73="",DATE(YEAR($M$7),MONTH($M$7)+($A$1*($H73-1))+SUM($B$12:$B73),DAY($M$7)),$E73),G73),"")</f>
        <v/>
      </c>
      <c r="M73" s="9" t="str">
        <f>IF($K73&lt;&gt;"",$L73-$L72,"")</f>
        <v/>
      </c>
      <c r="N73" s="3" t="str">
        <f>IF($K73&lt;&gt;"",$U72,"")</f>
        <v/>
      </c>
      <c r="O73" s="3" t="str">
        <f>IF($K73&lt;&gt;"",IF($A73="Gracia Parcial",IF(AND($C73&lt;$W73+$R73+$S73+$T73+$V72,$C73&gt;0),$C73,$W73+$R73+$S73+$T73+$V72),IF($A73="Gracia Total",0,IF($A73="Prepago",$C73,IF(ISNUMBER($C73),$C73*VALUE(MID($C$1,MONTH($L73),1)),$P$5*VALUE(MID($C$1,MONTH($L73),1))))))-IF($K74="",ARREGLO,0),"")</f>
        <v/>
      </c>
      <c r="P73" s="3" t="str">
        <f>IF($K73&lt;&gt;"",IF($O73-$Q73&gt;0,$O73-$Q73-$R73-$S73-$T73,0),"")</f>
        <v/>
      </c>
      <c r="Q73" s="3" t="str">
        <f t="shared" si="0"/>
        <v/>
      </c>
      <c r="R73" s="3" t="str">
        <f>IF($K73&lt;&gt;"",IF($A73="Prepago",0,IF(($H73+SUM($B$12:$B73))*$S$6&gt;SUM($R$11:$R72)+$S$6,$S$6*2,$S$6)),"")</f>
        <v/>
      </c>
      <c r="S73" s="3" t="str">
        <f>IF($K73&lt;&gt;"",IF($A73="Prepago",0,IF(($H73+SUM($B$12:$B73))*$S$7&gt;SUM($S$11:$S72)+$S$7,$S$7*2,$S$7)),"")</f>
        <v/>
      </c>
      <c r="T73" s="3" t="str">
        <f>IF($K73&lt;&gt;"",IF($A73="Prepago",0,IF(($H73+SUM($B$12:$B73))*$S$8&gt;SUM($T$11:$T72)+$S$8,$S$8*2,$S$8)),"")</f>
        <v/>
      </c>
      <c r="U73" s="3" t="str">
        <f>IF($K73&lt;&gt;"",$N73-$P73,"")</f>
        <v/>
      </c>
      <c r="V73" s="3" t="str">
        <f t="shared" si="1"/>
        <v/>
      </c>
      <c r="W73" s="3" t="str">
        <f>IF($K73&lt;&gt;"",SUM($X73:$XFD73),"")</f>
        <v/>
      </c>
      <c r="X73" s="3" t="str">
        <f>IF($K73&lt;&gt;"",IF($M73&gt;X$11,30,$M73)*ROUND(($N73+$V72)*$T$5/3000,2),"")</f>
        <v/>
      </c>
      <c r="Y73" s="3" t="str">
        <f>IF($K73&lt;&gt;"",IF($M73&gt;X$11,IF($M73&lt;Y$11,$M73-X$11,30),0)*ROUND(($N73+$V72+SUM($X73:X73))*$T$5/3000,2),"")</f>
        <v/>
      </c>
      <c r="Z73" s="3"/>
      <c r="AA73" s="3"/>
    </row>
    <row r="74" spans="5:27" x14ac:dyDescent="0.25">
      <c r="E74" s="5"/>
      <c r="F74" t="str">
        <f>IF($K74&lt;&gt;"",TEXT(L74,"DDD"),"")</f>
        <v/>
      </c>
      <c r="G74" s="5" t="str">
        <f>IF($K74&lt;&gt;"",EOMONTH(DATE(YEAR($M$6),$G$11+K74+SUM($B$12:B74),1),0),"")</f>
        <v/>
      </c>
      <c r="H74" s="22" t="str">
        <f>IF($K74&lt;&gt;"",IF($A74="Prepago",$H73,$H73+1),"")</f>
        <v/>
      </c>
      <c r="I74" s="22" t="str">
        <f>IF($K74&lt;&gt;"",IF(ISNUMBER($C74),-$P74+$W74-$Q74,ABS($W74)+$R74+$S74+$T74),"")</f>
        <v/>
      </c>
      <c r="J74" s="22" t="str">
        <f>IF(K74&lt;&gt;"",IF(COUNTA($X74:$XFD74)*30&lt;$M74,1,0),"")</f>
        <v/>
      </c>
      <c r="K74" t="str">
        <f>IF($K73&lt;NCUOTAS+CUOTAADICIONAL+PGRACIA,$K73+1,"")</f>
        <v/>
      </c>
      <c r="L74" s="5" t="str">
        <f>IF($K74&lt;&gt;"",IF(ULTIMODIA=0,IF($E74="",DATE(YEAR($M$7),MONTH($M$7)+($A$1*($H74-1))+SUM($B$12:$B74),DAY($M$7)),$E74),G74),"")</f>
        <v/>
      </c>
      <c r="M74" s="9" t="str">
        <f>IF($K74&lt;&gt;"",$L74-$L73,"")</f>
        <v/>
      </c>
      <c r="N74" s="3" t="str">
        <f>IF($K74&lt;&gt;"",$U73,"")</f>
        <v/>
      </c>
      <c r="O74" s="3" t="str">
        <f>IF($K74&lt;&gt;"",IF($A74="Gracia Parcial",IF(AND($C74&lt;$W74+$R74+$S74+$T74+$V73,$C74&gt;0),$C74,$W74+$R74+$S74+$T74+$V73),IF($A74="Gracia Total",0,IF($A74="Prepago",$C74,IF(ISNUMBER($C74),$C74*VALUE(MID($C$1,MONTH($L74),1)),$P$5*VALUE(MID($C$1,MONTH($L74),1))))))-IF($K75="",ARREGLO,0),"")</f>
        <v/>
      </c>
      <c r="P74" s="3" t="str">
        <f>IF($K74&lt;&gt;"",IF($O74-$Q74&gt;0,$O74-$Q74-$R74-$S74-$T74,0),"")</f>
        <v/>
      </c>
      <c r="Q74" s="3" t="str">
        <f t="shared" si="0"/>
        <v/>
      </c>
      <c r="R74" s="3" t="str">
        <f>IF($K74&lt;&gt;"",IF($A74="Prepago",0,IF(($H74+SUM($B$12:$B74))*$S$6&gt;SUM($R$11:$R73)+$S$6,$S$6*2,$S$6)),"")</f>
        <v/>
      </c>
      <c r="S74" s="3" t="str">
        <f>IF($K74&lt;&gt;"",IF($A74="Prepago",0,IF(($H74+SUM($B$12:$B74))*$S$7&gt;SUM($S$11:$S73)+$S$7,$S$7*2,$S$7)),"")</f>
        <v/>
      </c>
      <c r="T74" s="3" t="str">
        <f>IF($K74&lt;&gt;"",IF($A74="Prepago",0,IF(($H74+SUM($B$12:$B74))*$S$8&gt;SUM($T$11:$T73)+$S$8,$S$8*2,$S$8)),"")</f>
        <v/>
      </c>
      <c r="U74" s="3" t="str">
        <f>IF($K74&lt;&gt;"",$N74-$P74,"")</f>
        <v/>
      </c>
      <c r="V74" s="3" t="str">
        <f t="shared" si="1"/>
        <v/>
      </c>
      <c r="W74" s="3" t="str">
        <f>IF($K74&lt;&gt;"",SUM($X74:$XFD74),"")</f>
        <v/>
      </c>
      <c r="X74" s="3" t="str">
        <f>IF($K74&lt;&gt;"",IF($M74&gt;X$11,30,$M74)*ROUND(($N74+$V73)*$T$5/3000,2),"")</f>
        <v/>
      </c>
      <c r="Y74" s="3" t="str">
        <f>IF($K74&lt;&gt;"",IF($M74&gt;X$11,IF($M74&lt;Y$11,$M74-X$11,30),0)*ROUND(($N74+$V73+SUM($X74:X74))*$T$5/3000,2),"")</f>
        <v/>
      </c>
      <c r="Z74" s="3"/>
      <c r="AA74" s="3"/>
    </row>
    <row r="75" spans="5:27" x14ac:dyDescent="0.25">
      <c r="E75" s="5"/>
      <c r="F75" t="str">
        <f>IF($K75&lt;&gt;"",TEXT(L75,"DDD"),"")</f>
        <v/>
      </c>
      <c r="G75" s="5" t="str">
        <f>IF($K75&lt;&gt;"",EOMONTH(DATE(YEAR($M$6),$G$11+K75+SUM($B$12:B75),1),0),"")</f>
        <v/>
      </c>
      <c r="H75" s="22" t="str">
        <f>IF($K75&lt;&gt;"",IF($A75="Prepago",$H74,$H74+1),"")</f>
        <v/>
      </c>
      <c r="I75" s="22" t="str">
        <f>IF($K75&lt;&gt;"",IF(ISNUMBER($C75),-$P75+$W75-$Q75,ABS($W75)+$R75+$S75+$T75),"")</f>
        <v/>
      </c>
      <c r="J75" s="22" t="str">
        <f>IF(K75&lt;&gt;"",IF(COUNTA($X75:$XFD75)*30&lt;$M75,1,0),"")</f>
        <v/>
      </c>
      <c r="K75" t="str">
        <f>IF($K74&lt;NCUOTAS+CUOTAADICIONAL+PGRACIA,$K74+1,"")</f>
        <v/>
      </c>
      <c r="L75" s="5" t="str">
        <f>IF($K75&lt;&gt;"",IF(ULTIMODIA=0,IF($E75="",DATE(YEAR($M$7),MONTH($M$7)+($A$1*($H75-1))+SUM($B$12:$B75),DAY($M$7)),$E75),G75),"")</f>
        <v/>
      </c>
      <c r="M75" s="9" t="str">
        <f>IF($K75&lt;&gt;"",$L75-$L74,"")</f>
        <v/>
      </c>
      <c r="N75" s="3" t="str">
        <f>IF($K75&lt;&gt;"",$U74,"")</f>
        <v/>
      </c>
      <c r="O75" s="3" t="str">
        <f>IF($K75&lt;&gt;"",IF($A75="Gracia Parcial",IF(AND($C75&lt;$W75+$R75+$S75+$T75+$V74,$C75&gt;0),$C75,$W75+$R75+$S75+$T75+$V74),IF($A75="Gracia Total",0,IF($A75="Prepago",$C75,IF(ISNUMBER($C75),$C75*VALUE(MID($C$1,MONTH($L75),1)),$P$5*VALUE(MID($C$1,MONTH($L75),1))))))-IF($K76="",ARREGLO,0),"")</f>
        <v/>
      </c>
      <c r="P75" s="3" t="str">
        <f>IF($K75&lt;&gt;"",IF($O75-$Q75&gt;0,$O75-$Q75-$R75-$S75-$T75,0),"")</f>
        <v/>
      </c>
      <c r="Q75" s="3" t="str">
        <f t="shared" si="0"/>
        <v/>
      </c>
      <c r="R75" s="3" t="str">
        <f>IF($K75&lt;&gt;"",IF($A75="Prepago",0,IF(($H75+SUM($B$12:$B75))*$S$6&gt;SUM($R$11:$R74)+$S$6,$S$6*2,$S$6)),"")</f>
        <v/>
      </c>
      <c r="S75" s="3" t="str">
        <f>IF($K75&lt;&gt;"",IF($A75="Prepago",0,IF(($H75+SUM($B$12:$B75))*$S$7&gt;SUM($S$11:$S74)+$S$7,$S$7*2,$S$7)),"")</f>
        <v/>
      </c>
      <c r="T75" s="3" t="str">
        <f>IF($K75&lt;&gt;"",IF($A75="Prepago",0,IF(($H75+SUM($B$12:$B75))*$S$8&gt;SUM($T$11:$T74)+$S$8,$S$8*2,$S$8)),"")</f>
        <v/>
      </c>
      <c r="U75" s="3" t="str">
        <f>IF($K75&lt;&gt;"",$N75-$P75,"")</f>
        <v/>
      </c>
      <c r="V75" s="3" t="str">
        <f t="shared" si="1"/>
        <v/>
      </c>
      <c r="W75" s="3" t="str">
        <f>IF($K75&lt;&gt;"",SUM($X75:$XFD75),"")</f>
        <v/>
      </c>
      <c r="X75" s="3" t="str">
        <f>IF($K75&lt;&gt;"",IF($M75&gt;X$11,30,$M75)*ROUND(($N75+$V74)*$T$5/3000,2),"")</f>
        <v/>
      </c>
      <c r="Y75" s="3" t="str">
        <f>IF($K75&lt;&gt;"",IF($M75&gt;X$11,IF($M75&lt;Y$11,$M75-X$11,30),0)*ROUND(($N75+$V74+SUM($X75:X75))*$T$5/3000,2),"")</f>
        <v/>
      </c>
      <c r="Z75" s="3"/>
      <c r="AA75" s="3"/>
    </row>
    <row r="76" spans="5:27" x14ac:dyDescent="0.25">
      <c r="E76" s="5"/>
      <c r="F76" t="str">
        <f>IF($K76&lt;&gt;"",TEXT(L76,"DDD"),"")</f>
        <v/>
      </c>
      <c r="G76" s="5" t="str">
        <f>IF($K76&lt;&gt;"",EOMONTH(DATE(YEAR($M$6),$G$11+K76+SUM($B$12:B76),1),0),"")</f>
        <v/>
      </c>
      <c r="H76" s="22" t="str">
        <f>IF($K76&lt;&gt;"",IF($A76="Prepago",$H75,$H75+1),"")</f>
        <v/>
      </c>
      <c r="I76" s="22" t="str">
        <f>IF($K76&lt;&gt;"",IF(ISNUMBER($C76),-$P76+$W76-$Q76,ABS($W76)+$R76+$S76+$T76),"")</f>
        <v/>
      </c>
      <c r="J76" s="22" t="str">
        <f>IF(K76&lt;&gt;"",IF(COUNTA($X76:$XFD76)*30&lt;$M76,1,0),"")</f>
        <v/>
      </c>
      <c r="K76" t="str">
        <f>IF($K75&lt;NCUOTAS+CUOTAADICIONAL+PGRACIA,$K75+1,"")</f>
        <v/>
      </c>
      <c r="L76" s="5" t="str">
        <f>IF($K76&lt;&gt;"",IF(ULTIMODIA=0,IF($E76="",DATE(YEAR($M$7),MONTH($M$7)+($A$1*($H76-1))+SUM($B$12:$B76),DAY($M$7)),$E76),G76),"")</f>
        <v/>
      </c>
      <c r="M76" s="9" t="str">
        <f>IF($K76&lt;&gt;"",$L76-$L75,"")</f>
        <v/>
      </c>
      <c r="N76" s="3" t="str">
        <f>IF($K76&lt;&gt;"",$U75,"")</f>
        <v/>
      </c>
      <c r="O76" s="3" t="str">
        <f>IF($K76&lt;&gt;"",IF($A76="Gracia Parcial",IF(AND($C76&lt;$W76+$R76+$S76+$T76+$V75,$C76&gt;0),$C76,$W76+$R76+$S76+$T76+$V75),IF($A76="Gracia Total",0,IF($A76="Prepago",$C76,IF(ISNUMBER($C76),$C76*VALUE(MID($C$1,MONTH($L76),1)),$P$5*VALUE(MID($C$1,MONTH($L76),1))))))-IF($K77="",ARREGLO,0),"")</f>
        <v/>
      </c>
      <c r="P76" s="3" t="str">
        <f>IF($K76&lt;&gt;"",IF($O76-$Q76&gt;0,$O76-$Q76-$R76-$S76-$T76,0),"")</f>
        <v/>
      </c>
      <c r="Q76" s="3" t="str">
        <f t="shared" si="0"/>
        <v/>
      </c>
      <c r="R76" s="3" t="str">
        <f>IF($K76&lt;&gt;"",IF($A76="Prepago",0,IF(($H76+SUM($B$12:$B76))*$S$6&gt;SUM($R$11:$R75)+$S$6,$S$6*2,$S$6)),"")</f>
        <v/>
      </c>
      <c r="S76" s="3" t="str">
        <f>IF($K76&lt;&gt;"",IF($A76="Prepago",0,IF(($H76+SUM($B$12:$B76))*$S$7&gt;SUM($S$11:$S75)+$S$7,$S$7*2,$S$7)),"")</f>
        <v/>
      </c>
      <c r="T76" s="3" t="str">
        <f>IF($K76&lt;&gt;"",IF($A76="Prepago",0,IF(($H76+SUM($B$12:$B76))*$S$8&gt;SUM($T$11:$T75)+$S$8,$S$8*2,$S$8)),"")</f>
        <v/>
      </c>
      <c r="U76" s="3" t="str">
        <f>IF($K76&lt;&gt;"",$N76-$P76,"")</f>
        <v/>
      </c>
      <c r="V76" s="3" t="str">
        <f t="shared" si="1"/>
        <v/>
      </c>
      <c r="W76" s="3" t="str">
        <f>IF($K76&lt;&gt;"",SUM($X76:$XFD76),"")</f>
        <v/>
      </c>
      <c r="X76" s="3" t="str">
        <f>IF($K76&lt;&gt;"",IF($M76&gt;X$11,30,$M76)*ROUND(($N76+$V75)*$T$5/3000,2),"")</f>
        <v/>
      </c>
      <c r="Y76" s="3" t="str">
        <f>IF($K76&lt;&gt;"",IF($M76&gt;X$11,IF($M76&lt;Y$11,$M76-X$11,30),0)*ROUND(($N76+$V75+SUM($X76:X76))*$T$5/3000,2),"")</f>
        <v/>
      </c>
      <c r="Z76" s="3"/>
      <c r="AA76" s="3"/>
    </row>
    <row r="77" spans="5:27" x14ac:dyDescent="0.25">
      <c r="E77" s="5"/>
      <c r="F77" t="str">
        <f>IF($K77&lt;&gt;"",TEXT(L77,"DDD"),"")</f>
        <v/>
      </c>
      <c r="G77" s="5" t="str">
        <f>IF($K77&lt;&gt;"",EOMONTH(DATE(YEAR($M$6),$G$11+K77+SUM($B$12:B77),1),0),"")</f>
        <v/>
      </c>
      <c r="H77" s="22" t="str">
        <f>IF($K77&lt;&gt;"",IF($A77="Prepago",$H76,$H76+1),"")</f>
        <v/>
      </c>
      <c r="I77" s="22" t="str">
        <f>IF($K77&lt;&gt;"",IF(ISNUMBER($C77),-$P77+$W77-$Q77,ABS($W77)+$R77+$S77+$T77),"")</f>
        <v/>
      </c>
      <c r="J77" s="22" t="str">
        <f>IF(K77&lt;&gt;"",IF(COUNTA($X77:$XFD77)*30&lt;$M77,1,0),"")</f>
        <v/>
      </c>
      <c r="K77" t="str">
        <f>IF($K76&lt;NCUOTAS+CUOTAADICIONAL+PGRACIA,$K76+1,"")</f>
        <v/>
      </c>
      <c r="L77" s="5" t="str">
        <f>IF($K77&lt;&gt;"",IF(ULTIMODIA=0,IF($E77="",DATE(YEAR($M$7),MONTH($M$7)+($A$1*($H77-1))+SUM($B$12:$B77),DAY($M$7)),$E77),G77),"")</f>
        <v/>
      </c>
      <c r="M77" s="9" t="str">
        <f>IF($K77&lt;&gt;"",$L77-$L76,"")</f>
        <v/>
      </c>
      <c r="N77" s="3" t="str">
        <f>IF($K77&lt;&gt;"",$U76,"")</f>
        <v/>
      </c>
      <c r="O77" s="3" t="str">
        <f>IF($K77&lt;&gt;"",IF($A77="Gracia Parcial",IF(AND($C77&lt;$W77+$R77+$S77+$T77+$V76,$C77&gt;0),$C77,$W77+$R77+$S77+$T77+$V76),IF($A77="Gracia Total",0,IF($A77="Prepago",$C77,IF(ISNUMBER($C77),$C77*VALUE(MID($C$1,MONTH($L77),1)),$P$5*VALUE(MID($C$1,MONTH($L77),1))))))-IF($K78="",ARREGLO,0),"")</f>
        <v/>
      </c>
      <c r="P77" s="3" t="str">
        <f>IF($K77&lt;&gt;"",IF($O77-$Q77&gt;0,$O77-$Q77-$R77-$S77-$T77,0),"")</f>
        <v/>
      </c>
      <c r="Q77" s="3" t="str">
        <f t="shared" ref="Q77:Q140" si="2">IF($K77&lt;&gt;"",IF($O77&gt;=IF($D77="",$W77,$D77)+$V76+$R77+$S77+$T77,IF($D77="",$W77,$D77)+$V76,$O77-$R77-$S77-$T77),"")</f>
        <v/>
      </c>
      <c r="R77" s="3" t="str">
        <f>IF($K77&lt;&gt;"",IF($A77="Prepago",0,IF(($H77+SUM($B$12:$B77))*$S$6&gt;SUM($R$11:$R76)+$S$6,$S$6*2,$S$6)),"")</f>
        <v/>
      </c>
      <c r="S77" s="3" t="str">
        <f>IF($K77&lt;&gt;"",IF($A77="Prepago",0,IF(($H77+SUM($B$12:$B77))*$S$7&gt;SUM($S$11:$S76)+$S$7,$S$7*2,$S$7)),"")</f>
        <v/>
      </c>
      <c r="T77" s="3" t="str">
        <f>IF($K77&lt;&gt;"",IF($A77="Prepago",0,IF(($H77+SUM($B$12:$B77))*$S$8&gt;SUM($T$11:$T76)+$S$8,$S$8*2,$S$8)),"")</f>
        <v/>
      </c>
      <c r="U77" s="3" t="str">
        <f>IF($K77&lt;&gt;"",$N77-$P77,"")</f>
        <v/>
      </c>
      <c r="V77" s="3" t="str">
        <f t="shared" ref="V77:V140" si="3">IF($K77&lt;&gt;"",+$V76+IF($D77="",$W77,$D77)-$Q77,"")</f>
        <v/>
      </c>
      <c r="W77" s="3" t="str">
        <f>IF($K77&lt;&gt;"",SUM($X77:$XFD77),"")</f>
        <v/>
      </c>
      <c r="X77" s="3" t="str">
        <f>IF($K77&lt;&gt;"",IF($M77&gt;X$11,30,$M77)*ROUND(($N77+$V76)*$T$5/3000,2),"")</f>
        <v/>
      </c>
      <c r="Y77" s="3" t="str">
        <f>IF($K77&lt;&gt;"",IF($M77&gt;X$11,IF($M77&lt;Y$11,$M77-X$11,30),0)*ROUND(($N77+$V76+SUM($X77:X77))*$T$5/3000,2),"")</f>
        <v/>
      </c>
      <c r="Z77" s="3"/>
      <c r="AA77" s="3"/>
    </row>
    <row r="78" spans="5:27" x14ac:dyDescent="0.25">
      <c r="E78" s="5"/>
      <c r="F78" t="str">
        <f>IF($K78&lt;&gt;"",TEXT(L78,"DDD"),"")</f>
        <v/>
      </c>
      <c r="G78" s="5" t="str">
        <f>IF($K78&lt;&gt;"",EOMONTH(DATE(YEAR($M$6),$G$11+K78+SUM($B$12:B78),1),0),"")</f>
        <v/>
      </c>
      <c r="H78" s="22" t="str">
        <f>IF($K78&lt;&gt;"",IF($A78="Prepago",$H77,$H77+1),"")</f>
        <v/>
      </c>
      <c r="I78" s="22" t="str">
        <f>IF($K78&lt;&gt;"",IF(ISNUMBER($C78),-$P78+$W78-$Q78,ABS($W78)+$R78+$S78+$T78),"")</f>
        <v/>
      </c>
      <c r="J78" s="22" t="str">
        <f>IF(K78&lt;&gt;"",IF(COUNTA($X78:$XFD78)*30&lt;$M78,1,0),"")</f>
        <v/>
      </c>
      <c r="K78" t="str">
        <f>IF($K77&lt;NCUOTAS+CUOTAADICIONAL+PGRACIA,$K77+1,"")</f>
        <v/>
      </c>
      <c r="L78" s="5" t="str">
        <f>IF($K78&lt;&gt;"",IF(ULTIMODIA=0,IF($E78="",DATE(YEAR($M$7),MONTH($M$7)+($A$1*($H78-1))+SUM($B$12:$B78),DAY($M$7)),$E78),G78),"")</f>
        <v/>
      </c>
      <c r="M78" s="9" t="str">
        <f>IF($K78&lt;&gt;"",$L78-$L77,"")</f>
        <v/>
      </c>
      <c r="N78" s="3" t="str">
        <f>IF($K78&lt;&gt;"",$U77,"")</f>
        <v/>
      </c>
      <c r="O78" s="3" t="str">
        <f>IF($K78&lt;&gt;"",IF($A78="Gracia Parcial",IF(AND($C78&lt;$W78+$R78+$S78+$T78+$V77,$C78&gt;0),$C78,$W78+$R78+$S78+$T78+$V77),IF($A78="Gracia Total",0,IF($A78="Prepago",$C78,IF(ISNUMBER($C78),$C78*VALUE(MID($C$1,MONTH($L78),1)),$P$5*VALUE(MID($C$1,MONTH($L78),1))))))-IF($K79="",ARREGLO,0),"")</f>
        <v/>
      </c>
      <c r="P78" s="3" t="str">
        <f>IF($K78&lt;&gt;"",IF($O78-$Q78&gt;0,$O78-$Q78-$R78-$S78-$T78,0),"")</f>
        <v/>
      </c>
      <c r="Q78" s="3" t="str">
        <f t="shared" si="2"/>
        <v/>
      </c>
      <c r="R78" s="3" t="str">
        <f>IF($K78&lt;&gt;"",IF($A78="Prepago",0,IF(($H78+SUM($B$12:$B78))*$S$6&gt;SUM($R$11:$R77)+$S$6,$S$6*2,$S$6)),"")</f>
        <v/>
      </c>
      <c r="S78" s="3" t="str">
        <f>IF($K78&lt;&gt;"",IF($A78="Prepago",0,IF(($H78+SUM($B$12:$B78))*$S$7&gt;SUM($S$11:$S77)+$S$7,$S$7*2,$S$7)),"")</f>
        <v/>
      </c>
      <c r="T78" s="3" t="str">
        <f>IF($K78&lt;&gt;"",IF($A78="Prepago",0,IF(($H78+SUM($B$12:$B78))*$S$8&gt;SUM($T$11:$T77)+$S$8,$S$8*2,$S$8)),"")</f>
        <v/>
      </c>
      <c r="U78" s="3" t="str">
        <f>IF($K78&lt;&gt;"",$N78-$P78,"")</f>
        <v/>
      </c>
      <c r="V78" s="3" t="str">
        <f t="shared" si="3"/>
        <v/>
      </c>
      <c r="W78" s="3" t="str">
        <f>IF($K78&lt;&gt;"",SUM($X78:$XFD78),"")</f>
        <v/>
      </c>
      <c r="X78" s="3" t="str">
        <f>IF($K78&lt;&gt;"",IF($M78&gt;X$11,30,$M78)*ROUND(($N78+$V77)*$T$5/3000,2),"")</f>
        <v/>
      </c>
      <c r="Y78" s="3" t="str">
        <f>IF($K78&lt;&gt;"",IF($M78&gt;X$11,IF($M78&lt;Y$11,$M78-X$11,30),0)*ROUND(($N78+$V77+SUM($X78:X78))*$T$5/3000,2),"")</f>
        <v/>
      </c>
      <c r="Z78" s="3"/>
      <c r="AA78" s="3"/>
    </row>
    <row r="79" spans="5:27" x14ac:dyDescent="0.25">
      <c r="E79" s="5"/>
      <c r="F79" t="str">
        <f>IF($K79&lt;&gt;"",TEXT(L79,"DDD"),"")</f>
        <v/>
      </c>
      <c r="G79" s="5" t="str">
        <f>IF($K79&lt;&gt;"",EOMONTH(DATE(YEAR($M$6),$G$11+K79+SUM($B$12:B79),1),0),"")</f>
        <v/>
      </c>
      <c r="H79" s="22" t="str">
        <f>IF($K79&lt;&gt;"",IF($A79="Prepago",$H78,$H78+1),"")</f>
        <v/>
      </c>
      <c r="I79" s="22" t="str">
        <f>IF($K79&lt;&gt;"",IF(ISNUMBER($C79),-$P79+$W79-$Q79,ABS($W79)+$R79+$S79+$T79),"")</f>
        <v/>
      </c>
      <c r="J79" s="22" t="str">
        <f>IF(K79&lt;&gt;"",IF(COUNTA($X79:$XFD79)*30&lt;$M79,1,0),"")</f>
        <v/>
      </c>
      <c r="K79" t="str">
        <f>IF($K78&lt;NCUOTAS+CUOTAADICIONAL+PGRACIA,$K78+1,"")</f>
        <v/>
      </c>
      <c r="L79" s="5" t="str">
        <f>IF($K79&lt;&gt;"",IF(ULTIMODIA=0,IF($E79="",DATE(YEAR($M$7),MONTH($M$7)+($A$1*($H79-1))+SUM($B$12:$B79),DAY($M$7)),$E79),G79),"")</f>
        <v/>
      </c>
      <c r="M79" s="9" t="str">
        <f>IF($K79&lt;&gt;"",$L79-$L78,"")</f>
        <v/>
      </c>
      <c r="N79" s="3" t="str">
        <f>IF($K79&lt;&gt;"",$U78,"")</f>
        <v/>
      </c>
      <c r="O79" s="3" t="str">
        <f>IF($K79&lt;&gt;"",IF($A79="Gracia Parcial",IF(AND($C79&lt;$W79+$R79+$S79+$T79+$V78,$C79&gt;0),$C79,$W79+$R79+$S79+$T79+$V78),IF($A79="Gracia Total",0,IF($A79="Prepago",$C79,IF(ISNUMBER($C79),$C79*VALUE(MID($C$1,MONTH($L79),1)),$P$5*VALUE(MID($C$1,MONTH($L79),1))))))-IF($K80="",ARREGLO,0),"")</f>
        <v/>
      </c>
      <c r="P79" s="3" t="str">
        <f>IF($K79&lt;&gt;"",IF($O79-$Q79&gt;0,$O79-$Q79-$R79-$S79-$T79,0),"")</f>
        <v/>
      </c>
      <c r="Q79" s="3" t="str">
        <f t="shared" si="2"/>
        <v/>
      </c>
      <c r="R79" s="3" t="str">
        <f>IF($K79&lt;&gt;"",IF($A79="Prepago",0,IF(($H79+SUM($B$12:$B79))*$S$6&gt;SUM($R$11:$R78)+$S$6,$S$6*2,$S$6)),"")</f>
        <v/>
      </c>
      <c r="S79" s="3" t="str">
        <f>IF($K79&lt;&gt;"",IF($A79="Prepago",0,IF(($H79+SUM($B$12:$B79))*$S$7&gt;SUM($S$11:$S78)+$S$7,$S$7*2,$S$7)),"")</f>
        <v/>
      </c>
      <c r="T79" s="3" t="str">
        <f>IF($K79&lt;&gt;"",IF($A79="Prepago",0,IF(($H79+SUM($B$12:$B79))*$S$8&gt;SUM($T$11:$T78)+$S$8,$S$8*2,$S$8)),"")</f>
        <v/>
      </c>
      <c r="U79" s="3" t="str">
        <f>IF($K79&lt;&gt;"",$N79-$P79,"")</f>
        <v/>
      </c>
      <c r="V79" s="3" t="str">
        <f t="shared" si="3"/>
        <v/>
      </c>
      <c r="W79" s="3" t="str">
        <f>IF($K79&lt;&gt;"",SUM($X79:$XFD79),"")</f>
        <v/>
      </c>
      <c r="X79" s="3" t="str">
        <f>IF($K79&lt;&gt;"",IF($M79&gt;X$11,30,$M79)*ROUND(($N79+$V78)*$T$5/3000,2),"")</f>
        <v/>
      </c>
      <c r="Y79" s="3" t="str">
        <f>IF($K79&lt;&gt;"",IF($M79&gt;X$11,IF($M79&lt;Y$11,$M79-X$11,30),0)*ROUND(($N79+$V78+SUM($X79:X79))*$T$5/3000,2),"")</f>
        <v/>
      </c>
      <c r="Z79" s="3"/>
      <c r="AA79" s="3"/>
    </row>
    <row r="80" spans="5:27" x14ac:dyDescent="0.25">
      <c r="E80" s="5"/>
      <c r="F80" t="str">
        <f>IF($K80&lt;&gt;"",TEXT(L80,"DDD"),"")</f>
        <v/>
      </c>
      <c r="G80" s="5" t="str">
        <f>IF($K80&lt;&gt;"",EOMONTH(DATE(YEAR($M$6),$G$11+K80+SUM($B$12:B80),1),0),"")</f>
        <v/>
      </c>
      <c r="H80" s="22" t="str">
        <f>IF($K80&lt;&gt;"",IF($A80="Prepago",$H79,$H79+1),"")</f>
        <v/>
      </c>
      <c r="I80" s="22" t="str">
        <f>IF($K80&lt;&gt;"",IF(ISNUMBER($C80),-$P80+$W80-$Q80,ABS($W80)+$R80+$S80+$T80),"")</f>
        <v/>
      </c>
      <c r="J80" s="22" t="str">
        <f>IF(K80&lt;&gt;"",IF(COUNTA($X80:$XFD80)*30&lt;$M80,1,0),"")</f>
        <v/>
      </c>
      <c r="K80" t="str">
        <f>IF($K79&lt;NCUOTAS+CUOTAADICIONAL+PGRACIA,$K79+1,"")</f>
        <v/>
      </c>
      <c r="L80" s="5" t="str">
        <f>IF($K80&lt;&gt;"",IF(ULTIMODIA=0,IF($E80="",DATE(YEAR($M$7),MONTH($M$7)+($A$1*($H80-1))+SUM($B$12:$B80),DAY($M$7)),$E80),G80),"")</f>
        <v/>
      </c>
      <c r="M80" s="9" t="str">
        <f>IF($K80&lt;&gt;"",$L80-$L79,"")</f>
        <v/>
      </c>
      <c r="N80" s="3" t="str">
        <f>IF($K80&lt;&gt;"",$U79,"")</f>
        <v/>
      </c>
      <c r="O80" s="3" t="str">
        <f>IF($K80&lt;&gt;"",IF($A80="Gracia Parcial",IF(AND($C80&lt;$W80+$R80+$S80+$T80+$V79,$C80&gt;0),$C80,$W80+$R80+$S80+$T80+$V79),IF($A80="Gracia Total",0,IF($A80="Prepago",$C80,IF(ISNUMBER($C80),$C80*VALUE(MID($C$1,MONTH($L80),1)),$P$5*VALUE(MID($C$1,MONTH($L80),1))))))-IF($K81="",ARREGLO,0),"")</f>
        <v/>
      </c>
      <c r="P80" s="3" t="str">
        <f>IF($K80&lt;&gt;"",IF($O80-$Q80&gt;0,$O80-$Q80-$R80-$S80-$T80,0),"")</f>
        <v/>
      </c>
      <c r="Q80" s="3" t="str">
        <f t="shared" si="2"/>
        <v/>
      </c>
      <c r="R80" s="3" t="str">
        <f>IF($K80&lt;&gt;"",IF($A80="Prepago",0,IF(($H80+SUM($B$12:$B80))*$S$6&gt;SUM($R$11:$R79)+$S$6,$S$6*2,$S$6)),"")</f>
        <v/>
      </c>
      <c r="S80" s="3" t="str">
        <f>IF($K80&lt;&gt;"",IF($A80="Prepago",0,IF(($H80+SUM($B$12:$B80))*$S$7&gt;SUM($S$11:$S79)+$S$7,$S$7*2,$S$7)),"")</f>
        <v/>
      </c>
      <c r="T80" s="3" t="str">
        <f>IF($K80&lt;&gt;"",IF($A80="Prepago",0,IF(($H80+SUM($B$12:$B80))*$S$8&gt;SUM($T$11:$T79)+$S$8,$S$8*2,$S$8)),"")</f>
        <v/>
      </c>
      <c r="U80" s="3" t="str">
        <f>IF($K80&lt;&gt;"",$N80-$P80,"")</f>
        <v/>
      </c>
      <c r="V80" s="3" t="str">
        <f t="shared" si="3"/>
        <v/>
      </c>
      <c r="W80" s="3" t="str">
        <f>IF($K80&lt;&gt;"",SUM($X80:$XFD80),"")</f>
        <v/>
      </c>
      <c r="X80" s="3" t="str">
        <f>IF($K80&lt;&gt;"",IF($M80&gt;X$11,30,$M80)*ROUND(($N80+$V79)*$T$5/3000,2),"")</f>
        <v/>
      </c>
      <c r="Y80" s="3" t="str">
        <f>IF($K80&lt;&gt;"",IF($M80&gt;X$11,IF($M80&lt;Y$11,$M80-X$11,30),0)*ROUND(($N80+$V79+SUM($X80:X80))*$T$5/3000,2),"")</f>
        <v/>
      </c>
      <c r="Z80" s="3"/>
      <c r="AA80" s="3"/>
    </row>
    <row r="81" spans="5:27" x14ac:dyDescent="0.25">
      <c r="E81" s="5"/>
      <c r="F81" t="str">
        <f>IF($K81&lt;&gt;"",TEXT(L81,"DDD"),"")</f>
        <v/>
      </c>
      <c r="G81" s="5" t="str">
        <f>IF($K81&lt;&gt;"",EOMONTH(DATE(YEAR($M$6),$G$11+K81+SUM($B$12:B81),1),0),"")</f>
        <v/>
      </c>
      <c r="H81" s="22" t="str">
        <f>IF($K81&lt;&gt;"",IF($A81="Prepago",$H80,$H80+1),"")</f>
        <v/>
      </c>
      <c r="I81" s="22" t="str">
        <f>IF($K81&lt;&gt;"",IF(ISNUMBER($C81),-$P81+$W81-$Q81,ABS($W81)+$R81+$S81+$T81),"")</f>
        <v/>
      </c>
      <c r="J81" s="22" t="str">
        <f>IF(K81&lt;&gt;"",IF(COUNTA($X81:$XFD81)*30&lt;$M81,1,0),"")</f>
        <v/>
      </c>
      <c r="K81" t="str">
        <f>IF($K80&lt;NCUOTAS+CUOTAADICIONAL+PGRACIA,$K80+1,"")</f>
        <v/>
      </c>
      <c r="L81" s="5" t="str">
        <f>IF($K81&lt;&gt;"",IF(ULTIMODIA=0,IF($E81="",DATE(YEAR($M$7),MONTH($M$7)+($A$1*($H81-1))+SUM($B$12:$B81),DAY($M$7)),$E81),G81),"")</f>
        <v/>
      </c>
      <c r="M81" s="9" t="str">
        <f>IF($K81&lt;&gt;"",$L81-$L80,"")</f>
        <v/>
      </c>
      <c r="N81" s="3" t="str">
        <f>IF($K81&lt;&gt;"",$U80,"")</f>
        <v/>
      </c>
      <c r="O81" s="3" t="str">
        <f>IF($K81&lt;&gt;"",IF($A81="Gracia Parcial",IF(AND($C81&lt;$W81+$R81+$S81+$T81+$V80,$C81&gt;0),$C81,$W81+$R81+$S81+$T81+$V80),IF($A81="Gracia Total",0,IF($A81="Prepago",$C81,IF(ISNUMBER($C81),$C81*VALUE(MID($C$1,MONTH($L81),1)),$P$5*VALUE(MID($C$1,MONTH($L81),1))))))-IF($K82="",ARREGLO,0),"")</f>
        <v/>
      </c>
      <c r="P81" s="3" t="str">
        <f>IF($K81&lt;&gt;"",IF($O81-$Q81&gt;0,$O81-$Q81-$R81-$S81-$T81,0),"")</f>
        <v/>
      </c>
      <c r="Q81" s="3" t="str">
        <f t="shared" si="2"/>
        <v/>
      </c>
      <c r="R81" s="3" t="str">
        <f>IF($K81&lt;&gt;"",IF($A81="Prepago",0,IF(($H81+SUM($B$12:$B81))*$S$6&gt;SUM($R$11:$R80)+$S$6,$S$6*2,$S$6)),"")</f>
        <v/>
      </c>
      <c r="S81" s="3" t="str">
        <f>IF($K81&lt;&gt;"",IF($A81="Prepago",0,IF(($H81+SUM($B$12:$B81))*$S$7&gt;SUM($S$11:$S80)+$S$7,$S$7*2,$S$7)),"")</f>
        <v/>
      </c>
      <c r="T81" s="3" t="str">
        <f>IF($K81&lt;&gt;"",IF($A81="Prepago",0,IF(($H81+SUM($B$12:$B81))*$S$8&gt;SUM($T$11:$T80)+$S$8,$S$8*2,$S$8)),"")</f>
        <v/>
      </c>
      <c r="U81" s="3" t="str">
        <f>IF($K81&lt;&gt;"",$N81-$P81,"")</f>
        <v/>
      </c>
      <c r="V81" s="3" t="str">
        <f t="shared" si="3"/>
        <v/>
      </c>
      <c r="W81" s="3" t="str">
        <f>IF($K81&lt;&gt;"",SUM($X81:$XFD81),"")</f>
        <v/>
      </c>
      <c r="X81" s="3" t="str">
        <f>IF($K81&lt;&gt;"",IF($M81&gt;X$11,30,$M81)*ROUND(($N81+$V80)*$T$5/3000,2),"")</f>
        <v/>
      </c>
      <c r="Y81" s="3" t="str">
        <f>IF($K81&lt;&gt;"",IF($M81&gt;X$11,IF($M81&lt;Y$11,$M81-X$11,30),0)*ROUND(($N81+$V80+SUM($X81:X81))*$T$5/3000,2),"")</f>
        <v/>
      </c>
      <c r="Z81" s="3"/>
      <c r="AA81" s="3"/>
    </row>
    <row r="82" spans="5:27" x14ac:dyDescent="0.25">
      <c r="E82" s="5"/>
      <c r="F82" t="str">
        <f>IF($K82&lt;&gt;"",TEXT(L82,"DDD"),"")</f>
        <v/>
      </c>
      <c r="G82" s="5" t="str">
        <f>IF($K82&lt;&gt;"",EOMONTH(DATE(YEAR($M$6),$G$11+K82+SUM($B$12:B82),1),0),"")</f>
        <v/>
      </c>
      <c r="H82" s="22" t="str">
        <f>IF($K82&lt;&gt;"",IF($A82="Prepago",$H81,$H81+1),"")</f>
        <v/>
      </c>
      <c r="I82" s="22" t="str">
        <f>IF($K82&lt;&gt;"",IF(ISNUMBER($C82),-$P82+$W82-$Q82,ABS($W82)+$R82+$S82+$T82),"")</f>
        <v/>
      </c>
      <c r="J82" s="22" t="str">
        <f>IF(K82&lt;&gt;"",IF(COUNTA($X82:$XFD82)*30&lt;$M82,1,0),"")</f>
        <v/>
      </c>
      <c r="K82" t="str">
        <f>IF($K81&lt;NCUOTAS+CUOTAADICIONAL+PGRACIA,$K81+1,"")</f>
        <v/>
      </c>
      <c r="L82" s="5" t="str">
        <f>IF($K82&lt;&gt;"",IF(ULTIMODIA=0,IF($E82="",DATE(YEAR($M$7),MONTH($M$7)+($A$1*($H82-1))+SUM($B$12:$B82),DAY($M$7)),$E82),G82),"")</f>
        <v/>
      </c>
      <c r="M82" s="9" t="str">
        <f>IF($K82&lt;&gt;"",$L82-$L81,"")</f>
        <v/>
      </c>
      <c r="N82" s="3" t="str">
        <f>IF($K82&lt;&gt;"",$U81,"")</f>
        <v/>
      </c>
      <c r="O82" s="3" t="str">
        <f>IF($K82&lt;&gt;"",IF($A82="Gracia Parcial",IF(AND($C82&lt;$W82+$R82+$S82+$T82+$V81,$C82&gt;0),$C82,$W82+$R82+$S82+$T82+$V81),IF($A82="Gracia Total",0,IF($A82="Prepago",$C82,IF(ISNUMBER($C82),$C82*VALUE(MID($C$1,MONTH($L82),1)),$P$5*VALUE(MID($C$1,MONTH($L82),1))))))-IF($K83="",ARREGLO,0),"")</f>
        <v/>
      </c>
      <c r="P82" s="3" t="str">
        <f>IF($K82&lt;&gt;"",IF($O82-$Q82&gt;0,$O82-$Q82-$R82-$S82-$T82,0),"")</f>
        <v/>
      </c>
      <c r="Q82" s="3" t="str">
        <f t="shared" si="2"/>
        <v/>
      </c>
      <c r="R82" s="3" t="str">
        <f>IF($K82&lt;&gt;"",IF($A82="Prepago",0,IF(($H82+SUM($B$12:$B82))*$S$6&gt;SUM($R$11:$R81)+$S$6,$S$6*2,$S$6)),"")</f>
        <v/>
      </c>
      <c r="S82" s="3" t="str">
        <f>IF($K82&lt;&gt;"",IF($A82="Prepago",0,IF(($H82+SUM($B$12:$B82))*$S$7&gt;SUM($S$11:$S81)+$S$7,$S$7*2,$S$7)),"")</f>
        <v/>
      </c>
      <c r="T82" s="3" t="str">
        <f>IF($K82&lt;&gt;"",IF($A82="Prepago",0,IF(($H82+SUM($B$12:$B82))*$S$8&gt;SUM($T$11:$T81)+$S$8,$S$8*2,$S$8)),"")</f>
        <v/>
      </c>
      <c r="U82" s="3" t="str">
        <f>IF($K82&lt;&gt;"",$N82-$P82,"")</f>
        <v/>
      </c>
      <c r="V82" s="3" t="str">
        <f t="shared" si="3"/>
        <v/>
      </c>
      <c r="W82" s="3" t="str">
        <f>IF($K82&lt;&gt;"",SUM($X82:$XFD82),"")</f>
        <v/>
      </c>
      <c r="X82" s="3" t="str">
        <f>IF($K82&lt;&gt;"",IF($M82&gt;X$11,30,$M82)*ROUND(($N82+$V81)*$T$5/3000,2),"")</f>
        <v/>
      </c>
      <c r="Y82" s="3" t="str">
        <f>IF($K82&lt;&gt;"",IF($M82&gt;X$11,IF($M82&lt;Y$11,$M82-X$11,30),0)*ROUND(($N82+$V81+SUM($X82:X82))*$T$5/3000,2),"")</f>
        <v/>
      </c>
      <c r="Z82" s="3"/>
      <c r="AA82" s="3"/>
    </row>
    <row r="83" spans="5:27" x14ac:dyDescent="0.25">
      <c r="E83" s="5"/>
      <c r="F83" t="str">
        <f>IF($K83&lt;&gt;"",TEXT(L83,"DDD"),"")</f>
        <v/>
      </c>
      <c r="G83" s="5" t="str">
        <f>IF($K83&lt;&gt;"",EOMONTH(DATE(YEAR($M$6),$G$11+K83+SUM($B$12:B83),1),0),"")</f>
        <v/>
      </c>
      <c r="H83" s="22" t="str">
        <f>IF($K83&lt;&gt;"",IF($A83="Prepago",$H82,$H82+1),"")</f>
        <v/>
      </c>
      <c r="I83" s="22" t="str">
        <f>IF($K83&lt;&gt;"",IF(ISNUMBER($C83),-$P83+$W83-$Q83,ABS($W83)+$R83+$S83+$T83),"")</f>
        <v/>
      </c>
      <c r="J83" s="22" t="str">
        <f>IF(K83&lt;&gt;"",IF(COUNTA($X83:$XFD83)*30&lt;$M83,1,0),"")</f>
        <v/>
      </c>
      <c r="K83" t="str">
        <f>IF($K82&lt;NCUOTAS+CUOTAADICIONAL+PGRACIA,$K82+1,"")</f>
        <v/>
      </c>
      <c r="L83" s="5" t="str">
        <f>IF($K83&lt;&gt;"",IF(ULTIMODIA=0,IF($E83="",DATE(YEAR($M$7),MONTH($M$7)+($A$1*($H83-1))+SUM($B$12:$B83),DAY($M$7)),$E83),G83),"")</f>
        <v/>
      </c>
      <c r="M83" s="9" t="str">
        <f>IF($K83&lt;&gt;"",$L83-$L82,"")</f>
        <v/>
      </c>
      <c r="N83" s="3" t="str">
        <f>IF($K83&lt;&gt;"",$U82,"")</f>
        <v/>
      </c>
      <c r="O83" s="3" t="str">
        <f>IF($K83&lt;&gt;"",IF($A83="Gracia Parcial",IF(AND($C83&lt;$W83+$R83+$S83+$T83+$V82,$C83&gt;0),$C83,$W83+$R83+$S83+$T83+$V82),IF($A83="Gracia Total",0,IF($A83="Prepago",$C83,IF(ISNUMBER($C83),$C83*VALUE(MID($C$1,MONTH($L83),1)),$P$5*VALUE(MID($C$1,MONTH($L83),1))))))-IF($K84="",ARREGLO,0),"")</f>
        <v/>
      </c>
      <c r="P83" s="3" t="str">
        <f>IF($K83&lt;&gt;"",IF($O83-$Q83&gt;0,$O83-$Q83-$R83-$S83-$T83,0),"")</f>
        <v/>
      </c>
      <c r="Q83" s="3" t="str">
        <f t="shared" si="2"/>
        <v/>
      </c>
      <c r="R83" s="3" t="str">
        <f>IF($K83&lt;&gt;"",IF($A83="Prepago",0,IF(($H83+SUM($B$12:$B83))*$S$6&gt;SUM($R$11:$R82)+$S$6,$S$6*2,$S$6)),"")</f>
        <v/>
      </c>
      <c r="S83" s="3" t="str">
        <f>IF($K83&lt;&gt;"",IF($A83="Prepago",0,IF(($H83+SUM($B$12:$B83))*$S$7&gt;SUM($S$11:$S82)+$S$7,$S$7*2,$S$7)),"")</f>
        <v/>
      </c>
      <c r="T83" s="3" t="str">
        <f>IF($K83&lt;&gt;"",IF($A83="Prepago",0,IF(($H83+SUM($B$12:$B83))*$S$8&gt;SUM($T$11:$T82)+$S$8,$S$8*2,$S$8)),"")</f>
        <v/>
      </c>
      <c r="U83" s="3" t="str">
        <f>IF($K83&lt;&gt;"",$N83-$P83,"")</f>
        <v/>
      </c>
      <c r="V83" s="3" t="str">
        <f t="shared" si="3"/>
        <v/>
      </c>
      <c r="W83" s="3" t="str">
        <f>IF($K83&lt;&gt;"",SUM($X83:$XFD83),"")</f>
        <v/>
      </c>
      <c r="X83" s="3" t="str">
        <f>IF($K83&lt;&gt;"",IF($M83&gt;X$11,30,$M83)*ROUND(($N83+$V82)*$T$5/3000,2),"")</f>
        <v/>
      </c>
      <c r="Y83" s="3" t="str">
        <f>IF($K83&lt;&gt;"",IF($M83&gt;X$11,IF($M83&lt;Y$11,$M83-X$11,30),0)*ROUND(($N83+$V82+SUM($X83:X83))*$T$5/3000,2),"")</f>
        <v/>
      </c>
      <c r="Z83" s="3"/>
      <c r="AA83" s="3"/>
    </row>
    <row r="84" spans="5:27" x14ac:dyDescent="0.25">
      <c r="E84" s="5"/>
      <c r="F84" t="str">
        <f>IF($K84&lt;&gt;"",TEXT(L84,"DDD"),"")</f>
        <v/>
      </c>
      <c r="G84" s="5" t="str">
        <f>IF($K84&lt;&gt;"",EOMONTH(DATE(YEAR($M$6),$G$11+K84+SUM($B$12:B84),1),0),"")</f>
        <v/>
      </c>
      <c r="H84" s="22" t="str">
        <f>IF($K84&lt;&gt;"",IF($A84="Prepago",$H83,$H83+1),"")</f>
        <v/>
      </c>
      <c r="I84" s="22" t="str">
        <f>IF($K84&lt;&gt;"",IF(ISNUMBER($C84),-$P84+$W84-$Q84,ABS($W84)+$R84+$S84+$T84),"")</f>
        <v/>
      </c>
      <c r="J84" s="22" t="str">
        <f>IF(K84&lt;&gt;"",IF(COUNTA($X84:$XFD84)*30&lt;$M84,1,0),"")</f>
        <v/>
      </c>
      <c r="K84" t="str">
        <f>IF($K83&lt;NCUOTAS+CUOTAADICIONAL+PGRACIA,$K83+1,"")</f>
        <v/>
      </c>
      <c r="L84" s="5" t="str">
        <f>IF($K84&lt;&gt;"",IF(ULTIMODIA=0,IF($E84="",DATE(YEAR($M$7),MONTH($M$7)+($A$1*($H84-1))+SUM($B$12:$B84),DAY($M$7)),$E84),G84),"")</f>
        <v/>
      </c>
      <c r="M84" s="9" t="str">
        <f>IF($K84&lt;&gt;"",$L84-$L83,"")</f>
        <v/>
      </c>
      <c r="N84" s="3" t="str">
        <f>IF($K84&lt;&gt;"",$U83,"")</f>
        <v/>
      </c>
      <c r="O84" s="3" t="str">
        <f>IF($K84&lt;&gt;"",IF($A84="Gracia Parcial",IF(AND($C84&lt;$W84+$R84+$S84+$T84+$V83,$C84&gt;0),$C84,$W84+$R84+$S84+$T84+$V83),IF($A84="Gracia Total",0,IF($A84="Prepago",$C84,IF(ISNUMBER($C84),$C84*VALUE(MID($C$1,MONTH($L84),1)),$P$5*VALUE(MID($C$1,MONTH($L84),1))))))-IF($K85="",ARREGLO,0),"")</f>
        <v/>
      </c>
      <c r="P84" s="3" t="str">
        <f>IF($K84&lt;&gt;"",IF($O84-$Q84&gt;0,$O84-$Q84-$R84-$S84-$T84,0),"")</f>
        <v/>
      </c>
      <c r="Q84" s="3" t="str">
        <f t="shared" si="2"/>
        <v/>
      </c>
      <c r="R84" s="3" t="str">
        <f>IF($K84&lt;&gt;"",IF($A84="Prepago",0,IF(($H84+SUM($B$12:$B84))*$S$6&gt;SUM($R$11:$R83)+$S$6,$S$6*2,$S$6)),"")</f>
        <v/>
      </c>
      <c r="S84" s="3" t="str">
        <f>IF($K84&lt;&gt;"",IF($A84="Prepago",0,IF(($H84+SUM($B$12:$B84))*$S$7&gt;SUM($S$11:$S83)+$S$7,$S$7*2,$S$7)),"")</f>
        <v/>
      </c>
      <c r="T84" s="3" t="str">
        <f>IF($K84&lt;&gt;"",IF($A84="Prepago",0,IF(($H84+SUM($B$12:$B84))*$S$8&gt;SUM($T$11:$T83)+$S$8,$S$8*2,$S$8)),"")</f>
        <v/>
      </c>
      <c r="U84" s="3" t="str">
        <f>IF($K84&lt;&gt;"",$N84-$P84,"")</f>
        <v/>
      </c>
      <c r="V84" s="3" t="str">
        <f t="shared" si="3"/>
        <v/>
      </c>
      <c r="W84" s="3" t="str">
        <f>IF($K84&lt;&gt;"",SUM($X84:$XFD84),"")</f>
        <v/>
      </c>
      <c r="X84" s="3" t="str">
        <f>IF($K84&lt;&gt;"",IF($M84&gt;X$11,30,$M84)*ROUND(($N84+$V83)*$T$5/3000,2),"")</f>
        <v/>
      </c>
      <c r="Y84" s="3" t="str">
        <f>IF($K84&lt;&gt;"",IF($M84&gt;X$11,IF($M84&lt;Y$11,$M84-X$11,30),0)*ROUND(($N84+$V83+SUM($X84:X84))*$T$5/3000,2),"")</f>
        <v/>
      </c>
      <c r="Z84" s="3"/>
      <c r="AA84" s="3"/>
    </row>
    <row r="85" spans="5:27" x14ac:dyDescent="0.25">
      <c r="E85" s="5"/>
      <c r="F85" t="str">
        <f>IF($K85&lt;&gt;"",TEXT(L85,"DDD"),"")</f>
        <v/>
      </c>
      <c r="G85" s="5" t="str">
        <f>IF($K85&lt;&gt;"",EOMONTH(DATE(YEAR($M$6),$G$11+K85+SUM($B$12:B85),1),0),"")</f>
        <v/>
      </c>
      <c r="H85" s="22" t="str">
        <f>IF($K85&lt;&gt;"",IF($A85="Prepago",$H84,$H84+1),"")</f>
        <v/>
      </c>
      <c r="I85" s="22" t="str">
        <f>IF($K85&lt;&gt;"",IF(ISNUMBER($C85),-$P85+$W85-$Q85,ABS($W85)+$R85+$S85+$T85),"")</f>
        <v/>
      </c>
      <c r="J85" s="22" t="str">
        <f>IF(K85&lt;&gt;"",IF(COUNTA($X85:$XFD85)*30&lt;$M85,1,0),"")</f>
        <v/>
      </c>
      <c r="K85" t="str">
        <f>IF($K84&lt;NCUOTAS+CUOTAADICIONAL+PGRACIA,$K84+1,"")</f>
        <v/>
      </c>
      <c r="L85" s="5" t="str">
        <f>IF($K85&lt;&gt;"",IF(ULTIMODIA=0,IF($E85="",DATE(YEAR($M$7),MONTH($M$7)+($A$1*($H85-1))+SUM($B$12:$B85),DAY($M$7)),$E85),G85),"")</f>
        <v/>
      </c>
      <c r="M85" s="9" t="str">
        <f>IF($K85&lt;&gt;"",$L85-$L84,"")</f>
        <v/>
      </c>
      <c r="N85" s="3" t="str">
        <f>IF($K85&lt;&gt;"",$U84,"")</f>
        <v/>
      </c>
      <c r="O85" s="3" t="str">
        <f>IF($K85&lt;&gt;"",IF($A85="Gracia Parcial",IF(AND($C85&lt;$W85+$R85+$S85+$T85+$V84,$C85&gt;0),$C85,$W85+$R85+$S85+$T85+$V84),IF($A85="Gracia Total",0,IF($A85="Prepago",$C85,IF(ISNUMBER($C85),$C85*VALUE(MID($C$1,MONTH($L85),1)),$P$5*VALUE(MID($C$1,MONTH($L85),1))))))-IF($K86="",ARREGLO,0),"")</f>
        <v/>
      </c>
      <c r="P85" s="3" t="str">
        <f>IF($K85&lt;&gt;"",IF($O85-$Q85&gt;0,$O85-$Q85-$R85-$S85-$T85,0),"")</f>
        <v/>
      </c>
      <c r="Q85" s="3" t="str">
        <f t="shared" si="2"/>
        <v/>
      </c>
      <c r="R85" s="3" t="str">
        <f>IF($K85&lt;&gt;"",IF($A85="Prepago",0,IF(($H85+SUM($B$12:$B85))*$S$6&gt;SUM($R$11:$R84)+$S$6,$S$6*2,$S$6)),"")</f>
        <v/>
      </c>
      <c r="S85" s="3" t="str">
        <f>IF($K85&lt;&gt;"",IF($A85="Prepago",0,IF(($H85+SUM($B$12:$B85))*$S$7&gt;SUM($S$11:$S84)+$S$7,$S$7*2,$S$7)),"")</f>
        <v/>
      </c>
      <c r="T85" s="3" t="str">
        <f>IF($K85&lt;&gt;"",IF($A85="Prepago",0,IF(($H85+SUM($B$12:$B85))*$S$8&gt;SUM($T$11:$T84)+$S$8,$S$8*2,$S$8)),"")</f>
        <v/>
      </c>
      <c r="U85" s="3" t="str">
        <f>IF($K85&lt;&gt;"",$N85-$P85,"")</f>
        <v/>
      </c>
      <c r="V85" s="3" t="str">
        <f t="shared" si="3"/>
        <v/>
      </c>
      <c r="W85" s="3" t="str">
        <f>IF($K85&lt;&gt;"",SUM($X85:$XFD85),"")</f>
        <v/>
      </c>
      <c r="X85" s="3" t="str">
        <f>IF($K85&lt;&gt;"",IF($M85&gt;X$11,30,$M85)*ROUND(($N85+$V84)*$T$5/3000,2),"")</f>
        <v/>
      </c>
      <c r="Y85" s="3" t="str">
        <f>IF($K85&lt;&gt;"",IF($M85&gt;X$11,IF($M85&lt;Y$11,$M85-X$11,30),0)*ROUND(($N85+$V84+SUM($X85:X85))*$T$5/3000,2),"")</f>
        <v/>
      </c>
      <c r="Z85" s="3"/>
      <c r="AA85" s="3"/>
    </row>
    <row r="86" spans="5:27" x14ac:dyDescent="0.25">
      <c r="E86" s="5"/>
      <c r="F86" t="str">
        <f>IF($K86&lt;&gt;"",TEXT(L86,"DDD"),"")</f>
        <v/>
      </c>
      <c r="G86" s="5" t="str">
        <f>IF($K86&lt;&gt;"",EOMONTH(DATE(YEAR($M$6),$G$11+K86+SUM($B$12:B86),1),0),"")</f>
        <v/>
      </c>
      <c r="H86" s="22" t="str">
        <f>IF($K86&lt;&gt;"",IF($A86="Prepago",$H85,$H85+1),"")</f>
        <v/>
      </c>
      <c r="I86" s="22" t="str">
        <f>IF($K86&lt;&gt;"",IF(ISNUMBER($C86),-$P86+$W86-$Q86,ABS($W86)+$R86+$S86+$T86),"")</f>
        <v/>
      </c>
      <c r="J86" s="22" t="str">
        <f>IF(K86&lt;&gt;"",IF(COUNTA($X86:$XFD86)*30&lt;$M86,1,0),"")</f>
        <v/>
      </c>
      <c r="K86" t="str">
        <f>IF($K85&lt;NCUOTAS+CUOTAADICIONAL+PGRACIA,$K85+1,"")</f>
        <v/>
      </c>
      <c r="L86" s="5" t="str">
        <f>IF($K86&lt;&gt;"",IF(ULTIMODIA=0,IF($E86="",DATE(YEAR($M$7),MONTH($M$7)+($A$1*($H86-1))+SUM($B$12:$B86),DAY($M$7)),$E86),G86),"")</f>
        <v/>
      </c>
      <c r="M86" s="9" t="str">
        <f>IF($K86&lt;&gt;"",$L86-$L85,"")</f>
        <v/>
      </c>
      <c r="N86" s="3" t="str">
        <f>IF($K86&lt;&gt;"",$U85,"")</f>
        <v/>
      </c>
      <c r="O86" s="3" t="str">
        <f>IF($K86&lt;&gt;"",IF($A86="Gracia Parcial",IF(AND($C86&lt;$W86+$R86+$S86+$T86+$V85,$C86&gt;0),$C86,$W86+$R86+$S86+$T86+$V85),IF($A86="Gracia Total",0,IF($A86="Prepago",$C86,IF(ISNUMBER($C86),$C86*VALUE(MID($C$1,MONTH($L86),1)),$P$5*VALUE(MID($C$1,MONTH($L86),1))))))-IF($K87="",ARREGLO,0),"")</f>
        <v/>
      </c>
      <c r="P86" s="3" t="str">
        <f>IF($K86&lt;&gt;"",IF($O86-$Q86&gt;0,$O86-$Q86-$R86-$S86-$T86,0),"")</f>
        <v/>
      </c>
      <c r="Q86" s="3" t="str">
        <f t="shared" si="2"/>
        <v/>
      </c>
      <c r="R86" s="3" t="str">
        <f>IF($K86&lt;&gt;"",IF($A86="Prepago",0,IF(($H86+SUM($B$12:$B86))*$S$6&gt;SUM($R$11:$R85)+$S$6,$S$6*2,$S$6)),"")</f>
        <v/>
      </c>
      <c r="S86" s="3" t="str">
        <f>IF($K86&lt;&gt;"",IF($A86="Prepago",0,IF(($H86+SUM($B$12:$B86))*$S$7&gt;SUM($S$11:$S85)+$S$7,$S$7*2,$S$7)),"")</f>
        <v/>
      </c>
      <c r="T86" s="3" t="str">
        <f>IF($K86&lt;&gt;"",IF($A86="Prepago",0,IF(($H86+SUM($B$12:$B86))*$S$8&gt;SUM($T$11:$T85)+$S$8,$S$8*2,$S$8)),"")</f>
        <v/>
      </c>
      <c r="U86" s="3" t="str">
        <f>IF($K86&lt;&gt;"",$N86-$P86,"")</f>
        <v/>
      </c>
      <c r="V86" s="3" t="str">
        <f t="shared" si="3"/>
        <v/>
      </c>
      <c r="W86" s="3" t="str">
        <f>IF($K86&lt;&gt;"",SUM($X86:$XFD86),"")</f>
        <v/>
      </c>
      <c r="X86" s="3" t="str">
        <f>IF($K86&lt;&gt;"",IF($M86&gt;X$11,30,$M86)*ROUND(($N86+$V85)*$T$5/3000,2),"")</f>
        <v/>
      </c>
      <c r="Y86" s="3" t="str">
        <f>IF($K86&lt;&gt;"",IF($M86&gt;X$11,IF($M86&lt;Y$11,$M86-X$11,30),0)*ROUND(($N86+$V85+SUM($X86:X86))*$T$5/3000,2),"")</f>
        <v/>
      </c>
      <c r="Z86" s="3"/>
      <c r="AA86" s="3"/>
    </row>
    <row r="87" spans="5:27" x14ac:dyDescent="0.25">
      <c r="E87" s="5"/>
      <c r="F87" t="str">
        <f>IF($K87&lt;&gt;"",TEXT(L87,"DDD"),"")</f>
        <v/>
      </c>
      <c r="G87" s="5" t="str">
        <f>IF($K87&lt;&gt;"",EOMONTH(DATE(YEAR($M$6),$G$11+K87+SUM($B$12:B87),1),0),"")</f>
        <v/>
      </c>
      <c r="H87" s="22" t="str">
        <f>IF($K87&lt;&gt;"",IF($A87="Prepago",$H86,$H86+1),"")</f>
        <v/>
      </c>
      <c r="I87" s="22" t="str">
        <f>IF($K87&lt;&gt;"",IF(ISNUMBER($C87),-$P87+$W87-$Q87,ABS($W87)+$R87+$S87+$T87),"")</f>
        <v/>
      </c>
      <c r="J87" s="22" t="str">
        <f>IF(K87&lt;&gt;"",IF(COUNTA($X87:$XFD87)*30&lt;$M87,1,0),"")</f>
        <v/>
      </c>
      <c r="K87" t="str">
        <f>IF($K86&lt;NCUOTAS+CUOTAADICIONAL+PGRACIA,$K86+1,"")</f>
        <v/>
      </c>
      <c r="L87" s="5" t="str">
        <f>IF($K87&lt;&gt;"",IF(ULTIMODIA=0,IF($E87="",DATE(YEAR($M$7),MONTH($M$7)+($A$1*($H87-1))+SUM($B$12:$B87),DAY($M$7)),$E87),G87),"")</f>
        <v/>
      </c>
      <c r="M87" s="9" t="str">
        <f>IF($K87&lt;&gt;"",$L87-$L86,"")</f>
        <v/>
      </c>
      <c r="N87" s="3" t="str">
        <f>IF($K87&lt;&gt;"",$U86,"")</f>
        <v/>
      </c>
      <c r="O87" s="3" t="str">
        <f>IF($K87&lt;&gt;"",IF($A87="Gracia Parcial",IF(AND($C87&lt;$W87+$R87+$S87+$T87+$V86,$C87&gt;0),$C87,$W87+$R87+$S87+$T87+$V86),IF($A87="Gracia Total",0,IF($A87="Prepago",$C87,IF(ISNUMBER($C87),$C87*VALUE(MID($C$1,MONTH($L87),1)),$P$5*VALUE(MID($C$1,MONTH($L87),1))))))-IF($K88="",ARREGLO,0),"")</f>
        <v/>
      </c>
      <c r="P87" s="3" t="str">
        <f>IF($K87&lt;&gt;"",IF($O87-$Q87&gt;0,$O87-$Q87-$R87-$S87-$T87,0),"")</f>
        <v/>
      </c>
      <c r="Q87" s="3" t="str">
        <f t="shared" si="2"/>
        <v/>
      </c>
      <c r="R87" s="3" t="str">
        <f>IF($K87&lt;&gt;"",IF($A87="Prepago",0,IF(($H87+SUM($B$12:$B87))*$S$6&gt;SUM($R$11:$R86)+$S$6,$S$6*2,$S$6)),"")</f>
        <v/>
      </c>
      <c r="S87" s="3" t="str">
        <f>IF($K87&lt;&gt;"",IF($A87="Prepago",0,IF(($H87+SUM($B$12:$B87))*$S$7&gt;SUM($S$11:$S86)+$S$7,$S$7*2,$S$7)),"")</f>
        <v/>
      </c>
      <c r="T87" s="3" t="str">
        <f>IF($K87&lt;&gt;"",IF($A87="Prepago",0,IF(($H87+SUM($B$12:$B87))*$S$8&gt;SUM($T$11:$T86)+$S$8,$S$8*2,$S$8)),"")</f>
        <v/>
      </c>
      <c r="U87" s="3" t="str">
        <f>IF($K87&lt;&gt;"",$N87-$P87,"")</f>
        <v/>
      </c>
      <c r="V87" s="3" t="str">
        <f t="shared" si="3"/>
        <v/>
      </c>
      <c r="W87" s="3" t="str">
        <f>IF($K87&lt;&gt;"",SUM($X87:$XFD87),"")</f>
        <v/>
      </c>
      <c r="X87" s="3" t="str">
        <f>IF($K87&lt;&gt;"",IF($M87&gt;X$11,30,$M87)*ROUND(($N87+$V86)*$T$5/3000,2),"")</f>
        <v/>
      </c>
      <c r="Y87" s="3" t="str">
        <f>IF($K87&lt;&gt;"",IF($M87&gt;X$11,IF($M87&lt;Y$11,$M87-X$11,30),0)*ROUND(($N87+$V86+SUM($X87:X87))*$T$5/3000,2),"")</f>
        <v/>
      </c>
      <c r="Z87" s="3"/>
      <c r="AA87" s="3"/>
    </row>
    <row r="88" spans="5:27" x14ac:dyDescent="0.25">
      <c r="E88" s="5"/>
      <c r="F88" t="str">
        <f>IF($K88&lt;&gt;"",TEXT(L88,"DDD"),"")</f>
        <v/>
      </c>
      <c r="G88" s="5" t="str">
        <f>IF($K88&lt;&gt;"",EOMONTH(DATE(YEAR($M$6),$G$11+K88+SUM($B$12:B88),1),0),"")</f>
        <v/>
      </c>
      <c r="H88" s="22" t="str">
        <f>IF($K88&lt;&gt;"",IF($A88="Prepago",$H87,$H87+1),"")</f>
        <v/>
      </c>
      <c r="I88" s="22" t="str">
        <f>IF($K88&lt;&gt;"",IF(ISNUMBER($C88),-$P88+$W88-$Q88,ABS($W88)+$R88+$S88+$T88),"")</f>
        <v/>
      </c>
      <c r="J88" s="22" t="str">
        <f>IF(K88&lt;&gt;"",IF(COUNTA($X88:$XFD88)*30&lt;$M88,1,0),"")</f>
        <v/>
      </c>
      <c r="K88" t="str">
        <f>IF($K87&lt;NCUOTAS+CUOTAADICIONAL+PGRACIA,$K87+1,"")</f>
        <v/>
      </c>
      <c r="L88" s="5" t="str">
        <f>IF($K88&lt;&gt;"",IF(ULTIMODIA=0,IF($E88="",DATE(YEAR($M$7),MONTH($M$7)+($A$1*($H88-1))+SUM($B$12:$B88),DAY($M$7)),$E88),G88),"")</f>
        <v/>
      </c>
      <c r="M88" s="9" t="str">
        <f>IF($K88&lt;&gt;"",$L88-$L87,"")</f>
        <v/>
      </c>
      <c r="N88" s="3" t="str">
        <f>IF($K88&lt;&gt;"",$U87,"")</f>
        <v/>
      </c>
      <c r="O88" s="3" t="str">
        <f>IF($K88&lt;&gt;"",IF($A88="Gracia Parcial",IF(AND($C88&lt;$W88+$R88+$S88+$T88+$V87,$C88&gt;0),$C88,$W88+$R88+$S88+$T88+$V87),IF($A88="Gracia Total",0,IF($A88="Prepago",$C88,IF(ISNUMBER($C88),$C88*VALUE(MID($C$1,MONTH($L88),1)),$P$5*VALUE(MID($C$1,MONTH($L88),1))))))-IF($K89="",ARREGLO,0),"")</f>
        <v/>
      </c>
      <c r="P88" s="3" t="str">
        <f>IF($K88&lt;&gt;"",IF($O88-$Q88&gt;0,$O88-$Q88-$R88-$S88-$T88,0),"")</f>
        <v/>
      </c>
      <c r="Q88" s="3" t="str">
        <f t="shared" si="2"/>
        <v/>
      </c>
      <c r="R88" s="3" t="str">
        <f>IF($K88&lt;&gt;"",IF($A88="Prepago",0,IF(($H88+SUM($B$12:$B88))*$S$6&gt;SUM($R$11:$R87)+$S$6,$S$6*2,$S$6)),"")</f>
        <v/>
      </c>
      <c r="S88" s="3" t="str">
        <f>IF($K88&lt;&gt;"",IF($A88="Prepago",0,IF(($H88+SUM($B$12:$B88))*$S$7&gt;SUM($S$11:$S87)+$S$7,$S$7*2,$S$7)),"")</f>
        <v/>
      </c>
      <c r="T88" s="3" t="str">
        <f>IF($K88&lt;&gt;"",IF($A88="Prepago",0,IF(($H88+SUM($B$12:$B88))*$S$8&gt;SUM($T$11:$T87)+$S$8,$S$8*2,$S$8)),"")</f>
        <v/>
      </c>
      <c r="U88" s="3" t="str">
        <f>IF($K88&lt;&gt;"",$N88-$P88,"")</f>
        <v/>
      </c>
      <c r="V88" s="3" t="str">
        <f t="shared" si="3"/>
        <v/>
      </c>
      <c r="W88" s="3" t="str">
        <f>IF($K88&lt;&gt;"",SUM($X88:$XFD88),"")</f>
        <v/>
      </c>
      <c r="X88" s="3" t="str">
        <f>IF($K88&lt;&gt;"",IF($M88&gt;X$11,30,$M88)*ROUND(($N88+$V87)*$T$5/3000,2),"")</f>
        <v/>
      </c>
      <c r="Y88" s="3" t="str">
        <f>IF($K88&lt;&gt;"",IF($M88&gt;X$11,IF($M88&lt;Y$11,$M88-X$11,30),0)*ROUND(($N88+$V87+SUM($X88:X88))*$T$5/3000,2),"")</f>
        <v/>
      </c>
      <c r="Z88" s="3"/>
      <c r="AA88" s="3"/>
    </row>
    <row r="89" spans="5:27" x14ac:dyDescent="0.25">
      <c r="E89" s="5"/>
      <c r="F89" t="str">
        <f>IF($K89&lt;&gt;"",TEXT(L89,"DDD"),"")</f>
        <v/>
      </c>
      <c r="G89" s="5" t="str">
        <f>IF($K89&lt;&gt;"",EOMONTH(DATE(YEAR($M$6),$G$11+K89+SUM($B$12:B89),1),0),"")</f>
        <v/>
      </c>
      <c r="H89" s="22" t="str">
        <f>IF($K89&lt;&gt;"",IF($A89="Prepago",$H88,$H88+1),"")</f>
        <v/>
      </c>
      <c r="I89" s="22" t="str">
        <f>IF($K89&lt;&gt;"",IF(ISNUMBER($C89),-$P89+$W89-$Q89,ABS($W89)+$R89+$S89+$T89),"")</f>
        <v/>
      </c>
      <c r="J89" s="22" t="str">
        <f>IF(K89&lt;&gt;"",IF(COUNTA($X89:$XFD89)*30&lt;$M89,1,0),"")</f>
        <v/>
      </c>
      <c r="K89" t="str">
        <f>IF($K88&lt;NCUOTAS+CUOTAADICIONAL+PGRACIA,$K88+1,"")</f>
        <v/>
      </c>
      <c r="L89" s="5" t="str">
        <f>IF($K89&lt;&gt;"",IF(ULTIMODIA=0,IF($E89="",DATE(YEAR($M$7),MONTH($M$7)+($A$1*($H89-1))+SUM($B$12:$B89),DAY($M$7)),$E89),G89),"")</f>
        <v/>
      </c>
      <c r="M89" s="9" t="str">
        <f>IF($K89&lt;&gt;"",$L89-$L88,"")</f>
        <v/>
      </c>
      <c r="N89" s="3" t="str">
        <f>IF($K89&lt;&gt;"",$U88,"")</f>
        <v/>
      </c>
      <c r="O89" s="3" t="str">
        <f>IF($K89&lt;&gt;"",IF($A89="Gracia Parcial",IF(AND($C89&lt;$W89+$R89+$S89+$T89+$V88,$C89&gt;0),$C89,$W89+$R89+$S89+$T89+$V88),IF($A89="Gracia Total",0,IF($A89="Prepago",$C89,IF(ISNUMBER($C89),$C89*VALUE(MID($C$1,MONTH($L89),1)),$P$5*VALUE(MID($C$1,MONTH($L89),1))))))-IF($K90="",ARREGLO,0),"")</f>
        <v/>
      </c>
      <c r="P89" s="3" t="str">
        <f>IF($K89&lt;&gt;"",IF($O89-$Q89&gt;0,$O89-$Q89-$R89-$S89-$T89,0),"")</f>
        <v/>
      </c>
      <c r="Q89" s="3" t="str">
        <f t="shared" si="2"/>
        <v/>
      </c>
      <c r="R89" s="3" t="str">
        <f>IF($K89&lt;&gt;"",IF($A89="Prepago",0,IF(($H89+SUM($B$12:$B89))*$S$6&gt;SUM($R$11:$R88)+$S$6,$S$6*2,$S$6)),"")</f>
        <v/>
      </c>
      <c r="S89" s="3" t="str">
        <f>IF($K89&lt;&gt;"",IF($A89="Prepago",0,IF(($H89+SUM($B$12:$B89))*$S$7&gt;SUM($S$11:$S88)+$S$7,$S$7*2,$S$7)),"")</f>
        <v/>
      </c>
      <c r="T89" s="3" t="str">
        <f>IF($K89&lt;&gt;"",IF($A89="Prepago",0,IF(($H89+SUM($B$12:$B89))*$S$8&gt;SUM($T$11:$T88)+$S$8,$S$8*2,$S$8)),"")</f>
        <v/>
      </c>
      <c r="U89" s="3" t="str">
        <f>IF($K89&lt;&gt;"",$N89-$P89,"")</f>
        <v/>
      </c>
      <c r="V89" s="3" t="str">
        <f t="shared" si="3"/>
        <v/>
      </c>
      <c r="W89" s="3" t="str">
        <f>IF($K89&lt;&gt;"",SUM($X89:$XFD89),"")</f>
        <v/>
      </c>
      <c r="X89" s="3" t="str">
        <f>IF($K89&lt;&gt;"",IF($M89&gt;X$11,30,$M89)*ROUND(($N89+$V88)*$T$5/3000,2),"")</f>
        <v/>
      </c>
      <c r="Y89" s="3" t="str">
        <f>IF($K89&lt;&gt;"",IF($M89&gt;X$11,IF($M89&lt;Y$11,$M89-X$11,30),0)*ROUND(($N89+$V88+SUM($X89:X89))*$T$5/3000,2),"")</f>
        <v/>
      </c>
      <c r="Z89" s="3"/>
      <c r="AA89" s="3"/>
    </row>
    <row r="90" spans="5:27" x14ac:dyDescent="0.25">
      <c r="E90" s="5"/>
      <c r="F90" t="str">
        <f>IF($K90&lt;&gt;"",TEXT(L90,"DDD"),"")</f>
        <v/>
      </c>
      <c r="G90" s="5" t="str">
        <f>IF($K90&lt;&gt;"",EOMONTH(DATE(YEAR($M$6),$G$11+K90+SUM($B$12:B90),1),0),"")</f>
        <v/>
      </c>
      <c r="H90" s="22" t="str">
        <f>IF($K90&lt;&gt;"",IF($A90="Prepago",$H89,$H89+1),"")</f>
        <v/>
      </c>
      <c r="I90" s="22" t="str">
        <f>IF($K90&lt;&gt;"",IF(ISNUMBER($C90),-$P90+$W90-$Q90,ABS($W90)+$R90+$S90+$T90),"")</f>
        <v/>
      </c>
      <c r="J90" s="22" t="str">
        <f>IF(K90&lt;&gt;"",IF(COUNTA($X90:$XFD90)*30&lt;$M90,1,0),"")</f>
        <v/>
      </c>
      <c r="K90" t="str">
        <f>IF($K89&lt;NCUOTAS+CUOTAADICIONAL+PGRACIA,$K89+1,"")</f>
        <v/>
      </c>
      <c r="L90" s="5" t="str">
        <f>IF($K90&lt;&gt;"",IF(ULTIMODIA=0,IF($E90="",DATE(YEAR($M$7),MONTH($M$7)+($A$1*($H90-1))+SUM($B$12:$B90),DAY($M$7)),$E90),G90),"")</f>
        <v/>
      </c>
      <c r="M90" s="9" t="str">
        <f>IF($K90&lt;&gt;"",$L90-$L89,"")</f>
        <v/>
      </c>
      <c r="N90" s="3" t="str">
        <f>IF($K90&lt;&gt;"",$U89,"")</f>
        <v/>
      </c>
      <c r="O90" s="3" t="str">
        <f>IF($K90&lt;&gt;"",IF($A90="Gracia Parcial",IF(AND($C90&lt;$W90+$R90+$S90+$T90+$V89,$C90&gt;0),$C90,$W90+$R90+$S90+$T90+$V89),IF($A90="Gracia Total",0,IF($A90="Prepago",$C90,IF(ISNUMBER($C90),$C90*VALUE(MID($C$1,MONTH($L90),1)),$P$5*VALUE(MID($C$1,MONTH($L90),1))))))-IF($K91="",ARREGLO,0),"")</f>
        <v/>
      </c>
      <c r="P90" s="3" t="str">
        <f>IF($K90&lt;&gt;"",IF($O90-$Q90&gt;0,$O90-$Q90-$R90-$S90-$T90,0),"")</f>
        <v/>
      </c>
      <c r="Q90" s="3" t="str">
        <f t="shared" si="2"/>
        <v/>
      </c>
      <c r="R90" s="3" t="str">
        <f>IF($K90&lt;&gt;"",IF($A90="Prepago",0,IF(($H90+SUM($B$12:$B90))*$S$6&gt;SUM($R$11:$R89)+$S$6,$S$6*2,$S$6)),"")</f>
        <v/>
      </c>
      <c r="S90" s="3" t="str">
        <f>IF($K90&lt;&gt;"",IF($A90="Prepago",0,IF(($H90+SUM($B$12:$B90))*$S$7&gt;SUM($S$11:$S89)+$S$7,$S$7*2,$S$7)),"")</f>
        <v/>
      </c>
      <c r="T90" s="3" t="str">
        <f>IF($K90&lt;&gt;"",IF($A90="Prepago",0,IF(($H90+SUM($B$12:$B90))*$S$8&gt;SUM($T$11:$T89)+$S$8,$S$8*2,$S$8)),"")</f>
        <v/>
      </c>
      <c r="U90" s="3" t="str">
        <f>IF($K90&lt;&gt;"",$N90-$P90,"")</f>
        <v/>
      </c>
      <c r="V90" s="3" t="str">
        <f t="shared" si="3"/>
        <v/>
      </c>
      <c r="W90" s="3" t="str">
        <f>IF($K90&lt;&gt;"",SUM($X90:$XFD90),"")</f>
        <v/>
      </c>
      <c r="X90" s="3" t="str">
        <f>IF($K90&lt;&gt;"",IF($M90&gt;X$11,30,$M90)*ROUND(($N90+$V89)*$T$5/3000,2),"")</f>
        <v/>
      </c>
      <c r="Y90" s="3" t="str">
        <f>IF($K90&lt;&gt;"",IF($M90&gt;X$11,IF($M90&lt;Y$11,$M90-X$11,30),0)*ROUND(($N90+$V89+SUM($X90:X90))*$T$5/3000,2),"")</f>
        <v/>
      </c>
      <c r="Z90" s="3"/>
      <c r="AA90" s="3"/>
    </row>
    <row r="91" spans="5:27" x14ac:dyDescent="0.25">
      <c r="E91" s="5"/>
      <c r="F91" t="str">
        <f>IF($K91&lt;&gt;"",TEXT(L91,"DDD"),"")</f>
        <v/>
      </c>
      <c r="G91" s="5" t="str">
        <f>IF($K91&lt;&gt;"",EOMONTH(DATE(YEAR($M$6),$G$11+K91+SUM($B$12:B91),1),0),"")</f>
        <v/>
      </c>
      <c r="H91" s="22" t="str">
        <f>IF($K91&lt;&gt;"",IF($A91="Prepago",$H90,$H90+1),"")</f>
        <v/>
      </c>
      <c r="I91" s="22" t="str">
        <f>IF($K91&lt;&gt;"",IF(ISNUMBER($C91),-$P91+$W91-$Q91,ABS($W91)+$R91+$S91+$T91),"")</f>
        <v/>
      </c>
      <c r="J91" s="22" t="str">
        <f>IF(K91&lt;&gt;"",IF(COUNTA($X91:$XFD91)*30&lt;$M91,1,0),"")</f>
        <v/>
      </c>
      <c r="K91" t="str">
        <f>IF($K90&lt;NCUOTAS+CUOTAADICIONAL+PGRACIA,$K90+1,"")</f>
        <v/>
      </c>
      <c r="L91" s="5" t="str">
        <f>IF($K91&lt;&gt;"",IF(ULTIMODIA=0,IF($E91="",DATE(YEAR($M$7),MONTH($M$7)+($A$1*($H91-1))+SUM($B$12:$B91),DAY($M$7)),$E91),G91),"")</f>
        <v/>
      </c>
      <c r="M91" s="9" t="str">
        <f>IF($K91&lt;&gt;"",$L91-$L90,"")</f>
        <v/>
      </c>
      <c r="N91" s="3" t="str">
        <f>IF($K91&lt;&gt;"",$U90,"")</f>
        <v/>
      </c>
      <c r="O91" s="3" t="str">
        <f>IF($K91&lt;&gt;"",IF($A91="Gracia Parcial",IF(AND($C91&lt;$W91+$R91+$S91+$T91+$V90,$C91&gt;0),$C91,$W91+$R91+$S91+$T91+$V90),IF($A91="Gracia Total",0,IF($A91="Prepago",$C91,IF(ISNUMBER($C91),$C91*VALUE(MID($C$1,MONTH($L91),1)),$P$5*VALUE(MID($C$1,MONTH($L91),1))))))-IF($K92="",ARREGLO,0),"")</f>
        <v/>
      </c>
      <c r="P91" s="3" t="str">
        <f>IF($K91&lt;&gt;"",IF($O91-$Q91&gt;0,$O91-$Q91-$R91-$S91-$T91,0),"")</f>
        <v/>
      </c>
      <c r="Q91" s="3" t="str">
        <f t="shared" si="2"/>
        <v/>
      </c>
      <c r="R91" s="3" t="str">
        <f>IF($K91&lt;&gt;"",IF($A91="Prepago",0,IF(($H91+SUM($B$12:$B91))*$S$6&gt;SUM($R$11:$R90)+$S$6,$S$6*2,$S$6)),"")</f>
        <v/>
      </c>
      <c r="S91" s="3" t="str">
        <f>IF($K91&lt;&gt;"",IF($A91="Prepago",0,IF(($H91+SUM($B$12:$B91))*$S$7&gt;SUM($S$11:$S90)+$S$7,$S$7*2,$S$7)),"")</f>
        <v/>
      </c>
      <c r="T91" s="3" t="str">
        <f>IF($K91&lt;&gt;"",IF($A91="Prepago",0,IF(($H91+SUM($B$12:$B91))*$S$8&gt;SUM($T$11:$T90)+$S$8,$S$8*2,$S$8)),"")</f>
        <v/>
      </c>
      <c r="U91" s="3" t="str">
        <f>IF($K91&lt;&gt;"",$N91-$P91,"")</f>
        <v/>
      </c>
      <c r="V91" s="3" t="str">
        <f t="shared" si="3"/>
        <v/>
      </c>
      <c r="W91" s="3" t="str">
        <f>IF($K91&lt;&gt;"",SUM($X91:$XFD91),"")</f>
        <v/>
      </c>
      <c r="X91" s="3" t="str">
        <f>IF($K91&lt;&gt;"",IF($M91&gt;X$11,30,$M91)*ROUND(($N91+$V90)*$T$5/3000,2),"")</f>
        <v/>
      </c>
      <c r="Y91" s="3" t="str">
        <f>IF($K91&lt;&gt;"",IF($M91&gt;X$11,IF($M91&lt;Y$11,$M91-X$11,30),0)*ROUND(($N91+$V90+SUM($X91:X91))*$T$5/3000,2),"")</f>
        <v/>
      </c>
      <c r="Z91" s="3"/>
      <c r="AA91" s="3"/>
    </row>
    <row r="92" spans="5:27" x14ac:dyDescent="0.25">
      <c r="E92" s="5"/>
      <c r="F92" t="str">
        <f>IF($K92&lt;&gt;"",TEXT(L92,"DDD"),"")</f>
        <v/>
      </c>
      <c r="G92" s="5" t="str">
        <f>IF($K92&lt;&gt;"",EOMONTH(DATE(YEAR($M$6),$G$11+K92+SUM($B$12:B92),1),0),"")</f>
        <v/>
      </c>
      <c r="H92" s="22" t="str">
        <f>IF($K92&lt;&gt;"",IF($A92="Prepago",$H91,$H91+1),"")</f>
        <v/>
      </c>
      <c r="I92" s="22" t="str">
        <f>IF($K92&lt;&gt;"",IF(ISNUMBER($C92),-$P92+$W92-$Q92,ABS($W92)+$R92+$S92+$T92),"")</f>
        <v/>
      </c>
      <c r="J92" s="22" t="str">
        <f>IF(K92&lt;&gt;"",IF(COUNTA($X92:$XFD92)*30&lt;$M92,1,0),"")</f>
        <v/>
      </c>
      <c r="K92" t="str">
        <f>IF($K91&lt;NCUOTAS+CUOTAADICIONAL+PGRACIA,$K91+1,"")</f>
        <v/>
      </c>
      <c r="L92" s="5" t="str">
        <f>IF($K92&lt;&gt;"",IF(ULTIMODIA=0,IF($E92="",DATE(YEAR($M$7),MONTH($M$7)+($A$1*($H92-1))+SUM($B$12:$B92),DAY($M$7)),$E92),G92),"")</f>
        <v/>
      </c>
      <c r="M92" s="9" t="str">
        <f>IF($K92&lt;&gt;"",$L92-$L91,"")</f>
        <v/>
      </c>
      <c r="N92" s="3" t="str">
        <f>IF($K92&lt;&gt;"",$U91,"")</f>
        <v/>
      </c>
      <c r="O92" s="3" t="str">
        <f>IF($K92&lt;&gt;"",IF($A92="Gracia Parcial",IF(AND($C92&lt;$W92+$R92+$S92+$T92+$V91,$C92&gt;0),$C92,$W92+$R92+$S92+$T92+$V91),IF($A92="Gracia Total",0,IF($A92="Prepago",$C92,IF(ISNUMBER($C92),$C92*VALUE(MID($C$1,MONTH($L92),1)),$P$5*VALUE(MID($C$1,MONTH($L92),1))))))-IF($K93="",ARREGLO,0),"")</f>
        <v/>
      </c>
      <c r="P92" s="3" t="str">
        <f>IF($K92&lt;&gt;"",IF($O92-$Q92&gt;0,$O92-$Q92-$R92-$S92-$T92,0),"")</f>
        <v/>
      </c>
      <c r="Q92" s="3" t="str">
        <f t="shared" si="2"/>
        <v/>
      </c>
      <c r="R92" s="3" t="str">
        <f>IF($K92&lt;&gt;"",IF($A92="Prepago",0,IF(($H92+SUM($B$12:$B92))*$S$6&gt;SUM($R$11:$R91)+$S$6,$S$6*2,$S$6)),"")</f>
        <v/>
      </c>
      <c r="S92" s="3" t="str">
        <f>IF($K92&lt;&gt;"",IF($A92="Prepago",0,IF(($H92+SUM($B$12:$B92))*$S$7&gt;SUM($S$11:$S91)+$S$7,$S$7*2,$S$7)),"")</f>
        <v/>
      </c>
      <c r="T92" s="3" t="str">
        <f>IF($K92&lt;&gt;"",IF($A92="Prepago",0,IF(($H92+SUM($B$12:$B92))*$S$8&gt;SUM($T$11:$T91)+$S$8,$S$8*2,$S$8)),"")</f>
        <v/>
      </c>
      <c r="U92" s="3" t="str">
        <f>IF($K92&lt;&gt;"",$N92-$P92,"")</f>
        <v/>
      </c>
      <c r="V92" s="3" t="str">
        <f t="shared" si="3"/>
        <v/>
      </c>
      <c r="W92" s="3" t="str">
        <f>IF($K92&lt;&gt;"",SUM($X92:$XFD92),"")</f>
        <v/>
      </c>
      <c r="X92" s="3" t="str">
        <f>IF($K92&lt;&gt;"",IF($M92&gt;X$11,30,$M92)*ROUND(($N92+$V91)*$T$5/3000,2),"")</f>
        <v/>
      </c>
      <c r="Y92" s="3" t="str">
        <f>IF($K92&lt;&gt;"",IF($M92&gt;X$11,IF($M92&lt;Y$11,$M92-X$11,30),0)*ROUND(($N92+$V91+SUM($X92:X92))*$T$5/3000,2),"")</f>
        <v/>
      </c>
      <c r="Z92" s="3"/>
      <c r="AA92" s="3"/>
    </row>
    <row r="93" spans="5:27" x14ac:dyDescent="0.25">
      <c r="E93" s="5"/>
      <c r="F93" t="str">
        <f>IF($K93&lt;&gt;"",TEXT(L93,"DDD"),"")</f>
        <v/>
      </c>
      <c r="G93" s="5" t="str">
        <f>IF($K93&lt;&gt;"",EOMONTH(DATE(YEAR($M$6),$G$11+K93+SUM($B$12:B93),1),0),"")</f>
        <v/>
      </c>
      <c r="H93" s="22" t="str">
        <f>IF($K93&lt;&gt;"",IF($A93="Prepago",$H92,$H92+1),"")</f>
        <v/>
      </c>
      <c r="I93" s="22" t="str">
        <f>IF($K93&lt;&gt;"",IF(ISNUMBER($C93),-$P93+$W93-$Q93,ABS($W93)+$R93+$S93+$T93),"")</f>
        <v/>
      </c>
      <c r="J93" s="22" t="str">
        <f>IF(K93&lt;&gt;"",IF(COUNTA($X93:$XFD93)*30&lt;$M93,1,0),"")</f>
        <v/>
      </c>
      <c r="K93" t="str">
        <f>IF($K92&lt;NCUOTAS+CUOTAADICIONAL+PGRACIA,$K92+1,"")</f>
        <v/>
      </c>
      <c r="L93" s="5" t="str">
        <f>IF($K93&lt;&gt;"",IF(ULTIMODIA=0,IF($E93="",DATE(YEAR($M$7),MONTH($M$7)+($A$1*($H93-1))+SUM($B$12:$B93),DAY($M$7)),$E93),G93),"")</f>
        <v/>
      </c>
      <c r="M93" s="9" t="str">
        <f>IF($K93&lt;&gt;"",$L93-$L92,"")</f>
        <v/>
      </c>
      <c r="N93" s="3" t="str">
        <f>IF($K93&lt;&gt;"",$U92,"")</f>
        <v/>
      </c>
      <c r="O93" s="3" t="str">
        <f>IF($K93&lt;&gt;"",IF($A93="Gracia Parcial",IF(AND($C93&lt;$W93+$R93+$S93+$T93+$V92,$C93&gt;0),$C93,$W93+$R93+$S93+$T93+$V92),IF($A93="Gracia Total",0,IF($A93="Prepago",$C93,IF(ISNUMBER($C93),$C93*VALUE(MID($C$1,MONTH($L93),1)),$P$5*VALUE(MID($C$1,MONTH($L93),1))))))-IF($K94="",ARREGLO,0),"")</f>
        <v/>
      </c>
      <c r="P93" s="3" t="str">
        <f>IF($K93&lt;&gt;"",IF($O93-$Q93&gt;0,$O93-$Q93-$R93-$S93-$T93,0),"")</f>
        <v/>
      </c>
      <c r="Q93" s="3" t="str">
        <f t="shared" si="2"/>
        <v/>
      </c>
      <c r="R93" s="3" t="str">
        <f>IF($K93&lt;&gt;"",IF($A93="Prepago",0,IF(($H93+SUM($B$12:$B93))*$S$6&gt;SUM($R$11:$R92)+$S$6,$S$6*2,$S$6)),"")</f>
        <v/>
      </c>
      <c r="S93" s="3" t="str">
        <f>IF($K93&lt;&gt;"",IF($A93="Prepago",0,IF(($H93+SUM($B$12:$B93))*$S$7&gt;SUM($S$11:$S92)+$S$7,$S$7*2,$S$7)),"")</f>
        <v/>
      </c>
      <c r="T93" s="3" t="str">
        <f>IF($K93&lt;&gt;"",IF($A93="Prepago",0,IF(($H93+SUM($B$12:$B93))*$S$8&gt;SUM($T$11:$T92)+$S$8,$S$8*2,$S$8)),"")</f>
        <v/>
      </c>
      <c r="U93" s="3" t="str">
        <f>IF($K93&lt;&gt;"",$N93-$P93,"")</f>
        <v/>
      </c>
      <c r="V93" s="3" t="str">
        <f t="shared" si="3"/>
        <v/>
      </c>
      <c r="W93" s="3" t="str">
        <f>IF($K93&lt;&gt;"",SUM($X93:$XFD93),"")</f>
        <v/>
      </c>
      <c r="X93" s="3" t="str">
        <f>IF($K93&lt;&gt;"",IF($M93&gt;X$11,30,$M93)*ROUND(($N93+$V92)*$T$5/3000,2),"")</f>
        <v/>
      </c>
      <c r="Y93" s="3" t="str">
        <f>IF($K93&lt;&gt;"",IF($M93&gt;X$11,IF($M93&lt;Y$11,$M93-X$11,30),0)*ROUND(($N93+$V92+SUM($X93:X93))*$T$5/3000,2),"")</f>
        <v/>
      </c>
      <c r="Z93" s="3"/>
      <c r="AA93" s="3"/>
    </row>
    <row r="94" spans="5:27" x14ac:dyDescent="0.25">
      <c r="E94" s="5"/>
      <c r="F94" t="str">
        <f>IF($K94&lt;&gt;"",TEXT(L94,"DDD"),"")</f>
        <v/>
      </c>
      <c r="G94" s="5" t="str">
        <f>IF($K94&lt;&gt;"",EOMONTH(DATE(YEAR($M$6),$G$11+K94+SUM($B$12:B94),1),0),"")</f>
        <v/>
      </c>
      <c r="H94" s="22" t="str">
        <f>IF($K94&lt;&gt;"",IF($A94="Prepago",$H93,$H93+1),"")</f>
        <v/>
      </c>
      <c r="I94" s="22" t="str">
        <f>IF($K94&lt;&gt;"",IF(ISNUMBER($C94),-$P94+$W94-$Q94,ABS($W94)+$R94+$S94+$T94),"")</f>
        <v/>
      </c>
      <c r="J94" s="22" t="str">
        <f>IF(K94&lt;&gt;"",IF(COUNTA($X94:$XFD94)*30&lt;$M94,1,0),"")</f>
        <v/>
      </c>
      <c r="K94" t="str">
        <f>IF($K93&lt;NCUOTAS+CUOTAADICIONAL+PGRACIA,$K93+1,"")</f>
        <v/>
      </c>
      <c r="L94" s="5" t="str">
        <f>IF($K94&lt;&gt;"",IF(ULTIMODIA=0,IF($E94="",DATE(YEAR($M$7),MONTH($M$7)+($A$1*($H94-1))+SUM($B$12:$B94),DAY($M$7)),$E94),G94),"")</f>
        <v/>
      </c>
      <c r="M94" s="9" t="str">
        <f>IF($K94&lt;&gt;"",$L94-$L93,"")</f>
        <v/>
      </c>
      <c r="N94" s="3" t="str">
        <f>IF($K94&lt;&gt;"",$U93,"")</f>
        <v/>
      </c>
      <c r="O94" s="3" t="str">
        <f>IF($K94&lt;&gt;"",IF($A94="Gracia Parcial",IF(AND($C94&lt;$W94+$R94+$S94+$T94+$V93,$C94&gt;0),$C94,$W94+$R94+$S94+$T94+$V93),IF($A94="Gracia Total",0,IF($A94="Prepago",$C94,IF(ISNUMBER($C94),$C94*VALUE(MID($C$1,MONTH($L94),1)),$P$5*VALUE(MID($C$1,MONTH($L94),1))))))-IF($K95="",ARREGLO,0),"")</f>
        <v/>
      </c>
      <c r="P94" s="3" t="str">
        <f>IF($K94&lt;&gt;"",IF($O94-$Q94&gt;0,$O94-$Q94-$R94-$S94-$T94,0),"")</f>
        <v/>
      </c>
      <c r="Q94" s="3" t="str">
        <f t="shared" si="2"/>
        <v/>
      </c>
      <c r="R94" s="3" t="str">
        <f>IF($K94&lt;&gt;"",IF($A94="Prepago",0,IF(($H94+SUM($B$12:$B94))*$S$6&gt;SUM($R$11:$R93)+$S$6,$S$6*2,$S$6)),"")</f>
        <v/>
      </c>
      <c r="S94" s="3" t="str">
        <f>IF($K94&lt;&gt;"",IF($A94="Prepago",0,IF(($H94+SUM($B$12:$B94))*$S$7&gt;SUM($S$11:$S93)+$S$7,$S$7*2,$S$7)),"")</f>
        <v/>
      </c>
      <c r="T94" s="3" t="str">
        <f>IF($K94&lt;&gt;"",IF($A94="Prepago",0,IF(($H94+SUM($B$12:$B94))*$S$8&gt;SUM($T$11:$T93)+$S$8,$S$8*2,$S$8)),"")</f>
        <v/>
      </c>
      <c r="U94" s="3" t="str">
        <f>IF($K94&lt;&gt;"",$N94-$P94,"")</f>
        <v/>
      </c>
      <c r="V94" s="3" t="str">
        <f t="shared" si="3"/>
        <v/>
      </c>
      <c r="W94" s="3" t="str">
        <f>IF($K94&lt;&gt;"",SUM($X94:$XFD94),"")</f>
        <v/>
      </c>
      <c r="X94" s="3" t="str">
        <f>IF($K94&lt;&gt;"",IF($M94&gt;X$11,30,$M94)*ROUND(($N94+$V93)*$T$5/3000,2),"")</f>
        <v/>
      </c>
      <c r="Y94" s="3" t="str">
        <f>IF($K94&lt;&gt;"",IF($M94&gt;X$11,IF($M94&lt;Y$11,$M94-X$11,30),0)*ROUND(($N94+$V93+SUM($X94:X94))*$T$5/3000,2),"")</f>
        <v/>
      </c>
      <c r="Z94" s="3"/>
      <c r="AA94" s="3"/>
    </row>
    <row r="95" spans="5:27" x14ac:dyDescent="0.25">
      <c r="E95" s="5"/>
      <c r="F95" t="str">
        <f>IF($K95&lt;&gt;"",TEXT(L95,"DDD"),"")</f>
        <v/>
      </c>
      <c r="G95" s="5" t="str">
        <f>IF($K95&lt;&gt;"",EOMONTH(DATE(YEAR($M$6),$G$11+K95+SUM($B$12:B95),1),0),"")</f>
        <v/>
      </c>
      <c r="H95" s="22" t="str">
        <f>IF($K95&lt;&gt;"",IF($A95="Prepago",$H94,$H94+1),"")</f>
        <v/>
      </c>
      <c r="I95" s="22" t="str">
        <f>IF($K95&lt;&gt;"",IF(ISNUMBER($C95),-$P95+$W95-$Q95,ABS($W95)+$R95+$S95+$T95),"")</f>
        <v/>
      </c>
      <c r="J95" s="22" t="str">
        <f>IF(K95&lt;&gt;"",IF(COUNTA($X95:$XFD95)*30&lt;$M95,1,0),"")</f>
        <v/>
      </c>
      <c r="K95" t="str">
        <f>IF($K94&lt;NCUOTAS+CUOTAADICIONAL+PGRACIA,$K94+1,"")</f>
        <v/>
      </c>
      <c r="L95" s="5" t="str">
        <f>IF($K95&lt;&gt;"",IF(ULTIMODIA=0,IF($E95="",DATE(YEAR($M$7),MONTH($M$7)+($A$1*($H95-1))+SUM($B$12:$B95),DAY($M$7)),$E95),G95),"")</f>
        <v/>
      </c>
      <c r="M95" s="9" t="str">
        <f>IF($K95&lt;&gt;"",$L95-$L94,"")</f>
        <v/>
      </c>
      <c r="N95" s="3" t="str">
        <f>IF($K95&lt;&gt;"",$U94,"")</f>
        <v/>
      </c>
      <c r="O95" s="3" t="str">
        <f>IF($K95&lt;&gt;"",IF($A95="Gracia Parcial",IF(AND($C95&lt;$W95+$R95+$S95+$T95+$V94,$C95&gt;0),$C95,$W95+$R95+$S95+$T95+$V94),IF($A95="Gracia Total",0,IF($A95="Prepago",$C95,IF(ISNUMBER($C95),$C95*VALUE(MID($C$1,MONTH($L95),1)),$P$5*VALUE(MID($C$1,MONTH($L95),1))))))-IF($K96="",ARREGLO,0),"")</f>
        <v/>
      </c>
      <c r="P95" s="3" t="str">
        <f>IF($K95&lt;&gt;"",IF($O95-$Q95&gt;0,$O95-$Q95-$R95-$S95-$T95,0),"")</f>
        <v/>
      </c>
      <c r="Q95" s="3" t="str">
        <f t="shared" si="2"/>
        <v/>
      </c>
      <c r="R95" s="3" t="str">
        <f>IF($K95&lt;&gt;"",IF($A95="Prepago",0,IF(($H95+SUM($B$12:$B95))*$S$6&gt;SUM($R$11:$R94)+$S$6,$S$6*2,$S$6)),"")</f>
        <v/>
      </c>
      <c r="S95" s="3" t="str">
        <f>IF($K95&lt;&gt;"",IF($A95="Prepago",0,IF(($H95+SUM($B$12:$B95))*$S$7&gt;SUM($S$11:$S94)+$S$7,$S$7*2,$S$7)),"")</f>
        <v/>
      </c>
      <c r="T95" s="3" t="str">
        <f>IF($K95&lt;&gt;"",IF($A95="Prepago",0,IF(($H95+SUM($B$12:$B95))*$S$8&gt;SUM($T$11:$T94)+$S$8,$S$8*2,$S$8)),"")</f>
        <v/>
      </c>
      <c r="U95" s="3" t="str">
        <f>IF($K95&lt;&gt;"",$N95-$P95,"")</f>
        <v/>
      </c>
      <c r="V95" s="3" t="str">
        <f t="shared" si="3"/>
        <v/>
      </c>
      <c r="W95" s="3" t="str">
        <f>IF($K95&lt;&gt;"",SUM($X95:$XFD95),"")</f>
        <v/>
      </c>
      <c r="X95" s="3" t="str">
        <f>IF($K95&lt;&gt;"",IF($M95&gt;X$11,30,$M95)*ROUND(($N95+$V94)*$T$5/3000,2),"")</f>
        <v/>
      </c>
      <c r="Y95" s="3" t="str">
        <f>IF($K95&lt;&gt;"",IF($M95&gt;X$11,IF($M95&lt;Y$11,$M95-X$11,30),0)*ROUND(($N95+$V94+SUM($X95:X95))*$T$5/3000,2),"")</f>
        <v/>
      </c>
      <c r="Z95" s="3"/>
      <c r="AA95" s="3"/>
    </row>
    <row r="96" spans="5:27" x14ac:dyDescent="0.25">
      <c r="E96" s="5"/>
      <c r="F96" t="str">
        <f>IF($K96&lt;&gt;"",TEXT(L96,"DDD"),"")</f>
        <v/>
      </c>
      <c r="G96" s="5" t="str">
        <f>IF($K96&lt;&gt;"",EOMONTH(DATE(YEAR($M$6),$G$11+K96+SUM($B$12:B96),1),0),"")</f>
        <v/>
      </c>
      <c r="H96" s="22" t="str">
        <f>IF($K96&lt;&gt;"",IF($A96="Prepago",$H95,$H95+1),"")</f>
        <v/>
      </c>
      <c r="I96" s="22" t="str">
        <f>IF($K96&lt;&gt;"",IF(ISNUMBER($C96),-$P96+$W96-$Q96,ABS($W96)+$R96+$S96+$T96),"")</f>
        <v/>
      </c>
      <c r="J96" s="22" t="str">
        <f>IF(K96&lt;&gt;"",IF(COUNTA($X96:$XFD96)*30&lt;$M96,1,0),"")</f>
        <v/>
      </c>
      <c r="K96" t="str">
        <f>IF($K95&lt;NCUOTAS+CUOTAADICIONAL+PGRACIA,$K95+1,"")</f>
        <v/>
      </c>
      <c r="L96" s="5" t="str">
        <f>IF($K96&lt;&gt;"",IF(ULTIMODIA=0,IF($E96="",DATE(YEAR($M$7),MONTH($M$7)+($A$1*($H96-1))+SUM($B$12:$B96),DAY($M$7)),$E96),G96),"")</f>
        <v/>
      </c>
      <c r="M96" s="9" t="str">
        <f>IF($K96&lt;&gt;"",$L96-$L95,"")</f>
        <v/>
      </c>
      <c r="N96" s="3" t="str">
        <f>IF($K96&lt;&gt;"",$U95,"")</f>
        <v/>
      </c>
      <c r="O96" s="3" t="str">
        <f>IF($K96&lt;&gt;"",IF($A96="Gracia Parcial",IF(AND($C96&lt;$W96+$R96+$S96+$T96+$V95,$C96&gt;0),$C96,$W96+$R96+$S96+$T96+$V95),IF($A96="Gracia Total",0,IF($A96="Prepago",$C96,IF(ISNUMBER($C96),$C96*VALUE(MID($C$1,MONTH($L96),1)),$P$5*VALUE(MID($C$1,MONTH($L96),1))))))-IF($K97="",ARREGLO,0),"")</f>
        <v/>
      </c>
      <c r="P96" s="3" t="str">
        <f>IF($K96&lt;&gt;"",IF($O96-$Q96&gt;0,$O96-$Q96-$R96-$S96-$T96,0),"")</f>
        <v/>
      </c>
      <c r="Q96" s="3" t="str">
        <f t="shared" si="2"/>
        <v/>
      </c>
      <c r="R96" s="3" t="str">
        <f>IF($K96&lt;&gt;"",IF($A96="Prepago",0,IF(($H96+SUM($B$12:$B96))*$S$6&gt;SUM($R$11:$R95)+$S$6,$S$6*2,$S$6)),"")</f>
        <v/>
      </c>
      <c r="S96" s="3" t="str">
        <f>IF($K96&lt;&gt;"",IF($A96="Prepago",0,IF(($H96+SUM($B$12:$B96))*$S$7&gt;SUM($S$11:$S95)+$S$7,$S$7*2,$S$7)),"")</f>
        <v/>
      </c>
      <c r="T96" s="3" t="str">
        <f>IF($K96&lt;&gt;"",IF($A96="Prepago",0,IF(($H96+SUM($B$12:$B96))*$S$8&gt;SUM($T$11:$T95)+$S$8,$S$8*2,$S$8)),"")</f>
        <v/>
      </c>
      <c r="U96" s="3" t="str">
        <f>IF($K96&lt;&gt;"",$N96-$P96,"")</f>
        <v/>
      </c>
      <c r="V96" s="3" t="str">
        <f t="shared" si="3"/>
        <v/>
      </c>
      <c r="W96" s="3" t="str">
        <f>IF($K96&lt;&gt;"",SUM($X96:$XFD96),"")</f>
        <v/>
      </c>
      <c r="X96" s="3" t="str">
        <f>IF($K96&lt;&gt;"",IF($M96&gt;X$11,30,$M96)*ROUND(($N96+$V95)*$T$5/3000,2),"")</f>
        <v/>
      </c>
      <c r="Y96" s="3" t="str">
        <f>IF($K96&lt;&gt;"",IF($M96&gt;X$11,IF($M96&lt;Y$11,$M96-X$11,30),0)*ROUND(($N96+$V95+SUM($X96:X96))*$T$5/3000,2),"")</f>
        <v/>
      </c>
      <c r="Z96" s="3"/>
      <c r="AA96" s="3"/>
    </row>
    <row r="97" spans="5:27" x14ac:dyDescent="0.25">
      <c r="E97" s="5"/>
      <c r="F97" t="str">
        <f>IF($K97&lt;&gt;"",TEXT(L97,"DDD"),"")</f>
        <v/>
      </c>
      <c r="G97" s="5" t="str">
        <f>IF($K97&lt;&gt;"",EOMONTH(DATE(YEAR($M$6),$G$11+K97+SUM($B$12:B97),1),0),"")</f>
        <v/>
      </c>
      <c r="H97" s="22" t="str">
        <f>IF($K97&lt;&gt;"",IF($A97="Prepago",$H96,$H96+1),"")</f>
        <v/>
      </c>
      <c r="I97" s="22" t="str">
        <f>IF($K97&lt;&gt;"",IF(ISNUMBER($C97),-$P97+$W97-$Q97,ABS($W97)+$R97+$S97+$T97),"")</f>
        <v/>
      </c>
      <c r="J97" s="22" t="str">
        <f>IF(K97&lt;&gt;"",IF(COUNTA($X97:$XFD97)*30&lt;$M97,1,0),"")</f>
        <v/>
      </c>
      <c r="K97" t="str">
        <f>IF($K96&lt;NCUOTAS+CUOTAADICIONAL+PGRACIA,$K96+1,"")</f>
        <v/>
      </c>
      <c r="L97" s="5" t="str">
        <f>IF($K97&lt;&gt;"",IF(ULTIMODIA=0,IF($E97="",DATE(YEAR($M$7),MONTH($M$7)+($A$1*($H97-1))+SUM($B$12:$B97),DAY($M$7)),$E97),G97),"")</f>
        <v/>
      </c>
      <c r="M97" s="9" t="str">
        <f>IF($K97&lt;&gt;"",$L97-$L96,"")</f>
        <v/>
      </c>
      <c r="N97" s="3" t="str">
        <f>IF($K97&lt;&gt;"",$U96,"")</f>
        <v/>
      </c>
      <c r="O97" s="3" t="str">
        <f>IF($K97&lt;&gt;"",IF($A97="Gracia Parcial",IF(AND($C97&lt;$W97+$R97+$S97+$T97+$V96,$C97&gt;0),$C97,$W97+$R97+$S97+$T97+$V96),IF($A97="Gracia Total",0,IF($A97="Prepago",$C97,IF(ISNUMBER($C97),$C97*VALUE(MID($C$1,MONTH($L97),1)),$P$5*VALUE(MID($C$1,MONTH($L97),1))))))-IF($K98="",ARREGLO,0),"")</f>
        <v/>
      </c>
      <c r="P97" s="3" t="str">
        <f>IF($K97&lt;&gt;"",IF($O97-$Q97&gt;0,$O97-$Q97-$R97-$S97-$T97,0),"")</f>
        <v/>
      </c>
      <c r="Q97" s="3" t="str">
        <f t="shared" si="2"/>
        <v/>
      </c>
      <c r="R97" s="3" t="str">
        <f>IF($K97&lt;&gt;"",IF($A97="Prepago",0,IF(($H97+SUM($B$12:$B97))*$S$6&gt;SUM($R$11:$R96)+$S$6,$S$6*2,$S$6)),"")</f>
        <v/>
      </c>
      <c r="S97" s="3" t="str">
        <f>IF($K97&lt;&gt;"",IF($A97="Prepago",0,IF(($H97+SUM($B$12:$B97))*$S$7&gt;SUM($S$11:$S96)+$S$7,$S$7*2,$S$7)),"")</f>
        <v/>
      </c>
      <c r="T97" s="3" t="str">
        <f>IF($K97&lt;&gt;"",IF($A97="Prepago",0,IF(($H97+SUM($B$12:$B97))*$S$8&gt;SUM($T$11:$T96)+$S$8,$S$8*2,$S$8)),"")</f>
        <v/>
      </c>
      <c r="U97" s="3" t="str">
        <f>IF($K97&lt;&gt;"",$N97-$P97,"")</f>
        <v/>
      </c>
      <c r="V97" s="3" t="str">
        <f t="shared" si="3"/>
        <v/>
      </c>
      <c r="W97" s="3" t="str">
        <f>IF($K97&lt;&gt;"",SUM($X97:$XFD97),"")</f>
        <v/>
      </c>
      <c r="X97" s="3" t="str">
        <f>IF($K97&lt;&gt;"",IF($M97&gt;X$11,30,$M97)*ROUND(($N97+$V96)*$T$5/3000,2),"")</f>
        <v/>
      </c>
      <c r="Y97" s="3" t="str">
        <f>IF($K97&lt;&gt;"",IF($M97&gt;X$11,IF($M97&lt;Y$11,$M97-X$11,30),0)*ROUND(($N97+$V96+SUM($X97:X97))*$T$5/3000,2),"")</f>
        <v/>
      </c>
      <c r="Z97" s="3"/>
      <c r="AA97" s="3"/>
    </row>
    <row r="98" spans="5:27" x14ac:dyDescent="0.25">
      <c r="E98" s="5"/>
      <c r="F98" t="str">
        <f>IF($K98&lt;&gt;"",TEXT(L98,"DDD"),"")</f>
        <v/>
      </c>
      <c r="G98" s="5" t="str">
        <f>IF($K98&lt;&gt;"",EOMONTH(DATE(YEAR($M$6),$G$11+K98+SUM($B$12:B98),1),0),"")</f>
        <v/>
      </c>
      <c r="H98" s="22" t="str">
        <f>IF($K98&lt;&gt;"",IF($A98="Prepago",$H97,$H97+1),"")</f>
        <v/>
      </c>
      <c r="I98" s="22" t="str">
        <f>IF($K98&lt;&gt;"",IF(ISNUMBER($C98),-$P98+$W98-$Q98,ABS($W98)+$R98+$S98+$T98),"")</f>
        <v/>
      </c>
      <c r="J98" s="22" t="str">
        <f>IF(K98&lt;&gt;"",IF(COUNTA($X98:$XFD98)*30&lt;$M98,1,0),"")</f>
        <v/>
      </c>
      <c r="K98" t="str">
        <f>IF($K97&lt;NCUOTAS+CUOTAADICIONAL+PGRACIA,$K97+1,"")</f>
        <v/>
      </c>
      <c r="L98" s="5" t="str">
        <f>IF($K98&lt;&gt;"",IF(ULTIMODIA=0,IF($E98="",DATE(YEAR($M$7),MONTH($M$7)+($A$1*($H98-1))+SUM($B$12:$B98),DAY($M$7)),$E98),G98),"")</f>
        <v/>
      </c>
      <c r="M98" s="9" t="str">
        <f>IF($K98&lt;&gt;"",$L98-$L97,"")</f>
        <v/>
      </c>
      <c r="N98" s="3" t="str">
        <f>IF($K98&lt;&gt;"",$U97,"")</f>
        <v/>
      </c>
      <c r="O98" s="3" t="str">
        <f>IF($K98&lt;&gt;"",IF($A98="Gracia Parcial",IF(AND($C98&lt;$W98+$R98+$S98+$T98+$V97,$C98&gt;0),$C98,$W98+$R98+$S98+$T98+$V97),IF($A98="Gracia Total",0,IF($A98="Prepago",$C98,IF(ISNUMBER($C98),$C98*VALUE(MID($C$1,MONTH($L98),1)),$P$5*VALUE(MID($C$1,MONTH($L98),1))))))-IF($K99="",ARREGLO,0),"")</f>
        <v/>
      </c>
      <c r="P98" s="3" t="str">
        <f>IF($K98&lt;&gt;"",IF($O98-$Q98&gt;0,$O98-$Q98-$R98-$S98-$T98,0),"")</f>
        <v/>
      </c>
      <c r="Q98" s="3" t="str">
        <f t="shared" si="2"/>
        <v/>
      </c>
      <c r="R98" s="3" t="str">
        <f>IF($K98&lt;&gt;"",IF($A98="Prepago",0,IF(($H98+SUM($B$12:$B98))*$S$6&gt;SUM($R$11:$R97)+$S$6,$S$6*2,$S$6)),"")</f>
        <v/>
      </c>
      <c r="S98" s="3" t="str">
        <f>IF($K98&lt;&gt;"",IF($A98="Prepago",0,IF(($H98+SUM($B$12:$B98))*$S$7&gt;SUM($S$11:$S97)+$S$7,$S$7*2,$S$7)),"")</f>
        <v/>
      </c>
      <c r="T98" s="3" t="str">
        <f>IF($K98&lt;&gt;"",IF($A98="Prepago",0,IF(($H98+SUM($B$12:$B98))*$S$8&gt;SUM($T$11:$T97)+$S$8,$S$8*2,$S$8)),"")</f>
        <v/>
      </c>
      <c r="U98" s="3" t="str">
        <f>IF($K98&lt;&gt;"",$N98-$P98,"")</f>
        <v/>
      </c>
      <c r="V98" s="3" t="str">
        <f t="shared" si="3"/>
        <v/>
      </c>
      <c r="W98" s="3" t="str">
        <f>IF($K98&lt;&gt;"",SUM($X98:$XFD98),"")</f>
        <v/>
      </c>
      <c r="X98" s="3" t="str">
        <f>IF($K98&lt;&gt;"",IF($M98&gt;X$11,30,$M98)*ROUND(($N98+$V97)*$T$5/3000,2),"")</f>
        <v/>
      </c>
      <c r="Y98" s="3" t="str">
        <f>IF($K98&lt;&gt;"",IF($M98&gt;X$11,IF($M98&lt;Y$11,$M98-X$11,30),0)*ROUND(($N98+$V97+SUM($X98:X98))*$T$5/3000,2),"")</f>
        <v/>
      </c>
      <c r="Z98" s="3"/>
      <c r="AA98" s="3"/>
    </row>
    <row r="99" spans="5:27" x14ac:dyDescent="0.25">
      <c r="E99" s="5"/>
      <c r="F99" t="str">
        <f>IF($K99&lt;&gt;"",TEXT(L99,"DDD"),"")</f>
        <v/>
      </c>
      <c r="G99" s="5" t="str">
        <f>IF($K99&lt;&gt;"",EOMONTH(DATE(YEAR($M$6),$G$11+K99+SUM($B$12:B99),1),0),"")</f>
        <v/>
      </c>
      <c r="H99" s="22" t="str">
        <f>IF($K99&lt;&gt;"",IF($A99="Prepago",$H98,$H98+1),"")</f>
        <v/>
      </c>
      <c r="I99" s="22" t="str">
        <f>IF($K99&lt;&gt;"",IF(ISNUMBER($C99),-$P99+$W99-$Q99,ABS($W99)+$R99+$S99+$T99),"")</f>
        <v/>
      </c>
      <c r="J99" s="22" t="str">
        <f>IF(K99&lt;&gt;"",IF(COUNTA($X99:$XFD99)*30&lt;$M99,1,0),"")</f>
        <v/>
      </c>
      <c r="K99" t="str">
        <f>IF($K98&lt;NCUOTAS+CUOTAADICIONAL+PGRACIA,$K98+1,"")</f>
        <v/>
      </c>
      <c r="L99" s="5" t="str">
        <f>IF($K99&lt;&gt;"",IF(ULTIMODIA=0,IF($E99="",DATE(YEAR($M$7),MONTH($M$7)+($A$1*($H99-1))+SUM($B$12:$B99),DAY($M$7)),$E99),G99),"")</f>
        <v/>
      </c>
      <c r="M99" s="9" t="str">
        <f>IF($K99&lt;&gt;"",$L99-$L98,"")</f>
        <v/>
      </c>
      <c r="N99" s="3" t="str">
        <f>IF($K99&lt;&gt;"",$U98,"")</f>
        <v/>
      </c>
      <c r="O99" s="3" t="str">
        <f>IF($K99&lt;&gt;"",IF($A99="Gracia Parcial",IF(AND($C99&lt;$W99+$R99+$S99+$T99+$V98,$C99&gt;0),$C99,$W99+$R99+$S99+$T99+$V98),IF($A99="Gracia Total",0,IF($A99="Prepago",$C99,IF(ISNUMBER($C99),$C99*VALUE(MID($C$1,MONTH($L99),1)),$P$5*VALUE(MID($C$1,MONTH($L99),1))))))-IF($K100="",ARREGLO,0),"")</f>
        <v/>
      </c>
      <c r="P99" s="3" t="str">
        <f>IF($K99&lt;&gt;"",IF($O99-$Q99&gt;0,$O99-$Q99-$R99-$S99-$T99,0),"")</f>
        <v/>
      </c>
      <c r="Q99" s="3" t="str">
        <f t="shared" si="2"/>
        <v/>
      </c>
      <c r="R99" s="3" t="str">
        <f>IF($K99&lt;&gt;"",IF($A99="Prepago",0,IF(($H99+SUM($B$12:$B99))*$S$6&gt;SUM($R$11:$R98)+$S$6,$S$6*2,$S$6)),"")</f>
        <v/>
      </c>
      <c r="S99" s="3" t="str">
        <f>IF($K99&lt;&gt;"",IF($A99="Prepago",0,IF(($H99+SUM($B$12:$B99))*$S$7&gt;SUM($S$11:$S98)+$S$7,$S$7*2,$S$7)),"")</f>
        <v/>
      </c>
      <c r="T99" s="3" t="str">
        <f>IF($K99&lt;&gt;"",IF($A99="Prepago",0,IF(($H99+SUM($B$12:$B99))*$S$8&gt;SUM($T$11:$T98)+$S$8,$S$8*2,$S$8)),"")</f>
        <v/>
      </c>
      <c r="U99" s="3" t="str">
        <f>IF($K99&lt;&gt;"",$N99-$P99,"")</f>
        <v/>
      </c>
      <c r="V99" s="3" t="str">
        <f t="shared" si="3"/>
        <v/>
      </c>
      <c r="W99" s="3" t="str">
        <f>IF($K99&lt;&gt;"",SUM($X99:$XFD99),"")</f>
        <v/>
      </c>
      <c r="X99" s="3" t="str">
        <f>IF($K99&lt;&gt;"",IF($M99&gt;X$11,30,$M99)*ROUND(($N99+$V98)*$T$5/3000,2),"")</f>
        <v/>
      </c>
      <c r="Y99" s="3" t="str">
        <f>IF($K99&lt;&gt;"",IF($M99&gt;X$11,IF($M99&lt;Y$11,$M99-X$11,30),0)*ROUND(($N99+$V98+SUM($X99:X99))*$T$5/3000,2),"")</f>
        <v/>
      </c>
      <c r="Z99" s="3"/>
      <c r="AA99" s="3"/>
    </row>
    <row r="100" spans="5:27" x14ac:dyDescent="0.25">
      <c r="E100" s="5"/>
      <c r="F100" t="str">
        <f>IF($K100&lt;&gt;"",TEXT(L100,"DDD"),"")</f>
        <v/>
      </c>
      <c r="G100" s="5" t="str">
        <f>IF($K100&lt;&gt;"",EOMONTH(DATE(YEAR($M$6),$G$11+K100+SUM($B$12:B100),1),0),"")</f>
        <v/>
      </c>
      <c r="H100" s="22" t="str">
        <f>IF($K100&lt;&gt;"",IF($A100="Prepago",$H99,$H99+1),"")</f>
        <v/>
      </c>
      <c r="I100" s="22" t="str">
        <f>IF($K100&lt;&gt;"",IF(ISNUMBER($C100),-$P100+$W100-$Q100,ABS($W100)+$R100+$S100+$T100),"")</f>
        <v/>
      </c>
      <c r="J100" s="22" t="str">
        <f>IF(K100&lt;&gt;"",IF(COUNTA($X100:$XFD100)*30&lt;$M100,1,0),"")</f>
        <v/>
      </c>
      <c r="K100" t="str">
        <f>IF($K99&lt;NCUOTAS+CUOTAADICIONAL+PGRACIA,$K99+1,"")</f>
        <v/>
      </c>
      <c r="L100" s="5" t="str">
        <f>IF($K100&lt;&gt;"",IF(ULTIMODIA=0,IF($E100="",DATE(YEAR($M$7),MONTH($M$7)+($A$1*($H100-1))+SUM($B$12:$B100),DAY($M$7)),$E100),G100),"")</f>
        <v/>
      </c>
      <c r="M100" s="9" t="str">
        <f>IF($K100&lt;&gt;"",$L100-$L99,"")</f>
        <v/>
      </c>
      <c r="N100" s="3" t="str">
        <f>IF($K100&lt;&gt;"",$U99,"")</f>
        <v/>
      </c>
      <c r="O100" s="3" t="str">
        <f>IF($K100&lt;&gt;"",IF($A100="Gracia Parcial",IF(AND($C100&lt;$W100+$R100+$S100+$T100+$V99,$C100&gt;0),$C100,$W100+$R100+$S100+$T100+$V99),IF($A100="Gracia Total",0,IF($A100="Prepago",$C100,IF(ISNUMBER($C100),$C100*VALUE(MID($C$1,MONTH($L100),1)),$P$5*VALUE(MID($C$1,MONTH($L100),1))))))-IF($K101="",ARREGLO,0),"")</f>
        <v/>
      </c>
      <c r="P100" s="3" t="str">
        <f>IF($K100&lt;&gt;"",IF($O100-$Q100&gt;0,$O100-$Q100-$R100-$S100-$T100,0),"")</f>
        <v/>
      </c>
      <c r="Q100" s="3" t="str">
        <f t="shared" si="2"/>
        <v/>
      </c>
      <c r="R100" s="3" t="str">
        <f>IF($K100&lt;&gt;"",IF($A100="Prepago",0,IF(($H100+SUM($B$12:$B100))*$S$6&gt;SUM($R$11:$R99)+$S$6,$S$6*2,$S$6)),"")</f>
        <v/>
      </c>
      <c r="S100" s="3" t="str">
        <f>IF($K100&lt;&gt;"",IF($A100="Prepago",0,IF(($H100+SUM($B$12:$B100))*$S$7&gt;SUM($S$11:$S99)+$S$7,$S$7*2,$S$7)),"")</f>
        <v/>
      </c>
      <c r="T100" s="3" t="str">
        <f>IF($K100&lt;&gt;"",IF($A100="Prepago",0,IF(($H100+SUM($B$12:$B100))*$S$8&gt;SUM($T$11:$T99)+$S$8,$S$8*2,$S$8)),"")</f>
        <v/>
      </c>
      <c r="U100" s="3" t="str">
        <f>IF($K100&lt;&gt;"",$N100-$P100,"")</f>
        <v/>
      </c>
      <c r="V100" s="3" t="str">
        <f t="shared" si="3"/>
        <v/>
      </c>
      <c r="W100" s="3" t="str">
        <f>IF($K100&lt;&gt;"",SUM($X100:$XFD100),"")</f>
        <v/>
      </c>
      <c r="X100" s="3" t="str">
        <f>IF($K100&lt;&gt;"",IF($M100&gt;X$11,30,$M100)*ROUND(($N100+$V99)*$T$5/3000,2),"")</f>
        <v/>
      </c>
      <c r="Y100" s="3" t="str">
        <f>IF($K100&lt;&gt;"",IF($M100&gt;X$11,IF($M100&lt;Y$11,$M100-X$11,30),0)*ROUND(($N100+$V99+SUM($X100:X100))*$T$5/3000,2),"")</f>
        <v/>
      </c>
      <c r="Z100" s="3"/>
      <c r="AA100" s="3"/>
    </row>
    <row r="101" spans="5:27" x14ac:dyDescent="0.25">
      <c r="E101" s="5"/>
      <c r="F101" t="str">
        <f>IF($K101&lt;&gt;"",TEXT(L101,"DDD"),"")</f>
        <v/>
      </c>
      <c r="G101" s="5" t="str">
        <f>IF($K101&lt;&gt;"",EOMONTH(DATE(YEAR($M$6),$G$11+K101+SUM($B$12:B101),1),0),"")</f>
        <v/>
      </c>
      <c r="H101" s="22" t="str">
        <f>IF($K101&lt;&gt;"",IF($A101="Prepago",$H100,$H100+1),"")</f>
        <v/>
      </c>
      <c r="I101" s="22" t="str">
        <f>IF($K101&lt;&gt;"",IF(ISNUMBER($C101),-$P101+$W101-$Q101,ABS($W101)+$R101+$S101+$T101),"")</f>
        <v/>
      </c>
      <c r="J101" s="22" t="str">
        <f>IF(K101&lt;&gt;"",IF(COUNTA($X101:$XFD101)*30&lt;$M101,1,0),"")</f>
        <v/>
      </c>
      <c r="K101" t="str">
        <f>IF($K100&lt;NCUOTAS+CUOTAADICIONAL+PGRACIA,$K100+1,"")</f>
        <v/>
      </c>
      <c r="L101" s="5" t="str">
        <f>IF($K101&lt;&gt;"",IF(ULTIMODIA=0,IF($E101="",DATE(YEAR($M$7),MONTH($M$7)+($A$1*($H101-1))+SUM($B$12:$B101),DAY($M$7)),$E101),G101),"")</f>
        <v/>
      </c>
      <c r="M101" s="9" t="str">
        <f>IF($K101&lt;&gt;"",$L101-$L100,"")</f>
        <v/>
      </c>
      <c r="N101" s="3" t="str">
        <f>IF($K101&lt;&gt;"",$U100,"")</f>
        <v/>
      </c>
      <c r="O101" s="3" t="str">
        <f>IF($K101&lt;&gt;"",IF($A101="Gracia Parcial",IF(AND($C101&lt;$W101+$R101+$S101+$T101+$V100,$C101&gt;0),$C101,$W101+$R101+$S101+$T101+$V100),IF($A101="Gracia Total",0,IF($A101="Prepago",$C101,IF(ISNUMBER($C101),$C101*VALUE(MID($C$1,MONTH($L101),1)),$P$5*VALUE(MID($C$1,MONTH($L101),1))))))-IF($K102="",ARREGLO,0),"")</f>
        <v/>
      </c>
      <c r="P101" s="3" t="str">
        <f>IF($K101&lt;&gt;"",IF($O101-$Q101&gt;0,$O101-$Q101-$R101-$S101-$T101,0),"")</f>
        <v/>
      </c>
      <c r="Q101" s="3" t="str">
        <f t="shared" si="2"/>
        <v/>
      </c>
      <c r="R101" s="3" t="str">
        <f>IF($K101&lt;&gt;"",IF($A101="Prepago",0,IF(($H101+SUM($B$12:$B101))*$S$6&gt;SUM($R$11:$R100)+$S$6,$S$6*2,$S$6)),"")</f>
        <v/>
      </c>
      <c r="S101" s="3" t="str">
        <f>IF($K101&lt;&gt;"",IF($A101="Prepago",0,IF(($H101+SUM($B$12:$B101))*$S$7&gt;SUM($S$11:$S100)+$S$7,$S$7*2,$S$7)),"")</f>
        <v/>
      </c>
      <c r="T101" s="3" t="str">
        <f>IF($K101&lt;&gt;"",IF($A101="Prepago",0,IF(($H101+SUM($B$12:$B101))*$S$8&gt;SUM($T$11:$T100)+$S$8,$S$8*2,$S$8)),"")</f>
        <v/>
      </c>
      <c r="U101" s="3" t="str">
        <f>IF($K101&lt;&gt;"",$N101-$P101,"")</f>
        <v/>
      </c>
      <c r="V101" s="3" t="str">
        <f t="shared" si="3"/>
        <v/>
      </c>
      <c r="W101" s="3" t="str">
        <f>IF($K101&lt;&gt;"",SUM($X101:$XFD101),"")</f>
        <v/>
      </c>
      <c r="X101" s="3" t="str">
        <f>IF($K101&lt;&gt;"",IF($M101&gt;X$11,30,$M101)*ROUND(($N101+$V100)*$T$5/3000,2),"")</f>
        <v/>
      </c>
      <c r="Y101" s="3" t="str">
        <f>IF($K101&lt;&gt;"",IF($M101&gt;X$11,IF($M101&lt;Y$11,$M101-X$11,30),0)*ROUND(($N101+$V100+SUM($X101:X101))*$T$5/3000,2),"")</f>
        <v/>
      </c>
      <c r="Z101" s="3"/>
      <c r="AA101" s="3"/>
    </row>
    <row r="102" spans="5:27" x14ac:dyDescent="0.25">
      <c r="E102" s="5"/>
      <c r="F102" t="str">
        <f>IF($K102&lt;&gt;"",TEXT(L102,"DDD"),"")</f>
        <v/>
      </c>
      <c r="G102" s="5" t="str">
        <f>IF($K102&lt;&gt;"",EOMONTH(DATE(YEAR($M$6),$G$11+K102+SUM($B$12:B102),1),0),"")</f>
        <v/>
      </c>
      <c r="H102" s="22" t="str">
        <f>IF($K102&lt;&gt;"",IF($A102="Prepago",$H101,$H101+1),"")</f>
        <v/>
      </c>
      <c r="I102" s="22" t="str">
        <f>IF($K102&lt;&gt;"",IF(ISNUMBER($C102),-$P102+$W102-$Q102,ABS($W102)+$R102+$S102+$T102),"")</f>
        <v/>
      </c>
      <c r="J102" s="22" t="str">
        <f>IF(K102&lt;&gt;"",IF(COUNTA($X102:$XFD102)*30&lt;$M102,1,0),"")</f>
        <v/>
      </c>
      <c r="K102" t="str">
        <f>IF($K101&lt;NCUOTAS+CUOTAADICIONAL+PGRACIA,$K101+1,"")</f>
        <v/>
      </c>
      <c r="L102" s="5" t="str">
        <f>IF($K102&lt;&gt;"",IF(ULTIMODIA=0,IF($E102="",DATE(YEAR($M$7),MONTH($M$7)+($A$1*($H102-1))+SUM($B$12:$B102),DAY($M$7)),$E102),G102),"")</f>
        <v/>
      </c>
      <c r="M102" s="9" t="str">
        <f>IF($K102&lt;&gt;"",$L102-$L101,"")</f>
        <v/>
      </c>
      <c r="N102" s="3" t="str">
        <f>IF($K102&lt;&gt;"",$U101,"")</f>
        <v/>
      </c>
      <c r="O102" s="3" t="str">
        <f>IF($K102&lt;&gt;"",IF($A102="Gracia Parcial",IF(AND($C102&lt;$W102+$R102+$S102+$T102+$V101,$C102&gt;0),$C102,$W102+$R102+$S102+$T102+$V101),IF($A102="Gracia Total",0,IF($A102="Prepago",$C102,IF(ISNUMBER($C102),$C102*VALUE(MID($C$1,MONTH($L102),1)),$P$5*VALUE(MID($C$1,MONTH($L102),1))))))-IF($K103="",ARREGLO,0),"")</f>
        <v/>
      </c>
      <c r="P102" s="3" t="str">
        <f>IF($K102&lt;&gt;"",IF($O102-$Q102&gt;0,$O102-$Q102-$R102-$S102-$T102,0),"")</f>
        <v/>
      </c>
      <c r="Q102" s="3" t="str">
        <f t="shared" si="2"/>
        <v/>
      </c>
      <c r="R102" s="3" t="str">
        <f>IF($K102&lt;&gt;"",IF($A102="Prepago",0,IF(($H102+SUM($B$12:$B102))*$S$6&gt;SUM($R$11:$R101)+$S$6,$S$6*2,$S$6)),"")</f>
        <v/>
      </c>
      <c r="S102" s="3" t="str">
        <f>IF($K102&lt;&gt;"",IF($A102="Prepago",0,IF(($H102+SUM($B$12:$B102))*$S$7&gt;SUM($S$11:$S101)+$S$7,$S$7*2,$S$7)),"")</f>
        <v/>
      </c>
      <c r="T102" s="3" t="str">
        <f>IF($K102&lt;&gt;"",IF($A102="Prepago",0,IF(($H102+SUM($B$12:$B102))*$S$8&gt;SUM($T$11:$T101)+$S$8,$S$8*2,$S$8)),"")</f>
        <v/>
      </c>
      <c r="U102" s="3" t="str">
        <f>IF($K102&lt;&gt;"",$N102-$P102,"")</f>
        <v/>
      </c>
      <c r="V102" s="3" t="str">
        <f t="shared" si="3"/>
        <v/>
      </c>
      <c r="W102" s="3" t="str">
        <f>IF($K102&lt;&gt;"",SUM($X102:$XFD102),"")</f>
        <v/>
      </c>
      <c r="X102" s="3" t="str">
        <f>IF($K102&lt;&gt;"",IF($M102&gt;X$11,30,$M102)*ROUND(($N102+$V101)*$T$5/3000,2),"")</f>
        <v/>
      </c>
      <c r="Y102" s="3" t="str">
        <f>IF($K102&lt;&gt;"",IF($M102&gt;X$11,IF($M102&lt;Y$11,$M102-X$11,30),0)*ROUND(($N102+$V101+SUM($X102:X102))*$T$5/3000,2),"")</f>
        <v/>
      </c>
      <c r="Z102" s="3"/>
      <c r="AA102" s="3"/>
    </row>
    <row r="103" spans="5:27" x14ac:dyDescent="0.25">
      <c r="E103" s="5"/>
      <c r="F103" t="str">
        <f>IF($K103&lt;&gt;"",TEXT(L103,"DDD"),"")</f>
        <v/>
      </c>
      <c r="G103" s="5" t="str">
        <f>IF($K103&lt;&gt;"",EOMONTH(DATE(YEAR($M$6),$G$11+K103+SUM($B$12:B103),1),0),"")</f>
        <v/>
      </c>
      <c r="H103" s="22" t="str">
        <f>IF($K103&lt;&gt;"",IF($A103="Prepago",$H102,$H102+1),"")</f>
        <v/>
      </c>
      <c r="I103" s="22" t="str">
        <f>IF($K103&lt;&gt;"",IF(ISNUMBER($C103),-$P103+$W103-$Q103,ABS($W103)+$R103+$S103+$T103),"")</f>
        <v/>
      </c>
      <c r="J103" s="22" t="str">
        <f>IF(K103&lt;&gt;"",IF(COUNTA($X103:$XFD103)*30&lt;$M103,1,0),"")</f>
        <v/>
      </c>
      <c r="K103" t="str">
        <f>IF($K102&lt;NCUOTAS+CUOTAADICIONAL+PGRACIA,$K102+1,"")</f>
        <v/>
      </c>
      <c r="L103" s="5" t="str">
        <f>IF($K103&lt;&gt;"",IF(ULTIMODIA=0,IF($E103="",DATE(YEAR($M$7),MONTH($M$7)+($A$1*($H103-1))+SUM($B$12:$B103),DAY($M$7)),$E103),G103),"")</f>
        <v/>
      </c>
      <c r="M103" s="9" t="str">
        <f>IF($K103&lt;&gt;"",$L103-$L102,"")</f>
        <v/>
      </c>
      <c r="N103" s="3" t="str">
        <f>IF($K103&lt;&gt;"",$U102,"")</f>
        <v/>
      </c>
      <c r="O103" s="3" t="str">
        <f>IF($K103&lt;&gt;"",IF($A103="Gracia Parcial",IF(AND($C103&lt;$W103+$R103+$S103+$T103+$V102,$C103&gt;0),$C103,$W103+$R103+$S103+$T103+$V102),IF($A103="Gracia Total",0,IF($A103="Prepago",$C103,IF(ISNUMBER($C103),$C103*VALUE(MID($C$1,MONTH($L103),1)),$P$5*VALUE(MID($C$1,MONTH($L103),1))))))-IF($K104="",ARREGLO,0),"")</f>
        <v/>
      </c>
      <c r="P103" s="3" t="str">
        <f>IF($K103&lt;&gt;"",IF($O103-$Q103&gt;0,$O103-$Q103-$R103-$S103-$T103,0),"")</f>
        <v/>
      </c>
      <c r="Q103" s="3" t="str">
        <f t="shared" si="2"/>
        <v/>
      </c>
      <c r="R103" s="3" t="str">
        <f>IF($K103&lt;&gt;"",IF($A103="Prepago",0,IF(($H103+SUM($B$12:$B103))*$S$6&gt;SUM($R$11:$R102)+$S$6,$S$6*2,$S$6)),"")</f>
        <v/>
      </c>
      <c r="S103" s="3" t="str">
        <f>IF($K103&lt;&gt;"",IF($A103="Prepago",0,IF(($H103+SUM($B$12:$B103))*$S$7&gt;SUM($S$11:$S102)+$S$7,$S$7*2,$S$7)),"")</f>
        <v/>
      </c>
      <c r="T103" s="3" t="str">
        <f>IF($K103&lt;&gt;"",IF($A103="Prepago",0,IF(($H103+SUM($B$12:$B103))*$S$8&gt;SUM($T$11:$T102)+$S$8,$S$8*2,$S$8)),"")</f>
        <v/>
      </c>
      <c r="U103" s="3" t="str">
        <f>IF($K103&lt;&gt;"",$N103-$P103,"")</f>
        <v/>
      </c>
      <c r="V103" s="3" t="str">
        <f t="shared" si="3"/>
        <v/>
      </c>
      <c r="W103" s="3" t="str">
        <f>IF($K103&lt;&gt;"",SUM($X103:$XFD103),"")</f>
        <v/>
      </c>
      <c r="X103" s="3" t="str">
        <f>IF($K103&lt;&gt;"",IF($M103&gt;X$11,30,$M103)*ROUND(($N103+$V102)*$T$5/3000,2),"")</f>
        <v/>
      </c>
      <c r="Y103" s="3" t="str">
        <f>IF($K103&lt;&gt;"",IF($M103&gt;X$11,IF($M103&lt;Y$11,$M103-X$11,30),0)*ROUND(($N103+$V102+SUM($X103:X103))*$T$5/3000,2),"")</f>
        <v/>
      </c>
      <c r="Z103" s="3"/>
      <c r="AA103" s="3"/>
    </row>
    <row r="104" spans="5:27" x14ac:dyDescent="0.25">
      <c r="E104" s="5"/>
      <c r="F104" t="str">
        <f>IF($K104&lt;&gt;"",TEXT(L104,"DDD"),"")</f>
        <v/>
      </c>
      <c r="G104" s="5" t="str">
        <f>IF($K104&lt;&gt;"",EOMONTH(DATE(YEAR($M$6),$G$11+K104+SUM($B$12:B104),1),0),"")</f>
        <v/>
      </c>
      <c r="H104" s="22" t="str">
        <f>IF($K104&lt;&gt;"",IF($A104="Prepago",$H103,$H103+1),"")</f>
        <v/>
      </c>
      <c r="I104" s="22" t="str">
        <f>IF($K104&lt;&gt;"",IF(ISNUMBER($C104),-$P104+$W104-$Q104,ABS($W104)+$R104+$S104+$T104),"")</f>
        <v/>
      </c>
      <c r="J104" s="22" t="str">
        <f>IF(K104&lt;&gt;"",IF(COUNTA($X104:$XFD104)*30&lt;$M104,1,0),"")</f>
        <v/>
      </c>
      <c r="K104" t="str">
        <f>IF($K103&lt;NCUOTAS+CUOTAADICIONAL+PGRACIA,$K103+1,"")</f>
        <v/>
      </c>
      <c r="L104" s="5" t="str">
        <f>IF($K104&lt;&gt;"",IF(ULTIMODIA=0,IF($E104="",DATE(YEAR($M$7),MONTH($M$7)+($A$1*($H104-1))+SUM($B$12:$B104),DAY($M$7)),$E104),G104),"")</f>
        <v/>
      </c>
      <c r="M104" s="9" t="str">
        <f>IF($K104&lt;&gt;"",$L104-$L103,"")</f>
        <v/>
      </c>
      <c r="N104" s="3" t="str">
        <f>IF($K104&lt;&gt;"",$U103,"")</f>
        <v/>
      </c>
      <c r="O104" s="3" t="str">
        <f>IF($K104&lt;&gt;"",IF($A104="Gracia Parcial",IF(AND($C104&lt;$W104+$R104+$S104+$T104+$V103,$C104&gt;0),$C104,$W104+$R104+$S104+$T104+$V103),IF($A104="Gracia Total",0,IF($A104="Prepago",$C104,IF(ISNUMBER($C104),$C104*VALUE(MID($C$1,MONTH($L104),1)),$P$5*VALUE(MID($C$1,MONTH($L104),1))))))-IF($K105="",ARREGLO,0),"")</f>
        <v/>
      </c>
      <c r="P104" s="3" t="str">
        <f>IF($K104&lt;&gt;"",IF($O104-$Q104&gt;0,$O104-$Q104-$R104-$S104-$T104,0),"")</f>
        <v/>
      </c>
      <c r="Q104" s="3" t="str">
        <f t="shared" si="2"/>
        <v/>
      </c>
      <c r="R104" s="3" t="str">
        <f>IF($K104&lt;&gt;"",IF($A104="Prepago",0,IF(($H104+SUM($B$12:$B104))*$S$6&gt;SUM($R$11:$R103)+$S$6,$S$6*2,$S$6)),"")</f>
        <v/>
      </c>
      <c r="S104" s="3" t="str">
        <f>IF($K104&lt;&gt;"",IF($A104="Prepago",0,IF(($H104+SUM($B$12:$B104))*$S$7&gt;SUM($S$11:$S103)+$S$7,$S$7*2,$S$7)),"")</f>
        <v/>
      </c>
      <c r="T104" s="3" t="str">
        <f>IF($K104&lt;&gt;"",IF($A104="Prepago",0,IF(($H104+SUM($B$12:$B104))*$S$8&gt;SUM($T$11:$T103)+$S$8,$S$8*2,$S$8)),"")</f>
        <v/>
      </c>
      <c r="U104" s="3" t="str">
        <f>IF($K104&lt;&gt;"",$N104-$P104,"")</f>
        <v/>
      </c>
      <c r="V104" s="3" t="str">
        <f t="shared" si="3"/>
        <v/>
      </c>
      <c r="W104" s="3" t="str">
        <f>IF($K104&lt;&gt;"",SUM($X104:$XFD104),"")</f>
        <v/>
      </c>
      <c r="X104" s="3" t="str">
        <f>IF($K104&lt;&gt;"",IF($M104&gt;X$11,30,$M104)*ROUND(($N104+$V103)*$T$5/3000,2),"")</f>
        <v/>
      </c>
      <c r="Y104" s="3" t="str">
        <f>IF($K104&lt;&gt;"",IF($M104&gt;X$11,IF($M104&lt;Y$11,$M104-X$11,30),0)*ROUND(($N104+$V103+SUM($X104:X104))*$T$5/3000,2),"")</f>
        <v/>
      </c>
      <c r="Z104" s="3"/>
      <c r="AA104" s="3"/>
    </row>
    <row r="105" spans="5:27" x14ac:dyDescent="0.25">
      <c r="E105" s="5"/>
      <c r="F105" t="str">
        <f>IF($K105&lt;&gt;"",TEXT(L105,"DDD"),"")</f>
        <v/>
      </c>
      <c r="G105" s="5" t="str">
        <f>IF($K105&lt;&gt;"",EOMONTH(DATE(YEAR($M$6),$G$11+K105+SUM($B$12:B105),1),0),"")</f>
        <v/>
      </c>
      <c r="H105" s="22" t="str">
        <f>IF($K105&lt;&gt;"",IF($A105="Prepago",$H104,$H104+1),"")</f>
        <v/>
      </c>
      <c r="I105" s="22" t="str">
        <f>IF($K105&lt;&gt;"",IF(ISNUMBER($C105),-$P105+$W105-$Q105,ABS($W105)+$R105+$S105+$T105),"")</f>
        <v/>
      </c>
      <c r="J105" s="22" t="str">
        <f>IF(K105&lt;&gt;"",IF(COUNTA($X105:$XFD105)*30&lt;$M105,1,0),"")</f>
        <v/>
      </c>
      <c r="K105" t="str">
        <f>IF($K104&lt;NCUOTAS+CUOTAADICIONAL+PGRACIA,$K104+1,"")</f>
        <v/>
      </c>
      <c r="L105" s="5" t="str">
        <f>IF($K105&lt;&gt;"",IF(ULTIMODIA=0,IF($E105="",DATE(YEAR($M$7),MONTH($M$7)+($A$1*($H105-1))+SUM($B$12:$B105),DAY($M$7)),$E105),G105),"")</f>
        <v/>
      </c>
      <c r="M105" s="9" t="str">
        <f>IF($K105&lt;&gt;"",$L105-$L104,"")</f>
        <v/>
      </c>
      <c r="N105" s="3" t="str">
        <f>IF($K105&lt;&gt;"",$U104,"")</f>
        <v/>
      </c>
      <c r="O105" s="3" t="str">
        <f>IF($K105&lt;&gt;"",IF($A105="Gracia Parcial",IF(AND($C105&lt;$W105+$R105+$S105+$T105+$V104,$C105&gt;0),$C105,$W105+$R105+$S105+$T105+$V104),IF($A105="Gracia Total",0,IF($A105="Prepago",$C105,IF(ISNUMBER($C105),$C105*VALUE(MID($C$1,MONTH($L105),1)),$P$5*VALUE(MID($C$1,MONTH($L105),1))))))-IF($K106="",ARREGLO,0),"")</f>
        <v/>
      </c>
      <c r="P105" s="3" t="str">
        <f>IF($K105&lt;&gt;"",IF($O105-$Q105&gt;0,$O105-$Q105-$R105-$S105-$T105,0),"")</f>
        <v/>
      </c>
      <c r="Q105" s="3" t="str">
        <f t="shared" si="2"/>
        <v/>
      </c>
      <c r="R105" s="3" t="str">
        <f>IF($K105&lt;&gt;"",IF($A105="Prepago",0,IF(($H105+SUM($B$12:$B105))*$S$6&gt;SUM($R$11:$R104)+$S$6,$S$6*2,$S$6)),"")</f>
        <v/>
      </c>
      <c r="S105" s="3" t="str">
        <f>IF($K105&lt;&gt;"",IF($A105="Prepago",0,IF(($H105+SUM($B$12:$B105))*$S$7&gt;SUM($S$11:$S104)+$S$7,$S$7*2,$S$7)),"")</f>
        <v/>
      </c>
      <c r="T105" s="3" t="str">
        <f>IF($K105&lt;&gt;"",IF($A105="Prepago",0,IF(($H105+SUM($B$12:$B105))*$S$8&gt;SUM($T$11:$T104)+$S$8,$S$8*2,$S$8)),"")</f>
        <v/>
      </c>
      <c r="U105" s="3" t="str">
        <f>IF($K105&lt;&gt;"",$N105-$P105,"")</f>
        <v/>
      </c>
      <c r="V105" s="3" t="str">
        <f t="shared" si="3"/>
        <v/>
      </c>
      <c r="W105" s="3" t="str">
        <f>IF($K105&lt;&gt;"",SUM($X105:$XFD105),"")</f>
        <v/>
      </c>
      <c r="X105" s="3" t="str">
        <f>IF($K105&lt;&gt;"",IF($M105&gt;X$11,30,$M105)*ROUND(($N105+$V104)*$T$5/3000,2),"")</f>
        <v/>
      </c>
      <c r="Y105" s="3" t="str">
        <f>IF($K105&lt;&gt;"",IF($M105&gt;X$11,IF($M105&lt;Y$11,$M105-X$11,30),0)*ROUND(($N105+$V104+SUM($X105:X105))*$T$5/3000,2),"")</f>
        <v/>
      </c>
      <c r="Z105" s="3"/>
      <c r="AA105" s="3"/>
    </row>
    <row r="106" spans="5:27" x14ac:dyDescent="0.25">
      <c r="E106" s="5"/>
      <c r="F106" t="str">
        <f>IF($K106&lt;&gt;"",TEXT(L106,"DDD"),"")</f>
        <v/>
      </c>
      <c r="G106" s="5" t="str">
        <f>IF($K106&lt;&gt;"",EOMONTH(DATE(YEAR($M$6),$G$11+K106+SUM($B$12:B106),1),0),"")</f>
        <v/>
      </c>
      <c r="H106" s="22" t="str">
        <f>IF($K106&lt;&gt;"",IF($A106="Prepago",$H105,$H105+1),"")</f>
        <v/>
      </c>
      <c r="I106" s="22" t="str">
        <f>IF($K106&lt;&gt;"",IF(ISNUMBER($C106),-$P106+$W106-$Q106,ABS($W106)+$R106+$S106+$T106),"")</f>
        <v/>
      </c>
      <c r="J106" s="22" t="str">
        <f>IF(K106&lt;&gt;"",IF(COUNTA($X106:$XFD106)*30&lt;$M106,1,0),"")</f>
        <v/>
      </c>
      <c r="K106" t="str">
        <f>IF($K105&lt;NCUOTAS+CUOTAADICIONAL+PGRACIA,$K105+1,"")</f>
        <v/>
      </c>
      <c r="L106" s="5" t="str">
        <f>IF($K106&lt;&gt;"",IF(ULTIMODIA=0,IF($E106="",DATE(YEAR($M$7),MONTH($M$7)+($A$1*($H106-1))+SUM($B$12:$B106),DAY($M$7)),$E106),G106),"")</f>
        <v/>
      </c>
      <c r="M106" s="9" t="str">
        <f>IF($K106&lt;&gt;"",$L106-$L105,"")</f>
        <v/>
      </c>
      <c r="N106" s="3" t="str">
        <f>IF($K106&lt;&gt;"",$U105,"")</f>
        <v/>
      </c>
      <c r="O106" s="3" t="str">
        <f>IF($K106&lt;&gt;"",IF($A106="Gracia Parcial",IF(AND($C106&lt;$W106+$R106+$S106+$T106+$V105,$C106&gt;0),$C106,$W106+$R106+$S106+$T106+$V105),IF($A106="Gracia Total",0,IF($A106="Prepago",$C106,IF(ISNUMBER($C106),$C106*VALUE(MID($C$1,MONTH($L106),1)),$P$5*VALUE(MID($C$1,MONTH($L106),1))))))-IF($K107="",ARREGLO,0),"")</f>
        <v/>
      </c>
      <c r="P106" s="3" t="str">
        <f>IF($K106&lt;&gt;"",IF($O106-$Q106&gt;0,$O106-$Q106-$R106-$S106-$T106,0),"")</f>
        <v/>
      </c>
      <c r="Q106" s="3" t="str">
        <f t="shared" si="2"/>
        <v/>
      </c>
      <c r="R106" s="3" t="str">
        <f>IF($K106&lt;&gt;"",IF($A106="Prepago",0,IF(($H106+SUM($B$12:$B106))*$S$6&gt;SUM($R$11:$R105)+$S$6,$S$6*2,$S$6)),"")</f>
        <v/>
      </c>
      <c r="S106" s="3" t="str">
        <f>IF($K106&lt;&gt;"",IF($A106="Prepago",0,IF(($H106+SUM($B$12:$B106))*$S$7&gt;SUM($S$11:$S105)+$S$7,$S$7*2,$S$7)),"")</f>
        <v/>
      </c>
      <c r="T106" s="3" t="str">
        <f>IF($K106&lt;&gt;"",IF($A106="Prepago",0,IF(($H106+SUM($B$12:$B106))*$S$8&gt;SUM($T$11:$T105)+$S$8,$S$8*2,$S$8)),"")</f>
        <v/>
      </c>
      <c r="U106" s="3" t="str">
        <f>IF($K106&lt;&gt;"",$N106-$P106,"")</f>
        <v/>
      </c>
      <c r="V106" s="3" t="str">
        <f t="shared" si="3"/>
        <v/>
      </c>
      <c r="W106" s="3" t="str">
        <f>IF($K106&lt;&gt;"",SUM($X106:$XFD106),"")</f>
        <v/>
      </c>
      <c r="X106" s="3" t="str">
        <f>IF($K106&lt;&gt;"",IF($M106&gt;X$11,30,$M106)*ROUND(($N106+$V105)*$T$5/3000,2),"")</f>
        <v/>
      </c>
      <c r="Y106" s="3" t="str">
        <f>IF($K106&lt;&gt;"",IF($M106&gt;X$11,IF($M106&lt;Y$11,$M106-X$11,30),0)*ROUND(($N106+$V105+SUM($X106:X106))*$T$5/3000,2),"")</f>
        <v/>
      </c>
      <c r="Z106" s="3"/>
      <c r="AA106" s="3"/>
    </row>
    <row r="107" spans="5:27" x14ac:dyDescent="0.25">
      <c r="E107" s="5"/>
      <c r="F107" t="str">
        <f>IF($K107&lt;&gt;"",TEXT(L107,"DDD"),"")</f>
        <v/>
      </c>
      <c r="G107" s="5" t="str">
        <f>IF($K107&lt;&gt;"",EOMONTH(DATE(YEAR($M$6),$G$11+K107+SUM($B$12:B107),1),0),"")</f>
        <v/>
      </c>
      <c r="H107" s="22" t="str">
        <f>IF($K107&lt;&gt;"",IF($A107="Prepago",$H106,$H106+1),"")</f>
        <v/>
      </c>
      <c r="I107" s="22" t="str">
        <f>IF($K107&lt;&gt;"",IF(ISNUMBER($C107),-$P107+$W107-$Q107,ABS($W107)+$R107+$S107+$T107),"")</f>
        <v/>
      </c>
      <c r="J107" s="22" t="str">
        <f>IF(K107&lt;&gt;"",IF(COUNTA($X107:$XFD107)*30&lt;$M107,1,0),"")</f>
        <v/>
      </c>
      <c r="K107" t="str">
        <f>IF($K106&lt;NCUOTAS+CUOTAADICIONAL+PGRACIA,$K106+1,"")</f>
        <v/>
      </c>
      <c r="L107" s="5" t="str">
        <f>IF($K107&lt;&gt;"",IF(ULTIMODIA=0,IF($E107="",DATE(YEAR($M$7),MONTH($M$7)+($A$1*($H107-1))+SUM($B$12:$B107),DAY($M$7)),$E107),G107),"")</f>
        <v/>
      </c>
      <c r="M107" s="9" t="str">
        <f>IF($K107&lt;&gt;"",$L107-$L106,"")</f>
        <v/>
      </c>
      <c r="N107" s="3" t="str">
        <f>IF($K107&lt;&gt;"",$U106,"")</f>
        <v/>
      </c>
      <c r="O107" s="3" t="str">
        <f>IF($K107&lt;&gt;"",IF($A107="Gracia Parcial",IF(AND($C107&lt;$W107+$R107+$S107+$T107+$V106,$C107&gt;0),$C107,$W107+$R107+$S107+$T107+$V106),IF($A107="Gracia Total",0,IF($A107="Prepago",$C107,IF(ISNUMBER($C107),$C107*VALUE(MID($C$1,MONTH($L107),1)),$P$5*VALUE(MID($C$1,MONTH($L107),1))))))-IF($K108="",ARREGLO,0),"")</f>
        <v/>
      </c>
      <c r="P107" s="3" t="str">
        <f>IF($K107&lt;&gt;"",IF($O107-$Q107&gt;0,$O107-$Q107-$R107-$S107-$T107,0),"")</f>
        <v/>
      </c>
      <c r="Q107" s="3" t="str">
        <f t="shared" si="2"/>
        <v/>
      </c>
      <c r="R107" s="3" t="str">
        <f>IF($K107&lt;&gt;"",IF($A107="Prepago",0,IF(($H107+SUM($B$12:$B107))*$S$6&gt;SUM($R$11:$R106)+$S$6,$S$6*2,$S$6)),"")</f>
        <v/>
      </c>
      <c r="S107" s="3" t="str">
        <f>IF($K107&lt;&gt;"",IF($A107="Prepago",0,IF(($H107+SUM($B$12:$B107))*$S$7&gt;SUM($S$11:$S106)+$S$7,$S$7*2,$S$7)),"")</f>
        <v/>
      </c>
      <c r="T107" s="3" t="str">
        <f>IF($K107&lt;&gt;"",IF($A107="Prepago",0,IF(($H107+SUM($B$12:$B107))*$S$8&gt;SUM($T$11:$T106)+$S$8,$S$8*2,$S$8)),"")</f>
        <v/>
      </c>
      <c r="U107" s="3" t="str">
        <f>IF($K107&lt;&gt;"",$N107-$P107,"")</f>
        <v/>
      </c>
      <c r="V107" s="3" t="str">
        <f t="shared" si="3"/>
        <v/>
      </c>
      <c r="W107" s="3" t="str">
        <f>IF($K107&lt;&gt;"",SUM($X107:$XFD107),"")</f>
        <v/>
      </c>
      <c r="X107" s="3" t="str">
        <f>IF($K107&lt;&gt;"",IF($M107&gt;X$11,30,$M107)*ROUND(($N107+$V106)*$T$5/3000,2),"")</f>
        <v/>
      </c>
      <c r="Y107" s="3" t="str">
        <f>IF($K107&lt;&gt;"",IF($M107&gt;X$11,IF($M107&lt;Y$11,$M107-X$11,30),0)*ROUND(($N107+$V106+SUM($X107:X107))*$T$5/3000,2),"")</f>
        <v/>
      </c>
      <c r="Z107" s="3"/>
      <c r="AA107" s="3"/>
    </row>
    <row r="108" spans="5:27" x14ac:dyDescent="0.25">
      <c r="E108" s="5"/>
      <c r="F108" t="str">
        <f>IF($K108&lt;&gt;"",TEXT(L108,"DDD"),"")</f>
        <v/>
      </c>
      <c r="G108" s="5" t="str">
        <f>IF($K108&lt;&gt;"",EOMONTH(DATE(YEAR($M$6),$G$11+K108+SUM($B$12:B108),1),0),"")</f>
        <v/>
      </c>
      <c r="H108" s="22" t="str">
        <f>IF($K108&lt;&gt;"",IF($A108="Prepago",$H107,$H107+1),"")</f>
        <v/>
      </c>
      <c r="I108" s="22" t="str">
        <f>IF($K108&lt;&gt;"",IF(ISNUMBER($C108),-$P108+$W108-$Q108,ABS($W108)+$R108+$S108+$T108),"")</f>
        <v/>
      </c>
      <c r="J108" s="22" t="str">
        <f>IF(K108&lt;&gt;"",IF(COUNTA($X108:$XFD108)*30&lt;$M108,1,0),"")</f>
        <v/>
      </c>
      <c r="K108" t="str">
        <f>IF($K107&lt;NCUOTAS+CUOTAADICIONAL+PGRACIA,$K107+1,"")</f>
        <v/>
      </c>
      <c r="L108" s="5" t="str">
        <f>IF($K108&lt;&gt;"",IF(ULTIMODIA=0,IF($E108="",DATE(YEAR($M$7),MONTH($M$7)+($A$1*($H108-1))+SUM($B$12:$B108),DAY($M$7)),$E108),G108),"")</f>
        <v/>
      </c>
      <c r="M108" s="9" t="str">
        <f>IF($K108&lt;&gt;"",$L108-$L107,"")</f>
        <v/>
      </c>
      <c r="N108" s="3" t="str">
        <f>IF($K108&lt;&gt;"",$U107,"")</f>
        <v/>
      </c>
      <c r="O108" s="3" t="str">
        <f>IF($K108&lt;&gt;"",IF($A108="Gracia Parcial",IF(AND($C108&lt;$W108+$R108+$S108+$T108+$V107,$C108&gt;0),$C108,$W108+$R108+$S108+$T108+$V107),IF($A108="Gracia Total",0,IF($A108="Prepago",$C108,IF(ISNUMBER($C108),$C108*VALUE(MID($C$1,MONTH($L108),1)),$P$5*VALUE(MID($C$1,MONTH($L108),1))))))-IF($K109="",ARREGLO,0),"")</f>
        <v/>
      </c>
      <c r="P108" s="3" t="str">
        <f>IF($K108&lt;&gt;"",IF($O108-$Q108&gt;0,$O108-$Q108-$R108-$S108-$T108,0),"")</f>
        <v/>
      </c>
      <c r="Q108" s="3" t="str">
        <f t="shared" si="2"/>
        <v/>
      </c>
      <c r="R108" s="3" t="str">
        <f>IF($K108&lt;&gt;"",IF($A108="Prepago",0,IF(($H108+SUM($B$12:$B108))*$S$6&gt;SUM($R$11:$R107)+$S$6,$S$6*2,$S$6)),"")</f>
        <v/>
      </c>
      <c r="S108" s="3" t="str">
        <f>IF($K108&lt;&gt;"",IF($A108="Prepago",0,IF(($H108+SUM($B$12:$B108))*$S$7&gt;SUM($S$11:$S107)+$S$7,$S$7*2,$S$7)),"")</f>
        <v/>
      </c>
      <c r="T108" s="3" t="str">
        <f>IF($K108&lt;&gt;"",IF($A108="Prepago",0,IF(($H108+SUM($B$12:$B108))*$S$8&gt;SUM($T$11:$T107)+$S$8,$S$8*2,$S$8)),"")</f>
        <v/>
      </c>
      <c r="U108" s="3" t="str">
        <f>IF($K108&lt;&gt;"",$N108-$P108,"")</f>
        <v/>
      </c>
      <c r="V108" s="3" t="str">
        <f t="shared" si="3"/>
        <v/>
      </c>
      <c r="W108" s="3" t="str">
        <f>IF($K108&lt;&gt;"",SUM($X108:$XFD108),"")</f>
        <v/>
      </c>
      <c r="X108" s="3" t="str">
        <f>IF($K108&lt;&gt;"",IF($M108&gt;X$11,30,$M108)*ROUND(($N108+$V107)*$T$5/3000,2),"")</f>
        <v/>
      </c>
      <c r="Y108" s="3" t="str">
        <f>IF($K108&lt;&gt;"",IF($M108&gt;X$11,IF($M108&lt;Y$11,$M108-X$11,30),0)*ROUND(($N108+$V107+SUM($X108:X108))*$T$5/3000,2),"")</f>
        <v/>
      </c>
      <c r="Z108" s="3"/>
      <c r="AA108" s="3"/>
    </row>
    <row r="109" spans="5:27" x14ac:dyDescent="0.25">
      <c r="E109" s="5"/>
      <c r="F109" t="str">
        <f>IF($K109&lt;&gt;"",TEXT(L109,"DDD"),"")</f>
        <v/>
      </c>
      <c r="G109" s="5" t="str">
        <f>IF($K109&lt;&gt;"",EOMONTH(DATE(YEAR($M$6),$G$11+K109+SUM($B$12:B109),1),0),"")</f>
        <v/>
      </c>
      <c r="H109" s="22" t="str">
        <f>IF($K109&lt;&gt;"",IF($A109="Prepago",$H108,$H108+1),"")</f>
        <v/>
      </c>
      <c r="I109" s="22" t="str">
        <f>IF($K109&lt;&gt;"",IF(ISNUMBER($C109),-$P109+$W109-$Q109,ABS($W109)+$R109+$S109+$T109),"")</f>
        <v/>
      </c>
      <c r="J109" s="22" t="str">
        <f>IF(K109&lt;&gt;"",IF(COUNTA($X109:$XFD109)*30&lt;$M109,1,0),"")</f>
        <v/>
      </c>
      <c r="K109" t="str">
        <f>IF($K108&lt;NCUOTAS+CUOTAADICIONAL+PGRACIA,$K108+1,"")</f>
        <v/>
      </c>
      <c r="L109" s="5" t="str">
        <f>IF($K109&lt;&gt;"",IF(ULTIMODIA=0,IF($E109="",DATE(YEAR($M$7),MONTH($M$7)+($A$1*($H109-1))+SUM($B$12:$B109),DAY($M$7)),$E109),G109),"")</f>
        <v/>
      </c>
      <c r="M109" s="9" t="str">
        <f>IF($K109&lt;&gt;"",$L109-$L108,"")</f>
        <v/>
      </c>
      <c r="N109" s="3" t="str">
        <f>IF($K109&lt;&gt;"",$U108,"")</f>
        <v/>
      </c>
      <c r="O109" s="3" t="str">
        <f>IF($K109&lt;&gt;"",IF($A109="Gracia Parcial",IF(AND($C109&lt;$W109+$R109+$S109+$T109+$V108,$C109&gt;0),$C109,$W109+$R109+$S109+$T109+$V108),IF($A109="Gracia Total",0,IF($A109="Prepago",$C109,IF(ISNUMBER($C109),$C109*VALUE(MID($C$1,MONTH($L109),1)),$P$5*VALUE(MID($C$1,MONTH($L109),1))))))-IF($K110="",ARREGLO,0),"")</f>
        <v/>
      </c>
      <c r="P109" s="3" t="str">
        <f>IF($K109&lt;&gt;"",IF($O109-$Q109&gt;0,$O109-$Q109-$R109-$S109-$T109,0),"")</f>
        <v/>
      </c>
      <c r="Q109" s="3" t="str">
        <f t="shared" si="2"/>
        <v/>
      </c>
      <c r="R109" s="3" t="str">
        <f>IF($K109&lt;&gt;"",IF($A109="Prepago",0,IF(($H109+SUM($B$12:$B109))*$S$6&gt;SUM($R$11:$R108)+$S$6,$S$6*2,$S$6)),"")</f>
        <v/>
      </c>
      <c r="S109" s="3" t="str">
        <f>IF($K109&lt;&gt;"",IF($A109="Prepago",0,IF(($H109+SUM($B$12:$B109))*$S$7&gt;SUM($S$11:$S108)+$S$7,$S$7*2,$S$7)),"")</f>
        <v/>
      </c>
      <c r="T109" s="3" t="str">
        <f>IF($K109&lt;&gt;"",IF($A109="Prepago",0,IF(($H109+SUM($B$12:$B109))*$S$8&gt;SUM($T$11:$T108)+$S$8,$S$8*2,$S$8)),"")</f>
        <v/>
      </c>
      <c r="U109" s="3" t="str">
        <f>IF($K109&lt;&gt;"",$N109-$P109,"")</f>
        <v/>
      </c>
      <c r="V109" s="3" t="str">
        <f t="shared" si="3"/>
        <v/>
      </c>
      <c r="W109" s="3" t="str">
        <f>IF($K109&lt;&gt;"",SUM($X109:$XFD109),"")</f>
        <v/>
      </c>
      <c r="X109" s="3" t="str">
        <f>IF($K109&lt;&gt;"",IF($M109&gt;X$11,30,$M109)*ROUND(($N109+$V108)*$T$5/3000,2),"")</f>
        <v/>
      </c>
      <c r="Y109" s="3" t="str">
        <f>IF($K109&lt;&gt;"",IF($M109&gt;X$11,IF($M109&lt;Y$11,$M109-X$11,30),0)*ROUND(($N109+$V108+SUM($X109:X109))*$T$5/3000,2),"")</f>
        <v/>
      </c>
      <c r="Z109" s="3"/>
      <c r="AA109" s="3"/>
    </row>
    <row r="110" spans="5:27" x14ac:dyDescent="0.25">
      <c r="E110" s="5"/>
      <c r="F110" t="str">
        <f>IF($K110&lt;&gt;"",TEXT(L110,"DDD"),"")</f>
        <v/>
      </c>
      <c r="G110" s="5" t="str">
        <f>IF($K110&lt;&gt;"",EOMONTH(DATE(YEAR($M$6),$G$11+K110+SUM($B$12:B110),1),0),"")</f>
        <v/>
      </c>
      <c r="H110" s="22" t="str">
        <f>IF($K110&lt;&gt;"",IF($A110="Prepago",$H109,$H109+1),"")</f>
        <v/>
      </c>
      <c r="I110" s="22" t="str">
        <f>IF($K110&lt;&gt;"",IF(ISNUMBER($C110),-$P110+$W110-$Q110,ABS($W110)+$R110+$S110+$T110),"")</f>
        <v/>
      </c>
      <c r="J110" s="22" t="str">
        <f>IF(K110&lt;&gt;"",IF(COUNTA($X110:$XFD110)*30&lt;$M110,1,0),"")</f>
        <v/>
      </c>
      <c r="K110" t="str">
        <f>IF($K109&lt;NCUOTAS+CUOTAADICIONAL+PGRACIA,$K109+1,"")</f>
        <v/>
      </c>
      <c r="L110" s="5" t="str">
        <f>IF($K110&lt;&gt;"",IF(ULTIMODIA=0,IF($E110="",DATE(YEAR($M$7),MONTH($M$7)+($A$1*($H110-1))+SUM($B$12:$B110),DAY($M$7)),$E110),G110),"")</f>
        <v/>
      </c>
      <c r="M110" s="9" t="str">
        <f>IF($K110&lt;&gt;"",$L110-$L109,"")</f>
        <v/>
      </c>
      <c r="N110" s="3" t="str">
        <f>IF($K110&lt;&gt;"",$U109,"")</f>
        <v/>
      </c>
      <c r="O110" s="3" t="str">
        <f>IF($K110&lt;&gt;"",IF($A110="Gracia Parcial",IF(AND($C110&lt;$W110+$R110+$S110+$T110+$V109,$C110&gt;0),$C110,$W110+$R110+$S110+$T110+$V109),IF($A110="Gracia Total",0,IF($A110="Prepago",$C110,IF(ISNUMBER($C110),$C110*VALUE(MID($C$1,MONTH($L110),1)),$P$5*VALUE(MID($C$1,MONTH($L110),1))))))-IF($K111="",ARREGLO,0),"")</f>
        <v/>
      </c>
      <c r="P110" s="3" t="str">
        <f>IF($K110&lt;&gt;"",IF($O110-$Q110&gt;0,$O110-$Q110-$R110-$S110-$T110,0),"")</f>
        <v/>
      </c>
      <c r="Q110" s="3" t="str">
        <f t="shared" si="2"/>
        <v/>
      </c>
      <c r="R110" s="3" t="str">
        <f>IF($K110&lt;&gt;"",IF($A110="Prepago",0,IF(($H110+SUM($B$12:$B110))*$S$6&gt;SUM($R$11:$R109)+$S$6,$S$6*2,$S$6)),"")</f>
        <v/>
      </c>
      <c r="S110" s="3" t="str">
        <f>IF($K110&lt;&gt;"",IF($A110="Prepago",0,IF(($H110+SUM($B$12:$B110))*$S$7&gt;SUM($S$11:$S109)+$S$7,$S$7*2,$S$7)),"")</f>
        <v/>
      </c>
      <c r="T110" s="3" t="str">
        <f>IF($K110&lt;&gt;"",IF($A110="Prepago",0,IF(($H110+SUM($B$12:$B110))*$S$8&gt;SUM($T$11:$T109)+$S$8,$S$8*2,$S$8)),"")</f>
        <v/>
      </c>
      <c r="U110" s="3" t="str">
        <f>IF($K110&lt;&gt;"",$N110-$P110,"")</f>
        <v/>
      </c>
      <c r="V110" s="3" t="str">
        <f t="shared" si="3"/>
        <v/>
      </c>
      <c r="W110" s="3" t="str">
        <f>IF($K110&lt;&gt;"",SUM($X110:$XFD110),"")</f>
        <v/>
      </c>
      <c r="X110" s="3" t="str">
        <f>IF($K110&lt;&gt;"",IF($M110&gt;X$11,30,$M110)*ROUND(($N110+$V109)*$T$5/3000,2),"")</f>
        <v/>
      </c>
      <c r="Y110" s="3" t="str">
        <f>IF($K110&lt;&gt;"",IF($M110&gt;X$11,IF($M110&lt;Y$11,$M110-X$11,30),0)*ROUND(($N110+$V109+SUM($X110:X110))*$T$5/3000,2),"")</f>
        <v/>
      </c>
      <c r="Z110" s="3"/>
      <c r="AA110" s="3"/>
    </row>
    <row r="111" spans="5:27" x14ac:dyDescent="0.25">
      <c r="E111" s="5"/>
      <c r="F111" t="str">
        <f>IF($K111&lt;&gt;"",TEXT(L111,"DDD"),"")</f>
        <v/>
      </c>
      <c r="G111" s="5" t="str">
        <f>IF($K111&lt;&gt;"",EOMONTH(DATE(YEAR($M$6),$G$11+K111+SUM($B$12:B111),1),0),"")</f>
        <v/>
      </c>
      <c r="H111" s="22" t="str">
        <f>IF($K111&lt;&gt;"",IF($A111="Prepago",$H110,$H110+1),"")</f>
        <v/>
      </c>
      <c r="I111" s="22" t="str">
        <f>IF($K111&lt;&gt;"",IF(ISNUMBER($C111),-$P111+$W111-$Q111,ABS($W111)+$R111+$S111+$T111),"")</f>
        <v/>
      </c>
      <c r="J111" s="22" t="str">
        <f>IF(K111&lt;&gt;"",IF(COUNTA($X111:$XFD111)*30&lt;$M111,1,0),"")</f>
        <v/>
      </c>
      <c r="K111" t="str">
        <f>IF($K110&lt;NCUOTAS+CUOTAADICIONAL+PGRACIA,$K110+1,"")</f>
        <v/>
      </c>
      <c r="L111" s="5" t="str">
        <f>IF($K111&lt;&gt;"",IF(ULTIMODIA=0,IF($E111="",DATE(YEAR($M$7),MONTH($M$7)+($A$1*($H111-1))+SUM($B$12:$B111),DAY($M$7)),$E111),G111),"")</f>
        <v/>
      </c>
      <c r="M111" s="9" t="str">
        <f>IF($K111&lt;&gt;"",$L111-$L110,"")</f>
        <v/>
      </c>
      <c r="N111" s="3" t="str">
        <f>IF($K111&lt;&gt;"",$U110,"")</f>
        <v/>
      </c>
      <c r="O111" s="3" t="str">
        <f>IF($K111&lt;&gt;"",IF($A111="Gracia Parcial",IF(AND($C111&lt;$W111+$R111+$S111+$T111+$V110,$C111&gt;0),$C111,$W111+$R111+$S111+$T111+$V110),IF($A111="Gracia Total",0,IF($A111="Prepago",$C111,IF(ISNUMBER($C111),$C111*VALUE(MID($C$1,MONTH($L111),1)),$P$5*VALUE(MID($C$1,MONTH($L111),1))))))-IF($K112="",ARREGLO,0),"")</f>
        <v/>
      </c>
      <c r="P111" s="3" t="str">
        <f>IF($K111&lt;&gt;"",IF($O111-$Q111&gt;0,$O111-$Q111-$R111-$S111-$T111,0),"")</f>
        <v/>
      </c>
      <c r="Q111" s="3" t="str">
        <f t="shared" si="2"/>
        <v/>
      </c>
      <c r="R111" s="3" t="str">
        <f>IF($K111&lt;&gt;"",IF($A111="Prepago",0,IF(($H111+SUM($B$12:$B111))*$S$6&gt;SUM($R$11:$R110)+$S$6,$S$6*2,$S$6)),"")</f>
        <v/>
      </c>
      <c r="S111" s="3" t="str">
        <f>IF($K111&lt;&gt;"",IF($A111="Prepago",0,IF(($H111+SUM($B$12:$B111))*$S$7&gt;SUM($S$11:$S110)+$S$7,$S$7*2,$S$7)),"")</f>
        <v/>
      </c>
      <c r="T111" s="3" t="str">
        <f>IF($K111&lt;&gt;"",IF($A111="Prepago",0,IF(($H111+SUM($B$12:$B111))*$S$8&gt;SUM($T$11:$T110)+$S$8,$S$8*2,$S$8)),"")</f>
        <v/>
      </c>
      <c r="U111" s="3" t="str">
        <f>IF($K111&lt;&gt;"",$N111-$P111,"")</f>
        <v/>
      </c>
      <c r="V111" s="3" t="str">
        <f t="shared" si="3"/>
        <v/>
      </c>
      <c r="W111" s="3" t="str">
        <f>IF($K111&lt;&gt;"",SUM($X111:$XFD111),"")</f>
        <v/>
      </c>
      <c r="X111" s="3" t="str">
        <f>IF($K111&lt;&gt;"",IF($M111&gt;X$11,30,$M111)*ROUND(($N111+$V110)*$T$5/3000,2),"")</f>
        <v/>
      </c>
      <c r="Y111" s="3" t="str">
        <f>IF($K111&lt;&gt;"",IF($M111&gt;X$11,IF($M111&lt;Y$11,$M111-X$11,30),0)*ROUND(($N111+$V110+SUM($X111:X111))*$T$5/3000,2),"")</f>
        <v/>
      </c>
      <c r="Z111" s="3"/>
      <c r="AA111" s="3"/>
    </row>
    <row r="112" spans="5:27" x14ac:dyDescent="0.25">
      <c r="E112" s="5"/>
      <c r="F112" t="str">
        <f>IF($K112&lt;&gt;"",TEXT(L112,"DDD"),"")</f>
        <v/>
      </c>
      <c r="G112" s="5" t="str">
        <f>IF($K112&lt;&gt;"",EOMONTH(DATE(YEAR($M$6),$G$11+K112+SUM($B$12:B112),1),0),"")</f>
        <v/>
      </c>
      <c r="H112" s="22" t="str">
        <f>IF($K112&lt;&gt;"",IF($A112="Prepago",$H111,$H111+1),"")</f>
        <v/>
      </c>
      <c r="I112" s="22" t="str">
        <f>IF($K112&lt;&gt;"",IF(ISNUMBER($C112),-$P112+$W112-$Q112,ABS($W112)+$R112+$S112+$T112),"")</f>
        <v/>
      </c>
      <c r="J112" s="22" t="str">
        <f>IF(K112&lt;&gt;"",IF(COUNTA($X112:$XFD112)*30&lt;$M112,1,0),"")</f>
        <v/>
      </c>
      <c r="K112" t="str">
        <f>IF($K111&lt;NCUOTAS+CUOTAADICIONAL+PGRACIA,$K111+1,"")</f>
        <v/>
      </c>
      <c r="L112" s="5" t="str">
        <f>IF($K112&lt;&gt;"",IF(ULTIMODIA=0,IF($E112="",DATE(YEAR($M$7),MONTH($M$7)+($A$1*($H112-1))+SUM($B$12:$B112),DAY($M$7)),$E112),G112),"")</f>
        <v/>
      </c>
      <c r="M112" s="9" t="str">
        <f>IF($K112&lt;&gt;"",$L112-$L111,"")</f>
        <v/>
      </c>
      <c r="N112" s="3" t="str">
        <f>IF($K112&lt;&gt;"",$U111,"")</f>
        <v/>
      </c>
      <c r="O112" s="3" t="str">
        <f>IF($K112&lt;&gt;"",IF($A112="Gracia Parcial",IF(AND($C112&lt;$W112+$R112+$S112+$T112+$V111,$C112&gt;0),$C112,$W112+$R112+$S112+$T112+$V111),IF($A112="Gracia Total",0,IF($A112="Prepago",$C112,IF(ISNUMBER($C112),$C112*VALUE(MID($C$1,MONTH($L112),1)),$P$5*VALUE(MID($C$1,MONTH($L112),1))))))-IF($K113="",ARREGLO,0),"")</f>
        <v/>
      </c>
      <c r="P112" s="3" t="str">
        <f>IF($K112&lt;&gt;"",IF($O112-$Q112&gt;0,$O112-$Q112-$R112-$S112-$T112,0),"")</f>
        <v/>
      </c>
      <c r="Q112" s="3" t="str">
        <f t="shared" si="2"/>
        <v/>
      </c>
      <c r="R112" s="3" t="str">
        <f>IF($K112&lt;&gt;"",IF($A112="Prepago",0,IF(($H112+SUM($B$12:$B112))*$S$6&gt;SUM($R$11:$R111)+$S$6,$S$6*2,$S$6)),"")</f>
        <v/>
      </c>
      <c r="S112" s="3" t="str">
        <f>IF($K112&lt;&gt;"",IF($A112="Prepago",0,IF(($H112+SUM($B$12:$B112))*$S$7&gt;SUM($S$11:$S111)+$S$7,$S$7*2,$S$7)),"")</f>
        <v/>
      </c>
      <c r="T112" s="3" t="str">
        <f>IF($K112&lt;&gt;"",IF($A112="Prepago",0,IF(($H112+SUM($B$12:$B112))*$S$8&gt;SUM($T$11:$T111)+$S$8,$S$8*2,$S$8)),"")</f>
        <v/>
      </c>
      <c r="U112" s="3" t="str">
        <f>IF($K112&lt;&gt;"",$N112-$P112,"")</f>
        <v/>
      </c>
      <c r="V112" s="3" t="str">
        <f t="shared" si="3"/>
        <v/>
      </c>
      <c r="W112" s="3" t="str">
        <f>IF($K112&lt;&gt;"",SUM($X112:$XFD112),"")</f>
        <v/>
      </c>
      <c r="X112" s="3" t="str">
        <f>IF($K112&lt;&gt;"",IF($M112&gt;X$11,30,$M112)*ROUND(($N112+$V111)*$T$5/3000,2),"")</f>
        <v/>
      </c>
      <c r="Y112" s="3" t="str">
        <f>IF($K112&lt;&gt;"",IF($M112&gt;X$11,IF($M112&lt;Y$11,$M112-X$11,30),0)*ROUND(($N112+$V111+SUM($X112:X112))*$T$5/3000,2),"")</f>
        <v/>
      </c>
      <c r="Z112" s="3"/>
      <c r="AA112" s="3"/>
    </row>
    <row r="113" spans="5:27" x14ac:dyDescent="0.25">
      <c r="E113" s="5"/>
      <c r="F113" t="str">
        <f>IF($K113&lt;&gt;"",TEXT(L113,"DDD"),"")</f>
        <v/>
      </c>
      <c r="G113" s="5" t="str">
        <f>IF($K113&lt;&gt;"",EOMONTH(DATE(YEAR($M$6),$G$11+K113+SUM($B$12:B113),1),0),"")</f>
        <v/>
      </c>
      <c r="H113" s="22" t="str">
        <f>IF($K113&lt;&gt;"",IF($A113="Prepago",$H112,$H112+1),"")</f>
        <v/>
      </c>
      <c r="I113" s="22" t="str">
        <f>IF($K113&lt;&gt;"",IF(ISNUMBER($C113),-$P113+$W113-$Q113,ABS($W113)+$R113+$S113+$T113),"")</f>
        <v/>
      </c>
      <c r="J113" s="22" t="str">
        <f>IF(K113&lt;&gt;"",IF(COUNTA($X113:$XFD113)*30&lt;$M113,1,0),"")</f>
        <v/>
      </c>
      <c r="K113" t="str">
        <f>IF($K112&lt;NCUOTAS+CUOTAADICIONAL+PGRACIA,$K112+1,"")</f>
        <v/>
      </c>
      <c r="L113" s="5" t="str">
        <f>IF($K113&lt;&gt;"",IF(ULTIMODIA=0,IF($E113="",DATE(YEAR($M$7),MONTH($M$7)+($A$1*($H113-1))+SUM($B$12:$B113),DAY($M$7)),$E113),G113),"")</f>
        <v/>
      </c>
      <c r="M113" s="9" t="str">
        <f>IF($K113&lt;&gt;"",$L113-$L112,"")</f>
        <v/>
      </c>
      <c r="N113" s="3" t="str">
        <f>IF($K113&lt;&gt;"",$U112,"")</f>
        <v/>
      </c>
      <c r="O113" s="3" t="str">
        <f>IF($K113&lt;&gt;"",IF($A113="Gracia Parcial",IF(AND($C113&lt;$W113+$R113+$S113+$T113+$V112,$C113&gt;0),$C113,$W113+$R113+$S113+$T113+$V112),IF($A113="Gracia Total",0,IF($A113="Prepago",$C113,IF(ISNUMBER($C113),$C113*VALUE(MID($C$1,MONTH($L113),1)),$P$5*VALUE(MID($C$1,MONTH($L113),1))))))-IF($K114="",ARREGLO,0),"")</f>
        <v/>
      </c>
      <c r="P113" s="3" t="str">
        <f>IF($K113&lt;&gt;"",IF($O113-$Q113&gt;0,$O113-$Q113-$R113-$S113-$T113,0),"")</f>
        <v/>
      </c>
      <c r="Q113" s="3" t="str">
        <f t="shared" si="2"/>
        <v/>
      </c>
      <c r="R113" s="3" t="str">
        <f>IF($K113&lt;&gt;"",IF($A113="Prepago",0,IF(($H113+SUM($B$12:$B113))*$S$6&gt;SUM($R$11:$R112)+$S$6,$S$6*2,$S$6)),"")</f>
        <v/>
      </c>
      <c r="S113" s="3" t="str">
        <f>IF($K113&lt;&gt;"",IF($A113="Prepago",0,IF(($H113+SUM($B$12:$B113))*$S$7&gt;SUM($S$11:$S112)+$S$7,$S$7*2,$S$7)),"")</f>
        <v/>
      </c>
      <c r="T113" s="3" t="str">
        <f>IF($K113&lt;&gt;"",IF($A113="Prepago",0,IF(($H113+SUM($B$12:$B113))*$S$8&gt;SUM($T$11:$T112)+$S$8,$S$8*2,$S$8)),"")</f>
        <v/>
      </c>
      <c r="U113" s="3" t="str">
        <f>IF($K113&lt;&gt;"",$N113-$P113,"")</f>
        <v/>
      </c>
      <c r="V113" s="3" t="str">
        <f t="shared" si="3"/>
        <v/>
      </c>
      <c r="W113" s="3" t="str">
        <f>IF($K113&lt;&gt;"",SUM($X113:$XFD113),"")</f>
        <v/>
      </c>
      <c r="X113" s="3" t="str">
        <f>IF($K113&lt;&gt;"",IF($M113&gt;X$11,30,$M113)*ROUND(($N113+$V112)*$T$5/3000,2),"")</f>
        <v/>
      </c>
      <c r="Y113" s="3" t="str">
        <f>IF($K113&lt;&gt;"",IF($M113&gt;X$11,IF($M113&lt;Y$11,$M113-X$11,30),0)*ROUND(($N113+$V112+SUM($X113:X113))*$T$5/3000,2),"")</f>
        <v/>
      </c>
      <c r="Z113" s="3"/>
      <c r="AA113" s="3"/>
    </row>
    <row r="114" spans="5:27" x14ac:dyDescent="0.25">
      <c r="E114" s="5"/>
      <c r="F114" t="str">
        <f>IF($K114&lt;&gt;"",TEXT(L114,"DDD"),"")</f>
        <v/>
      </c>
      <c r="G114" s="5" t="str">
        <f>IF($K114&lt;&gt;"",EOMONTH(DATE(YEAR($M$6),$G$11+K114+SUM($B$12:B114),1),0),"")</f>
        <v/>
      </c>
      <c r="H114" s="22" t="str">
        <f>IF($K114&lt;&gt;"",IF($A114="Prepago",$H113,$H113+1),"")</f>
        <v/>
      </c>
      <c r="I114" s="22" t="str">
        <f>IF($K114&lt;&gt;"",IF(ISNUMBER($C114),-$P114+$W114-$Q114,ABS($W114)+$R114+$S114+$T114),"")</f>
        <v/>
      </c>
      <c r="J114" s="22" t="str">
        <f>IF(K114&lt;&gt;"",IF(COUNTA($X114:$XFD114)*30&lt;$M114,1,0),"")</f>
        <v/>
      </c>
      <c r="K114" t="str">
        <f>IF($K113&lt;NCUOTAS+CUOTAADICIONAL+PGRACIA,$K113+1,"")</f>
        <v/>
      </c>
      <c r="L114" s="5" t="str">
        <f>IF($K114&lt;&gt;"",IF(ULTIMODIA=0,IF($E114="",DATE(YEAR($M$7),MONTH($M$7)+($A$1*($H114-1))+SUM($B$12:$B114),DAY($M$7)),$E114),G114),"")</f>
        <v/>
      </c>
      <c r="M114" s="9" t="str">
        <f>IF($K114&lt;&gt;"",$L114-$L113,"")</f>
        <v/>
      </c>
      <c r="N114" s="3" t="str">
        <f>IF($K114&lt;&gt;"",$U113,"")</f>
        <v/>
      </c>
      <c r="O114" s="3" t="str">
        <f>IF($K114&lt;&gt;"",IF($A114="Gracia Parcial",IF(AND($C114&lt;$W114+$R114+$S114+$T114+$V113,$C114&gt;0),$C114,$W114+$R114+$S114+$T114+$V113),IF($A114="Gracia Total",0,IF($A114="Prepago",$C114,IF(ISNUMBER($C114),$C114*VALUE(MID($C$1,MONTH($L114),1)),$P$5*VALUE(MID($C$1,MONTH($L114),1))))))-IF($K115="",ARREGLO,0),"")</f>
        <v/>
      </c>
      <c r="P114" s="3" t="str">
        <f>IF($K114&lt;&gt;"",IF($O114-$Q114&gt;0,$O114-$Q114-$R114-$S114-$T114,0),"")</f>
        <v/>
      </c>
      <c r="Q114" s="3" t="str">
        <f t="shared" si="2"/>
        <v/>
      </c>
      <c r="R114" s="3" t="str">
        <f>IF($K114&lt;&gt;"",IF($A114="Prepago",0,IF(($H114+SUM($B$12:$B114))*$S$6&gt;SUM($R$11:$R113)+$S$6,$S$6*2,$S$6)),"")</f>
        <v/>
      </c>
      <c r="S114" s="3" t="str">
        <f>IF($K114&lt;&gt;"",IF($A114="Prepago",0,IF(($H114+SUM($B$12:$B114))*$S$7&gt;SUM($S$11:$S113)+$S$7,$S$7*2,$S$7)),"")</f>
        <v/>
      </c>
      <c r="T114" s="3" t="str">
        <f>IF($K114&lt;&gt;"",IF($A114="Prepago",0,IF(($H114+SUM($B$12:$B114))*$S$8&gt;SUM($T$11:$T113)+$S$8,$S$8*2,$S$8)),"")</f>
        <v/>
      </c>
      <c r="U114" s="3" t="str">
        <f>IF($K114&lt;&gt;"",$N114-$P114,"")</f>
        <v/>
      </c>
      <c r="V114" s="3" t="str">
        <f t="shared" si="3"/>
        <v/>
      </c>
      <c r="W114" s="3" t="str">
        <f>IF($K114&lt;&gt;"",SUM($X114:$XFD114),"")</f>
        <v/>
      </c>
      <c r="X114" s="3" t="str">
        <f>IF($K114&lt;&gt;"",IF($M114&gt;X$11,30,$M114)*ROUND(($N114+$V113)*$T$5/3000,2),"")</f>
        <v/>
      </c>
      <c r="Y114" s="3" t="str">
        <f>IF($K114&lt;&gt;"",IF($M114&gt;X$11,IF($M114&lt;Y$11,$M114-X$11,30),0)*ROUND(($N114+$V113+SUM($X114:X114))*$T$5/3000,2),"")</f>
        <v/>
      </c>
      <c r="Z114" s="3"/>
      <c r="AA114" s="3"/>
    </row>
    <row r="115" spans="5:27" x14ac:dyDescent="0.25">
      <c r="E115" s="5"/>
      <c r="F115" t="str">
        <f>IF($K115&lt;&gt;"",TEXT(L115,"DDD"),"")</f>
        <v/>
      </c>
      <c r="G115" s="5" t="str">
        <f>IF($K115&lt;&gt;"",EOMONTH(DATE(YEAR($M$6),$G$11+K115+SUM($B$12:B115),1),0),"")</f>
        <v/>
      </c>
      <c r="H115" s="22" t="str">
        <f>IF($K115&lt;&gt;"",IF($A115="Prepago",$H114,$H114+1),"")</f>
        <v/>
      </c>
      <c r="I115" s="22" t="str">
        <f>IF($K115&lt;&gt;"",IF(ISNUMBER($C115),-$P115+$W115-$Q115,ABS($W115)+$R115+$S115+$T115),"")</f>
        <v/>
      </c>
      <c r="J115" s="22" t="str">
        <f>IF(K115&lt;&gt;"",IF(COUNTA($X115:$XFD115)*30&lt;$M115,1,0),"")</f>
        <v/>
      </c>
      <c r="K115" t="str">
        <f>IF($K114&lt;NCUOTAS+CUOTAADICIONAL+PGRACIA,$K114+1,"")</f>
        <v/>
      </c>
      <c r="L115" s="5" t="str">
        <f>IF($K115&lt;&gt;"",IF(ULTIMODIA=0,IF($E115="",DATE(YEAR($M$7),MONTH($M$7)+($A$1*($H115-1))+SUM($B$12:$B115),DAY($M$7)),$E115),G115),"")</f>
        <v/>
      </c>
      <c r="M115" s="9" t="str">
        <f>IF($K115&lt;&gt;"",$L115-$L114,"")</f>
        <v/>
      </c>
      <c r="N115" s="3" t="str">
        <f>IF($K115&lt;&gt;"",$U114,"")</f>
        <v/>
      </c>
      <c r="O115" s="3" t="str">
        <f>IF($K115&lt;&gt;"",IF($A115="Gracia Parcial",IF(AND($C115&lt;$W115+$R115+$S115+$T115+$V114,$C115&gt;0),$C115,$W115+$R115+$S115+$T115+$V114),IF($A115="Gracia Total",0,IF($A115="Prepago",$C115,IF(ISNUMBER($C115),$C115*VALUE(MID($C$1,MONTH($L115),1)),$P$5*VALUE(MID($C$1,MONTH($L115),1))))))-IF($K116="",ARREGLO,0),"")</f>
        <v/>
      </c>
      <c r="P115" s="3" t="str">
        <f>IF($K115&lt;&gt;"",IF($O115-$Q115&gt;0,$O115-$Q115-$R115-$S115-$T115,0),"")</f>
        <v/>
      </c>
      <c r="Q115" s="3" t="str">
        <f t="shared" si="2"/>
        <v/>
      </c>
      <c r="R115" s="3" t="str">
        <f>IF($K115&lt;&gt;"",IF($A115="Prepago",0,IF(($H115+SUM($B$12:$B115))*$S$6&gt;SUM($R$11:$R114)+$S$6,$S$6*2,$S$6)),"")</f>
        <v/>
      </c>
      <c r="S115" s="3" t="str">
        <f>IF($K115&lt;&gt;"",IF($A115="Prepago",0,IF(($H115+SUM($B$12:$B115))*$S$7&gt;SUM($S$11:$S114)+$S$7,$S$7*2,$S$7)),"")</f>
        <v/>
      </c>
      <c r="T115" s="3" t="str">
        <f>IF($K115&lt;&gt;"",IF($A115="Prepago",0,IF(($H115+SUM($B$12:$B115))*$S$8&gt;SUM($T$11:$T114)+$S$8,$S$8*2,$S$8)),"")</f>
        <v/>
      </c>
      <c r="U115" s="3" t="str">
        <f>IF($K115&lt;&gt;"",$N115-$P115,"")</f>
        <v/>
      </c>
      <c r="V115" s="3" t="str">
        <f t="shared" si="3"/>
        <v/>
      </c>
      <c r="W115" s="3" t="str">
        <f>IF($K115&lt;&gt;"",SUM($X115:$XFD115),"")</f>
        <v/>
      </c>
      <c r="X115" s="3" t="str">
        <f>IF($K115&lt;&gt;"",IF($M115&gt;X$11,30,$M115)*ROUND(($N115+$V114)*$T$5/3000,2),"")</f>
        <v/>
      </c>
      <c r="Y115" s="3" t="str">
        <f>IF($K115&lt;&gt;"",IF($M115&gt;X$11,IF($M115&lt;Y$11,$M115-X$11,30),0)*ROUND(($N115+$V114+SUM($X115:X115))*$T$5/3000,2),"")</f>
        <v/>
      </c>
      <c r="Z115" s="3"/>
      <c r="AA115" s="3"/>
    </row>
    <row r="116" spans="5:27" x14ac:dyDescent="0.25">
      <c r="E116" s="5"/>
      <c r="F116" t="str">
        <f>IF($K116&lt;&gt;"",TEXT(L116,"DDD"),"")</f>
        <v/>
      </c>
      <c r="G116" s="5" t="str">
        <f>IF($K116&lt;&gt;"",EOMONTH(DATE(YEAR($M$6),$G$11+K116+SUM($B$12:B116),1),0),"")</f>
        <v/>
      </c>
      <c r="H116" s="22" t="str">
        <f>IF($K116&lt;&gt;"",IF($A116="Prepago",$H115,$H115+1),"")</f>
        <v/>
      </c>
      <c r="I116" s="22" t="str">
        <f>IF($K116&lt;&gt;"",IF(ISNUMBER($C116),-$P116+$W116-$Q116,ABS($W116)+$R116+$S116+$T116),"")</f>
        <v/>
      </c>
      <c r="J116" s="22" t="str">
        <f>IF(K116&lt;&gt;"",IF(COUNTA($X116:$XFD116)*30&lt;$M116,1,0),"")</f>
        <v/>
      </c>
      <c r="K116" t="str">
        <f>IF($K115&lt;NCUOTAS+CUOTAADICIONAL+PGRACIA,$K115+1,"")</f>
        <v/>
      </c>
      <c r="L116" s="5" t="str">
        <f>IF($K116&lt;&gt;"",IF(ULTIMODIA=0,IF($E116="",DATE(YEAR($M$7),MONTH($M$7)+($A$1*($H116-1))+SUM($B$12:$B116),DAY($M$7)),$E116),G116),"")</f>
        <v/>
      </c>
      <c r="M116" s="9" t="str">
        <f>IF($K116&lt;&gt;"",$L116-$L115,"")</f>
        <v/>
      </c>
      <c r="N116" s="3" t="str">
        <f>IF($K116&lt;&gt;"",$U115,"")</f>
        <v/>
      </c>
      <c r="O116" s="3" t="str">
        <f>IF($K116&lt;&gt;"",IF($A116="Gracia Parcial",IF(AND($C116&lt;$W116+$R116+$S116+$T116+$V115,$C116&gt;0),$C116,$W116+$R116+$S116+$T116+$V115),IF($A116="Gracia Total",0,IF($A116="Prepago",$C116,IF(ISNUMBER($C116),$C116*VALUE(MID($C$1,MONTH($L116),1)),$P$5*VALUE(MID($C$1,MONTH($L116),1))))))-IF($K117="",ARREGLO,0),"")</f>
        <v/>
      </c>
      <c r="P116" s="3" t="str">
        <f>IF($K116&lt;&gt;"",IF($O116-$Q116&gt;0,$O116-$Q116-$R116-$S116-$T116,0),"")</f>
        <v/>
      </c>
      <c r="Q116" s="3" t="str">
        <f t="shared" si="2"/>
        <v/>
      </c>
      <c r="R116" s="3" t="str">
        <f>IF($K116&lt;&gt;"",IF($A116="Prepago",0,IF(($H116+SUM($B$12:$B116))*$S$6&gt;SUM($R$11:$R115)+$S$6,$S$6*2,$S$6)),"")</f>
        <v/>
      </c>
      <c r="S116" s="3" t="str">
        <f>IF($K116&lt;&gt;"",IF($A116="Prepago",0,IF(($H116+SUM($B$12:$B116))*$S$7&gt;SUM($S$11:$S115)+$S$7,$S$7*2,$S$7)),"")</f>
        <v/>
      </c>
      <c r="T116" s="3" t="str">
        <f>IF($K116&lt;&gt;"",IF($A116="Prepago",0,IF(($H116+SUM($B$12:$B116))*$S$8&gt;SUM($T$11:$T115)+$S$8,$S$8*2,$S$8)),"")</f>
        <v/>
      </c>
      <c r="U116" s="3" t="str">
        <f>IF($K116&lt;&gt;"",$N116-$P116,"")</f>
        <v/>
      </c>
      <c r="V116" s="3" t="str">
        <f t="shared" si="3"/>
        <v/>
      </c>
      <c r="W116" s="3" t="str">
        <f>IF($K116&lt;&gt;"",SUM($X116:$XFD116),"")</f>
        <v/>
      </c>
      <c r="X116" s="3" t="str">
        <f>IF($K116&lt;&gt;"",IF($M116&gt;X$11,30,$M116)*ROUND(($N116+$V115)*$T$5/3000,2),"")</f>
        <v/>
      </c>
      <c r="Y116" s="3" t="str">
        <f>IF($K116&lt;&gt;"",IF($M116&gt;X$11,IF($M116&lt;Y$11,$M116-X$11,30),0)*ROUND(($N116+$V115+SUM($X116:X116))*$T$5/3000,2),"")</f>
        <v/>
      </c>
      <c r="Z116" s="3"/>
      <c r="AA116" s="3"/>
    </row>
    <row r="117" spans="5:27" x14ac:dyDescent="0.25">
      <c r="E117" s="5"/>
      <c r="F117" t="str">
        <f>IF($K117&lt;&gt;"",TEXT(L117,"DDD"),"")</f>
        <v/>
      </c>
      <c r="G117" s="5" t="str">
        <f>IF($K117&lt;&gt;"",EOMONTH(DATE(YEAR($M$6),$G$11+K117+SUM($B$12:B117),1),0),"")</f>
        <v/>
      </c>
      <c r="H117" s="22" t="str">
        <f>IF($K117&lt;&gt;"",IF($A117="Prepago",$H116,$H116+1),"")</f>
        <v/>
      </c>
      <c r="I117" s="22" t="str">
        <f>IF($K117&lt;&gt;"",IF(ISNUMBER($C117),-$P117+$W117-$Q117,ABS($W117)+$R117+$S117+$T117),"")</f>
        <v/>
      </c>
      <c r="J117" s="22" t="str">
        <f>IF(K117&lt;&gt;"",IF(COUNTA($X117:$XFD117)*30&lt;$M117,1,0),"")</f>
        <v/>
      </c>
      <c r="K117" t="str">
        <f>IF($K116&lt;NCUOTAS+CUOTAADICIONAL+PGRACIA,$K116+1,"")</f>
        <v/>
      </c>
      <c r="L117" s="5" t="str">
        <f>IF($K117&lt;&gt;"",IF(ULTIMODIA=0,IF($E117="",DATE(YEAR($M$7),MONTH($M$7)+($A$1*($H117-1))+SUM($B$12:$B117),DAY($M$7)),$E117),G117),"")</f>
        <v/>
      </c>
      <c r="M117" s="9" t="str">
        <f>IF($K117&lt;&gt;"",$L117-$L116,"")</f>
        <v/>
      </c>
      <c r="N117" s="3" t="str">
        <f>IF($K117&lt;&gt;"",$U116,"")</f>
        <v/>
      </c>
      <c r="O117" s="3" t="str">
        <f>IF($K117&lt;&gt;"",IF($A117="Gracia Parcial",IF(AND($C117&lt;$W117+$R117+$S117+$T117+$V116,$C117&gt;0),$C117,$W117+$R117+$S117+$T117+$V116),IF($A117="Gracia Total",0,IF($A117="Prepago",$C117,IF(ISNUMBER($C117),$C117*VALUE(MID($C$1,MONTH($L117),1)),$P$5*VALUE(MID($C$1,MONTH($L117),1))))))-IF($K118="",ARREGLO,0),"")</f>
        <v/>
      </c>
      <c r="P117" s="3" t="str">
        <f>IF($K117&lt;&gt;"",IF($O117-$Q117&gt;0,$O117-$Q117-$R117-$S117-$T117,0),"")</f>
        <v/>
      </c>
      <c r="Q117" s="3" t="str">
        <f t="shared" si="2"/>
        <v/>
      </c>
      <c r="R117" s="3" t="str">
        <f>IF($K117&lt;&gt;"",IF($A117="Prepago",0,IF(($H117+SUM($B$12:$B117))*$S$6&gt;SUM($R$11:$R116)+$S$6,$S$6*2,$S$6)),"")</f>
        <v/>
      </c>
      <c r="S117" s="3" t="str">
        <f>IF($K117&lt;&gt;"",IF($A117="Prepago",0,IF(($H117+SUM($B$12:$B117))*$S$7&gt;SUM($S$11:$S116)+$S$7,$S$7*2,$S$7)),"")</f>
        <v/>
      </c>
      <c r="T117" s="3" t="str">
        <f>IF($K117&lt;&gt;"",IF($A117="Prepago",0,IF(($H117+SUM($B$12:$B117))*$S$8&gt;SUM($T$11:$T116)+$S$8,$S$8*2,$S$8)),"")</f>
        <v/>
      </c>
      <c r="U117" s="3" t="str">
        <f>IF($K117&lt;&gt;"",$N117-$P117,"")</f>
        <v/>
      </c>
      <c r="V117" s="3" t="str">
        <f t="shared" si="3"/>
        <v/>
      </c>
      <c r="W117" s="3" t="str">
        <f>IF($K117&lt;&gt;"",SUM($X117:$XFD117),"")</f>
        <v/>
      </c>
      <c r="X117" s="3" t="str">
        <f>IF($K117&lt;&gt;"",IF($M117&gt;X$11,30,$M117)*ROUND(($N117+$V116)*$T$5/3000,2),"")</f>
        <v/>
      </c>
      <c r="Y117" s="3" t="str">
        <f>IF($K117&lt;&gt;"",IF($M117&gt;X$11,IF($M117&lt;Y$11,$M117-X$11,30),0)*ROUND(($N117+$V116+SUM($X117:X117))*$T$5/3000,2),"")</f>
        <v/>
      </c>
      <c r="Z117" s="3"/>
      <c r="AA117" s="3"/>
    </row>
    <row r="118" spans="5:27" x14ac:dyDescent="0.25">
      <c r="E118" s="5"/>
      <c r="F118" t="str">
        <f>IF($K118&lt;&gt;"",TEXT(L118,"DDD"),"")</f>
        <v/>
      </c>
      <c r="G118" s="5" t="str">
        <f>IF($K118&lt;&gt;"",EOMONTH(DATE(YEAR($M$6),$G$11+K118+SUM($B$12:B118),1),0),"")</f>
        <v/>
      </c>
      <c r="H118" s="22" t="str">
        <f>IF($K118&lt;&gt;"",IF($A118="Prepago",$H117,$H117+1),"")</f>
        <v/>
      </c>
      <c r="I118" s="22" t="str">
        <f>IF($K118&lt;&gt;"",IF(ISNUMBER($C118),-$P118+$W118-$Q118,ABS($W118)+$R118+$S118+$T118),"")</f>
        <v/>
      </c>
      <c r="J118" s="22" t="str">
        <f>IF(K118&lt;&gt;"",IF(COUNTA($X118:$XFD118)*30&lt;$M118,1,0),"")</f>
        <v/>
      </c>
      <c r="K118" t="str">
        <f>IF($K117&lt;NCUOTAS+CUOTAADICIONAL+PGRACIA,$K117+1,"")</f>
        <v/>
      </c>
      <c r="L118" s="5" t="str">
        <f>IF($K118&lt;&gt;"",IF(ULTIMODIA=0,IF($E118="",DATE(YEAR($M$7),MONTH($M$7)+($A$1*($H118-1))+SUM($B$12:$B118),DAY($M$7)),$E118),G118),"")</f>
        <v/>
      </c>
      <c r="M118" s="9" t="str">
        <f>IF($K118&lt;&gt;"",$L118-$L117,"")</f>
        <v/>
      </c>
      <c r="N118" s="3" t="str">
        <f>IF($K118&lt;&gt;"",$U117,"")</f>
        <v/>
      </c>
      <c r="O118" s="3" t="str">
        <f>IF($K118&lt;&gt;"",IF($A118="Gracia Parcial",IF(AND($C118&lt;$W118+$R118+$S118+$T118+$V117,$C118&gt;0),$C118,$W118+$R118+$S118+$T118+$V117),IF($A118="Gracia Total",0,IF($A118="Prepago",$C118,IF(ISNUMBER($C118),$C118*VALUE(MID($C$1,MONTH($L118),1)),$P$5*VALUE(MID($C$1,MONTH($L118),1))))))-IF($K119="",ARREGLO,0),"")</f>
        <v/>
      </c>
      <c r="P118" s="3" t="str">
        <f>IF($K118&lt;&gt;"",IF($O118-$Q118&gt;0,$O118-$Q118-$R118-$S118-$T118,0),"")</f>
        <v/>
      </c>
      <c r="Q118" s="3" t="str">
        <f t="shared" si="2"/>
        <v/>
      </c>
      <c r="R118" s="3" t="str">
        <f>IF($K118&lt;&gt;"",IF($A118="Prepago",0,IF(($H118+SUM($B$12:$B118))*$S$6&gt;SUM($R$11:$R117)+$S$6,$S$6*2,$S$6)),"")</f>
        <v/>
      </c>
      <c r="S118" s="3" t="str">
        <f>IF($K118&lt;&gt;"",IF($A118="Prepago",0,IF(($H118+SUM($B$12:$B118))*$S$7&gt;SUM($S$11:$S117)+$S$7,$S$7*2,$S$7)),"")</f>
        <v/>
      </c>
      <c r="T118" s="3" t="str">
        <f>IF($K118&lt;&gt;"",IF($A118="Prepago",0,IF(($H118+SUM($B$12:$B118))*$S$8&gt;SUM($T$11:$T117)+$S$8,$S$8*2,$S$8)),"")</f>
        <v/>
      </c>
      <c r="U118" s="3" t="str">
        <f>IF($K118&lt;&gt;"",$N118-$P118,"")</f>
        <v/>
      </c>
      <c r="V118" s="3" t="str">
        <f t="shared" si="3"/>
        <v/>
      </c>
      <c r="W118" s="3" t="str">
        <f>IF($K118&lt;&gt;"",SUM($X118:$XFD118),"")</f>
        <v/>
      </c>
      <c r="X118" s="3" t="str">
        <f>IF($K118&lt;&gt;"",IF($M118&gt;X$11,30,$M118)*ROUND(($N118+$V117)*$T$5/3000,2),"")</f>
        <v/>
      </c>
      <c r="Y118" s="3" t="str">
        <f>IF($K118&lt;&gt;"",IF($M118&gt;X$11,IF($M118&lt;Y$11,$M118-X$11,30),0)*ROUND(($N118+$V117+SUM($X118:X118))*$T$5/3000,2),"")</f>
        <v/>
      </c>
      <c r="Z118" s="3"/>
      <c r="AA118" s="3"/>
    </row>
    <row r="119" spans="5:27" x14ac:dyDescent="0.25">
      <c r="E119" s="5"/>
      <c r="F119" t="str">
        <f>IF($K119&lt;&gt;"",TEXT(L119,"DDD"),"")</f>
        <v/>
      </c>
      <c r="G119" s="5" t="str">
        <f>IF($K119&lt;&gt;"",EOMONTH(DATE(YEAR($M$6),$G$11+K119+SUM($B$12:B119),1),0),"")</f>
        <v/>
      </c>
      <c r="H119" s="22" t="str">
        <f>IF($K119&lt;&gt;"",IF($A119="Prepago",$H118,$H118+1),"")</f>
        <v/>
      </c>
      <c r="I119" s="22" t="str">
        <f>IF($K119&lt;&gt;"",IF(ISNUMBER($C119),-$P119+$W119-$Q119,ABS($W119)+$R119+$S119+$T119),"")</f>
        <v/>
      </c>
      <c r="J119" s="22" t="str">
        <f>IF(K119&lt;&gt;"",IF(COUNTA($X119:$XFD119)*30&lt;$M119,1,0),"")</f>
        <v/>
      </c>
      <c r="K119" t="str">
        <f>IF($K118&lt;NCUOTAS+CUOTAADICIONAL+PGRACIA,$K118+1,"")</f>
        <v/>
      </c>
      <c r="L119" s="5" t="str">
        <f>IF($K119&lt;&gt;"",IF(ULTIMODIA=0,IF($E119="",DATE(YEAR($M$7),MONTH($M$7)+($A$1*($H119-1))+SUM($B$12:$B119),DAY($M$7)),$E119),G119),"")</f>
        <v/>
      </c>
      <c r="M119" s="9" t="str">
        <f>IF($K119&lt;&gt;"",$L119-$L118,"")</f>
        <v/>
      </c>
      <c r="N119" s="3" t="str">
        <f>IF($K119&lt;&gt;"",$U118,"")</f>
        <v/>
      </c>
      <c r="O119" s="3" t="str">
        <f>IF($K119&lt;&gt;"",IF($A119="Gracia Parcial",IF(AND($C119&lt;$W119+$R119+$S119+$T119+$V118,$C119&gt;0),$C119,$W119+$R119+$S119+$T119+$V118),IF($A119="Gracia Total",0,IF($A119="Prepago",$C119,IF(ISNUMBER($C119),$C119*VALUE(MID($C$1,MONTH($L119),1)),$P$5*VALUE(MID($C$1,MONTH($L119),1))))))-IF($K120="",ARREGLO,0),"")</f>
        <v/>
      </c>
      <c r="P119" s="3" t="str">
        <f>IF($K119&lt;&gt;"",IF($O119-$Q119&gt;0,$O119-$Q119-$R119-$S119-$T119,0),"")</f>
        <v/>
      </c>
      <c r="Q119" s="3" t="str">
        <f t="shared" si="2"/>
        <v/>
      </c>
      <c r="R119" s="3" t="str">
        <f>IF($K119&lt;&gt;"",IF($A119="Prepago",0,IF(($H119+SUM($B$12:$B119))*$S$6&gt;SUM($R$11:$R118)+$S$6,$S$6*2,$S$6)),"")</f>
        <v/>
      </c>
      <c r="S119" s="3" t="str">
        <f>IF($K119&lt;&gt;"",IF($A119="Prepago",0,IF(($H119+SUM($B$12:$B119))*$S$7&gt;SUM($S$11:$S118)+$S$7,$S$7*2,$S$7)),"")</f>
        <v/>
      </c>
      <c r="T119" s="3" t="str">
        <f>IF($K119&lt;&gt;"",IF($A119="Prepago",0,IF(($H119+SUM($B$12:$B119))*$S$8&gt;SUM($T$11:$T118)+$S$8,$S$8*2,$S$8)),"")</f>
        <v/>
      </c>
      <c r="U119" s="3" t="str">
        <f>IF($K119&lt;&gt;"",$N119-$P119,"")</f>
        <v/>
      </c>
      <c r="V119" s="3" t="str">
        <f t="shared" si="3"/>
        <v/>
      </c>
      <c r="W119" s="3" t="str">
        <f>IF($K119&lt;&gt;"",SUM($X119:$XFD119),"")</f>
        <v/>
      </c>
      <c r="X119" s="3" t="str">
        <f>IF($K119&lt;&gt;"",IF($M119&gt;X$11,30,$M119)*ROUND(($N119+$V118)*$T$5/3000,2),"")</f>
        <v/>
      </c>
      <c r="Y119" s="3" t="str">
        <f>IF($K119&lt;&gt;"",IF($M119&gt;X$11,IF($M119&lt;Y$11,$M119-X$11,30),0)*ROUND(($N119+$V118+SUM($X119:X119))*$T$5/3000,2),"")</f>
        <v/>
      </c>
      <c r="Z119" s="3"/>
      <c r="AA119" s="3"/>
    </row>
    <row r="120" spans="5:27" x14ac:dyDescent="0.25">
      <c r="E120" s="5"/>
      <c r="F120" t="str">
        <f>IF($K120&lt;&gt;"",TEXT(L120,"DDD"),"")</f>
        <v/>
      </c>
      <c r="G120" s="5" t="str">
        <f>IF($K120&lt;&gt;"",EOMONTH(DATE(YEAR($M$6),$G$11+K120+SUM($B$12:B120),1),0),"")</f>
        <v/>
      </c>
      <c r="H120" s="22" t="str">
        <f>IF($K120&lt;&gt;"",IF($A120="Prepago",$H119,$H119+1),"")</f>
        <v/>
      </c>
      <c r="I120" s="22" t="str">
        <f>IF($K120&lt;&gt;"",IF(ISNUMBER($C120),-$P120+$W120-$Q120,ABS($W120)+$R120+$S120+$T120),"")</f>
        <v/>
      </c>
      <c r="J120" s="22" t="str">
        <f>IF(K120&lt;&gt;"",IF(COUNTA($X120:$XFD120)*30&lt;$M120,1,0),"")</f>
        <v/>
      </c>
      <c r="K120" t="str">
        <f>IF($K119&lt;NCUOTAS+CUOTAADICIONAL+PGRACIA,$K119+1,"")</f>
        <v/>
      </c>
      <c r="L120" s="5" t="str">
        <f>IF($K120&lt;&gt;"",IF(ULTIMODIA=0,IF($E120="",DATE(YEAR($M$7),MONTH($M$7)+($A$1*($H120-1))+SUM($B$12:$B120),DAY($M$7)),$E120),G120),"")</f>
        <v/>
      </c>
      <c r="M120" s="9" t="str">
        <f>IF($K120&lt;&gt;"",$L120-$L119,"")</f>
        <v/>
      </c>
      <c r="N120" s="3" t="str">
        <f>IF($K120&lt;&gt;"",$U119,"")</f>
        <v/>
      </c>
      <c r="O120" s="3" t="str">
        <f>IF($K120&lt;&gt;"",IF($A120="Gracia Parcial",IF(AND($C120&lt;$W120+$R120+$S120+$T120+$V119,$C120&gt;0),$C120,$W120+$R120+$S120+$T120+$V119),IF($A120="Gracia Total",0,IF($A120="Prepago",$C120,IF(ISNUMBER($C120),$C120*VALUE(MID($C$1,MONTH($L120),1)),$P$5*VALUE(MID($C$1,MONTH($L120),1))))))-IF($K121="",ARREGLO,0),"")</f>
        <v/>
      </c>
      <c r="P120" s="3" t="str">
        <f>IF($K120&lt;&gt;"",IF($O120-$Q120&gt;0,$O120-$Q120-$R120-$S120-$T120,0),"")</f>
        <v/>
      </c>
      <c r="Q120" s="3" t="str">
        <f t="shared" si="2"/>
        <v/>
      </c>
      <c r="R120" s="3" t="str">
        <f>IF($K120&lt;&gt;"",IF($A120="Prepago",0,IF(($H120+SUM($B$12:$B120))*$S$6&gt;SUM($R$11:$R119)+$S$6,$S$6*2,$S$6)),"")</f>
        <v/>
      </c>
      <c r="S120" s="3" t="str">
        <f>IF($K120&lt;&gt;"",IF($A120="Prepago",0,IF(($H120+SUM($B$12:$B120))*$S$7&gt;SUM($S$11:$S119)+$S$7,$S$7*2,$S$7)),"")</f>
        <v/>
      </c>
      <c r="T120" s="3" t="str">
        <f>IF($K120&lt;&gt;"",IF($A120="Prepago",0,IF(($H120+SUM($B$12:$B120))*$S$8&gt;SUM($T$11:$T119)+$S$8,$S$8*2,$S$8)),"")</f>
        <v/>
      </c>
      <c r="U120" s="3" t="str">
        <f>IF($K120&lt;&gt;"",$N120-$P120,"")</f>
        <v/>
      </c>
      <c r="V120" s="3" t="str">
        <f t="shared" si="3"/>
        <v/>
      </c>
      <c r="W120" s="3" t="str">
        <f>IF($K120&lt;&gt;"",SUM($X120:$XFD120),"")</f>
        <v/>
      </c>
      <c r="X120" s="3" t="str">
        <f>IF($K120&lt;&gt;"",IF($M120&gt;X$11,30,$M120)*ROUND(($N120+$V119)*$T$5/3000,2),"")</f>
        <v/>
      </c>
      <c r="Y120" s="3" t="str">
        <f>IF($K120&lt;&gt;"",IF($M120&gt;X$11,IF($M120&lt;Y$11,$M120-X$11,30),0)*ROUND(($N120+$V119+SUM($X120:X120))*$T$5/3000,2),"")</f>
        <v/>
      </c>
      <c r="Z120" s="3"/>
      <c r="AA120" s="3"/>
    </row>
    <row r="121" spans="5:27" x14ac:dyDescent="0.25">
      <c r="E121" s="5"/>
      <c r="F121" t="str">
        <f>IF($K121&lt;&gt;"",TEXT(L121,"DDD"),"")</f>
        <v/>
      </c>
      <c r="G121" s="5" t="str">
        <f>IF($K121&lt;&gt;"",EOMONTH(DATE(YEAR($M$6),$G$11+K121+SUM($B$12:B121),1),0),"")</f>
        <v/>
      </c>
      <c r="H121" s="22" t="str">
        <f>IF($K121&lt;&gt;"",IF($A121="Prepago",$H120,$H120+1),"")</f>
        <v/>
      </c>
      <c r="I121" s="22" t="str">
        <f>IF($K121&lt;&gt;"",IF(ISNUMBER($C121),-$P121+$W121-$Q121,ABS($W121)+$R121+$S121+$T121),"")</f>
        <v/>
      </c>
      <c r="J121" s="22" t="str">
        <f>IF(K121&lt;&gt;"",IF(COUNTA($X121:$XFD121)*30&lt;$M121,1,0),"")</f>
        <v/>
      </c>
      <c r="K121" t="str">
        <f>IF($K120&lt;NCUOTAS+CUOTAADICIONAL+PGRACIA,$K120+1,"")</f>
        <v/>
      </c>
      <c r="L121" s="5" t="str">
        <f>IF($K121&lt;&gt;"",IF(ULTIMODIA=0,IF($E121="",DATE(YEAR($M$7),MONTH($M$7)+($A$1*($H121-1))+SUM($B$12:$B121),DAY($M$7)),$E121),G121),"")</f>
        <v/>
      </c>
      <c r="M121" s="9" t="str">
        <f>IF($K121&lt;&gt;"",$L121-$L120,"")</f>
        <v/>
      </c>
      <c r="N121" s="3" t="str">
        <f>IF($K121&lt;&gt;"",$U120,"")</f>
        <v/>
      </c>
      <c r="O121" s="3" t="str">
        <f>IF($K121&lt;&gt;"",IF($A121="Gracia Parcial",IF(AND($C121&lt;$W121+$R121+$S121+$T121+$V120,$C121&gt;0),$C121,$W121+$R121+$S121+$T121+$V120),IF($A121="Gracia Total",0,IF($A121="Prepago",$C121,IF(ISNUMBER($C121),$C121*VALUE(MID($C$1,MONTH($L121),1)),$P$5*VALUE(MID($C$1,MONTH($L121),1))))))-IF($K122="",ARREGLO,0),"")</f>
        <v/>
      </c>
      <c r="P121" s="3" t="str">
        <f>IF($K121&lt;&gt;"",IF($O121-$Q121&gt;0,$O121-$Q121-$R121-$S121-$T121,0),"")</f>
        <v/>
      </c>
      <c r="Q121" s="3" t="str">
        <f t="shared" si="2"/>
        <v/>
      </c>
      <c r="R121" s="3" t="str">
        <f>IF($K121&lt;&gt;"",IF($A121="Prepago",0,IF(($H121+SUM($B$12:$B121))*$S$6&gt;SUM($R$11:$R120)+$S$6,$S$6*2,$S$6)),"")</f>
        <v/>
      </c>
      <c r="S121" s="3" t="str">
        <f>IF($K121&lt;&gt;"",IF($A121="Prepago",0,IF(($H121+SUM($B$12:$B121))*$S$7&gt;SUM($S$11:$S120)+$S$7,$S$7*2,$S$7)),"")</f>
        <v/>
      </c>
      <c r="T121" s="3" t="str">
        <f>IF($K121&lt;&gt;"",IF($A121="Prepago",0,IF(($H121+SUM($B$12:$B121))*$S$8&gt;SUM($T$11:$T120)+$S$8,$S$8*2,$S$8)),"")</f>
        <v/>
      </c>
      <c r="U121" s="3" t="str">
        <f>IF($K121&lt;&gt;"",$N121-$P121,"")</f>
        <v/>
      </c>
      <c r="V121" s="3" t="str">
        <f t="shared" si="3"/>
        <v/>
      </c>
      <c r="W121" s="3" t="str">
        <f>IF($K121&lt;&gt;"",SUM($X121:$XFD121),"")</f>
        <v/>
      </c>
      <c r="X121" s="3" t="str">
        <f>IF($K121&lt;&gt;"",IF($M121&gt;X$11,30,$M121)*ROUND(($N121+$V120)*$T$5/3000,2),"")</f>
        <v/>
      </c>
      <c r="Y121" s="3" t="str">
        <f>IF($K121&lt;&gt;"",IF($M121&gt;X$11,IF($M121&lt;Y$11,$M121-X$11,30),0)*ROUND(($N121+$V120+SUM($X121:X121))*$T$5/3000,2),"")</f>
        <v/>
      </c>
      <c r="Z121" s="3"/>
      <c r="AA121" s="3"/>
    </row>
    <row r="122" spans="5:27" x14ac:dyDescent="0.25">
      <c r="E122" s="5"/>
      <c r="F122" t="str">
        <f>IF($K122&lt;&gt;"",TEXT(L122,"DDD"),"")</f>
        <v/>
      </c>
      <c r="G122" s="5" t="str">
        <f>IF($K122&lt;&gt;"",EOMONTH(DATE(YEAR($M$6),$G$11+K122+SUM($B$12:B122),1),0),"")</f>
        <v/>
      </c>
      <c r="H122" s="22" t="str">
        <f>IF($K122&lt;&gt;"",IF($A122="Prepago",$H121,$H121+1),"")</f>
        <v/>
      </c>
      <c r="I122" s="22" t="str">
        <f>IF($K122&lt;&gt;"",IF(ISNUMBER($C122),-$P122+$W122-$Q122,ABS($W122)+$R122+$S122+$T122),"")</f>
        <v/>
      </c>
      <c r="J122" s="22" t="str">
        <f>IF(K122&lt;&gt;"",IF(COUNTA($X122:$XFD122)*30&lt;$M122,1,0),"")</f>
        <v/>
      </c>
      <c r="K122" t="str">
        <f>IF($K121&lt;NCUOTAS+CUOTAADICIONAL+PGRACIA,$K121+1,"")</f>
        <v/>
      </c>
      <c r="L122" s="5" t="str">
        <f>IF($K122&lt;&gt;"",IF(ULTIMODIA=0,IF($E122="",DATE(YEAR($M$7),MONTH($M$7)+($A$1*($H122-1))+SUM($B$12:$B122),DAY($M$7)),$E122),G122),"")</f>
        <v/>
      </c>
      <c r="M122" s="9" t="str">
        <f>IF($K122&lt;&gt;"",$L122-$L121,"")</f>
        <v/>
      </c>
      <c r="N122" s="3" t="str">
        <f>IF($K122&lt;&gt;"",$U121,"")</f>
        <v/>
      </c>
      <c r="O122" s="3" t="str">
        <f>IF($K122&lt;&gt;"",IF($A122="Gracia Parcial",IF(AND($C122&lt;$W122+$R122+$S122+$T122+$V121,$C122&gt;0),$C122,$W122+$R122+$S122+$T122+$V121),IF($A122="Gracia Total",0,IF($A122="Prepago",$C122,IF(ISNUMBER($C122),$C122*VALUE(MID($C$1,MONTH($L122),1)),$P$5*VALUE(MID($C$1,MONTH($L122),1))))))-IF($K123="",ARREGLO,0),"")</f>
        <v/>
      </c>
      <c r="P122" s="3" t="str">
        <f>IF($K122&lt;&gt;"",IF($O122-$Q122&gt;0,$O122-$Q122-$R122-$S122-$T122,0),"")</f>
        <v/>
      </c>
      <c r="Q122" s="3" t="str">
        <f t="shared" si="2"/>
        <v/>
      </c>
      <c r="R122" s="3" t="str">
        <f>IF($K122&lt;&gt;"",IF($A122="Prepago",0,IF(($H122+SUM($B$12:$B122))*$S$6&gt;SUM($R$11:$R121)+$S$6,$S$6*2,$S$6)),"")</f>
        <v/>
      </c>
      <c r="S122" s="3" t="str">
        <f>IF($K122&lt;&gt;"",IF($A122="Prepago",0,IF(($H122+SUM($B$12:$B122))*$S$7&gt;SUM($S$11:$S121)+$S$7,$S$7*2,$S$7)),"")</f>
        <v/>
      </c>
      <c r="T122" s="3" t="str">
        <f>IF($K122&lt;&gt;"",IF($A122="Prepago",0,IF(($H122+SUM($B$12:$B122))*$S$8&gt;SUM($T$11:$T121)+$S$8,$S$8*2,$S$8)),"")</f>
        <v/>
      </c>
      <c r="U122" s="3" t="str">
        <f>IF($K122&lt;&gt;"",$N122-$P122,"")</f>
        <v/>
      </c>
      <c r="V122" s="3" t="str">
        <f t="shared" si="3"/>
        <v/>
      </c>
      <c r="W122" s="3" t="str">
        <f>IF($K122&lt;&gt;"",SUM($X122:$XFD122),"")</f>
        <v/>
      </c>
      <c r="X122" s="3" t="str">
        <f>IF($K122&lt;&gt;"",IF($M122&gt;X$11,30,$M122)*ROUND(($N122+$V121)*$T$5/3000,2),"")</f>
        <v/>
      </c>
      <c r="Y122" s="3" t="str">
        <f>IF($K122&lt;&gt;"",IF($M122&gt;X$11,IF($M122&lt;Y$11,$M122-X$11,30),0)*ROUND(($N122+$V121+SUM($X122:X122))*$T$5/3000,2),"")</f>
        <v/>
      </c>
      <c r="Z122" s="3"/>
      <c r="AA122" s="3"/>
    </row>
    <row r="123" spans="5:27" x14ac:dyDescent="0.25">
      <c r="E123" s="5"/>
      <c r="F123" t="str">
        <f>IF($K123&lt;&gt;"",TEXT(L123,"DDD"),"")</f>
        <v/>
      </c>
      <c r="G123" s="5" t="str">
        <f>IF($K123&lt;&gt;"",EOMONTH(DATE(YEAR($M$6),$G$11+K123+SUM($B$12:B123),1),0),"")</f>
        <v/>
      </c>
      <c r="H123" s="22" t="str">
        <f>IF($K123&lt;&gt;"",IF($A123="Prepago",$H122,$H122+1),"")</f>
        <v/>
      </c>
      <c r="I123" s="22" t="str">
        <f>IF($K123&lt;&gt;"",IF(ISNUMBER($C123),-$P123+$W123-$Q123,ABS($W123)+$R123+$S123+$T123),"")</f>
        <v/>
      </c>
      <c r="J123" s="22" t="str">
        <f>IF(K123&lt;&gt;"",IF(COUNTA($X123:$XFD123)*30&lt;$M123,1,0),"")</f>
        <v/>
      </c>
      <c r="K123" t="str">
        <f>IF($K122&lt;NCUOTAS+CUOTAADICIONAL+PGRACIA,$K122+1,"")</f>
        <v/>
      </c>
      <c r="L123" s="5" t="str">
        <f>IF($K123&lt;&gt;"",IF(ULTIMODIA=0,IF($E123="",DATE(YEAR($M$7),MONTH($M$7)+($A$1*($H123-1))+SUM($B$12:$B123),DAY($M$7)),$E123),G123),"")</f>
        <v/>
      </c>
      <c r="M123" s="9" t="str">
        <f>IF($K123&lt;&gt;"",$L123-$L122,"")</f>
        <v/>
      </c>
      <c r="N123" s="3" t="str">
        <f>IF($K123&lt;&gt;"",$U122,"")</f>
        <v/>
      </c>
      <c r="O123" s="3" t="str">
        <f>IF($K123&lt;&gt;"",IF($A123="Gracia Parcial",IF(AND($C123&lt;$W123+$R123+$S123+$T123+$V122,$C123&gt;0),$C123,$W123+$R123+$S123+$T123+$V122),IF($A123="Gracia Total",0,IF($A123="Prepago",$C123,IF(ISNUMBER($C123),$C123*VALUE(MID($C$1,MONTH($L123),1)),$P$5*VALUE(MID($C$1,MONTH($L123),1))))))-IF($K124="",ARREGLO,0),"")</f>
        <v/>
      </c>
      <c r="P123" s="3" t="str">
        <f>IF($K123&lt;&gt;"",IF($O123-$Q123&gt;0,$O123-$Q123-$R123-$S123-$T123,0),"")</f>
        <v/>
      </c>
      <c r="Q123" s="3" t="str">
        <f t="shared" si="2"/>
        <v/>
      </c>
      <c r="R123" s="3" t="str">
        <f>IF($K123&lt;&gt;"",IF($A123="Prepago",0,IF(($H123+SUM($B$12:$B123))*$S$6&gt;SUM($R$11:$R122)+$S$6,$S$6*2,$S$6)),"")</f>
        <v/>
      </c>
      <c r="S123" s="3" t="str">
        <f>IF($K123&lt;&gt;"",IF($A123="Prepago",0,IF(($H123+SUM($B$12:$B123))*$S$7&gt;SUM($S$11:$S122)+$S$7,$S$7*2,$S$7)),"")</f>
        <v/>
      </c>
      <c r="T123" s="3" t="str">
        <f>IF($K123&lt;&gt;"",IF($A123="Prepago",0,IF(($H123+SUM($B$12:$B123))*$S$8&gt;SUM($T$11:$T122)+$S$8,$S$8*2,$S$8)),"")</f>
        <v/>
      </c>
      <c r="U123" s="3" t="str">
        <f>IF($K123&lt;&gt;"",$N123-$P123,"")</f>
        <v/>
      </c>
      <c r="V123" s="3" t="str">
        <f t="shared" si="3"/>
        <v/>
      </c>
      <c r="W123" s="3" t="str">
        <f>IF($K123&lt;&gt;"",SUM($X123:$XFD123),"")</f>
        <v/>
      </c>
      <c r="X123" s="3" t="str">
        <f>IF($K123&lt;&gt;"",IF($M123&gt;X$11,30,$M123)*ROUND(($N123+$V122)*$T$5/3000,2),"")</f>
        <v/>
      </c>
      <c r="Y123" s="3" t="str">
        <f>IF($K123&lt;&gt;"",IF($M123&gt;X$11,IF($M123&lt;Y$11,$M123-X$11,30),0)*ROUND(($N123+$V122+SUM($X123:X123))*$T$5/3000,2),"")</f>
        <v/>
      </c>
      <c r="Z123" s="3"/>
      <c r="AA123" s="3"/>
    </row>
    <row r="124" spans="5:27" x14ac:dyDescent="0.25">
      <c r="E124" s="5"/>
      <c r="F124" t="str">
        <f>IF($K124&lt;&gt;"",TEXT(L124,"DDD"),"")</f>
        <v/>
      </c>
      <c r="G124" s="5" t="str">
        <f>IF($K124&lt;&gt;"",EOMONTH(DATE(YEAR($M$6),$G$11+K124+SUM($B$12:B124),1),0),"")</f>
        <v/>
      </c>
      <c r="H124" s="22" t="str">
        <f>IF($K124&lt;&gt;"",IF($A124="Prepago",$H123,$H123+1),"")</f>
        <v/>
      </c>
      <c r="I124" s="22" t="str">
        <f>IF($K124&lt;&gt;"",IF(ISNUMBER($C124),-$P124+$W124-$Q124,ABS($W124)+$R124+$S124+$T124),"")</f>
        <v/>
      </c>
      <c r="J124" s="22" t="str">
        <f>IF(K124&lt;&gt;"",IF(COUNTA($X124:$XFD124)*30&lt;$M124,1,0),"")</f>
        <v/>
      </c>
      <c r="K124" t="str">
        <f>IF($K123&lt;NCUOTAS+CUOTAADICIONAL+PGRACIA,$K123+1,"")</f>
        <v/>
      </c>
      <c r="L124" s="5" t="str">
        <f>IF($K124&lt;&gt;"",IF(ULTIMODIA=0,IF($E124="",DATE(YEAR($M$7),MONTH($M$7)+($A$1*($H124-1))+SUM($B$12:$B124),DAY($M$7)),$E124),G124),"")</f>
        <v/>
      </c>
      <c r="M124" s="9" t="str">
        <f>IF($K124&lt;&gt;"",$L124-$L123,"")</f>
        <v/>
      </c>
      <c r="N124" s="3" t="str">
        <f>IF($K124&lt;&gt;"",$U123,"")</f>
        <v/>
      </c>
      <c r="O124" s="3" t="str">
        <f>IF($K124&lt;&gt;"",IF($A124="Gracia Parcial",IF(AND($C124&lt;$W124+$R124+$S124+$T124+$V123,$C124&gt;0),$C124,$W124+$R124+$S124+$T124+$V123),IF($A124="Gracia Total",0,IF($A124="Prepago",$C124,IF(ISNUMBER($C124),$C124*VALUE(MID($C$1,MONTH($L124),1)),$P$5*VALUE(MID($C$1,MONTH($L124),1))))))-IF($K125="",ARREGLO,0),"")</f>
        <v/>
      </c>
      <c r="P124" s="3" t="str">
        <f>IF($K124&lt;&gt;"",IF($O124-$Q124&gt;0,$O124-$Q124-$R124-$S124-$T124,0),"")</f>
        <v/>
      </c>
      <c r="Q124" s="3" t="str">
        <f t="shared" si="2"/>
        <v/>
      </c>
      <c r="R124" s="3" t="str">
        <f>IF($K124&lt;&gt;"",IF($A124="Prepago",0,IF(($H124+SUM($B$12:$B124))*$S$6&gt;SUM($R$11:$R123)+$S$6,$S$6*2,$S$6)),"")</f>
        <v/>
      </c>
      <c r="S124" s="3" t="str">
        <f>IF($K124&lt;&gt;"",IF($A124="Prepago",0,IF(($H124+SUM($B$12:$B124))*$S$7&gt;SUM($S$11:$S123)+$S$7,$S$7*2,$S$7)),"")</f>
        <v/>
      </c>
      <c r="T124" s="3" t="str">
        <f>IF($K124&lt;&gt;"",IF($A124="Prepago",0,IF(($H124+SUM($B$12:$B124))*$S$8&gt;SUM($T$11:$T123)+$S$8,$S$8*2,$S$8)),"")</f>
        <v/>
      </c>
      <c r="U124" s="3" t="str">
        <f>IF($K124&lt;&gt;"",$N124-$P124,"")</f>
        <v/>
      </c>
      <c r="V124" s="3" t="str">
        <f t="shared" si="3"/>
        <v/>
      </c>
      <c r="W124" s="3" t="str">
        <f>IF($K124&lt;&gt;"",SUM($X124:$XFD124),"")</f>
        <v/>
      </c>
      <c r="X124" s="3" t="str">
        <f>IF($K124&lt;&gt;"",IF($M124&gt;X$11,30,$M124)*ROUND(($N124+$V123)*$T$5/3000,2),"")</f>
        <v/>
      </c>
      <c r="Y124" s="3" t="str">
        <f>IF($K124&lt;&gt;"",IF($M124&gt;X$11,IF($M124&lt;Y$11,$M124-X$11,30),0)*ROUND(($N124+$V123+SUM($X124:X124))*$T$5/3000,2),"")</f>
        <v/>
      </c>
      <c r="Z124" s="3"/>
      <c r="AA124" s="3"/>
    </row>
    <row r="125" spans="5:27" x14ac:dyDescent="0.25">
      <c r="E125" s="5"/>
      <c r="F125" t="str">
        <f>IF($K125&lt;&gt;"",TEXT(L125,"DDD"),"")</f>
        <v/>
      </c>
      <c r="G125" s="5" t="str">
        <f>IF($K125&lt;&gt;"",EOMONTH(DATE(YEAR($M$6),$G$11+K125+SUM($B$12:B125),1),0),"")</f>
        <v/>
      </c>
      <c r="H125" s="22" t="str">
        <f>IF($K125&lt;&gt;"",IF($A125="Prepago",$H124,$H124+1),"")</f>
        <v/>
      </c>
      <c r="I125" s="22" t="str">
        <f>IF($K125&lt;&gt;"",IF(ISNUMBER($C125),-$P125+$W125-$Q125,ABS($W125)+$R125+$S125+$T125),"")</f>
        <v/>
      </c>
      <c r="J125" s="22" t="str">
        <f>IF(K125&lt;&gt;"",IF(COUNTA($X125:$XFD125)*30&lt;$M125,1,0),"")</f>
        <v/>
      </c>
      <c r="K125" t="str">
        <f>IF($K124&lt;NCUOTAS+CUOTAADICIONAL+PGRACIA,$K124+1,"")</f>
        <v/>
      </c>
      <c r="L125" s="5" t="str">
        <f>IF($K125&lt;&gt;"",IF(ULTIMODIA=0,IF($E125="",DATE(YEAR($M$7),MONTH($M$7)+($A$1*($H125-1))+SUM($B$12:$B125),DAY($M$7)),$E125),G125),"")</f>
        <v/>
      </c>
      <c r="M125" s="9" t="str">
        <f>IF($K125&lt;&gt;"",$L125-$L124,"")</f>
        <v/>
      </c>
      <c r="N125" s="3" t="str">
        <f>IF($K125&lt;&gt;"",$U124,"")</f>
        <v/>
      </c>
      <c r="O125" s="3" t="str">
        <f>IF($K125&lt;&gt;"",IF($A125="Gracia Parcial",IF(AND($C125&lt;$W125+$R125+$S125+$T125+$V124,$C125&gt;0),$C125,$W125+$R125+$S125+$T125+$V124),IF($A125="Gracia Total",0,IF($A125="Prepago",$C125,IF(ISNUMBER($C125),$C125*VALUE(MID($C$1,MONTH($L125),1)),$P$5*VALUE(MID($C$1,MONTH($L125),1))))))-IF($K126="",ARREGLO,0),"")</f>
        <v/>
      </c>
      <c r="P125" s="3" t="str">
        <f>IF($K125&lt;&gt;"",IF($O125-$Q125&gt;0,$O125-$Q125-$R125-$S125-$T125,0),"")</f>
        <v/>
      </c>
      <c r="Q125" s="3" t="str">
        <f t="shared" si="2"/>
        <v/>
      </c>
      <c r="R125" s="3" t="str">
        <f>IF($K125&lt;&gt;"",IF($A125="Prepago",0,IF(($H125+SUM($B$12:$B125))*$S$6&gt;SUM($R$11:$R124)+$S$6,$S$6*2,$S$6)),"")</f>
        <v/>
      </c>
      <c r="S125" s="3" t="str">
        <f>IF($K125&lt;&gt;"",IF($A125="Prepago",0,IF(($H125+SUM($B$12:$B125))*$S$7&gt;SUM($S$11:$S124)+$S$7,$S$7*2,$S$7)),"")</f>
        <v/>
      </c>
      <c r="T125" s="3" t="str">
        <f>IF($K125&lt;&gt;"",IF($A125="Prepago",0,IF(($H125+SUM($B$12:$B125))*$S$8&gt;SUM($T$11:$T124)+$S$8,$S$8*2,$S$8)),"")</f>
        <v/>
      </c>
      <c r="U125" s="3" t="str">
        <f>IF($K125&lt;&gt;"",$N125-$P125,"")</f>
        <v/>
      </c>
      <c r="V125" s="3" t="str">
        <f t="shared" si="3"/>
        <v/>
      </c>
      <c r="W125" s="3" t="str">
        <f>IF($K125&lt;&gt;"",SUM($X125:$XFD125),"")</f>
        <v/>
      </c>
      <c r="X125" s="3" t="str">
        <f>IF($K125&lt;&gt;"",IF($M125&gt;X$11,30,$M125)*ROUND(($N125+$V124)*$T$5/3000,2),"")</f>
        <v/>
      </c>
      <c r="Y125" s="3" t="str">
        <f>IF($K125&lt;&gt;"",IF($M125&gt;X$11,IF($M125&lt;Y$11,$M125-X$11,30),0)*ROUND(($N125+$V124+SUM($X125:X125))*$T$5/3000,2),"")</f>
        <v/>
      </c>
      <c r="Z125" s="3"/>
      <c r="AA125" s="3"/>
    </row>
    <row r="126" spans="5:27" x14ac:dyDescent="0.25">
      <c r="E126" s="5"/>
      <c r="F126" t="str">
        <f>IF($K126&lt;&gt;"",TEXT(L126,"DDD"),"")</f>
        <v/>
      </c>
      <c r="G126" s="5" t="str">
        <f>IF($K126&lt;&gt;"",EOMONTH(DATE(YEAR($M$6),$G$11+K126+SUM($B$12:B126),1),0),"")</f>
        <v/>
      </c>
      <c r="H126" s="22" t="str">
        <f>IF($K126&lt;&gt;"",IF($A126="Prepago",$H125,$H125+1),"")</f>
        <v/>
      </c>
      <c r="I126" s="22" t="str">
        <f>IF($K126&lt;&gt;"",IF(ISNUMBER($C126),-$P126+$W126-$Q126,ABS($W126)+$R126+$S126+$T126),"")</f>
        <v/>
      </c>
      <c r="J126" s="22" t="str">
        <f>IF(K126&lt;&gt;"",IF(COUNTA($X126:$XFD126)*30&lt;$M126,1,0),"")</f>
        <v/>
      </c>
      <c r="K126" t="str">
        <f>IF($K125&lt;NCUOTAS+CUOTAADICIONAL+PGRACIA,$K125+1,"")</f>
        <v/>
      </c>
      <c r="L126" s="5" t="str">
        <f>IF($K126&lt;&gt;"",IF(ULTIMODIA=0,IF($E126="",DATE(YEAR($M$7),MONTH($M$7)+($A$1*($H126-1))+SUM($B$12:$B126),DAY($M$7)),$E126),G126),"")</f>
        <v/>
      </c>
      <c r="M126" s="9" t="str">
        <f>IF($K126&lt;&gt;"",$L126-$L125,"")</f>
        <v/>
      </c>
      <c r="N126" s="3" t="str">
        <f>IF($K126&lt;&gt;"",$U125,"")</f>
        <v/>
      </c>
      <c r="O126" s="3" t="str">
        <f>IF($K126&lt;&gt;"",IF($A126="Gracia Parcial",IF(AND($C126&lt;$W126+$R126+$S126+$T126+$V125,$C126&gt;0),$C126,$W126+$R126+$S126+$T126+$V125),IF($A126="Gracia Total",0,IF($A126="Prepago",$C126,IF(ISNUMBER($C126),$C126*VALUE(MID($C$1,MONTH($L126),1)),$P$5*VALUE(MID($C$1,MONTH($L126),1))))))-IF($K127="",ARREGLO,0),"")</f>
        <v/>
      </c>
      <c r="P126" s="3" t="str">
        <f>IF($K126&lt;&gt;"",IF($O126-$Q126&gt;0,$O126-$Q126-$R126-$S126-$T126,0),"")</f>
        <v/>
      </c>
      <c r="Q126" s="3" t="str">
        <f t="shared" si="2"/>
        <v/>
      </c>
      <c r="R126" s="3" t="str">
        <f>IF($K126&lt;&gt;"",IF($A126="Prepago",0,IF(($H126+SUM($B$12:$B126))*$S$6&gt;SUM($R$11:$R125)+$S$6,$S$6*2,$S$6)),"")</f>
        <v/>
      </c>
      <c r="S126" s="3" t="str">
        <f>IF($K126&lt;&gt;"",IF($A126="Prepago",0,IF(($H126+SUM($B$12:$B126))*$S$7&gt;SUM($S$11:$S125)+$S$7,$S$7*2,$S$7)),"")</f>
        <v/>
      </c>
      <c r="T126" s="3" t="str">
        <f>IF($K126&lt;&gt;"",IF($A126="Prepago",0,IF(($H126+SUM($B$12:$B126))*$S$8&gt;SUM($T$11:$T125)+$S$8,$S$8*2,$S$8)),"")</f>
        <v/>
      </c>
      <c r="U126" s="3" t="str">
        <f>IF($K126&lt;&gt;"",$N126-$P126,"")</f>
        <v/>
      </c>
      <c r="V126" s="3" t="str">
        <f t="shared" si="3"/>
        <v/>
      </c>
      <c r="W126" s="3" t="str">
        <f>IF($K126&lt;&gt;"",SUM($X126:$XFD126),"")</f>
        <v/>
      </c>
      <c r="X126" s="3" t="str">
        <f>IF($K126&lt;&gt;"",IF($M126&gt;X$11,30,$M126)*ROUND(($N126+$V125)*$T$5/3000,2),"")</f>
        <v/>
      </c>
      <c r="Y126" s="3" t="str">
        <f>IF($K126&lt;&gt;"",IF($M126&gt;X$11,IF($M126&lt;Y$11,$M126-X$11,30),0)*ROUND(($N126+$V125+SUM($X126:X126))*$T$5/3000,2),"")</f>
        <v/>
      </c>
      <c r="Z126" s="3"/>
      <c r="AA126" s="3"/>
    </row>
    <row r="127" spans="5:27" x14ac:dyDescent="0.25">
      <c r="E127" s="5"/>
      <c r="F127" t="str">
        <f>IF($K127&lt;&gt;"",TEXT(L127,"DDD"),"")</f>
        <v/>
      </c>
      <c r="G127" s="5" t="str">
        <f>IF($K127&lt;&gt;"",EOMONTH(DATE(YEAR($M$6),$G$11+K127+SUM($B$12:B127),1),0),"")</f>
        <v/>
      </c>
      <c r="H127" s="22" t="str">
        <f>IF($K127&lt;&gt;"",IF($A127="Prepago",$H126,$H126+1),"")</f>
        <v/>
      </c>
      <c r="I127" s="22" t="str">
        <f>IF($K127&lt;&gt;"",IF(ISNUMBER($C127),-$P127+$W127-$Q127,ABS($W127)+$R127+$S127+$T127),"")</f>
        <v/>
      </c>
      <c r="J127" s="22" t="str">
        <f>IF(K127&lt;&gt;"",IF(COUNTA($X127:$XFD127)*30&lt;$M127,1,0),"")</f>
        <v/>
      </c>
      <c r="K127" t="str">
        <f>IF($K126&lt;NCUOTAS+CUOTAADICIONAL+PGRACIA,$K126+1,"")</f>
        <v/>
      </c>
      <c r="L127" s="5" t="str">
        <f>IF($K127&lt;&gt;"",IF(ULTIMODIA=0,IF($E127="",DATE(YEAR($M$7),MONTH($M$7)+($A$1*($H127-1))+SUM($B$12:$B127),DAY($M$7)),$E127),G127),"")</f>
        <v/>
      </c>
      <c r="M127" s="9" t="str">
        <f>IF($K127&lt;&gt;"",$L127-$L126,"")</f>
        <v/>
      </c>
      <c r="N127" s="3" t="str">
        <f>IF($K127&lt;&gt;"",$U126,"")</f>
        <v/>
      </c>
      <c r="O127" s="3" t="str">
        <f>IF($K127&lt;&gt;"",IF($A127="Gracia Parcial",IF(AND($C127&lt;$W127+$R127+$S127+$T127+$V126,$C127&gt;0),$C127,$W127+$R127+$S127+$T127+$V126),IF($A127="Gracia Total",0,IF($A127="Prepago",$C127,IF(ISNUMBER($C127),$C127*VALUE(MID($C$1,MONTH($L127),1)),$P$5*VALUE(MID($C$1,MONTH($L127),1))))))-IF($K128="",ARREGLO,0),"")</f>
        <v/>
      </c>
      <c r="P127" s="3" t="str">
        <f>IF($K127&lt;&gt;"",IF($O127-$Q127&gt;0,$O127-$Q127-$R127-$S127-$T127,0),"")</f>
        <v/>
      </c>
      <c r="Q127" s="3" t="str">
        <f t="shared" si="2"/>
        <v/>
      </c>
      <c r="R127" s="3" t="str">
        <f>IF($K127&lt;&gt;"",IF($A127="Prepago",0,IF(($H127+SUM($B$12:$B127))*$S$6&gt;SUM($R$11:$R126)+$S$6,$S$6*2,$S$6)),"")</f>
        <v/>
      </c>
      <c r="S127" s="3" t="str">
        <f>IF($K127&lt;&gt;"",IF($A127="Prepago",0,IF(($H127+SUM($B$12:$B127))*$S$7&gt;SUM($S$11:$S126)+$S$7,$S$7*2,$S$7)),"")</f>
        <v/>
      </c>
      <c r="T127" s="3" t="str">
        <f>IF($K127&lt;&gt;"",IF($A127="Prepago",0,IF(($H127+SUM($B$12:$B127))*$S$8&gt;SUM($T$11:$T126)+$S$8,$S$8*2,$S$8)),"")</f>
        <v/>
      </c>
      <c r="U127" s="3" t="str">
        <f>IF($K127&lt;&gt;"",$N127-$P127,"")</f>
        <v/>
      </c>
      <c r="V127" s="3" t="str">
        <f t="shared" si="3"/>
        <v/>
      </c>
      <c r="W127" s="3" t="str">
        <f>IF($K127&lt;&gt;"",SUM($X127:$XFD127),"")</f>
        <v/>
      </c>
      <c r="X127" s="3" t="str">
        <f>IF($K127&lt;&gt;"",IF($M127&gt;X$11,30,$M127)*ROUND(($N127+$V126)*$T$5/3000,2),"")</f>
        <v/>
      </c>
      <c r="Y127" s="3" t="str">
        <f>IF($K127&lt;&gt;"",IF($M127&gt;X$11,IF($M127&lt;Y$11,$M127-X$11,30),0)*ROUND(($N127+$V126+SUM($X127:X127))*$T$5/3000,2),"")</f>
        <v/>
      </c>
      <c r="Z127" s="3"/>
      <c r="AA127" s="3"/>
    </row>
    <row r="128" spans="5:27" x14ac:dyDescent="0.25">
      <c r="E128" s="5"/>
      <c r="F128" t="str">
        <f>IF($K128&lt;&gt;"",TEXT(L128,"DDD"),"")</f>
        <v/>
      </c>
      <c r="G128" s="5" t="str">
        <f>IF($K128&lt;&gt;"",EOMONTH(DATE(YEAR($M$6),$G$11+K128+SUM($B$12:B128),1),0),"")</f>
        <v/>
      </c>
      <c r="H128" s="22" t="str">
        <f>IF($K128&lt;&gt;"",IF($A128="Prepago",$H127,$H127+1),"")</f>
        <v/>
      </c>
      <c r="I128" s="22" t="str">
        <f>IF($K128&lt;&gt;"",IF(ISNUMBER($C128),-$P128+$W128-$Q128,ABS($W128)+$R128+$S128+$T128),"")</f>
        <v/>
      </c>
      <c r="J128" s="22" t="str">
        <f>IF(K128&lt;&gt;"",IF(COUNTA($X128:$XFD128)*30&lt;$M128,1,0),"")</f>
        <v/>
      </c>
      <c r="K128" t="str">
        <f>IF($K127&lt;NCUOTAS+CUOTAADICIONAL+PGRACIA,$K127+1,"")</f>
        <v/>
      </c>
      <c r="L128" s="5" t="str">
        <f>IF($K128&lt;&gt;"",IF(ULTIMODIA=0,IF($E128="",DATE(YEAR($M$7),MONTH($M$7)+($A$1*($H128-1))+SUM($B$12:$B128),DAY($M$7)),$E128),G128),"")</f>
        <v/>
      </c>
      <c r="M128" s="9" t="str">
        <f>IF($K128&lt;&gt;"",$L128-$L127,"")</f>
        <v/>
      </c>
      <c r="N128" s="3" t="str">
        <f>IF($K128&lt;&gt;"",$U127,"")</f>
        <v/>
      </c>
      <c r="O128" s="3" t="str">
        <f>IF($K128&lt;&gt;"",IF($A128="Gracia Parcial",IF(AND($C128&lt;$W128+$R128+$S128+$T128+$V127,$C128&gt;0),$C128,$W128+$R128+$S128+$T128+$V127),IF($A128="Gracia Total",0,IF($A128="Prepago",$C128,IF(ISNUMBER($C128),$C128*VALUE(MID($C$1,MONTH($L128),1)),$P$5*VALUE(MID($C$1,MONTH($L128),1))))))-IF($K129="",ARREGLO,0),"")</f>
        <v/>
      </c>
      <c r="P128" s="3" t="str">
        <f>IF($K128&lt;&gt;"",IF($O128-$Q128&gt;0,$O128-$Q128-$R128-$S128-$T128,0),"")</f>
        <v/>
      </c>
      <c r="Q128" s="3" t="str">
        <f t="shared" si="2"/>
        <v/>
      </c>
      <c r="R128" s="3" t="str">
        <f>IF($K128&lt;&gt;"",IF($A128="Prepago",0,IF(($H128+SUM($B$12:$B128))*$S$6&gt;SUM($R$11:$R127)+$S$6,$S$6*2,$S$6)),"")</f>
        <v/>
      </c>
      <c r="S128" s="3" t="str">
        <f>IF($K128&lt;&gt;"",IF($A128="Prepago",0,IF(($H128+SUM($B$12:$B128))*$S$7&gt;SUM($S$11:$S127)+$S$7,$S$7*2,$S$7)),"")</f>
        <v/>
      </c>
      <c r="T128" s="3" t="str">
        <f>IF($K128&lt;&gt;"",IF($A128="Prepago",0,IF(($H128+SUM($B$12:$B128))*$S$8&gt;SUM($T$11:$T127)+$S$8,$S$8*2,$S$8)),"")</f>
        <v/>
      </c>
      <c r="U128" s="3" t="str">
        <f>IF($K128&lt;&gt;"",$N128-$P128,"")</f>
        <v/>
      </c>
      <c r="V128" s="3" t="str">
        <f t="shared" si="3"/>
        <v/>
      </c>
      <c r="W128" s="3" t="str">
        <f>IF($K128&lt;&gt;"",SUM($X128:$XFD128),"")</f>
        <v/>
      </c>
      <c r="X128" s="3" t="str">
        <f>IF($K128&lt;&gt;"",IF($M128&gt;X$11,30,$M128)*ROUND(($N128+$V127)*$T$5/3000,2),"")</f>
        <v/>
      </c>
      <c r="Y128" s="3" t="str">
        <f>IF($K128&lt;&gt;"",IF($M128&gt;X$11,IF($M128&lt;Y$11,$M128-X$11,30),0)*ROUND(($N128+$V127+SUM($X128:X128))*$T$5/3000,2),"")</f>
        <v/>
      </c>
      <c r="Z128" s="3"/>
      <c r="AA128" s="3"/>
    </row>
    <row r="129" spans="5:27" x14ac:dyDescent="0.25">
      <c r="E129" s="5"/>
      <c r="F129" t="str">
        <f>IF($K129&lt;&gt;"",TEXT(L129,"DDD"),"")</f>
        <v/>
      </c>
      <c r="G129" s="5" t="str">
        <f>IF($K129&lt;&gt;"",EOMONTH(DATE(YEAR($M$6),$G$11+K129+SUM($B$12:B129),1),0),"")</f>
        <v/>
      </c>
      <c r="H129" s="22" t="str">
        <f>IF($K129&lt;&gt;"",IF($A129="Prepago",$H128,$H128+1),"")</f>
        <v/>
      </c>
      <c r="I129" s="22" t="str">
        <f>IF($K129&lt;&gt;"",IF(ISNUMBER($C129),-$P129+$W129-$Q129,ABS($W129)+$R129+$S129+$T129),"")</f>
        <v/>
      </c>
      <c r="J129" s="22" t="str">
        <f>IF(K129&lt;&gt;"",IF(COUNTA($X129:$XFD129)*30&lt;$M129,1,0),"")</f>
        <v/>
      </c>
      <c r="K129" t="str">
        <f>IF($K128&lt;NCUOTAS+CUOTAADICIONAL+PGRACIA,$K128+1,"")</f>
        <v/>
      </c>
      <c r="L129" s="5" t="str">
        <f>IF($K129&lt;&gt;"",IF(ULTIMODIA=0,IF($E129="",DATE(YEAR($M$7),MONTH($M$7)+($A$1*($H129-1))+SUM($B$12:$B129),DAY($M$7)),$E129),G129),"")</f>
        <v/>
      </c>
      <c r="M129" s="9" t="str">
        <f>IF($K129&lt;&gt;"",$L129-$L128,"")</f>
        <v/>
      </c>
      <c r="N129" s="3" t="str">
        <f>IF($K129&lt;&gt;"",$U128,"")</f>
        <v/>
      </c>
      <c r="O129" s="3" t="str">
        <f>IF($K129&lt;&gt;"",IF($A129="Gracia Parcial",IF(AND($C129&lt;$W129+$R129+$S129+$T129+$V128,$C129&gt;0),$C129,$W129+$R129+$S129+$T129+$V128),IF($A129="Gracia Total",0,IF($A129="Prepago",$C129,IF(ISNUMBER($C129),$C129*VALUE(MID($C$1,MONTH($L129),1)),$P$5*VALUE(MID($C$1,MONTH($L129),1))))))-IF($K130="",ARREGLO,0),"")</f>
        <v/>
      </c>
      <c r="P129" s="3" t="str">
        <f>IF($K129&lt;&gt;"",IF($O129-$Q129&gt;0,$O129-$Q129-$R129-$S129-$T129,0),"")</f>
        <v/>
      </c>
      <c r="Q129" s="3" t="str">
        <f t="shared" si="2"/>
        <v/>
      </c>
      <c r="R129" s="3" t="str">
        <f>IF($K129&lt;&gt;"",IF($A129="Prepago",0,IF(($H129+SUM($B$12:$B129))*$S$6&gt;SUM($R$11:$R128)+$S$6,$S$6*2,$S$6)),"")</f>
        <v/>
      </c>
      <c r="S129" s="3" t="str">
        <f>IF($K129&lt;&gt;"",IF($A129="Prepago",0,IF(($H129+SUM($B$12:$B129))*$S$7&gt;SUM($S$11:$S128)+$S$7,$S$7*2,$S$7)),"")</f>
        <v/>
      </c>
      <c r="T129" s="3" t="str">
        <f>IF($K129&lt;&gt;"",IF($A129="Prepago",0,IF(($H129+SUM($B$12:$B129))*$S$8&gt;SUM($T$11:$T128)+$S$8,$S$8*2,$S$8)),"")</f>
        <v/>
      </c>
      <c r="U129" s="3" t="str">
        <f>IF($K129&lt;&gt;"",$N129-$P129,"")</f>
        <v/>
      </c>
      <c r="V129" s="3" t="str">
        <f t="shared" si="3"/>
        <v/>
      </c>
      <c r="W129" s="3" t="str">
        <f>IF($K129&lt;&gt;"",SUM($X129:$XFD129),"")</f>
        <v/>
      </c>
      <c r="X129" s="3" t="str">
        <f>IF($K129&lt;&gt;"",IF($M129&gt;X$11,30,$M129)*ROUND(($N129+$V128)*$T$5/3000,2),"")</f>
        <v/>
      </c>
      <c r="Y129" s="3" t="str">
        <f>IF($K129&lt;&gt;"",IF($M129&gt;X$11,IF($M129&lt;Y$11,$M129-X$11,30),0)*ROUND(($N129+$V128+SUM($X129:X129))*$T$5/3000,2),"")</f>
        <v/>
      </c>
      <c r="Z129" s="3"/>
      <c r="AA129" s="3"/>
    </row>
    <row r="130" spans="5:27" x14ac:dyDescent="0.25">
      <c r="E130" s="5"/>
      <c r="F130" t="str">
        <f>IF($K130&lt;&gt;"",TEXT(L130,"DDD"),"")</f>
        <v/>
      </c>
      <c r="G130" s="5" t="str">
        <f>IF($K130&lt;&gt;"",EOMONTH(DATE(YEAR($M$6),$G$11+K130+SUM($B$12:B130),1),0),"")</f>
        <v/>
      </c>
      <c r="H130" s="22" t="str">
        <f>IF($K130&lt;&gt;"",IF($A130="Prepago",$H129,$H129+1),"")</f>
        <v/>
      </c>
      <c r="I130" s="22" t="str">
        <f>IF($K130&lt;&gt;"",IF(ISNUMBER($C130),-$P130+$W130-$Q130,ABS($W130)+$R130+$S130+$T130),"")</f>
        <v/>
      </c>
      <c r="J130" s="22" t="str">
        <f>IF(K130&lt;&gt;"",IF(COUNTA($X130:$XFD130)*30&lt;$M130,1,0),"")</f>
        <v/>
      </c>
      <c r="K130" t="str">
        <f>IF($K129&lt;NCUOTAS+CUOTAADICIONAL+PGRACIA,$K129+1,"")</f>
        <v/>
      </c>
      <c r="L130" s="5" t="str">
        <f>IF($K130&lt;&gt;"",IF(ULTIMODIA=0,IF($E130="",DATE(YEAR($M$7),MONTH($M$7)+($A$1*($H130-1))+SUM($B$12:$B130),DAY($M$7)),$E130),G130),"")</f>
        <v/>
      </c>
      <c r="M130" s="9" t="str">
        <f>IF($K130&lt;&gt;"",$L130-$L129,"")</f>
        <v/>
      </c>
      <c r="N130" s="3" t="str">
        <f>IF($K130&lt;&gt;"",$U129,"")</f>
        <v/>
      </c>
      <c r="O130" s="3" t="str">
        <f>IF($K130&lt;&gt;"",IF($A130="Gracia Parcial",IF(AND($C130&lt;$W130+$R130+$S130+$T130+$V129,$C130&gt;0),$C130,$W130+$R130+$S130+$T130+$V129),IF($A130="Gracia Total",0,IF($A130="Prepago",$C130,IF(ISNUMBER($C130),$C130*VALUE(MID($C$1,MONTH($L130),1)),$P$5*VALUE(MID($C$1,MONTH($L130),1))))))-IF($K131="",ARREGLO,0),"")</f>
        <v/>
      </c>
      <c r="P130" s="3" t="str">
        <f>IF($K130&lt;&gt;"",IF($O130-$Q130&gt;0,$O130-$Q130-$R130-$S130-$T130,0),"")</f>
        <v/>
      </c>
      <c r="Q130" s="3" t="str">
        <f t="shared" si="2"/>
        <v/>
      </c>
      <c r="R130" s="3" t="str">
        <f>IF($K130&lt;&gt;"",IF($A130="Prepago",0,IF(($H130+SUM($B$12:$B130))*$S$6&gt;SUM($R$11:$R129)+$S$6,$S$6*2,$S$6)),"")</f>
        <v/>
      </c>
      <c r="S130" s="3" t="str">
        <f>IF($K130&lt;&gt;"",IF($A130="Prepago",0,IF(($H130+SUM($B$12:$B130))*$S$7&gt;SUM($S$11:$S129)+$S$7,$S$7*2,$S$7)),"")</f>
        <v/>
      </c>
      <c r="T130" s="3" t="str">
        <f>IF($K130&lt;&gt;"",IF($A130="Prepago",0,IF(($H130+SUM($B$12:$B130))*$S$8&gt;SUM($T$11:$T129)+$S$8,$S$8*2,$S$8)),"")</f>
        <v/>
      </c>
      <c r="U130" s="3" t="str">
        <f>IF($K130&lt;&gt;"",$N130-$P130,"")</f>
        <v/>
      </c>
      <c r="V130" s="3" t="str">
        <f t="shared" si="3"/>
        <v/>
      </c>
      <c r="W130" s="3" t="str">
        <f>IF($K130&lt;&gt;"",SUM($X130:$XFD130),"")</f>
        <v/>
      </c>
      <c r="X130" s="3" t="str">
        <f>IF($K130&lt;&gt;"",IF($M130&gt;X$11,30,$M130)*ROUND(($N130+$V129)*$T$5/3000,2),"")</f>
        <v/>
      </c>
      <c r="Y130" s="3" t="str">
        <f>IF($K130&lt;&gt;"",IF($M130&gt;X$11,IF($M130&lt;Y$11,$M130-X$11,30),0)*ROUND(($N130+$V129+SUM($X130:X130))*$T$5/3000,2),"")</f>
        <v/>
      </c>
      <c r="Z130" s="3"/>
      <c r="AA130" s="3"/>
    </row>
    <row r="131" spans="5:27" x14ac:dyDescent="0.25">
      <c r="E131" s="5"/>
      <c r="F131" t="str">
        <f>IF($K131&lt;&gt;"",TEXT(L131,"DDD"),"")</f>
        <v/>
      </c>
      <c r="G131" s="5" t="str">
        <f>IF($K131&lt;&gt;"",EOMONTH(DATE(YEAR($M$6),$G$11+K131+SUM($B$12:B131),1),0),"")</f>
        <v/>
      </c>
      <c r="H131" s="22" t="str">
        <f>IF($K131&lt;&gt;"",IF($A131="Prepago",$H130,$H130+1),"")</f>
        <v/>
      </c>
      <c r="I131" s="22" t="str">
        <f>IF($K131&lt;&gt;"",IF(ISNUMBER($C131),-$P131+$W131-$Q131,ABS($W131)+$R131+$S131+$T131),"")</f>
        <v/>
      </c>
      <c r="J131" s="22" t="str">
        <f>IF(K131&lt;&gt;"",IF(COUNTA($X131:$XFD131)*30&lt;$M131,1,0),"")</f>
        <v/>
      </c>
      <c r="K131" t="str">
        <f>IF($K130&lt;NCUOTAS+CUOTAADICIONAL+PGRACIA,$K130+1,"")</f>
        <v/>
      </c>
      <c r="L131" s="5" t="str">
        <f>IF($K131&lt;&gt;"",IF(ULTIMODIA=0,IF($E131="",DATE(YEAR($M$7),MONTH($M$7)+($A$1*($H131-1))+SUM($B$12:$B131),DAY($M$7)),$E131),G131),"")</f>
        <v/>
      </c>
      <c r="M131" s="9" t="str">
        <f>IF($K131&lt;&gt;"",$L131-$L130,"")</f>
        <v/>
      </c>
      <c r="N131" s="3" t="str">
        <f>IF($K131&lt;&gt;"",$U130,"")</f>
        <v/>
      </c>
      <c r="O131" s="3" t="str">
        <f>IF($K131&lt;&gt;"",IF($A131="Gracia Parcial",IF(AND($C131&lt;$W131+$R131+$S131+$T131+$V130,$C131&gt;0),$C131,$W131+$R131+$S131+$T131+$V130),IF($A131="Gracia Total",0,IF($A131="Prepago",$C131,IF(ISNUMBER($C131),$C131*VALUE(MID($C$1,MONTH($L131),1)),$P$5*VALUE(MID($C$1,MONTH($L131),1))))))-IF($K132="",ARREGLO,0),"")</f>
        <v/>
      </c>
      <c r="P131" s="3" t="str">
        <f>IF($K131&lt;&gt;"",IF($O131-$Q131&gt;0,$O131-$Q131-$R131-$S131-$T131,0),"")</f>
        <v/>
      </c>
      <c r="Q131" s="3" t="str">
        <f t="shared" si="2"/>
        <v/>
      </c>
      <c r="R131" s="3" t="str">
        <f>IF($K131&lt;&gt;"",IF($A131="Prepago",0,IF(($H131+SUM($B$12:$B131))*$S$6&gt;SUM($R$11:$R130)+$S$6,$S$6*2,$S$6)),"")</f>
        <v/>
      </c>
      <c r="S131" s="3" t="str">
        <f>IF($K131&lt;&gt;"",IF($A131="Prepago",0,IF(($H131+SUM($B$12:$B131))*$S$7&gt;SUM($S$11:$S130)+$S$7,$S$7*2,$S$7)),"")</f>
        <v/>
      </c>
      <c r="T131" s="3" t="str">
        <f>IF($K131&lt;&gt;"",IF($A131="Prepago",0,IF(($H131+SUM($B$12:$B131))*$S$8&gt;SUM($T$11:$T130)+$S$8,$S$8*2,$S$8)),"")</f>
        <v/>
      </c>
      <c r="U131" s="3" t="str">
        <f>IF($K131&lt;&gt;"",$N131-$P131,"")</f>
        <v/>
      </c>
      <c r="V131" s="3" t="str">
        <f t="shared" si="3"/>
        <v/>
      </c>
      <c r="W131" s="3" t="str">
        <f>IF($K131&lt;&gt;"",SUM($X131:$XFD131),"")</f>
        <v/>
      </c>
      <c r="X131" s="3" t="str">
        <f>IF($K131&lt;&gt;"",IF($M131&gt;X$11,30,$M131)*ROUND(($N131+$V130)*$T$5/3000,2),"")</f>
        <v/>
      </c>
      <c r="Y131" s="3" t="str">
        <f>IF($K131&lt;&gt;"",IF($M131&gt;X$11,IF($M131&lt;Y$11,$M131-X$11,30),0)*ROUND(($N131+$V130+SUM($X131:X131))*$T$5/3000,2),"")</f>
        <v/>
      </c>
      <c r="Z131" s="3"/>
      <c r="AA131" s="3"/>
    </row>
    <row r="132" spans="5:27" x14ac:dyDescent="0.25">
      <c r="E132" s="5"/>
      <c r="F132" t="str">
        <f>IF($K132&lt;&gt;"",TEXT(L132,"DDD"),"")</f>
        <v/>
      </c>
      <c r="G132" s="5" t="str">
        <f>IF($K132&lt;&gt;"",EOMONTH(DATE(YEAR($M$6),$G$11+K132+SUM($B$12:B132),1),0),"")</f>
        <v/>
      </c>
      <c r="H132" s="22" t="str">
        <f>IF($K132&lt;&gt;"",IF($A132="Prepago",$H131,$H131+1),"")</f>
        <v/>
      </c>
      <c r="I132" s="22" t="str">
        <f>IF($K132&lt;&gt;"",IF(ISNUMBER($C132),-$P132+$W132-$Q132,ABS($W132)+$R132+$S132+$T132),"")</f>
        <v/>
      </c>
      <c r="J132" s="22" t="str">
        <f>IF(K132&lt;&gt;"",IF(COUNTA($X132:$XFD132)*30&lt;$M132,1,0),"")</f>
        <v/>
      </c>
      <c r="K132" t="str">
        <f>IF($K131&lt;NCUOTAS+CUOTAADICIONAL+PGRACIA,$K131+1,"")</f>
        <v/>
      </c>
      <c r="L132" s="5" t="str">
        <f>IF($K132&lt;&gt;"",IF(ULTIMODIA=0,IF($E132="",DATE(YEAR($M$7),MONTH($M$7)+($A$1*($H132-1))+SUM($B$12:$B132),DAY($M$7)),$E132),G132),"")</f>
        <v/>
      </c>
      <c r="M132" s="9" t="str">
        <f>IF($K132&lt;&gt;"",$L132-$L131,"")</f>
        <v/>
      </c>
      <c r="N132" s="3" t="str">
        <f>IF($K132&lt;&gt;"",$U131,"")</f>
        <v/>
      </c>
      <c r="O132" s="3" t="str">
        <f>IF($K132&lt;&gt;"",IF($A132="Gracia Parcial",IF(AND($C132&lt;$W132+$R132+$S132+$T132+$V131,$C132&gt;0),$C132,$W132+$R132+$S132+$T132+$V131),IF($A132="Gracia Total",0,IF($A132="Prepago",$C132,IF(ISNUMBER($C132),$C132*VALUE(MID($C$1,MONTH($L132),1)),$P$5*VALUE(MID($C$1,MONTH($L132),1))))))-IF($K133="",ARREGLO,0),"")</f>
        <v/>
      </c>
      <c r="P132" s="3" t="str">
        <f>IF($K132&lt;&gt;"",IF($O132-$Q132&gt;0,$O132-$Q132-$R132-$S132-$T132,0),"")</f>
        <v/>
      </c>
      <c r="Q132" s="3" t="str">
        <f t="shared" si="2"/>
        <v/>
      </c>
      <c r="R132" s="3" t="str">
        <f>IF($K132&lt;&gt;"",IF($A132="Prepago",0,IF(($H132+SUM($B$12:$B132))*$S$6&gt;SUM($R$11:$R131)+$S$6,$S$6*2,$S$6)),"")</f>
        <v/>
      </c>
      <c r="S132" s="3" t="str">
        <f>IF($K132&lt;&gt;"",IF($A132="Prepago",0,IF(($H132+SUM($B$12:$B132))*$S$7&gt;SUM($S$11:$S131)+$S$7,$S$7*2,$S$7)),"")</f>
        <v/>
      </c>
      <c r="T132" s="3" t="str">
        <f>IF($K132&lt;&gt;"",IF($A132="Prepago",0,IF(($H132+SUM($B$12:$B132))*$S$8&gt;SUM($T$11:$T131)+$S$8,$S$8*2,$S$8)),"")</f>
        <v/>
      </c>
      <c r="U132" s="3" t="str">
        <f>IF($K132&lt;&gt;"",$N132-$P132,"")</f>
        <v/>
      </c>
      <c r="V132" s="3" t="str">
        <f t="shared" si="3"/>
        <v/>
      </c>
      <c r="W132" s="3" t="str">
        <f>IF($K132&lt;&gt;"",SUM($X132:$XFD132),"")</f>
        <v/>
      </c>
      <c r="X132" s="3" t="str">
        <f>IF($K132&lt;&gt;"",IF($M132&gt;X$11,30,$M132)*ROUND(($N132+$V131)*$T$5/3000,2),"")</f>
        <v/>
      </c>
      <c r="Y132" s="3" t="str">
        <f>IF($K132&lt;&gt;"",IF($M132&gt;X$11,IF($M132&lt;Y$11,$M132-X$11,30),0)*ROUND(($N132+$V131+SUM($X132:X132))*$T$5/3000,2),"")</f>
        <v/>
      </c>
      <c r="Z132" s="3"/>
      <c r="AA132" s="3"/>
    </row>
    <row r="133" spans="5:27" x14ac:dyDescent="0.25">
      <c r="E133" s="5"/>
      <c r="F133" t="str">
        <f>IF($K133&lt;&gt;"",TEXT(L133,"DDD"),"")</f>
        <v/>
      </c>
      <c r="G133" s="5" t="str">
        <f>IF($K133&lt;&gt;"",EOMONTH(DATE(YEAR($M$6),$G$11+K133+SUM($B$12:B133),1),0),"")</f>
        <v/>
      </c>
      <c r="H133" s="22" t="str">
        <f>IF($K133&lt;&gt;"",IF($A133="Prepago",$H132,$H132+1),"")</f>
        <v/>
      </c>
      <c r="I133" s="22" t="str">
        <f>IF($K133&lt;&gt;"",IF(ISNUMBER($C133),-$P133+$W133-$Q133,ABS($W133)+$R133+$S133+$T133),"")</f>
        <v/>
      </c>
      <c r="J133" s="22" t="str">
        <f>IF(K133&lt;&gt;"",IF(COUNTA($X133:$XFD133)*30&lt;$M133,1,0),"")</f>
        <v/>
      </c>
      <c r="K133" t="str">
        <f>IF($K132&lt;NCUOTAS+CUOTAADICIONAL+PGRACIA,$K132+1,"")</f>
        <v/>
      </c>
      <c r="L133" s="5" t="str">
        <f>IF($K133&lt;&gt;"",IF(ULTIMODIA=0,IF($E133="",DATE(YEAR($M$7),MONTH($M$7)+($A$1*($H133-1))+SUM($B$12:$B133),DAY($M$7)),$E133),G133),"")</f>
        <v/>
      </c>
      <c r="M133" s="9" t="str">
        <f>IF($K133&lt;&gt;"",$L133-$L132,"")</f>
        <v/>
      </c>
      <c r="N133" s="3" t="str">
        <f>IF($K133&lt;&gt;"",$U132,"")</f>
        <v/>
      </c>
      <c r="O133" s="3" t="str">
        <f>IF($K133&lt;&gt;"",IF($A133="Gracia Parcial",IF(AND($C133&lt;$W133+$R133+$S133+$T133+$V132,$C133&gt;0),$C133,$W133+$R133+$S133+$T133+$V132),IF($A133="Gracia Total",0,IF($A133="Prepago",$C133,IF(ISNUMBER($C133),$C133*VALUE(MID($C$1,MONTH($L133),1)),$P$5*VALUE(MID($C$1,MONTH($L133),1))))))-IF($K134="",ARREGLO,0),"")</f>
        <v/>
      </c>
      <c r="P133" s="3" t="str">
        <f>IF($K133&lt;&gt;"",IF($O133-$Q133&gt;0,$O133-$Q133-$R133-$S133-$T133,0),"")</f>
        <v/>
      </c>
      <c r="Q133" s="3" t="str">
        <f t="shared" si="2"/>
        <v/>
      </c>
      <c r="R133" s="3" t="str">
        <f>IF($K133&lt;&gt;"",IF($A133="Prepago",0,IF(($H133+SUM($B$12:$B133))*$S$6&gt;SUM($R$11:$R132)+$S$6,$S$6*2,$S$6)),"")</f>
        <v/>
      </c>
      <c r="S133" s="3" t="str">
        <f>IF($K133&lt;&gt;"",IF($A133="Prepago",0,IF(($H133+SUM($B$12:$B133))*$S$7&gt;SUM($S$11:$S132)+$S$7,$S$7*2,$S$7)),"")</f>
        <v/>
      </c>
      <c r="T133" s="3" t="str">
        <f>IF($K133&lt;&gt;"",IF($A133="Prepago",0,IF(($H133+SUM($B$12:$B133))*$S$8&gt;SUM($T$11:$T132)+$S$8,$S$8*2,$S$8)),"")</f>
        <v/>
      </c>
      <c r="U133" s="3" t="str">
        <f>IF($K133&lt;&gt;"",$N133-$P133,"")</f>
        <v/>
      </c>
      <c r="V133" s="3" t="str">
        <f t="shared" si="3"/>
        <v/>
      </c>
      <c r="W133" s="3" t="str">
        <f>IF($K133&lt;&gt;"",SUM($X133:$XFD133),"")</f>
        <v/>
      </c>
      <c r="X133" s="3" t="str">
        <f>IF($K133&lt;&gt;"",IF($M133&gt;X$11,30,$M133)*ROUND(($N133+$V132)*$T$5/3000,2),"")</f>
        <v/>
      </c>
      <c r="Y133" s="3" t="str">
        <f>IF($K133&lt;&gt;"",IF($M133&gt;X$11,IF($M133&lt;Y$11,$M133-X$11,30),0)*ROUND(($N133+$V132+SUM($X133:X133))*$T$5/3000,2),"")</f>
        <v/>
      </c>
      <c r="Z133" s="3"/>
      <c r="AA133" s="3"/>
    </row>
    <row r="134" spans="5:27" x14ac:dyDescent="0.25">
      <c r="E134" s="5"/>
      <c r="F134" t="str">
        <f>IF($K134&lt;&gt;"",TEXT(L134,"DDD"),"")</f>
        <v/>
      </c>
      <c r="G134" s="5" t="str">
        <f>IF($K134&lt;&gt;"",EOMONTH(DATE(YEAR($M$6),$G$11+K134+SUM($B$12:B134),1),0),"")</f>
        <v/>
      </c>
      <c r="H134" s="22" t="str">
        <f>IF($K134&lt;&gt;"",IF($A134="Prepago",$H133,$H133+1),"")</f>
        <v/>
      </c>
      <c r="I134" s="22" t="str">
        <f>IF($K134&lt;&gt;"",IF(ISNUMBER($C134),-$P134+$W134-$Q134,ABS($W134)+$R134+$S134+$T134),"")</f>
        <v/>
      </c>
      <c r="J134" s="22" t="str">
        <f>IF(K134&lt;&gt;"",IF(COUNTA($X134:$XFD134)*30&lt;$M134,1,0),"")</f>
        <v/>
      </c>
      <c r="K134" t="str">
        <f>IF($K133&lt;NCUOTAS+CUOTAADICIONAL+PGRACIA,$K133+1,"")</f>
        <v/>
      </c>
      <c r="L134" s="5" t="str">
        <f>IF($K134&lt;&gt;"",IF(ULTIMODIA=0,IF($E134="",DATE(YEAR($M$7),MONTH($M$7)+($A$1*($H134-1))+SUM($B$12:$B134),DAY($M$7)),$E134),G134),"")</f>
        <v/>
      </c>
      <c r="M134" s="9" t="str">
        <f>IF($K134&lt;&gt;"",$L134-$L133,"")</f>
        <v/>
      </c>
      <c r="N134" s="3" t="str">
        <f>IF($K134&lt;&gt;"",$U133,"")</f>
        <v/>
      </c>
      <c r="O134" s="3" t="str">
        <f>IF($K134&lt;&gt;"",IF($A134="Gracia Parcial",IF(AND($C134&lt;$W134+$R134+$S134+$T134+$V133,$C134&gt;0),$C134,$W134+$R134+$S134+$T134+$V133),IF($A134="Gracia Total",0,IF($A134="Prepago",$C134,IF(ISNUMBER($C134),$C134*VALUE(MID($C$1,MONTH($L134),1)),$P$5*VALUE(MID($C$1,MONTH($L134),1))))))-IF($K135="",ARREGLO,0),"")</f>
        <v/>
      </c>
      <c r="P134" s="3" t="str">
        <f>IF($K134&lt;&gt;"",IF($O134-$Q134&gt;0,$O134-$Q134-$R134-$S134-$T134,0),"")</f>
        <v/>
      </c>
      <c r="Q134" s="3" t="str">
        <f t="shared" si="2"/>
        <v/>
      </c>
      <c r="R134" s="3" t="str">
        <f>IF($K134&lt;&gt;"",IF($A134="Prepago",0,IF(($H134+SUM($B$12:$B134))*$S$6&gt;SUM($R$11:$R133)+$S$6,$S$6*2,$S$6)),"")</f>
        <v/>
      </c>
      <c r="S134" s="3" t="str">
        <f>IF($K134&lt;&gt;"",IF($A134="Prepago",0,IF(($H134+SUM($B$12:$B134))*$S$7&gt;SUM($S$11:$S133)+$S$7,$S$7*2,$S$7)),"")</f>
        <v/>
      </c>
      <c r="T134" s="3" t="str">
        <f>IF($K134&lt;&gt;"",IF($A134="Prepago",0,IF(($H134+SUM($B$12:$B134))*$S$8&gt;SUM($T$11:$T133)+$S$8,$S$8*2,$S$8)),"")</f>
        <v/>
      </c>
      <c r="U134" s="3" t="str">
        <f>IF($K134&lt;&gt;"",$N134-$P134,"")</f>
        <v/>
      </c>
      <c r="V134" s="3" t="str">
        <f t="shared" si="3"/>
        <v/>
      </c>
      <c r="W134" s="3" t="str">
        <f>IF($K134&lt;&gt;"",SUM($X134:$XFD134),"")</f>
        <v/>
      </c>
      <c r="X134" s="3" t="str">
        <f>IF($K134&lt;&gt;"",IF($M134&gt;X$11,30,$M134)*ROUND(($N134+$V133)*$T$5/3000,2),"")</f>
        <v/>
      </c>
      <c r="Y134" s="3" t="str">
        <f>IF($K134&lt;&gt;"",IF($M134&gt;X$11,IF($M134&lt;Y$11,$M134-X$11,30),0)*ROUND(($N134+$V133+SUM($X134:X134))*$T$5/3000,2),"")</f>
        <v/>
      </c>
      <c r="Z134" s="3"/>
      <c r="AA134" s="3"/>
    </row>
    <row r="135" spans="5:27" x14ac:dyDescent="0.25">
      <c r="E135" s="5"/>
      <c r="F135" t="str">
        <f>IF($K135&lt;&gt;"",TEXT(L135,"DDD"),"")</f>
        <v/>
      </c>
      <c r="G135" s="5" t="str">
        <f>IF($K135&lt;&gt;"",EOMONTH(DATE(YEAR($M$6),$G$11+K135+SUM($B$12:B135),1),0),"")</f>
        <v/>
      </c>
      <c r="H135" s="22" t="str">
        <f>IF($K135&lt;&gt;"",IF($A135="Prepago",$H134,$H134+1),"")</f>
        <v/>
      </c>
      <c r="I135" s="22" t="str">
        <f>IF($K135&lt;&gt;"",IF(ISNUMBER($C135),-$P135+$W135-$Q135,ABS($W135)+$R135+$S135+$T135),"")</f>
        <v/>
      </c>
      <c r="J135" s="22" t="str">
        <f>IF(K135&lt;&gt;"",IF(COUNTA($X135:$XFD135)*30&lt;$M135,1,0),"")</f>
        <v/>
      </c>
      <c r="K135" t="str">
        <f>IF($K134&lt;NCUOTAS+CUOTAADICIONAL+PGRACIA,$K134+1,"")</f>
        <v/>
      </c>
      <c r="L135" s="5" t="str">
        <f>IF($K135&lt;&gt;"",IF(ULTIMODIA=0,IF($E135="",DATE(YEAR($M$7),MONTH($M$7)+($A$1*($H135-1))+SUM($B$12:$B135),DAY($M$7)),$E135),G135),"")</f>
        <v/>
      </c>
      <c r="M135" s="9" t="str">
        <f>IF($K135&lt;&gt;"",$L135-$L134,"")</f>
        <v/>
      </c>
      <c r="N135" s="3" t="str">
        <f>IF($K135&lt;&gt;"",$U134,"")</f>
        <v/>
      </c>
      <c r="O135" s="3" t="str">
        <f>IF($K135&lt;&gt;"",IF($A135="Gracia Parcial",IF(AND($C135&lt;$W135+$R135+$S135+$T135+$V134,$C135&gt;0),$C135,$W135+$R135+$S135+$T135+$V134),IF($A135="Gracia Total",0,IF($A135="Prepago",$C135,IF(ISNUMBER($C135),$C135*VALUE(MID($C$1,MONTH($L135),1)),$P$5*VALUE(MID($C$1,MONTH($L135),1))))))-IF($K136="",ARREGLO,0),"")</f>
        <v/>
      </c>
      <c r="P135" s="3" t="str">
        <f>IF($K135&lt;&gt;"",IF($O135-$Q135&gt;0,$O135-$Q135-$R135-$S135-$T135,0),"")</f>
        <v/>
      </c>
      <c r="Q135" s="3" t="str">
        <f t="shared" si="2"/>
        <v/>
      </c>
      <c r="R135" s="3" t="str">
        <f>IF($K135&lt;&gt;"",IF($A135="Prepago",0,IF(($H135+SUM($B$12:$B135))*$S$6&gt;SUM($R$11:$R134)+$S$6,$S$6*2,$S$6)),"")</f>
        <v/>
      </c>
      <c r="S135" s="3" t="str">
        <f>IF($K135&lt;&gt;"",IF($A135="Prepago",0,IF(($H135+SUM($B$12:$B135))*$S$7&gt;SUM($S$11:$S134)+$S$7,$S$7*2,$S$7)),"")</f>
        <v/>
      </c>
      <c r="T135" s="3" t="str">
        <f>IF($K135&lt;&gt;"",IF($A135="Prepago",0,IF(($H135+SUM($B$12:$B135))*$S$8&gt;SUM($T$11:$T134)+$S$8,$S$8*2,$S$8)),"")</f>
        <v/>
      </c>
      <c r="U135" s="3" t="str">
        <f>IF($K135&lt;&gt;"",$N135-$P135,"")</f>
        <v/>
      </c>
      <c r="V135" s="3" t="str">
        <f t="shared" si="3"/>
        <v/>
      </c>
      <c r="W135" s="3" t="str">
        <f>IF($K135&lt;&gt;"",SUM($X135:$XFD135),"")</f>
        <v/>
      </c>
      <c r="X135" s="3" t="str">
        <f>IF($K135&lt;&gt;"",IF($M135&gt;X$11,30,$M135)*ROUND(($N135+$V134)*$T$5/3000,2),"")</f>
        <v/>
      </c>
      <c r="Y135" s="3" t="str">
        <f>IF($K135&lt;&gt;"",IF($M135&gt;X$11,IF($M135&lt;Y$11,$M135-X$11,30),0)*ROUND(($N135+$V134+SUM($X135:X135))*$T$5/3000,2),"")</f>
        <v/>
      </c>
      <c r="Z135" s="3"/>
      <c r="AA135" s="3"/>
    </row>
    <row r="136" spans="5:27" x14ac:dyDescent="0.25">
      <c r="E136" s="5"/>
      <c r="F136" t="str">
        <f>IF($K136&lt;&gt;"",TEXT(L136,"DDD"),"")</f>
        <v/>
      </c>
      <c r="G136" s="5" t="str">
        <f>IF($K136&lt;&gt;"",EOMONTH(DATE(YEAR($M$6),$G$11+K136+SUM($B$12:B136),1),0),"")</f>
        <v/>
      </c>
      <c r="H136" s="22" t="str">
        <f>IF($K136&lt;&gt;"",IF($A136="Prepago",$H135,$H135+1),"")</f>
        <v/>
      </c>
      <c r="I136" s="22" t="str">
        <f>IF($K136&lt;&gt;"",IF(ISNUMBER($C136),-$P136+$W136-$Q136,ABS($W136)+$R136+$S136+$T136),"")</f>
        <v/>
      </c>
      <c r="J136" s="22" t="str">
        <f>IF(K136&lt;&gt;"",IF(COUNTA($X136:$XFD136)*30&lt;$M136,1,0),"")</f>
        <v/>
      </c>
      <c r="K136" t="str">
        <f>IF($K135&lt;NCUOTAS+CUOTAADICIONAL+PGRACIA,$K135+1,"")</f>
        <v/>
      </c>
      <c r="L136" s="5" t="str">
        <f>IF($K136&lt;&gt;"",IF(ULTIMODIA=0,IF($E136="",DATE(YEAR($M$7),MONTH($M$7)+($A$1*($H136-1))+SUM($B$12:$B136),DAY($M$7)),$E136),G136),"")</f>
        <v/>
      </c>
      <c r="M136" s="9" t="str">
        <f>IF($K136&lt;&gt;"",$L136-$L135,"")</f>
        <v/>
      </c>
      <c r="N136" s="3" t="str">
        <f>IF($K136&lt;&gt;"",$U135,"")</f>
        <v/>
      </c>
      <c r="O136" s="3" t="str">
        <f>IF($K136&lt;&gt;"",IF($A136="Gracia Parcial",IF(AND($C136&lt;$W136+$R136+$S136+$T136+$V135,$C136&gt;0),$C136,$W136+$R136+$S136+$T136+$V135),IF($A136="Gracia Total",0,IF($A136="Prepago",$C136,IF(ISNUMBER($C136),$C136*VALUE(MID($C$1,MONTH($L136),1)),$P$5*VALUE(MID($C$1,MONTH($L136),1))))))-IF($K137="",ARREGLO,0),"")</f>
        <v/>
      </c>
      <c r="P136" s="3" t="str">
        <f>IF($K136&lt;&gt;"",IF($O136-$Q136&gt;0,$O136-$Q136-$R136-$S136-$T136,0),"")</f>
        <v/>
      </c>
      <c r="Q136" s="3" t="str">
        <f t="shared" si="2"/>
        <v/>
      </c>
      <c r="R136" s="3" t="str">
        <f>IF($K136&lt;&gt;"",IF($A136="Prepago",0,IF(($H136+SUM($B$12:$B136))*$S$6&gt;SUM($R$11:$R135)+$S$6,$S$6*2,$S$6)),"")</f>
        <v/>
      </c>
      <c r="S136" s="3" t="str">
        <f>IF($K136&lt;&gt;"",IF($A136="Prepago",0,IF(($H136+SUM($B$12:$B136))*$S$7&gt;SUM($S$11:$S135)+$S$7,$S$7*2,$S$7)),"")</f>
        <v/>
      </c>
      <c r="T136" s="3" t="str">
        <f>IF($K136&lt;&gt;"",IF($A136="Prepago",0,IF(($H136+SUM($B$12:$B136))*$S$8&gt;SUM($T$11:$T135)+$S$8,$S$8*2,$S$8)),"")</f>
        <v/>
      </c>
      <c r="U136" s="3" t="str">
        <f>IF($K136&lt;&gt;"",$N136-$P136,"")</f>
        <v/>
      </c>
      <c r="V136" s="3" t="str">
        <f t="shared" si="3"/>
        <v/>
      </c>
      <c r="W136" s="3" t="str">
        <f>IF($K136&lt;&gt;"",SUM($X136:$XFD136),"")</f>
        <v/>
      </c>
      <c r="X136" s="3" t="str">
        <f>IF($K136&lt;&gt;"",IF($M136&gt;X$11,30,$M136)*ROUND(($N136+$V135)*$T$5/3000,2),"")</f>
        <v/>
      </c>
      <c r="Y136" s="3" t="str">
        <f>IF($K136&lt;&gt;"",IF($M136&gt;X$11,IF($M136&lt;Y$11,$M136-X$11,30),0)*ROUND(($N136+$V135+SUM($X136:X136))*$T$5/3000,2),"")</f>
        <v/>
      </c>
      <c r="Z136" s="3"/>
      <c r="AA136" s="3"/>
    </row>
    <row r="137" spans="5:27" x14ac:dyDescent="0.25">
      <c r="E137" s="5"/>
      <c r="F137" t="str">
        <f>IF($K137&lt;&gt;"",TEXT(L137,"DDD"),"")</f>
        <v/>
      </c>
      <c r="G137" s="5" t="str">
        <f>IF($K137&lt;&gt;"",EOMONTH(DATE(YEAR($M$6),$G$11+K137+SUM($B$12:B137),1),0),"")</f>
        <v/>
      </c>
      <c r="H137" s="22" t="str">
        <f>IF($K137&lt;&gt;"",IF($A137="Prepago",$H136,$H136+1),"")</f>
        <v/>
      </c>
      <c r="I137" s="22" t="str">
        <f>IF($K137&lt;&gt;"",IF(ISNUMBER($C137),-$P137+$W137-$Q137,ABS($W137)+$R137+$S137+$T137),"")</f>
        <v/>
      </c>
      <c r="J137" s="22" t="str">
        <f>IF(K137&lt;&gt;"",IF(COUNTA($X137:$XFD137)*30&lt;$M137,1,0),"")</f>
        <v/>
      </c>
      <c r="K137" t="str">
        <f>IF($K136&lt;NCUOTAS+CUOTAADICIONAL+PGRACIA,$K136+1,"")</f>
        <v/>
      </c>
      <c r="L137" s="5" t="str">
        <f>IF($K137&lt;&gt;"",IF(ULTIMODIA=0,IF($E137="",DATE(YEAR($M$7),MONTH($M$7)+($A$1*($H137-1))+SUM($B$12:$B137),DAY($M$7)),$E137),G137),"")</f>
        <v/>
      </c>
      <c r="M137" s="9" t="str">
        <f>IF($K137&lt;&gt;"",$L137-$L136,"")</f>
        <v/>
      </c>
      <c r="N137" s="3" t="str">
        <f>IF($K137&lt;&gt;"",$U136,"")</f>
        <v/>
      </c>
      <c r="O137" s="3" t="str">
        <f>IF($K137&lt;&gt;"",IF($A137="Gracia Parcial",IF(AND($C137&lt;$W137+$R137+$S137+$T137+$V136,$C137&gt;0),$C137,$W137+$R137+$S137+$T137+$V136),IF($A137="Gracia Total",0,IF($A137="Prepago",$C137,IF(ISNUMBER($C137),$C137*VALUE(MID($C$1,MONTH($L137),1)),$P$5*VALUE(MID($C$1,MONTH($L137),1))))))-IF($K138="",ARREGLO,0),"")</f>
        <v/>
      </c>
      <c r="P137" s="3" t="str">
        <f>IF($K137&lt;&gt;"",IF($O137-$Q137&gt;0,$O137-$Q137-$R137-$S137-$T137,0),"")</f>
        <v/>
      </c>
      <c r="Q137" s="3" t="str">
        <f t="shared" si="2"/>
        <v/>
      </c>
      <c r="R137" s="3" t="str">
        <f>IF($K137&lt;&gt;"",IF($A137="Prepago",0,IF(($H137+SUM($B$12:$B137))*$S$6&gt;SUM($R$11:$R136)+$S$6,$S$6*2,$S$6)),"")</f>
        <v/>
      </c>
      <c r="S137" s="3" t="str">
        <f>IF($K137&lt;&gt;"",IF($A137="Prepago",0,IF(($H137+SUM($B$12:$B137))*$S$7&gt;SUM($S$11:$S136)+$S$7,$S$7*2,$S$7)),"")</f>
        <v/>
      </c>
      <c r="T137" s="3" t="str">
        <f>IF($K137&lt;&gt;"",IF($A137="Prepago",0,IF(($H137+SUM($B$12:$B137))*$S$8&gt;SUM($T$11:$T136)+$S$8,$S$8*2,$S$8)),"")</f>
        <v/>
      </c>
      <c r="U137" s="3" t="str">
        <f>IF($K137&lt;&gt;"",$N137-$P137,"")</f>
        <v/>
      </c>
      <c r="V137" s="3" t="str">
        <f t="shared" si="3"/>
        <v/>
      </c>
      <c r="W137" s="3" t="str">
        <f>IF($K137&lt;&gt;"",SUM($X137:$XFD137),"")</f>
        <v/>
      </c>
      <c r="X137" s="3" t="str">
        <f>IF($K137&lt;&gt;"",IF($M137&gt;X$11,30,$M137)*ROUND(($N137+$V136)*$T$5/3000,2),"")</f>
        <v/>
      </c>
      <c r="Y137" s="3" t="str">
        <f>IF($K137&lt;&gt;"",IF($M137&gt;X$11,IF($M137&lt;Y$11,$M137-X$11,30),0)*ROUND(($N137+$V136+SUM($X137:X137))*$T$5/3000,2),"")</f>
        <v/>
      </c>
      <c r="Z137" s="3"/>
      <c r="AA137" s="3"/>
    </row>
    <row r="138" spans="5:27" x14ac:dyDescent="0.25">
      <c r="E138" s="5"/>
      <c r="F138" t="str">
        <f>IF($K138&lt;&gt;"",TEXT(L138,"DDD"),"")</f>
        <v/>
      </c>
      <c r="G138" s="5" t="str">
        <f>IF($K138&lt;&gt;"",EOMONTH(DATE(YEAR($M$6),$G$11+K138+SUM($B$12:B138),1),0),"")</f>
        <v/>
      </c>
      <c r="H138" s="22" t="str">
        <f>IF($K138&lt;&gt;"",IF($A138="Prepago",$H137,$H137+1),"")</f>
        <v/>
      </c>
      <c r="I138" s="22" t="str">
        <f>IF($K138&lt;&gt;"",IF(ISNUMBER($C138),-$P138+$W138-$Q138,ABS($W138)+$R138+$S138+$T138),"")</f>
        <v/>
      </c>
      <c r="J138" s="22" t="str">
        <f>IF(K138&lt;&gt;"",IF(COUNTA($X138:$XFD138)*30&lt;$M138,1,0),"")</f>
        <v/>
      </c>
      <c r="K138" t="str">
        <f>IF($K137&lt;NCUOTAS+CUOTAADICIONAL+PGRACIA,$K137+1,"")</f>
        <v/>
      </c>
      <c r="L138" s="5" t="str">
        <f>IF($K138&lt;&gt;"",IF(ULTIMODIA=0,IF($E138="",DATE(YEAR($M$7),MONTH($M$7)+($A$1*($H138-1))+SUM($B$12:$B138),DAY($M$7)),$E138),G138),"")</f>
        <v/>
      </c>
      <c r="M138" s="9" t="str">
        <f>IF($K138&lt;&gt;"",$L138-$L137,"")</f>
        <v/>
      </c>
      <c r="N138" s="3" t="str">
        <f>IF($K138&lt;&gt;"",$U137,"")</f>
        <v/>
      </c>
      <c r="O138" s="3" t="str">
        <f>IF($K138&lt;&gt;"",IF($A138="Gracia Parcial",IF(AND($C138&lt;$W138+$R138+$S138+$T138+$V137,$C138&gt;0),$C138,$W138+$R138+$S138+$T138+$V137),IF($A138="Gracia Total",0,IF($A138="Prepago",$C138,IF(ISNUMBER($C138),$C138*VALUE(MID($C$1,MONTH($L138),1)),$P$5*VALUE(MID($C$1,MONTH($L138),1))))))-IF($K139="",ARREGLO,0),"")</f>
        <v/>
      </c>
      <c r="P138" s="3" t="str">
        <f>IF($K138&lt;&gt;"",IF($O138-$Q138&gt;0,$O138-$Q138-$R138-$S138-$T138,0),"")</f>
        <v/>
      </c>
      <c r="Q138" s="3" t="str">
        <f t="shared" si="2"/>
        <v/>
      </c>
      <c r="R138" s="3" t="str">
        <f>IF($K138&lt;&gt;"",IF($A138="Prepago",0,IF(($H138+SUM($B$12:$B138))*$S$6&gt;SUM($R$11:$R137)+$S$6,$S$6*2,$S$6)),"")</f>
        <v/>
      </c>
      <c r="S138" s="3" t="str">
        <f>IF($K138&lt;&gt;"",IF($A138="Prepago",0,IF(($H138+SUM($B$12:$B138))*$S$7&gt;SUM($S$11:$S137)+$S$7,$S$7*2,$S$7)),"")</f>
        <v/>
      </c>
      <c r="T138" s="3" t="str">
        <f>IF($K138&lt;&gt;"",IF($A138="Prepago",0,IF(($H138+SUM($B$12:$B138))*$S$8&gt;SUM($T$11:$T137)+$S$8,$S$8*2,$S$8)),"")</f>
        <v/>
      </c>
      <c r="U138" s="3" t="str">
        <f>IF($K138&lt;&gt;"",$N138-$P138,"")</f>
        <v/>
      </c>
      <c r="V138" s="3" t="str">
        <f t="shared" si="3"/>
        <v/>
      </c>
      <c r="W138" s="3" t="str">
        <f>IF($K138&lt;&gt;"",SUM($X138:$XFD138),"")</f>
        <v/>
      </c>
      <c r="X138" s="3" t="str">
        <f>IF($K138&lt;&gt;"",IF($M138&gt;X$11,30,$M138)*ROUND(($N138+$V137)*$T$5/3000,2),"")</f>
        <v/>
      </c>
      <c r="Y138" s="3" t="str">
        <f>IF($K138&lt;&gt;"",IF($M138&gt;X$11,IF($M138&lt;Y$11,$M138-X$11,30),0)*ROUND(($N138+$V137+SUM($X138:X138))*$T$5/3000,2),"")</f>
        <v/>
      </c>
      <c r="Z138" s="3"/>
      <c r="AA138" s="3"/>
    </row>
    <row r="139" spans="5:27" x14ac:dyDescent="0.25">
      <c r="E139" s="5"/>
      <c r="F139" t="str">
        <f>IF($K139&lt;&gt;"",TEXT(L139,"DDD"),"")</f>
        <v/>
      </c>
      <c r="G139" s="5" t="str">
        <f>IF($K139&lt;&gt;"",EOMONTH(DATE(YEAR($M$6),$G$11+K139+SUM($B$12:B139),1),0),"")</f>
        <v/>
      </c>
      <c r="H139" s="22" t="str">
        <f>IF($K139&lt;&gt;"",IF($A139="Prepago",$H138,$H138+1),"")</f>
        <v/>
      </c>
      <c r="I139" s="22" t="str">
        <f>IF($K139&lt;&gt;"",IF(ISNUMBER($C139),-$P139+$W139-$Q139,ABS($W139)+$R139+$S139+$T139),"")</f>
        <v/>
      </c>
      <c r="J139" s="22" t="str">
        <f>IF(K139&lt;&gt;"",IF(COUNTA($X139:$XFD139)*30&lt;$M139,1,0),"")</f>
        <v/>
      </c>
      <c r="K139" t="str">
        <f>IF($K138&lt;NCUOTAS+CUOTAADICIONAL+PGRACIA,$K138+1,"")</f>
        <v/>
      </c>
      <c r="L139" s="5" t="str">
        <f>IF($K139&lt;&gt;"",IF(ULTIMODIA=0,IF($E139="",DATE(YEAR($M$7),MONTH($M$7)+($A$1*($H139-1))+SUM($B$12:$B139),DAY($M$7)),$E139),G139),"")</f>
        <v/>
      </c>
      <c r="M139" s="9" t="str">
        <f>IF($K139&lt;&gt;"",$L139-$L138,"")</f>
        <v/>
      </c>
      <c r="N139" s="3" t="str">
        <f>IF($K139&lt;&gt;"",$U138,"")</f>
        <v/>
      </c>
      <c r="O139" s="3" t="str">
        <f>IF($K139&lt;&gt;"",IF($A139="Gracia Parcial",IF(AND($C139&lt;$W139+$R139+$S139+$T139+$V138,$C139&gt;0),$C139,$W139+$R139+$S139+$T139+$V138),IF($A139="Gracia Total",0,IF($A139="Prepago",$C139,IF(ISNUMBER($C139),$C139*VALUE(MID($C$1,MONTH($L139),1)),$P$5*VALUE(MID($C$1,MONTH($L139),1))))))-IF($K140="",ARREGLO,0),"")</f>
        <v/>
      </c>
      <c r="P139" s="3" t="str">
        <f>IF($K139&lt;&gt;"",IF($O139-$Q139&gt;0,$O139-$Q139-$R139-$S139-$T139,0),"")</f>
        <v/>
      </c>
      <c r="Q139" s="3" t="str">
        <f t="shared" si="2"/>
        <v/>
      </c>
      <c r="R139" s="3" t="str">
        <f>IF($K139&lt;&gt;"",IF($A139="Prepago",0,IF(($H139+SUM($B$12:$B139))*$S$6&gt;SUM($R$11:$R138)+$S$6,$S$6*2,$S$6)),"")</f>
        <v/>
      </c>
      <c r="S139" s="3" t="str">
        <f>IF($K139&lt;&gt;"",IF($A139="Prepago",0,IF(($H139+SUM($B$12:$B139))*$S$7&gt;SUM($S$11:$S138)+$S$7,$S$7*2,$S$7)),"")</f>
        <v/>
      </c>
      <c r="T139" s="3" t="str">
        <f>IF($K139&lt;&gt;"",IF($A139="Prepago",0,IF(($H139+SUM($B$12:$B139))*$S$8&gt;SUM($T$11:$T138)+$S$8,$S$8*2,$S$8)),"")</f>
        <v/>
      </c>
      <c r="U139" s="3" t="str">
        <f>IF($K139&lt;&gt;"",$N139-$P139,"")</f>
        <v/>
      </c>
      <c r="V139" s="3" t="str">
        <f t="shared" si="3"/>
        <v/>
      </c>
      <c r="W139" s="3" t="str">
        <f>IF($K139&lt;&gt;"",SUM($X139:$XFD139),"")</f>
        <v/>
      </c>
      <c r="X139" s="3" t="str">
        <f>IF($K139&lt;&gt;"",IF($M139&gt;X$11,30,$M139)*ROUND(($N139+$V138)*$T$5/3000,2),"")</f>
        <v/>
      </c>
      <c r="Y139" s="3" t="str">
        <f>IF($K139&lt;&gt;"",IF($M139&gt;X$11,IF($M139&lt;Y$11,$M139-X$11,30),0)*ROUND(($N139+$V138+SUM($X139:X139))*$T$5/3000,2),"")</f>
        <v/>
      </c>
      <c r="Z139" s="3"/>
      <c r="AA139" s="3"/>
    </row>
    <row r="140" spans="5:27" x14ac:dyDescent="0.25">
      <c r="E140" s="5"/>
      <c r="F140" t="str">
        <f>IF($K140&lt;&gt;"",TEXT(L140,"DDD"),"")</f>
        <v/>
      </c>
      <c r="G140" s="5" t="str">
        <f>IF($K140&lt;&gt;"",EOMONTH(DATE(YEAR($M$6),$G$11+K140+SUM($B$12:B140),1),0),"")</f>
        <v/>
      </c>
      <c r="H140" s="22" t="str">
        <f>IF($K140&lt;&gt;"",IF($A140="Prepago",$H139,$H139+1),"")</f>
        <v/>
      </c>
      <c r="I140" s="22" t="str">
        <f>IF($K140&lt;&gt;"",IF(ISNUMBER($C140),-$P140+$W140-$Q140,ABS($W140)+$R140+$S140+$T140),"")</f>
        <v/>
      </c>
      <c r="J140" s="22" t="str">
        <f>IF(K140&lt;&gt;"",IF(COUNTA($X140:$XFD140)*30&lt;$M140,1,0),"")</f>
        <v/>
      </c>
      <c r="K140" t="str">
        <f>IF($K139&lt;NCUOTAS+CUOTAADICIONAL+PGRACIA,$K139+1,"")</f>
        <v/>
      </c>
      <c r="L140" s="5" t="str">
        <f>IF($K140&lt;&gt;"",IF(ULTIMODIA=0,IF($E140="",DATE(YEAR($M$7),MONTH($M$7)+($A$1*($H140-1))+SUM($B$12:$B140),DAY($M$7)),$E140),G140),"")</f>
        <v/>
      </c>
      <c r="M140" s="9" t="str">
        <f>IF($K140&lt;&gt;"",$L140-$L139,"")</f>
        <v/>
      </c>
      <c r="N140" s="3" t="str">
        <f>IF($K140&lt;&gt;"",$U139,"")</f>
        <v/>
      </c>
      <c r="O140" s="3" t="str">
        <f>IF($K140&lt;&gt;"",IF($A140="Gracia Parcial",IF(AND($C140&lt;$W140+$R140+$S140+$T140+$V139,$C140&gt;0),$C140,$W140+$R140+$S140+$T140+$V139),IF($A140="Gracia Total",0,IF($A140="Prepago",$C140,IF(ISNUMBER($C140),$C140*VALUE(MID($C$1,MONTH($L140),1)),$P$5*VALUE(MID($C$1,MONTH($L140),1))))))-IF($K141="",ARREGLO,0),"")</f>
        <v/>
      </c>
      <c r="P140" s="3" t="str">
        <f>IF($K140&lt;&gt;"",IF($O140-$Q140&gt;0,$O140-$Q140-$R140-$S140-$T140,0),"")</f>
        <v/>
      </c>
      <c r="Q140" s="3" t="str">
        <f t="shared" si="2"/>
        <v/>
      </c>
      <c r="R140" s="3" t="str">
        <f>IF($K140&lt;&gt;"",IF($A140="Prepago",0,IF(($H140+SUM($B$12:$B140))*$S$6&gt;SUM($R$11:$R139)+$S$6,$S$6*2,$S$6)),"")</f>
        <v/>
      </c>
      <c r="S140" s="3" t="str">
        <f>IF($K140&lt;&gt;"",IF($A140="Prepago",0,IF(($H140+SUM($B$12:$B140))*$S$7&gt;SUM($S$11:$S139)+$S$7,$S$7*2,$S$7)),"")</f>
        <v/>
      </c>
      <c r="T140" s="3" t="str">
        <f>IF($K140&lt;&gt;"",IF($A140="Prepago",0,IF(($H140+SUM($B$12:$B140))*$S$8&gt;SUM($T$11:$T139)+$S$8,$S$8*2,$S$8)),"")</f>
        <v/>
      </c>
      <c r="U140" s="3" t="str">
        <f>IF($K140&lt;&gt;"",$N140-$P140,"")</f>
        <v/>
      </c>
      <c r="V140" s="3" t="str">
        <f t="shared" si="3"/>
        <v/>
      </c>
      <c r="W140" s="3" t="str">
        <f>IF($K140&lt;&gt;"",SUM($X140:$XFD140),"")</f>
        <v/>
      </c>
      <c r="X140" s="3" t="str">
        <f>IF($K140&lt;&gt;"",IF($M140&gt;X$11,30,$M140)*ROUND(($N140+$V139)*$T$5/3000,2),"")</f>
        <v/>
      </c>
      <c r="Y140" s="3" t="str">
        <f>IF($K140&lt;&gt;"",IF($M140&gt;X$11,IF($M140&lt;Y$11,$M140-X$11,30),0)*ROUND(($N140+$V139+SUM($X140:X140))*$T$5/3000,2),"")</f>
        <v/>
      </c>
      <c r="Z140" s="3"/>
      <c r="AA140" s="3"/>
    </row>
    <row r="141" spans="5:27" x14ac:dyDescent="0.25">
      <c r="E141" s="5"/>
      <c r="F141" t="str">
        <f>IF($K141&lt;&gt;"",TEXT(L141,"DDD"),"")</f>
        <v/>
      </c>
      <c r="G141" s="5" t="str">
        <f>IF($K141&lt;&gt;"",EOMONTH(DATE(YEAR($M$6),$G$11+K141+SUM($B$12:B141),1),0),"")</f>
        <v/>
      </c>
      <c r="H141" s="22" t="str">
        <f>IF($K141&lt;&gt;"",IF($A141="Prepago",$H140,$H140+1),"")</f>
        <v/>
      </c>
      <c r="I141" s="22" t="str">
        <f>IF($K141&lt;&gt;"",IF(ISNUMBER($C141),-$P141+$W141-$Q141,ABS($W141)+$R141+$S141+$T141),"")</f>
        <v/>
      </c>
      <c r="J141" s="22" t="str">
        <f>IF(K141&lt;&gt;"",IF(COUNTA($X141:$XFD141)*30&lt;$M141,1,0),"")</f>
        <v/>
      </c>
      <c r="K141" t="str">
        <f>IF($K140&lt;NCUOTAS+CUOTAADICIONAL+PGRACIA,$K140+1,"")</f>
        <v/>
      </c>
      <c r="L141" s="5" t="str">
        <f>IF($K141&lt;&gt;"",IF(ULTIMODIA=0,IF($E141="",DATE(YEAR($M$7),MONTH($M$7)+($A$1*($H141-1))+SUM($B$12:$B141),DAY($M$7)),$E141),G141),"")</f>
        <v/>
      </c>
      <c r="M141" s="9" t="str">
        <f>IF($K141&lt;&gt;"",$L141-$L140,"")</f>
        <v/>
      </c>
      <c r="N141" s="3" t="str">
        <f>IF($K141&lt;&gt;"",$U140,"")</f>
        <v/>
      </c>
      <c r="O141" s="3" t="str">
        <f>IF($K141&lt;&gt;"",IF($A141="Gracia Parcial",IF(AND($C141&lt;$W141+$R141+$S141+$T141+$V140,$C141&gt;0),$C141,$W141+$R141+$S141+$T141+$V140),IF($A141="Gracia Total",0,IF($A141="Prepago",$C141,IF(ISNUMBER($C141),$C141*VALUE(MID($C$1,MONTH($L141),1)),$P$5*VALUE(MID($C$1,MONTH($L141),1))))))-IF($K142="",ARREGLO,0),"")</f>
        <v/>
      </c>
      <c r="P141" s="3" t="str">
        <f>IF($K141&lt;&gt;"",IF($O141-$Q141&gt;0,$O141-$Q141-$R141-$S141-$T141,0),"")</f>
        <v/>
      </c>
      <c r="Q141" s="3" t="str">
        <f t="shared" ref="Q141:Q204" si="4">IF($K141&lt;&gt;"",IF($O141&gt;=IF($D141="",$W141,$D141)+$V140+$R141+$S141+$T141,IF($D141="",$W141,$D141)+$V140,$O141-$R141-$S141-$T141),"")</f>
        <v/>
      </c>
      <c r="R141" s="3" t="str">
        <f>IF($K141&lt;&gt;"",IF($A141="Prepago",0,IF(($H141+SUM($B$12:$B141))*$S$6&gt;SUM($R$11:$R140)+$S$6,$S$6*2,$S$6)),"")</f>
        <v/>
      </c>
      <c r="S141" s="3" t="str">
        <f>IF($K141&lt;&gt;"",IF($A141="Prepago",0,IF(($H141+SUM($B$12:$B141))*$S$7&gt;SUM($S$11:$S140)+$S$7,$S$7*2,$S$7)),"")</f>
        <v/>
      </c>
      <c r="T141" s="3" t="str">
        <f>IF($K141&lt;&gt;"",IF($A141="Prepago",0,IF(($H141+SUM($B$12:$B141))*$S$8&gt;SUM($T$11:$T140)+$S$8,$S$8*2,$S$8)),"")</f>
        <v/>
      </c>
      <c r="U141" s="3" t="str">
        <f>IF($K141&lt;&gt;"",$N141-$P141,"")</f>
        <v/>
      </c>
      <c r="V141" s="3" t="str">
        <f t="shared" ref="V141:V204" si="5">IF($K141&lt;&gt;"",+$V140+IF($D141="",$W141,$D141)-$Q141,"")</f>
        <v/>
      </c>
      <c r="W141" s="3" t="str">
        <f>IF($K141&lt;&gt;"",SUM($X141:$XFD141),"")</f>
        <v/>
      </c>
      <c r="X141" s="3" t="str">
        <f>IF($K141&lt;&gt;"",IF($M141&gt;X$11,30,$M141)*ROUND(($N141+$V140)*$T$5/3000,2),"")</f>
        <v/>
      </c>
      <c r="Y141" s="3" t="str">
        <f>IF($K141&lt;&gt;"",IF($M141&gt;X$11,IF($M141&lt;Y$11,$M141-X$11,30),0)*ROUND(($N141+$V140+SUM($X141:X141))*$T$5/3000,2),"")</f>
        <v/>
      </c>
      <c r="Z141" s="3"/>
      <c r="AA141" s="3"/>
    </row>
    <row r="142" spans="5:27" x14ac:dyDescent="0.25">
      <c r="E142" s="5"/>
      <c r="F142" t="str">
        <f>IF($K142&lt;&gt;"",TEXT(L142,"DDD"),"")</f>
        <v/>
      </c>
      <c r="G142" s="5" t="str">
        <f>IF($K142&lt;&gt;"",EOMONTH(DATE(YEAR($M$6),$G$11+K142+SUM($B$12:B142),1),0),"")</f>
        <v/>
      </c>
      <c r="H142" s="22" t="str">
        <f>IF($K142&lt;&gt;"",IF($A142="Prepago",$H141,$H141+1),"")</f>
        <v/>
      </c>
      <c r="I142" s="22" t="str">
        <f>IF($K142&lt;&gt;"",IF(ISNUMBER($C142),-$P142+$W142-$Q142,ABS($W142)+$R142+$S142+$T142),"")</f>
        <v/>
      </c>
      <c r="J142" s="22" t="str">
        <f>IF(K142&lt;&gt;"",IF(COUNTA($X142:$XFD142)*30&lt;$M142,1,0),"")</f>
        <v/>
      </c>
      <c r="K142" t="str">
        <f>IF($K141&lt;NCUOTAS+CUOTAADICIONAL+PGRACIA,$K141+1,"")</f>
        <v/>
      </c>
      <c r="L142" s="5" t="str">
        <f>IF($K142&lt;&gt;"",IF(ULTIMODIA=0,IF($E142="",DATE(YEAR($M$7),MONTH($M$7)+($A$1*($H142-1))+SUM($B$12:$B142),DAY($M$7)),$E142),G142),"")</f>
        <v/>
      </c>
      <c r="M142" s="9" t="str">
        <f>IF($K142&lt;&gt;"",$L142-$L141,"")</f>
        <v/>
      </c>
      <c r="N142" s="3" t="str">
        <f>IF($K142&lt;&gt;"",$U141,"")</f>
        <v/>
      </c>
      <c r="O142" s="3" t="str">
        <f>IF($K142&lt;&gt;"",IF($A142="Gracia Parcial",IF(AND($C142&lt;$W142+$R142+$S142+$T142+$V141,$C142&gt;0),$C142,$W142+$R142+$S142+$T142+$V141),IF($A142="Gracia Total",0,IF($A142="Prepago",$C142,IF(ISNUMBER($C142),$C142*VALUE(MID($C$1,MONTH($L142),1)),$P$5*VALUE(MID($C$1,MONTH($L142),1))))))-IF($K143="",ARREGLO,0),"")</f>
        <v/>
      </c>
      <c r="P142" s="3" t="str">
        <f>IF($K142&lt;&gt;"",IF($O142-$Q142&gt;0,$O142-$Q142-$R142-$S142-$T142,0),"")</f>
        <v/>
      </c>
      <c r="Q142" s="3" t="str">
        <f t="shared" si="4"/>
        <v/>
      </c>
      <c r="R142" s="3" t="str">
        <f>IF($K142&lt;&gt;"",IF($A142="Prepago",0,IF(($H142+SUM($B$12:$B142))*$S$6&gt;SUM($R$11:$R141)+$S$6,$S$6*2,$S$6)),"")</f>
        <v/>
      </c>
      <c r="S142" s="3" t="str">
        <f>IF($K142&lt;&gt;"",IF($A142="Prepago",0,IF(($H142+SUM($B$12:$B142))*$S$7&gt;SUM($S$11:$S141)+$S$7,$S$7*2,$S$7)),"")</f>
        <v/>
      </c>
      <c r="T142" s="3" t="str">
        <f>IF($K142&lt;&gt;"",IF($A142="Prepago",0,IF(($H142+SUM($B$12:$B142))*$S$8&gt;SUM($T$11:$T141)+$S$8,$S$8*2,$S$8)),"")</f>
        <v/>
      </c>
      <c r="U142" s="3" t="str">
        <f>IF($K142&lt;&gt;"",$N142-$P142,"")</f>
        <v/>
      </c>
      <c r="V142" s="3" t="str">
        <f t="shared" si="5"/>
        <v/>
      </c>
      <c r="W142" s="3" t="str">
        <f>IF($K142&lt;&gt;"",SUM($X142:$XFD142),"")</f>
        <v/>
      </c>
      <c r="X142" s="3" t="str">
        <f>IF($K142&lt;&gt;"",IF($M142&gt;X$11,30,$M142)*ROUND(($N142+$V141)*$T$5/3000,2),"")</f>
        <v/>
      </c>
      <c r="Y142" s="3" t="str">
        <f>IF($K142&lt;&gt;"",IF($M142&gt;X$11,IF($M142&lt;Y$11,$M142-X$11,30),0)*ROUND(($N142+$V141+SUM($X142:X142))*$T$5/3000,2),"")</f>
        <v/>
      </c>
      <c r="Z142" s="3"/>
      <c r="AA142" s="3"/>
    </row>
    <row r="143" spans="5:27" x14ac:dyDescent="0.25">
      <c r="E143" s="5"/>
      <c r="F143" t="str">
        <f>IF($K143&lt;&gt;"",TEXT(L143,"DDD"),"")</f>
        <v/>
      </c>
      <c r="G143" s="5" t="str">
        <f>IF($K143&lt;&gt;"",EOMONTH(DATE(YEAR($M$6),$G$11+K143+SUM($B$12:B143),1),0),"")</f>
        <v/>
      </c>
      <c r="H143" s="22" t="str">
        <f>IF($K143&lt;&gt;"",IF($A143="Prepago",$H142,$H142+1),"")</f>
        <v/>
      </c>
      <c r="I143" s="22" t="str">
        <f>IF($K143&lt;&gt;"",IF(ISNUMBER($C143),-$P143+$W143-$Q143,ABS($W143)+$R143+$S143+$T143),"")</f>
        <v/>
      </c>
      <c r="J143" s="22" t="str">
        <f>IF(K143&lt;&gt;"",IF(COUNTA($X143:$XFD143)*30&lt;$M143,1,0),"")</f>
        <v/>
      </c>
      <c r="K143" t="str">
        <f>IF($K142&lt;NCUOTAS+CUOTAADICIONAL+PGRACIA,$K142+1,"")</f>
        <v/>
      </c>
      <c r="L143" s="5" t="str">
        <f>IF($K143&lt;&gt;"",IF(ULTIMODIA=0,IF($E143="",DATE(YEAR($M$7),MONTH($M$7)+($A$1*($H143-1))+SUM($B$12:$B143),DAY($M$7)),$E143),G143),"")</f>
        <v/>
      </c>
      <c r="M143" s="9" t="str">
        <f>IF($K143&lt;&gt;"",$L143-$L142,"")</f>
        <v/>
      </c>
      <c r="N143" s="3" t="str">
        <f>IF($K143&lt;&gt;"",$U142,"")</f>
        <v/>
      </c>
      <c r="O143" s="3" t="str">
        <f>IF($K143&lt;&gt;"",IF($A143="Gracia Parcial",IF(AND($C143&lt;$W143+$R143+$S143+$T143+$V142,$C143&gt;0),$C143,$W143+$R143+$S143+$T143+$V142),IF($A143="Gracia Total",0,IF($A143="Prepago",$C143,IF(ISNUMBER($C143),$C143*VALUE(MID($C$1,MONTH($L143),1)),$P$5*VALUE(MID($C$1,MONTH($L143),1))))))-IF($K144="",ARREGLO,0),"")</f>
        <v/>
      </c>
      <c r="P143" s="3" t="str">
        <f>IF($K143&lt;&gt;"",IF($O143-$Q143&gt;0,$O143-$Q143-$R143-$S143-$T143,0),"")</f>
        <v/>
      </c>
      <c r="Q143" s="3" t="str">
        <f t="shared" si="4"/>
        <v/>
      </c>
      <c r="R143" s="3" t="str">
        <f>IF($K143&lt;&gt;"",IF($A143="Prepago",0,IF(($H143+SUM($B$12:$B143))*$S$6&gt;SUM($R$11:$R142)+$S$6,$S$6*2,$S$6)),"")</f>
        <v/>
      </c>
      <c r="S143" s="3" t="str">
        <f>IF($K143&lt;&gt;"",IF($A143="Prepago",0,IF(($H143+SUM($B$12:$B143))*$S$7&gt;SUM($S$11:$S142)+$S$7,$S$7*2,$S$7)),"")</f>
        <v/>
      </c>
      <c r="T143" s="3" t="str">
        <f>IF($K143&lt;&gt;"",IF($A143="Prepago",0,IF(($H143+SUM($B$12:$B143))*$S$8&gt;SUM($T$11:$T142)+$S$8,$S$8*2,$S$8)),"")</f>
        <v/>
      </c>
      <c r="U143" s="3" t="str">
        <f>IF($K143&lt;&gt;"",$N143-$P143,"")</f>
        <v/>
      </c>
      <c r="V143" s="3" t="str">
        <f t="shared" si="5"/>
        <v/>
      </c>
      <c r="W143" s="3" t="str">
        <f>IF($K143&lt;&gt;"",SUM($X143:$XFD143),"")</f>
        <v/>
      </c>
      <c r="X143" s="3" t="str">
        <f>IF($K143&lt;&gt;"",IF($M143&gt;X$11,30,$M143)*ROUND(($N143+$V142)*$T$5/3000,2),"")</f>
        <v/>
      </c>
      <c r="Y143" s="3" t="str">
        <f>IF($K143&lt;&gt;"",IF($M143&gt;X$11,IF($M143&lt;Y$11,$M143-X$11,30),0)*ROUND(($N143+$V142+SUM($X143:X143))*$T$5/3000,2),"")</f>
        <v/>
      </c>
      <c r="Z143" s="3"/>
      <c r="AA143" s="3"/>
    </row>
    <row r="144" spans="5:27" x14ac:dyDescent="0.25">
      <c r="E144" s="5"/>
      <c r="F144" t="str">
        <f>IF($K144&lt;&gt;"",TEXT(L144,"DDD"),"")</f>
        <v/>
      </c>
      <c r="G144" s="5" t="str">
        <f>IF($K144&lt;&gt;"",EOMONTH(DATE(YEAR($M$6),$G$11+K144+SUM($B$12:B144),1),0),"")</f>
        <v/>
      </c>
      <c r="H144" s="22" t="str">
        <f>IF($K144&lt;&gt;"",IF($A144="Prepago",$H143,$H143+1),"")</f>
        <v/>
      </c>
      <c r="I144" s="22" t="str">
        <f>IF($K144&lt;&gt;"",IF(ISNUMBER($C144),-$P144+$W144-$Q144,ABS($W144)+$R144+$S144+$T144),"")</f>
        <v/>
      </c>
      <c r="J144" s="22" t="str">
        <f>IF(K144&lt;&gt;"",IF(COUNTA($X144:$XFD144)*30&lt;$M144,1,0),"")</f>
        <v/>
      </c>
      <c r="K144" t="str">
        <f>IF($K143&lt;NCUOTAS+CUOTAADICIONAL+PGRACIA,$K143+1,"")</f>
        <v/>
      </c>
      <c r="L144" s="5" t="str">
        <f>IF($K144&lt;&gt;"",IF(ULTIMODIA=0,IF($E144="",DATE(YEAR($M$7),MONTH($M$7)+($A$1*($H144-1))+SUM($B$12:$B144),DAY($M$7)),$E144),G144),"")</f>
        <v/>
      </c>
      <c r="M144" s="9" t="str">
        <f>IF($K144&lt;&gt;"",$L144-$L143,"")</f>
        <v/>
      </c>
      <c r="N144" s="3" t="str">
        <f>IF($K144&lt;&gt;"",$U143,"")</f>
        <v/>
      </c>
      <c r="O144" s="3" t="str">
        <f>IF($K144&lt;&gt;"",IF($A144="Gracia Parcial",IF(AND($C144&lt;$W144+$R144+$S144+$T144+$V143,$C144&gt;0),$C144,$W144+$R144+$S144+$T144+$V143),IF($A144="Gracia Total",0,IF($A144="Prepago",$C144,IF(ISNUMBER($C144),$C144*VALUE(MID($C$1,MONTH($L144),1)),$P$5*VALUE(MID($C$1,MONTH($L144),1))))))-IF($K145="",ARREGLO,0),"")</f>
        <v/>
      </c>
      <c r="P144" s="3" t="str">
        <f>IF($K144&lt;&gt;"",IF($O144-$Q144&gt;0,$O144-$Q144-$R144-$S144-$T144,0),"")</f>
        <v/>
      </c>
      <c r="Q144" s="3" t="str">
        <f t="shared" si="4"/>
        <v/>
      </c>
      <c r="R144" s="3" t="str">
        <f>IF($K144&lt;&gt;"",IF($A144="Prepago",0,IF(($H144+SUM($B$12:$B144))*$S$6&gt;SUM($R$11:$R143)+$S$6,$S$6*2,$S$6)),"")</f>
        <v/>
      </c>
      <c r="S144" s="3" t="str">
        <f>IF($K144&lt;&gt;"",IF($A144="Prepago",0,IF(($H144+SUM($B$12:$B144))*$S$7&gt;SUM($S$11:$S143)+$S$7,$S$7*2,$S$7)),"")</f>
        <v/>
      </c>
      <c r="T144" s="3" t="str">
        <f>IF($K144&lt;&gt;"",IF($A144="Prepago",0,IF(($H144+SUM($B$12:$B144))*$S$8&gt;SUM($T$11:$T143)+$S$8,$S$8*2,$S$8)),"")</f>
        <v/>
      </c>
      <c r="U144" s="3" t="str">
        <f>IF($K144&lt;&gt;"",$N144-$P144,"")</f>
        <v/>
      </c>
      <c r="V144" s="3" t="str">
        <f t="shared" si="5"/>
        <v/>
      </c>
      <c r="W144" s="3" t="str">
        <f>IF($K144&lt;&gt;"",SUM($X144:$XFD144),"")</f>
        <v/>
      </c>
      <c r="X144" s="3" t="str">
        <f>IF($K144&lt;&gt;"",IF($M144&gt;X$11,30,$M144)*ROUND(($N144+$V143)*$T$5/3000,2),"")</f>
        <v/>
      </c>
      <c r="Y144" s="3" t="str">
        <f>IF($K144&lt;&gt;"",IF($M144&gt;X$11,IF($M144&lt;Y$11,$M144-X$11,30),0)*ROUND(($N144+$V143+SUM($X144:X144))*$T$5/3000,2),"")</f>
        <v/>
      </c>
      <c r="Z144" s="3"/>
      <c r="AA144" s="3"/>
    </row>
    <row r="145" spans="5:27" x14ac:dyDescent="0.25">
      <c r="E145" s="5"/>
      <c r="F145" t="str">
        <f>IF($K145&lt;&gt;"",TEXT(L145,"DDD"),"")</f>
        <v/>
      </c>
      <c r="G145" s="5" t="str">
        <f>IF($K145&lt;&gt;"",EOMONTH(DATE(YEAR($M$6),$G$11+K145+SUM($B$12:B145),1),0),"")</f>
        <v/>
      </c>
      <c r="H145" s="22" t="str">
        <f>IF($K145&lt;&gt;"",IF($A145="Prepago",$H144,$H144+1),"")</f>
        <v/>
      </c>
      <c r="I145" s="22" t="str">
        <f>IF($K145&lt;&gt;"",IF(ISNUMBER($C145),-$P145+$W145-$Q145,ABS($W145)+$R145+$S145+$T145),"")</f>
        <v/>
      </c>
      <c r="J145" s="22" t="str">
        <f>IF(K145&lt;&gt;"",IF(COUNTA($X145:$XFD145)*30&lt;$M145,1,0),"")</f>
        <v/>
      </c>
      <c r="K145" t="str">
        <f>IF($K144&lt;NCUOTAS+CUOTAADICIONAL+PGRACIA,$K144+1,"")</f>
        <v/>
      </c>
      <c r="L145" s="5" t="str">
        <f>IF($K145&lt;&gt;"",IF(ULTIMODIA=0,IF($E145="",DATE(YEAR($M$7),MONTH($M$7)+($A$1*($H145-1))+SUM($B$12:$B145),DAY($M$7)),$E145),G145),"")</f>
        <v/>
      </c>
      <c r="M145" s="9" t="str">
        <f>IF($K145&lt;&gt;"",$L145-$L144,"")</f>
        <v/>
      </c>
      <c r="N145" s="3" t="str">
        <f>IF($K145&lt;&gt;"",$U144,"")</f>
        <v/>
      </c>
      <c r="O145" s="3" t="str">
        <f>IF($K145&lt;&gt;"",IF($A145="Gracia Parcial",IF(AND($C145&lt;$W145+$R145+$S145+$T145+$V144,$C145&gt;0),$C145,$W145+$R145+$S145+$T145+$V144),IF($A145="Gracia Total",0,IF($A145="Prepago",$C145,IF(ISNUMBER($C145),$C145*VALUE(MID($C$1,MONTH($L145),1)),$P$5*VALUE(MID($C$1,MONTH($L145),1))))))-IF($K146="",ARREGLO,0),"")</f>
        <v/>
      </c>
      <c r="P145" s="3" t="str">
        <f>IF($K145&lt;&gt;"",IF($O145-$Q145&gt;0,$O145-$Q145-$R145-$S145-$T145,0),"")</f>
        <v/>
      </c>
      <c r="Q145" s="3" t="str">
        <f t="shared" si="4"/>
        <v/>
      </c>
      <c r="R145" s="3" t="str">
        <f>IF($K145&lt;&gt;"",IF($A145="Prepago",0,IF(($H145+SUM($B$12:$B145))*$S$6&gt;SUM($R$11:$R144)+$S$6,$S$6*2,$S$6)),"")</f>
        <v/>
      </c>
      <c r="S145" s="3" t="str">
        <f>IF($K145&lt;&gt;"",IF($A145="Prepago",0,IF(($H145+SUM($B$12:$B145))*$S$7&gt;SUM($S$11:$S144)+$S$7,$S$7*2,$S$7)),"")</f>
        <v/>
      </c>
      <c r="T145" s="3" t="str">
        <f>IF($K145&lt;&gt;"",IF($A145="Prepago",0,IF(($H145+SUM($B$12:$B145))*$S$8&gt;SUM($T$11:$T144)+$S$8,$S$8*2,$S$8)),"")</f>
        <v/>
      </c>
      <c r="U145" s="3" t="str">
        <f>IF($K145&lt;&gt;"",$N145-$P145,"")</f>
        <v/>
      </c>
      <c r="V145" s="3" t="str">
        <f t="shared" si="5"/>
        <v/>
      </c>
      <c r="W145" s="3" t="str">
        <f>IF($K145&lt;&gt;"",SUM($X145:$XFD145),"")</f>
        <v/>
      </c>
      <c r="X145" s="3" t="str">
        <f>IF($K145&lt;&gt;"",IF($M145&gt;X$11,30,$M145)*ROUND(($N145+$V144)*$T$5/3000,2),"")</f>
        <v/>
      </c>
      <c r="Y145" s="3" t="str">
        <f>IF($K145&lt;&gt;"",IF($M145&gt;X$11,IF($M145&lt;Y$11,$M145-X$11,30),0)*ROUND(($N145+$V144+SUM($X145:X145))*$T$5/3000,2),"")</f>
        <v/>
      </c>
      <c r="Z145" s="3"/>
      <c r="AA145" s="3"/>
    </row>
    <row r="146" spans="5:27" x14ac:dyDescent="0.25">
      <c r="E146" s="5"/>
      <c r="F146" t="str">
        <f>IF($K146&lt;&gt;"",TEXT(L146,"DDD"),"")</f>
        <v/>
      </c>
      <c r="G146" s="5" t="str">
        <f>IF($K146&lt;&gt;"",EOMONTH(DATE(YEAR($M$6),$G$11+K146+SUM($B$12:B146),1),0),"")</f>
        <v/>
      </c>
      <c r="H146" s="22" t="str">
        <f>IF($K146&lt;&gt;"",IF($A146="Prepago",$H145,$H145+1),"")</f>
        <v/>
      </c>
      <c r="I146" s="22" t="str">
        <f>IF($K146&lt;&gt;"",IF(ISNUMBER($C146),-$P146+$W146-$Q146,ABS($W146)+$R146+$S146+$T146),"")</f>
        <v/>
      </c>
      <c r="J146" s="22" t="str">
        <f>IF(K146&lt;&gt;"",IF(COUNTA($X146:$XFD146)*30&lt;$M146,1,0),"")</f>
        <v/>
      </c>
      <c r="K146" t="str">
        <f>IF($K145&lt;NCUOTAS+CUOTAADICIONAL+PGRACIA,$K145+1,"")</f>
        <v/>
      </c>
      <c r="L146" s="5" t="str">
        <f>IF($K146&lt;&gt;"",IF(ULTIMODIA=0,IF($E146="",DATE(YEAR($M$7),MONTH($M$7)+($A$1*($H146-1))+SUM($B$12:$B146),DAY($M$7)),$E146),G146),"")</f>
        <v/>
      </c>
      <c r="M146" s="9" t="str">
        <f>IF($K146&lt;&gt;"",$L146-$L145,"")</f>
        <v/>
      </c>
      <c r="N146" s="3" t="str">
        <f>IF($K146&lt;&gt;"",$U145,"")</f>
        <v/>
      </c>
      <c r="O146" s="3" t="str">
        <f>IF($K146&lt;&gt;"",IF($A146="Gracia Parcial",IF(AND($C146&lt;$W146+$R146+$S146+$T146+$V145,$C146&gt;0),$C146,$W146+$R146+$S146+$T146+$V145),IF($A146="Gracia Total",0,IF($A146="Prepago",$C146,IF(ISNUMBER($C146),$C146*VALUE(MID($C$1,MONTH($L146),1)),$P$5*VALUE(MID($C$1,MONTH($L146),1))))))-IF($K147="",ARREGLO,0),"")</f>
        <v/>
      </c>
      <c r="P146" s="3" t="str">
        <f>IF($K146&lt;&gt;"",IF($O146-$Q146&gt;0,$O146-$Q146-$R146-$S146-$T146,0),"")</f>
        <v/>
      </c>
      <c r="Q146" s="3" t="str">
        <f t="shared" si="4"/>
        <v/>
      </c>
      <c r="R146" s="3" t="str">
        <f>IF($K146&lt;&gt;"",IF($A146="Prepago",0,IF(($H146+SUM($B$12:$B146))*$S$6&gt;SUM($R$11:$R145)+$S$6,$S$6*2,$S$6)),"")</f>
        <v/>
      </c>
      <c r="S146" s="3" t="str">
        <f>IF($K146&lt;&gt;"",IF($A146="Prepago",0,IF(($H146+SUM($B$12:$B146))*$S$7&gt;SUM($S$11:$S145)+$S$7,$S$7*2,$S$7)),"")</f>
        <v/>
      </c>
      <c r="T146" s="3" t="str">
        <f>IF($K146&lt;&gt;"",IF($A146="Prepago",0,IF(($H146+SUM($B$12:$B146))*$S$8&gt;SUM($T$11:$T145)+$S$8,$S$8*2,$S$8)),"")</f>
        <v/>
      </c>
      <c r="U146" s="3" t="str">
        <f>IF($K146&lt;&gt;"",$N146-$P146,"")</f>
        <v/>
      </c>
      <c r="V146" s="3" t="str">
        <f t="shared" si="5"/>
        <v/>
      </c>
      <c r="W146" s="3" t="str">
        <f>IF($K146&lt;&gt;"",SUM($X146:$XFD146),"")</f>
        <v/>
      </c>
      <c r="X146" s="3" t="str">
        <f>IF($K146&lt;&gt;"",IF($M146&gt;X$11,30,$M146)*ROUND(($N146+$V145)*$T$5/3000,2),"")</f>
        <v/>
      </c>
      <c r="Y146" s="3" t="str">
        <f>IF($K146&lt;&gt;"",IF($M146&gt;X$11,IF($M146&lt;Y$11,$M146-X$11,30),0)*ROUND(($N146+$V145+SUM($X146:X146))*$T$5/3000,2),"")</f>
        <v/>
      </c>
      <c r="Z146" s="3"/>
      <c r="AA146" s="3"/>
    </row>
    <row r="147" spans="5:27" x14ac:dyDescent="0.25">
      <c r="E147" s="5"/>
      <c r="F147" t="str">
        <f>IF($K147&lt;&gt;"",TEXT(L147,"DDD"),"")</f>
        <v/>
      </c>
      <c r="G147" s="5" t="str">
        <f>IF($K147&lt;&gt;"",EOMONTH(DATE(YEAR($M$6),$G$11+K147+SUM($B$12:B147),1),0),"")</f>
        <v/>
      </c>
      <c r="H147" s="22" t="str">
        <f>IF($K147&lt;&gt;"",IF($A147="Prepago",$H146,$H146+1),"")</f>
        <v/>
      </c>
      <c r="I147" s="22" t="str">
        <f>IF($K147&lt;&gt;"",IF(ISNUMBER($C147),-$P147+$W147-$Q147,ABS($W147)+$R147+$S147+$T147),"")</f>
        <v/>
      </c>
      <c r="J147" s="22" t="str">
        <f>IF(K147&lt;&gt;"",IF(COUNTA($X147:$XFD147)*30&lt;$M147,1,0),"")</f>
        <v/>
      </c>
      <c r="K147" t="str">
        <f>IF($K146&lt;NCUOTAS+CUOTAADICIONAL+PGRACIA,$K146+1,"")</f>
        <v/>
      </c>
      <c r="L147" s="5" t="str">
        <f>IF($K147&lt;&gt;"",IF(ULTIMODIA=0,IF($E147="",DATE(YEAR($M$7),MONTH($M$7)+($A$1*($H147-1))+SUM($B$12:$B147),DAY($M$7)),$E147),G147),"")</f>
        <v/>
      </c>
      <c r="M147" s="9" t="str">
        <f>IF($K147&lt;&gt;"",$L147-$L146,"")</f>
        <v/>
      </c>
      <c r="N147" s="3" t="str">
        <f>IF($K147&lt;&gt;"",$U146,"")</f>
        <v/>
      </c>
      <c r="O147" s="3" t="str">
        <f>IF($K147&lt;&gt;"",IF($A147="Gracia Parcial",IF(AND($C147&lt;$W147+$R147+$S147+$T147+$V146,$C147&gt;0),$C147,$W147+$R147+$S147+$T147+$V146),IF($A147="Gracia Total",0,IF($A147="Prepago",$C147,IF(ISNUMBER($C147),$C147*VALUE(MID($C$1,MONTH($L147),1)),$P$5*VALUE(MID($C$1,MONTH($L147),1))))))-IF($K148="",ARREGLO,0),"")</f>
        <v/>
      </c>
      <c r="P147" s="3" t="str">
        <f>IF($K147&lt;&gt;"",IF($O147-$Q147&gt;0,$O147-$Q147-$R147-$S147-$T147,0),"")</f>
        <v/>
      </c>
      <c r="Q147" s="3" t="str">
        <f t="shared" si="4"/>
        <v/>
      </c>
      <c r="R147" s="3" t="str">
        <f>IF($K147&lt;&gt;"",IF($A147="Prepago",0,IF(($H147+SUM($B$12:$B147))*$S$6&gt;SUM($R$11:$R146)+$S$6,$S$6*2,$S$6)),"")</f>
        <v/>
      </c>
      <c r="S147" s="3" t="str">
        <f>IF($K147&lt;&gt;"",IF($A147="Prepago",0,IF(($H147+SUM($B$12:$B147))*$S$7&gt;SUM($S$11:$S146)+$S$7,$S$7*2,$S$7)),"")</f>
        <v/>
      </c>
      <c r="T147" s="3" t="str">
        <f>IF($K147&lt;&gt;"",IF($A147="Prepago",0,IF(($H147+SUM($B$12:$B147))*$S$8&gt;SUM($T$11:$T146)+$S$8,$S$8*2,$S$8)),"")</f>
        <v/>
      </c>
      <c r="U147" s="3" t="str">
        <f>IF($K147&lt;&gt;"",$N147-$P147,"")</f>
        <v/>
      </c>
      <c r="V147" s="3" t="str">
        <f t="shared" si="5"/>
        <v/>
      </c>
      <c r="W147" s="3" t="str">
        <f>IF($K147&lt;&gt;"",SUM($X147:$XFD147),"")</f>
        <v/>
      </c>
      <c r="X147" s="3" t="str">
        <f>IF($K147&lt;&gt;"",IF($M147&gt;X$11,30,$M147)*ROUND(($N147+$V146)*$T$5/3000,2),"")</f>
        <v/>
      </c>
      <c r="Y147" s="3" t="str">
        <f>IF($K147&lt;&gt;"",IF($M147&gt;X$11,IF($M147&lt;Y$11,$M147-X$11,30),0)*ROUND(($N147+$V146+SUM($X147:X147))*$T$5/3000,2),"")</f>
        <v/>
      </c>
      <c r="Z147" s="3"/>
      <c r="AA147" s="3"/>
    </row>
    <row r="148" spans="5:27" x14ac:dyDescent="0.25">
      <c r="E148" s="5"/>
      <c r="F148" t="str">
        <f>IF($K148&lt;&gt;"",TEXT(L148,"DDD"),"")</f>
        <v/>
      </c>
      <c r="G148" s="5" t="str">
        <f>IF($K148&lt;&gt;"",EOMONTH(DATE(YEAR($M$6),$G$11+K148+SUM($B$12:B148),1),0),"")</f>
        <v/>
      </c>
      <c r="H148" s="22" t="str">
        <f>IF($K148&lt;&gt;"",IF($A148="Prepago",$H147,$H147+1),"")</f>
        <v/>
      </c>
      <c r="I148" s="22" t="str">
        <f>IF($K148&lt;&gt;"",IF(ISNUMBER($C148),-$P148+$W148-$Q148,ABS($W148)+$R148+$S148+$T148),"")</f>
        <v/>
      </c>
      <c r="J148" s="22" t="str">
        <f>IF(K148&lt;&gt;"",IF(COUNTA($X148:$XFD148)*30&lt;$M148,1,0),"")</f>
        <v/>
      </c>
      <c r="K148" t="str">
        <f>IF($K147&lt;NCUOTAS+CUOTAADICIONAL+PGRACIA,$K147+1,"")</f>
        <v/>
      </c>
      <c r="L148" s="5" t="str">
        <f>IF($K148&lt;&gt;"",IF(ULTIMODIA=0,IF($E148="",DATE(YEAR($M$7),MONTH($M$7)+($A$1*($H148-1))+SUM($B$12:$B148),DAY($M$7)),$E148),G148),"")</f>
        <v/>
      </c>
      <c r="M148" s="9" t="str">
        <f>IF($K148&lt;&gt;"",$L148-$L147,"")</f>
        <v/>
      </c>
      <c r="N148" s="3" t="str">
        <f>IF($K148&lt;&gt;"",$U147,"")</f>
        <v/>
      </c>
      <c r="O148" s="3" t="str">
        <f>IF($K148&lt;&gt;"",IF($A148="Gracia Parcial",IF(AND($C148&lt;$W148+$R148+$S148+$T148+$V147,$C148&gt;0),$C148,$W148+$R148+$S148+$T148+$V147),IF($A148="Gracia Total",0,IF($A148="Prepago",$C148,IF(ISNUMBER($C148),$C148*VALUE(MID($C$1,MONTH($L148),1)),$P$5*VALUE(MID($C$1,MONTH($L148),1))))))-IF($K149="",ARREGLO,0),"")</f>
        <v/>
      </c>
      <c r="P148" s="3" t="str">
        <f>IF($K148&lt;&gt;"",IF($O148-$Q148&gt;0,$O148-$Q148-$R148-$S148-$T148,0),"")</f>
        <v/>
      </c>
      <c r="Q148" s="3" t="str">
        <f t="shared" si="4"/>
        <v/>
      </c>
      <c r="R148" s="3" t="str">
        <f>IF($K148&lt;&gt;"",IF($A148="Prepago",0,IF(($H148+SUM($B$12:$B148))*$S$6&gt;SUM($R$11:$R147)+$S$6,$S$6*2,$S$6)),"")</f>
        <v/>
      </c>
      <c r="S148" s="3" t="str">
        <f>IF($K148&lt;&gt;"",IF($A148="Prepago",0,IF(($H148+SUM($B$12:$B148))*$S$7&gt;SUM($S$11:$S147)+$S$7,$S$7*2,$S$7)),"")</f>
        <v/>
      </c>
      <c r="T148" s="3" t="str">
        <f>IF($K148&lt;&gt;"",IF($A148="Prepago",0,IF(($H148+SUM($B$12:$B148))*$S$8&gt;SUM($T$11:$T147)+$S$8,$S$8*2,$S$8)),"")</f>
        <v/>
      </c>
      <c r="U148" s="3" t="str">
        <f>IF($K148&lt;&gt;"",$N148-$P148,"")</f>
        <v/>
      </c>
      <c r="V148" s="3" t="str">
        <f t="shared" si="5"/>
        <v/>
      </c>
      <c r="W148" s="3" t="str">
        <f>IF($K148&lt;&gt;"",SUM($X148:$XFD148),"")</f>
        <v/>
      </c>
      <c r="X148" s="3" t="str">
        <f>IF($K148&lt;&gt;"",IF($M148&gt;X$11,30,$M148)*ROUND(($N148+$V147)*$T$5/3000,2),"")</f>
        <v/>
      </c>
      <c r="Y148" s="3" t="str">
        <f>IF($K148&lt;&gt;"",IF($M148&gt;X$11,IF($M148&lt;Y$11,$M148-X$11,30),0)*ROUND(($N148+$V147+SUM($X148:X148))*$T$5/3000,2),"")</f>
        <v/>
      </c>
      <c r="Z148" s="3"/>
      <c r="AA148" s="3"/>
    </row>
    <row r="149" spans="5:27" x14ac:dyDescent="0.25">
      <c r="E149" s="5"/>
      <c r="F149" t="str">
        <f>IF($K149&lt;&gt;"",TEXT(L149,"DDD"),"")</f>
        <v/>
      </c>
      <c r="G149" s="5" t="str">
        <f>IF($K149&lt;&gt;"",EOMONTH(DATE(YEAR($M$6),$G$11+K149+SUM($B$12:B149),1),0),"")</f>
        <v/>
      </c>
      <c r="H149" s="22" t="str">
        <f>IF($K149&lt;&gt;"",IF($A149="Prepago",$H148,$H148+1),"")</f>
        <v/>
      </c>
      <c r="I149" s="22" t="str">
        <f>IF($K149&lt;&gt;"",IF(ISNUMBER($C149),-$P149+$W149-$Q149,ABS($W149)+$R149+$S149+$T149),"")</f>
        <v/>
      </c>
      <c r="J149" s="22" t="str">
        <f>IF(K149&lt;&gt;"",IF(COUNTA($X149:$XFD149)*30&lt;$M149,1,0),"")</f>
        <v/>
      </c>
      <c r="K149" t="str">
        <f>IF($K148&lt;NCUOTAS+CUOTAADICIONAL+PGRACIA,$K148+1,"")</f>
        <v/>
      </c>
      <c r="L149" s="5" t="str">
        <f>IF($K149&lt;&gt;"",IF(ULTIMODIA=0,IF($E149="",DATE(YEAR($M$7),MONTH($M$7)+($A$1*($H149-1))+SUM($B$12:$B149),DAY($M$7)),$E149),G149),"")</f>
        <v/>
      </c>
      <c r="M149" s="9" t="str">
        <f>IF($K149&lt;&gt;"",$L149-$L148,"")</f>
        <v/>
      </c>
      <c r="N149" s="3" t="str">
        <f>IF($K149&lt;&gt;"",$U148,"")</f>
        <v/>
      </c>
      <c r="O149" s="3" t="str">
        <f>IF($K149&lt;&gt;"",IF($A149="Gracia Parcial",IF(AND($C149&lt;$W149+$R149+$S149+$T149+$V148,$C149&gt;0),$C149,$W149+$R149+$S149+$T149+$V148),IF($A149="Gracia Total",0,IF($A149="Prepago",$C149,IF(ISNUMBER($C149),$C149*VALUE(MID($C$1,MONTH($L149),1)),$P$5*VALUE(MID($C$1,MONTH($L149),1))))))-IF($K150="",ARREGLO,0),"")</f>
        <v/>
      </c>
      <c r="P149" s="3" t="str">
        <f>IF($K149&lt;&gt;"",IF($O149-$Q149&gt;0,$O149-$Q149-$R149-$S149-$T149,0),"")</f>
        <v/>
      </c>
      <c r="Q149" s="3" t="str">
        <f t="shared" si="4"/>
        <v/>
      </c>
      <c r="R149" s="3" t="str">
        <f>IF($K149&lt;&gt;"",IF($A149="Prepago",0,IF(($H149+SUM($B$12:$B149))*$S$6&gt;SUM($R$11:$R148)+$S$6,$S$6*2,$S$6)),"")</f>
        <v/>
      </c>
      <c r="S149" s="3" t="str">
        <f>IF($K149&lt;&gt;"",IF($A149="Prepago",0,IF(($H149+SUM($B$12:$B149))*$S$7&gt;SUM($S$11:$S148)+$S$7,$S$7*2,$S$7)),"")</f>
        <v/>
      </c>
      <c r="T149" s="3" t="str">
        <f>IF($K149&lt;&gt;"",IF($A149="Prepago",0,IF(($H149+SUM($B$12:$B149))*$S$8&gt;SUM($T$11:$T148)+$S$8,$S$8*2,$S$8)),"")</f>
        <v/>
      </c>
      <c r="U149" s="3" t="str">
        <f>IF($K149&lt;&gt;"",$N149-$P149,"")</f>
        <v/>
      </c>
      <c r="V149" s="3" t="str">
        <f t="shared" si="5"/>
        <v/>
      </c>
      <c r="W149" s="3" t="str">
        <f>IF($K149&lt;&gt;"",SUM($X149:$XFD149),"")</f>
        <v/>
      </c>
      <c r="X149" s="3" t="str">
        <f>IF($K149&lt;&gt;"",IF($M149&gt;X$11,30,$M149)*ROUND(($N149+$V148)*$T$5/3000,2),"")</f>
        <v/>
      </c>
      <c r="Y149" s="3" t="str">
        <f>IF($K149&lt;&gt;"",IF($M149&gt;X$11,IF($M149&lt;Y$11,$M149-X$11,30),0)*ROUND(($N149+$V148+SUM($X149:X149))*$T$5/3000,2),"")</f>
        <v/>
      </c>
      <c r="Z149" s="3"/>
      <c r="AA149" s="3"/>
    </row>
    <row r="150" spans="5:27" x14ac:dyDescent="0.25">
      <c r="E150" s="5"/>
      <c r="F150" t="str">
        <f>IF($K150&lt;&gt;"",TEXT(L150,"DDD"),"")</f>
        <v/>
      </c>
      <c r="G150" s="5" t="str">
        <f>IF($K150&lt;&gt;"",EOMONTH(DATE(YEAR($M$6),$G$11+K150+SUM($B$12:B150),1),0),"")</f>
        <v/>
      </c>
      <c r="H150" s="22" t="str">
        <f>IF($K150&lt;&gt;"",IF($A150="Prepago",$H149,$H149+1),"")</f>
        <v/>
      </c>
      <c r="I150" s="22" t="str">
        <f>IF($K150&lt;&gt;"",IF(ISNUMBER($C150),-$P150+$W150-$Q150,ABS($W150)+$R150+$S150+$T150),"")</f>
        <v/>
      </c>
      <c r="J150" s="22" t="str">
        <f>IF(K150&lt;&gt;"",IF(COUNTA($X150:$XFD150)*30&lt;$M150,1,0),"")</f>
        <v/>
      </c>
      <c r="K150" t="str">
        <f>IF($K149&lt;NCUOTAS+CUOTAADICIONAL+PGRACIA,$K149+1,"")</f>
        <v/>
      </c>
      <c r="L150" s="5" t="str">
        <f>IF($K150&lt;&gt;"",IF(ULTIMODIA=0,IF($E150="",DATE(YEAR($M$7),MONTH($M$7)+($A$1*($H150-1))+SUM($B$12:$B150),DAY($M$7)),$E150),G150),"")</f>
        <v/>
      </c>
      <c r="M150" s="9" t="str">
        <f>IF($K150&lt;&gt;"",$L150-$L149,"")</f>
        <v/>
      </c>
      <c r="N150" s="3" t="str">
        <f>IF($K150&lt;&gt;"",$U149,"")</f>
        <v/>
      </c>
      <c r="O150" s="3" t="str">
        <f>IF($K150&lt;&gt;"",IF($A150="Gracia Parcial",IF(AND($C150&lt;$W150+$R150+$S150+$T150+$V149,$C150&gt;0),$C150,$W150+$R150+$S150+$T150+$V149),IF($A150="Gracia Total",0,IF($A150="Prepago",$C150,IF(ISNUMBER($C150),$C150*VALUE(MID($C$1,MONTH($L150),1)),$P$5*VALUE(MID($C$1,MONTH($L150),1))))))-IF($K151="",ARREGLO,0),"")</f>
        <v/>
      </c>
      <c r="P150" s="3" t="str">
        <f>IF($K150&lt;&gt;"",IF($O150-$Q150&gt;0,$O150-$Q150-$R150-$S150-$T150,0),"")</f>
        <v/>
      </c>
      <c r="Q150" s="3" t="str">
        <f t="shared" si="4"/>
        <v/>
      </c>
      <c r="R150" s="3" t="str">
        <f>IF($K150&lt;&gt;"",IF($A150="Prepago",0,IF(($H150+SUM($B$12:$B150))*$S$6&gt;SUM($R$11:$R149)+$S$6,$S$6*2,$S$6)),"")</f>
        <v/>
      </c>
      <c r="S150" s="3" t="str">
        <f>IF($K150&lt;&gt;"",IF($A150="Prepago",0,IF(($H150+SUM($B$12:$B150))*$S$7&gt;SUM($S$11:$S149)+$S$7,$S$7*2,$S$7)),"")</f>
        <v/>
      </c>
      <c r="T150" s="3" t="str">
        <f>IF($K150&lt;&gt;"",IF($A150="Prepago",0,IF(($H150+SUM($B$12:$B150))*$S$8&gt;SUM($T$11:$T149)+$S$8,$S$8*2,$S$8)),"")</f>
        <v/>
      </c>
      <c r="U150" s="3" t="str">
        <f>IF($K150&lt;&gt;"",$N150-$P150,"")</f>
        <v/>
      </c>
      <c r="V150" s="3" t="str">
        <f t="shared" si="5"/>
        <v/>
      </c>
      <c r="W150" s="3" t="str">
        <f>IF($K150&lt;&gt;"",SUM($X150:$XFD150),"")</f>
        <v/>
      </c>
      <c r="X150" s="3" t="str">
        <f>IF($K150&lt;&gt;"",IF($M150&gt;X$11,30,$M150)*ROUND(($N150+$V149)*$T$5/3000,2),"")</f>
        <v/>
      </c>
      <c r="Y150" s="3" t="str">
        <f>IF($K150&lt;&gt;"",IF($M150&gt;X$11,IF($M150&lt;Y$11,$M150-X$11,30),0)*ROUND(($N150+$V149+SUM($X150:X150))*$T$5/3000,2),"")</f>
        <v/>
      </c>
      <c r="Z150" s="3"/>
      <c r="AA150" s="3"/>
    </row>
    <row r="151" spans="5:27" x14ac:dyDescent="0.25">
      <c r="E151" s="5"/>
      <c r="F151" t="str">
        <f>IF($K151&lt;&gt;"",TEXT(L151,"DDD"),"")</f>
        <v/>
      </c>
      <c r="G151" s="5" t="str">
        <f>IF($K151&lt;&gt;"",EOMONTH(DATE(YEAR($M$6),$G$11+K151+SUM($B$12:B151),1),0),"")</f>
        <v/>
      </c>
      <c r="H151" s="22" t="str">
        <f>IF($K151&lt;&gt;"",IF($A151="Prepago",$H150,$H150+1),"")</f>
        <v/>
      </c>
      <c r="I151" s="22" t="str">
        <f>IF($K151&lt;&gt;"",IF(ISNUMBER($C151),-$P151+$W151-$Q151,ABS($W151)+$R151+$S151+$T151),"")</f>
        <v/>
      </c>
      <c r="J151" s="22" t="str">
        <f>IF(K151&lt;&gt;"",IF(COUNTA($X151:$XFD151)*30&lt;$M151,1,0),"")</f>
        <v/>
      </c>
      <c r="K151" t="str">
        <f>IF($K150&lt;NCUOTAS+CUOTAADICIONAL+PGRACIA,$K150+1,"")</f>
        <v/>
      </c>
      <c r="L151" s="5" t="str">
        <f>IF($K151&lt;&gt;"",IF(ULTIMODIA=0,IF($E151="",DATE(YEAR($M$7),MONTH($M$7)+($A$1*($H151-1))+SUM($B$12:$B151),DAY($M$7)),$E151),G151),"")</f>
        <v/>
      </c>
      <c r="M151" s="9" t="str">
        <f>IF($K151&lt;&gt;"",$L151-$L150,"")</f>
        <v/>
      </c>
      <c r="N151" s="3" t="str">
        <f>IF($K151&lt;&gt;"",$U150,"")</f>
        <v/>
      </c>
      <c r="O151" s="3" t="str">
        <f>IF($K151&lt;&gt;"",IF($A151="Gracia Parcial",IF(AND($C151&lt;$W151+$R151+$S151+$T151+$V150,$C151&gt;0),$C151,$W151+$R151+$S151+$T151+$V150),IF($A151="Gracia Total",0,IF($A151="Prepago",$C151,IF(ISNUMBER($C151),$C151*VALUE(MID($C$1,MONTH($L151),1)),$P$5*VALUE(MID($C$1,MONTH($L151),1))))))-IF($K152="",ARREGLO,0),"")</f>
        <v/>
      </c>
      <c r="P151" s="3" t="str">
        <f>IF($K151&lt;&gt;"",IF($O151-$Q151&gt;0,$O151-$Q151-$R151-$S151-$T151,0),"")</f>
        <v/>
      </c>
      <c r="Q151" s="3" t="str">
        <f t="shared" si="4"/>
        <v/>
      </c>
      <c r="R151" s="3" t="str">
        <f>IF($K151&lt;&gt;"",IF($A151="Prepago",0,IF(($H151+SUM($B$12:$B151))*$S$6&gt;SUM($R$11:$R150)+$S$6,$S$6*2,$S$6)),"")</f>
        <v/>
      </c>
      <c r="S151" s="3" t="str">
        <f>IF($K151&lt;&gt;"",IF($A151="Prepago",0,IF(($H151+SUM($B$12:$B151))*$S$7&gt;SUM($S$11:$S150)+$S$7,$S$7*2,$S$7)),"")</f>
        <v/>
      </c>
      <c r="T151" s="3" t="str">
        <f>IF($K151&lt;&gt;"",IF($A151="Prepago",0,IF(($H151+SUM($B$12:$B151))*$S$8&gt;SUM($T$11:$T150)+$S$8,$S$8*2,$S$8)),"")</f>
        <v/>
      </c>
      <c r="U151" s="3" t="str">
        <f>IF($K151&lt;&gt;"",$N151-$P151,"")</f>
        <v/>
      </c>
      <c r="V151" s="3" t="str">
        <f t="shared" si="5"/>
        <v/>
      </c>
      <c r="W151" s="3" t="str">
        <f>IF($K151&lt;&gt;"",SUM($X151:$XFD151),"")</f>
        <v/>
      </c>
      <c r="X151" s="3" t="str">
        <f>IF($K151&lt;&gt;"",IF($M151&gt;X$11,30,$M151)*ROUND(($N151+$V150)*$T$5/3000,2),"")</f>
        <v/>
      </c>
      <c r="Y151" s="3" t="str">
        <f>IF($K151&lt;&gt;"",IF($M151&gt;X$11,IF($M151&lt;Y$11,$M151-X$11,30),0)*ROUND(($N151+$V150+SUM($X151:X151))*$T$5/3000,2),"")</f>
        <v/>
      </c>
      <c r="Z151" s="3"/>
      <c r="AA151" s="3"/>
    </row>
    <row r="152" spans="5:27" x14ac:dyDescent="0.25">
      <c r="E152" s="5"/>
      <c r="F152" t="str">
        <f>IF($K152&lt;&gt;"",TEXT(L152,"DDD"),"")</f>
        <v/>
      </c>
      <c r="G152" s="5" t="str">
        <f>IF($K152&lt;&gt;"",EOMONTH(DATE(YEAR($M$6),$G$11+K152+SUM($B$12:B152),1),0),"")</f>
        <v/>
      </c>
      <c r="H152" s="22" t="str">
        <f>IF($K152&lt;&gt;"",IF($A152="Prepago",$H151,$H151+1),"")</f>
        <v/>
      </c>
      <c r="I152" s="22" t="str">
        <f>IF($K152&lt;&gt;"",IF(ISNUMBER($C152),-$P152+$W152-$Q152,ABS($W152)+$R152+$S152+$T152),"")</f>
        <v/>
      </c>
      <c r="J152" s="22" t="str">
        <f>IF(K152&lt;&gt;"",IF(COUNTA($X152:$XFD152)*30&lt;$M152,1,0),"")</f>
        <v/>
      </c>
      <c r="K152" t="str">
        <f>IF($K151&lt;NCUOTAS+CUOTAADICIONAL+PGRACIA,$K151+1,"")</f>
        <v/>
      </c>
      <c r="L152" s="5" t="str">
        <f>IF($K152&lt;&gt;"",IF(ULTIMODIA=0,IF($E152="",DATE(YEAR($M$7),MONTH($M$7)+($A$1*($H152-1))+SUM($B$12:$B152),DAY($M$7)),$E152),G152),"")</f>
        <v/>
      </c>
      <c r="M152" s="9" t="str">
        <f>IF($K152&lt;&gt;"",$L152-$L151,"")</f>
        <v/>
      </c>
      <c r="N152" s="3" t="str">
        <f>IF($K152&lt;&gt;"",$U151,"")</f>
        <v/>
      </c>
      <c r="O152" s="3" t="str">
        <f>IF($K152&lt;&gt;"",IF($A152="Gracia Parcial",IF(AND($C152&lt;$W152+$R152+$S152+$T152+$V151,$C152&gt;0),$C152,$W152+$R152+$S152+$T152+$V151),IF($A152="Gracia Total",0,IF($A152="Prepago",$C152,IF(ISNUMBER($C152),$C152*VALUE(MID($C$1,MONTH($L152),1)),$P$5*VALUE(MID($C$1,MONTH($L152),1))))))-IF($K153="",ARREGLO,0),"")</f>
        <v/>
      </c>
      <c r="P152" s="3" t="str">
        <f>IF($K152&lt;&gt;"",IF($O152-$Q152&gt;0,$O152-$Q152-$R152-$S152-$T152,0),"")</f>
        <v/>
      </c>
      <c r="Q152" s="3" t="str">
        <f t="shared" si="4"/>
        <v/>
      </c>
      <c r="R152" s="3" t="str">
        <f>IF($K152&lt;&gt;"",IF($A152="Prepago",0,IF(($H152+SUM($B$12:$B152))*$S$6&gt;SUM($R$11:$R151)+$S$6,$S$6*2,$S$6)),"")</f>
        <v/>
      </c>
      <c r="S152" s="3" t="str">
        <f>IF($K152&lt;&gt;"",IF($A152="Prepago",0,IF(($H152+SUM($B$12:$B152))*$S$7&gt;SUM($S$11:$S151)+$S$7,$S$7*2,$S$7)),"")</f>
        <v/>
      </c>
      <c r="T152" s="3" t="str">
        <f>IF($K152&lt;&gt;"",IF($A152="Prepago",0,IF(($H152+SUM($B$12:$B152))*$S$8&gt;SUM($T$11:$T151)+$S$8,$S$8*2,$S$8)),"")</f>
        <v/>
      </c>
      <c r="U152" s="3" t="str">
        <f>IF($K152&lt;&gt;"",$N152-$P152,"")</f>
        <v/>
      </c>
      <c r="V152" s="3" t="str">
        <f t="shared" si="5"/>
        <v/>
      </c>
      <c r="W152" s="3" t="str">
        <f>IF($K152&lt;&gt;"",SUM($X152:$XFD152),"")</f>
        <v/>
      </c>
      <c r="X152" s="3" t="str">
        <f>IF($K152&lt;&gt;"",IF($M152&gt;X$11,30,$M152)*ROUND(($N152+$V151)*$T$5/3000,2),"")</f>
        <v/>
      </c>
      <c r="Y152" s="3" t="str">
        <f>IF($K152&lt;&gt;"",IF($M152&gt;X$11,IF($M152&lt;Y$11,$M152-X$11,30),0)*ROUND(($N152+$V151+SUM($X152:X152))*$T$5/3000,2),"")</f>
        <v/>
      </c>
      <c r="Z152" s="3"/>
      <c r="AA152" s="3"/>
    </row>
    <row r="153" spans="5:27" x14ac:dyDescent="0.25">
      <c r="E153" s="5"/>
      <c r="F153" t="str">
        <f>IF($K153&lt;&gt;"",TEXT(L153,"DDD"),"")</f>
        <v/>
      </c>
      <c r="G153" s="5" t="str">
        <f>IF($K153&lt;&gt;"",EOMONTH(DATE(YEAR($M$6),$G$11+K153+SUM($B$12:B153),1),0),"")</f>
        <v/>
      </c>
      <c r="H153" s="22" t="str">
        <f>IF($K153&lt;&gt;"",IF($A153="Prepago",$H152,$H152+1),"")</f>
        <v/>
      </c>
      <c r="I153" s="22" t="str">
        <f>IF($K153&lt;&gt;"",IF(ISNUMBER($C153),-$P153+$W153-$Q153,ABS($W153)+$R153+$S153+$T153),"")</f>
        <v/>
      </c>
      <c r="J153" s="22" t="str">
        <f>IF(K153&lt;&gt;"",IF(COUNTA($X153:$XFD153)*30&lt;$M153,1,0),"")</f>
        <v/>
      </c>
      <c r="K153" t="str">
        <f>IF($K152&lt;NCUOTAS+CUOTAADICIONAL+PGRACIA,$K152+1,"")</f>
        <v/>
      </c>
      <c r="L153" s="5" t="str">
        <f>IF($K153&lt;&gt;"",IF(ULTIMODIA=0,IF($E153="",DATE(YEAR($M$7),MONTH($M$7)+($A$1*($H153-1))+SUM($B$12:$B153),DAY($M$7)),$E153),G153),"")</f>
        <v/>
      </c>
      <c r="M153" s="9" t="str">
        <f>IF($K153&lt;&gt;"",$L153-$L152,"")</f>
        <v/>
      </c>
      <c r="N153" s="3" t="str">
        <f>IF($K153&lt;&gt;"",$U152,"")</f>
        <v/>
      </c>
      <c r="O153" s="3" t="str">
        <f>IF($K153&lt;&gt;"",IF($A153="Gracia Parcial",IF(AND($C153&lt;$W153+$R153+$S153+$T153+$V152,$C153&gt;0),$C153,$W153+$R153+$S153+$T153+$V152),IF($A153="Gracia Total",0,IF($A153="Prepago",$C153,IF(ISNUMBER($C153),$C153*VALUE(MID($C$1,MONTH($L153),1)),$P$5*VALUE(MID($C$1,MONTH($L153),1))))))-IF($K154="",ARREGLO,0),"")</f>
        <v/>
      </c>
      <c r="P153" s="3" t="str">
        <f>IF($K153&lt;&gt;"",IF($O153-$Q153&gt;0,$O153-$Q153-$R153-$S153-$T153,0),"")</f>
        <v/>
      </c>
      <c r="Q153" s="3" t="str">
        <f t="shared" si="4"/>
        <v/>
      </c>
      <c r="R153" s="3" t="str">
        <f>IF($K153&lt;&gt;"",IF($A153="Prepago",0,IF(($H153+SUM($B$12:$B153))*$S$6&gt;SUM($R$11:$R152)+$S$6,$S$6*2,$S$6)),"")</f>
        <v/>
      </c>
      <c r="S153" s="3" t="str">
        <f>IF($K153&lt;&gt;"",IF($A153="Prepago",0,IF(($H153+SUM($B$12:$B153))*$S$7&gt;SUM($S$11:$S152)+$S$7,$S$7*2,$S$7)),"")</f>
        <v/>
      </c>
      <c r="T153" s="3" t="str">
        <f>IF($K153&lt;&gt;"",IF($A153="Prepago",0,IF(($H153+SUM($B$12:$B153))*$S$8&gt;SUM($T$11:$T152)+$S$8,$S$8*2,$S$8)),"")</f>
        <v/>
      </c>
      <c r="U153" s="3" t="str">
        <f>IF($K153&lt;&gt;"",$N153-$P153,"")</f>
        <v/>
      </c>
      <c r="V153" s="3" t="str">
        <f t="shared" si="5"/>
        <v/>
      </c>
      <c r="W153" s="3" t="str">
        <f>IF($K153&lt;&gt;"",SUM($X153:$XFD153),"")</f>
        <v/>
      </c>
      <c r="X153" s="3" t="str">
        <f>IF($K153&lt;&gt;"",IF($M153&gt;X$11,30,$M153)*ROUND(($N153+$V152)*$T$5/3000,2),"")</f>
        <v/>
      </c>
      <c r="Y153" s="3" t="str">
        <f>IF($K153&lt;&gt;"",IF($M153&gt;X$11,IF($M153&lt;Y$11,$M153-X$11,30),0)*ROUND(($N153+$V152+SUM($X153:X153))*$T$5/3000,2),"")</f>
        <v/>
      </c>
      <c r="Z153" s="3"/>
      <c r="AA153" s="3"/>
    </row>
    <row r="154" spans="5:27" x14ac:dyDescent="0.25">
      <c r="E154" s="5"/>
      <c r="F154" t="str">
        <f>IF($K154&lt;&gt;"",TEXT(L154,"DDD"),"")</f>
        <v/>
      </c>
      <c r="G154" s="5" t="str">
        <f>IF($K154&lt;&gt;"",EOMONTH(DATE(YEAR($M$6),$G$11+K154+SUM($B$12:B154),1),0),"")</f>
        <v/>
      </c>
      <c r="H154" s="22" t="str">
        <f>IF($K154&lt;&gt;"",IF($A154="Prepago",$H153,$H153+1),"")</f>
        <v/>
      </c>
      <c r="I154" s="22" t="str">
        <f>IF($K154&lt;&gt;"",IF(ISNUMBER($C154),-$P154+$W154-$Q154,ABS($W154)+$R154+$S154+$T154),"")</f>
        <v/>
      </c>
      <c r="J154" s="22" t="str">
        <f>IF(K154&lt;&gt;"",IF(COUNTA($X154:$XFD154)*30&lt;$M154,1,0),"")</f>
        <v/>
      </c>
      <c r="K154" t="str">
        <f>IF($K153&lt;NCUOTAS+CUOTAADICIONAL+PGRACIA,$K153+1,"")</f>
        <v/>
      </c>
      <c r="L154" s="5" t="str">
        <f>IF($K154&lt;&gt;"",IF(ULTIMODIA=0,IF($E154="",DATE(YEAR($M$7),MONTH($M$7)+($A$1*($H154-1))+SUM($B$12:$B154),DAY($M$7)),$E154),G154),"")</f>
        <v/>
      </c>
      <c r="M154" s="9" t="str">
        <f>IF($K154&lt;&gt;"",$L154-$L153,"")</f>
        <v/>
      </c>
      <c r="N154" s="3" t="str">
        <f>IF($K154&lt;&gt;"",$U153,"")</f>
        <v/>
      </c>
      <c r="O154" s="3" t="str">
        <f>IF($K154&lt;&gt;"",IF($A154="Gracia Parcial",IF(AND($C154&lt;$W154+$R154+$S154+$T154+$V153,$C154&gt;0),$C154,$W154+$R154+$S154+$T154+$V153),IF($A154="Gracia Total",0,IF($A154="Prepago",$C154,IF(ISNUMBER($C154),$C154*VALUE(MID($C$1,MONTH($L154),1)),$P$5*VALUE(MID($C$1,MONTH($L154),1))))))-IF($K155="",ARREGLO,0),"")</f>
        <v/>
      </c>
      <c r="P154" s="3" t="str">
        <f>IF($K154&lt;&gt;"",IF($O154-$Q154&gt;0,$O154-$Q154-$R154-$S154-$T154,0),"")</f>
        <v/>
      </c>
      <c r="Q154" s="3" t="str">
        <f t="shared" si="4"/>
        <v/>
      </c>
      <c r="R154" s="3" t="str">
        <f>IF($K154&lt;&gt;"",IF($A154="Prepago",0,IF(($H154+SUM($B$12:$B154))*$S$6&gt;SUM($R$11:$R153)+$S$6,$S$6*2,$S$6)),"")</f>
        <v/>
      </c>
      <c r="S154" s="3" t="str">
        <f>IF($K154&lt;&gt;"",IF($A154="Prepago",0,IF(($H154+SUM($B$12:$B154))*$S$7&gt;SUM($S$11:$S153)+$S$7,$S$7*2,$S$7)),"")</f>
        <v/>
      </c>
      <c r="T154" s="3" t="str">
        <f>IF($K154&lt;&gt;"",IF($A154="Prepago",0,IF(($H154+SUM($B$12:$B154))*$S$8&gt;SUM($T$11:$T153)+$S$8,$S$8*2,$S$8)),"")</f>
        <v/>
      </c>
      <c r="U154" s="3" t="str">
        <f>IF($K154&lt;&gt;"",$N154-$P154,"")</f>
        <v/>
      </c>
      <c r="V154" s="3" t="str">
        <f t="shared" si="5"/>
        <v/>
      </c>
      <c r="W154" s="3" t="str">
        <f>IF($K154&lt;&gt;"",SUM($X154:$XFD154),"")</f>
        <v/>
      </c>
      <c r="X154" s="3" t="str">
        <f>IF($K154&lt;&gt;"",IF($M154&gt;X$11,30,$M154)*ROUND(($N154+$V153)*$T$5/3000,2),"")</f>
        <v/>
      </c>
      <c r="Y154" s="3" t="str">
        <f>IF($K154&lt;&gt;"",IF($M154&gt;X$11,IF($M154&lt;Y$11,$M154-X$11,30),0)*ROUND(($N154+$V153+SUM($X154:X154))*$T$5/3000,2),"")</f>
        <v/>
      </c>
      <c r="Z154" s="3"/>
      <c r="AA154" s="3"/>
    </row>
    <row r="155" spans="5:27" x14ac:dyDescent="0.25">
      <c r="E155" s="5"/>
      <c r="F155" t="str">
        <f>IF($K155&lt;&gt;"",TEXT(L155,"DDD"),"")</f>
        <v/>
      </c>
      <c r="G155" s="5" t="str">
        <f>IF($K155&lt;&gt;"",EOMONTH(DATE(YEAR($M$6),$G$11+K155+SUM($B$12:B155),1),0),"")</f>
        <v/>
      </c>
      <c r="H155" s="22" t="str">
        <f>IF($K155&lt;&gt;"",IF($A155="Prepago",$H154,$H154+1),"")</f>
        <v/>
      </c>
      <c r="I155" s="22" t="str">
        <f>IF($K155&lt;&gt;"",IF(ISNUMBER($C155),-$P155+$W155-$Q155,ABS($W155)+$R155+$S155+$T155),"")</f>
        <v/>
      </c>
      <c r="J155" s="22" t="str">
        <f>IF(K155&lt;&gt;"",IF(COUNTA($X155:$XFD155)*30&lt;$M155,1,0),"")</f>
        <v/>
      </c>
      <c r="K155" t="str">
        <f>IF($K154&lt;NCUOTAS+CUOTAADICIONAL+PGRACIA,$K154+1,"")</f>
        <v/>
      </c>
      <c r="L155" s="5" t="str">
        <f>IF($K155&lt;&gt;"",IF(ULTIMODIA=0,IF($E155="",DATE(YEAR($M$7),MONTH($M$7)+($A$1*($H155-1))+SUM($B$12:$B155),DAY($M$7)),$E155),G155),"")</f>
        <v/>
      </c>
      <c r="M155" s="9" t="str">
        <f>IF($K155&lt;&gt;"",$L155-$L154,"")</f>
        <v/>
      </c>
      <c r="N155" s="3" t="str">
        <f>IF($K155&lt;&gt;"",$U154,"")</f>
        <v/>
      </c>
      <c r="O155" s="3" t="str">
        <f>IF($K155&lt;&gt;"",IF($A155="Gracia Parcial",IF(AND($C155&lt;$W155+$R155+$S155+$T155+$V154,$C155&gt;0),$C155,$W155+$R155+$S155+$T155+$V154),IF($A155="Gracia Total",0,IF($A155="Prepago",$C155,IF(ISNUMBER($C155),$C155*VALUE(MID($C$1,MONTH($L155),1)),$P$5*VALUE(MID($C$1,MONTH($L155),1))))))-IF($K156="",ARREGLO,0),"")</f>
        <v/>
      </c>
      <c r="P155" s="3" t="str">
        <f>IF($K155&lt;&gt;"",IF($O155-$Q155&gt;0,$O155-$Q155-$R155-$S155-$T155,0),"")</f>
        <v/>
      </c>
      <c r="Q155" s="3" t="str">
        <f t="shared" si="4"/>
        <v/>
      </c>
      <c r="R155" s="3" t="str">
        <f>IF($K155&lt;&gt;"",IF($A155="Prepago",0,IF(($H155+SUM($B$12:$B155))*$S$6&gt;SUM($R$11:$R154)+$S$6,$S$6*2,$S$6)),"")</f>
        <v/>
      </c>
      <c r="S155" s="3" t="str">
        <f>IF($K155&lt;&gt;"",IF($A155="Prepago",0,IF(($H155+SUM($B$12:$B155))*$S$7&gt;SUM($S$11:$S154)+$S$7,$S$7*2,$S$7)),"")</f>
        <v/>
      </c>
      <c r="T155" s="3" t="str">
        <f>IF($K155&lt;&gt;"",IF($A155="Prepago",0,IF(($H155+SUM($B$12:$B155))*$S$8&gt;SUM($T$11:$T154)+$S$8,$S$8*2,$S$8)),"")</f>
        <v/>
      </c>
      <c r="U155" s="3" t="str">
        <f>IF($K155&lt;&gt;"",$N155-$P155,"")</f>
        <v/>
      </c>
      <c r="V155" s="3" t="str">
        <f t="shared" si="5"/>
        <v/>
      </c>
      <c r="W155" s="3" t="str">
        <f>IF($K155&lt;&gt;"",SUM($X155:$XFD155),"")</f>
        <v/>
      </c>
      <c r="X155" s="3" t="str">
        <f>IF($K155&lt;&gt;"",IF($M155&gt;X$11,30,$M155)*ROUND(($N155+$V154)*$T$5/3000,2),"")</f>
        <v/>
      </c>
      <c r="Y155" s="3" t="str">
        <f>IF($K155&lt;&gt;"",IF($M155&gt;X$11,IF($M155&lt;Y$11,$M155-X$11,30),0)*ROUND(($N155+$V154+SUM($X155:X155))*$T$5/3000,2),"")</f>
        <v/>
      </c>
      <c r="Z155" s="3"/>
      <c r="AA155" s="3"/>
    </row>
    <row r="156" spans="5:27" x14ac:dyDescent="0.25">
      <c r="E156" s="5"/>
      <c r="F156" t="str">
        <f>IF($K156&lt;&gt;"",TEXT(L156,"DDD"),"")</f>
        <v/>
      </c>
      <c r="G156" s="5" t="str">
        <f>IF($K156&lt;&gt;"",EOMONTH(DATE(YEAR($M$6),$G$11+K156+SUM($B$12:B156),1),0),"")</f>
        <v/>
      </c>
      <c r="H156" s="22" t="str">
        <f>IF($K156&lt;&gt;"",IF($A156="Prepago",$H155,$H155+1),"")</f>
        <v/>
      </c>
      <c r="I156" s="22" t="str">
        <f>IF($K156&lt;&gt;"",IF(ISNUMBER($C156),-$P156+$W156-$Q156,ABS($W156)+$R156+$S156+$T156),"")</f>
        <v/>
      </c>
      <c r="J156" s="22" t="str">
        <f>IF(K156&lt;&gt;"",IF(COUNTA($X156:$XFD156)*30&lt;$M156,1,0),"")</f>
        <v/>
      </c>
      <c r="K156" t="str">
        <f>IF($K155&lt;NCUOTAS+CUOTAADICIONAL+PGRACIA,$K155+1,"")</f>
        <v/>
      </c>
      <c r="L156" s="5" t="str">
        <f>IF($K156&lt;&gt;"",IF(ULTIMODIA=0,IF($E156="",DATE(YEAR($M$7),MONTH($M$7)+($A$1*($H156-1))+SUM($B$12:$B156),DAY($M$7)),$E156),G156),"")</f>
        <v/>
      </c>
      <c r="M156" s="9" t="str">
        <f>IF($K156&lt;&gt;"",$L156-$L155,"")</f>
        <v/>
      </c>
      <c r="N156" s="3" t="str">
        <f>IF($K156&lt;&gt;"",$U155,"")</f>
        <v/>
      </c>
      <c r="O156" s="3" t="str">
        <f>IF($K156&lt;&gt;"",IF($A156="Gracia Parcial",IF(AND($C156&lt;$W156+$R156+$S156+$T156+$V155,$C156&gt;0),$C156,$W156+$R156+$S156+$T156+$V155),IF($A156="Gracia Total",0,IF($A156="Prepago",$C156,IF(ISNUMBER($C156),$C156*VALUE(MID($C$1,MONTH($L156),1)),$P$5*VALUE(MID($C$1,MONTH($L156),1))))))-IF($K157="",ARREGLO,0),"")</f>
        <v/>
      </c>
      <c r="P156" s="3" t="str">
        <f>IF($K156&lt;&gt;"",IF($O156-$Q156&gt;0,$O156-$Q156-$R156-$S156-$T156,0),"")</f>
        <v/>
      </c>
      <c r="Q156" s="3" t="str">
        <f t="shared" si="4"/>
        <v/>
      </c>
      <c r="R156" s="3" t="str">
        <f>IF($K156&lt;&gt;"",IF($A156="Prepago",0,IF(($H156+SUM($B$12:$B156))*$S$6&gt;SUM($R$11:$R155)+$S$6,$S$6*2,$S$6)),"")</f>
        <v/>
      </c>
      <c r="S156" s="3" t="str">
        <f>IF($K156&lt;&gt;"",IF($A156="Prepago",0,IF(($H156+SUM($B$12:$B156))*$S$7&gt;SUM($S$11:$S155)+$S$7,$S$7*2,$S$7)),"")</f>
        <v/>
      </c>
      <c r="T156" s="3" t="str">
        <f>IF($K156&lt;&gt;"",IF($A156="Prepago",0,IF(($H156+SUM($B$12:$B156))*$S$8&gt;SUM($T$11:$T155)+$S$8,$S$8*2,$S$8)),"")</f>
        <v/>
      </c>
      <c r="U156" s="3" t="str">
        <f>IF($K156&lt;&gt;"",$N156-$P156,"")</f>
        <v/>
      </c>
      <c r="V156" s="3" t="str">
        <f t="shared" si="5"/>
        <v/>
      </c>
      <c r="W156" s="3" t="str">
        <f>IF($K156&lt;&gt;"",SUM($X156:$XFD156),"")</f>
        <v/>
      </c>
      <c r="X156" s="3" t="str">
        <f>IF($K156&lt;&gt;"",IF($M156&gt;X$11,30,$M156)*ROUND(($N156+$V155)*$T$5/3000,2),"")</f>
        <v/>
      </c>
      <c r="Y156" s="3" t="str">
        <f>IF($K156&lt;&gt;"",IF($M156&gt;X$11,IF($M156&lt;Y$11,$M156-X$11,30),0)*ROUND(($N156+$V155+SUM($X156:X156))*$T$5/3000,2),"")</f>
        <v/>
      </c>
      <c r="Z156" s="3"/>
      <c r="AA156" s="3"/>
    </row>
    <row r="157" spans="5:27" x14ac:dyDescent="0.25">
      <c r="E157" s="5"/>
      <c r="F157" t="str">
        <f>IF($K157&lt;&gt;"",TEXT(L157,"DDD"),"")</f>
        <v/>
      </c>
      <c r="G157" s="5" t="str">
        <f>IF($K157&lt;&gt;"",EOMONTH(DATE(YEAR($M$6),$G$11+K157+SUM($B$12:B157),1),0),"")</f>
        <v/>
      </c>
      <c r="H157" s="22" t="str">
        <f>IF($K157&lt;&gt;"",IF($A157="Prepago",$H156,$H156+1),"")</f>
        <v/>
      </c>
      <c r="I157" s="22" t="str">
        <f>IF($K157&lt;&gt;"",IF(ISNUMBER($C157),-$P157+$W157-$Q157,ABS($W157)+$R157+$S157+$T157),"")</f>
        <v/>
      </c>
      <c r="J157" s="22" t="str">
        <f>IF(K157&lt;&gt;"",IF(COUNTA($X157:$XFD157)*30&lt;$M157,1,0),"")</f>
        <v/>
      </c>
      <c r="K157" t="str">
        <f>IF($K156&lt;NCUOTAS+CUOTAADICIONAL+PGRACIA,$K156+1,"")</f>
        <v/>
      </c>
      <c r="L157" s="5" t="str">
        <f>IF($K157&lt;&gt;"",IF(ULTIMODIA=0,IF($E157="",DATE(YEAR($M$7),MONTH($M$7)+($A$1*($H157-1))+SUM($B$12:$B157),DAY($M$7)),$E157),G157),"")</f>
        <v/>
      </c>
      <c r="M157" s="9" t="str">
        <f>IF($K157&lt;&gt;"",$L157-$L156,"")</f>
        <v/>
      </c>
      <c r="N157" s="3" t="str">
        <f>IF($K157&lt;&gt;"",$U156,"")</f>
        <v/>
      </c>
      <c r="O157" s="3" t="str">
        <f>IF($K157&lt;&gt;"",IF($A157="Gracia Parcial",IF(AND($C157&lt;$W157+$R157+$S157+$T157+$V156,$C157&gt;0),$C157,$W157+$R157+$S157+$T157+$V156),IF($A157="Gracia Total",0,IF($A157="Prepago",$C157,IF(ISNUMBER($C157),$C157*VALUE(MID($C$1,MONTH($L157),1)),$P$5*VALUE(MID($C$1,MONTH($L157),1))))))-IF($K158="",ARREGLO,0),"")</f>
        <v/>
      </c>
      <c r="P157" s="3" t="str">
        <f>IF($K157&lt;&gt;"",IF($O157-$Q157&gt;0,$O157-$Q157-$R157-$S157-$T157,0),"")</f>
        <v/>
      </c>
      <c r="Q157" s="3" t="str">
        <f t="shared" si="4"/>
        <v/>
      </c>
      <c r="R157" s="3" t="str">
        <f>IF($K157&lt;&gt;"",IF($A157="Prepago",0,IF(($H157+SUM($B$12:$B157))*$S$6&gt;SUM($R$11:$R156)+$S$6,$S$6*2,$S$6)),"")</f>
        <v/>
      </c>
      <c r="S157" s="3" t="str">
        <f>IF($K157&lt;&gt;"",IF($A157="Prepago",0,IF(($H157+SUM($B$12:$B157))*$S$7&gt;SUM($S$11:$S156)+$S$7,$S$7*2,$S$7)),"")</f>
        <v/>
      </c>
      <c r="T157" s="3" t="str">
        <f>IF($K157&lt;&gt;"",IF($A157="Prepago",0,IF(($H157+SUM($B$12:$B157))*$S$8&gt;SUM($T$11:$T156)+$S$8,$S$8*2,$S$8)),"")</f>
        <v/>
      </c>
      <c r="U157" s="3" t="str">
        <f>IF($K157&lt;&gt;"",$N157-$P157,"")</f>
        <v/>
      </c>
      <c r="V157" s="3" t="str">
        <f t="shared" si="5"/>
        <v/>
      </c>
      <c r="W157" s="3" t="str">
        <f>IF($K157&lt;&gt;"",SUM($X157:$XFD157),"")</f>
        <v/>
      </c>
      <c r="X157" s="3" t="str">
        <f>IF($K157&lt;&gt;"",IF($M157&gt;X$11,30,$M157)*ROUND(($N157+$V156)*$T$5/3000,2),"")</f>
        <v/>
      </c>
      <c r="Y157" s="3" t="str">
        <f>IF($K157&lt;&gt;"",IF($M157&gt;X$11,IF($M157&lt;Y$11,$M157-X$11,30),0)*ROUND(($N157+$V156+SUM($X157:X157))*$T$5/3000,2),"")</f>
        <v/>
      </c>
      <c r="Z157" s="3"/>
      <c r="AA157" s="3"/>
    </row>
    <row r="158" spans="5:27" x14ac:dyDescent="0.25">
      <c r="E158" s="5"/>
      <c r="F158" t="str">
        <f>IF($K158&lt;&gt;"",TEXT(L158,"DDD"),"")</f>
        <v/>
      </c>
      <c r="G158" s="5" t="str">
        <f>IF($K158&lt;&gt;"",EOMONTH(DATE(YEAR($M$6),$G$11+K158+SUM($B$12:B158),1),0),"")</f>
        <v/>
      </c>
      <c r="H158" s="22" t="str">
        <f>IF($K158&lt;&gt;"",IF($A158="Prepago",$H157,$H157+1),"")</f>
        <v/>
      </c>
      <c r="I158" s="22" t="str">
        <f>IF($K158&lt;&gt;"",IF(ISNUMBER($C158),-$P158+$W158-$Q158,ABS($W158)+$R158+$S158+$T158),"")</f>
        <v/>
      </c>
      <c r="J158" s="22" t="str">
        <f>IF(K158&lt;&gt;"",IF(COUNTA($X158:$XFD158)*30&lt;$M158,1,0),"")</f>
        <v/>
      </c>
      <c r="K158" t="str">
        <f>IF($K157&lt;NCUOTAS+CUOTAADICIONAL+PGRACIA,$K157+1,"")</f>
        <v/>
      </c>
      <c r="L158" s="5" t="str">
        <f>IF($K158&lt;&gt;"",IF(ULTIMODIA=0,IF($E158="",DATE(YEAR($M$7),MONTH($M$7)+($A$1*($H158-1))+SUM($B$12:$B158),DAY($M$7)),$E158),G158),"")</f>
        <v/>
      </c>
      <c r="M158" s="9" t="str">
        <f>IF($K158&lt;&gt;"",$L158-$L157,"")</f>
        <v/>
      </c>
      <c r="N158" s="3" t="str">
        <f>IF($K158&lt;&gt;"",$U157,"")</f>
        <v/>
      </c>
      <c r="O158" s="3" t="str">
        <f>IF($K158&lt;&gt;"",IF($A158="Gracia Parcial",IF(AND($C158&lt;$W158+$R158+$S158+$T158+$V157,$C158&gt;0),$C158,$W158+$R158+$S158+$T158+$V157),IF($A158="Gracia Total",0,IF($A158="Prepago",$C158,IF(ISNUMBER($C158),$C158*VALUE(MID($C$1,MONTH($L158),1)),$P$5*VALUE(MID($C$1,MONTH($L158),1))))))-IF($K159="",ARREGLO,0),"")</f>
        <v/>
      </c>
      <c r="P158" s="3" t="str">
        <f>IF($K158&lt;&gt;"",IF($O158-$Q158&gt;0,$O158-$Q158-$R158-$S158-$T158,0),"")</f>
        <v/>
      </c>
      <c r="Q158" s="3" t="str">
        <f t="shared" si="4"/>
        <v/>
      </c>
      <c r="R158" s="3" t="str">
        <f>IF($K158&lt;&gt;"",IF($A158="Prepago",0,IF(($H158+SUM($B$12:$B158))*$S$6&gt;SUM($R$11:$R157)+$S$6,$S$6*2,$S$6)),"")</f>
        <v/>
      </c>
      <c r="S158" s="3" t="str">
        <f>IF($K158&lt;&gt;"",IF($A158="Prepago",0,IF(($H158+SUM($B$12:$B158))*$S$7&gt;SUM($S$11:$S157)+$S$7,$S$7*2,$S$7)),"")</f>
        <v/>
      </c>
      <c r="T158" s="3" t="str">
        <f>IF($K158&lt;&gt;"",IF($A158="Prepago",0,IF(($H158+SUM($B$12:$B158))*$S$8&gt;SUM($T$11:$T157)+$S$8,$S$8*2,$S$8)),"")</f>
        <v/>
      </c>
      <c r="U158" s="3" t="str">
        <f>IF($K158&lt;&gt;"",$N158-$P158,"")</f>
        <v/>
      </c>
      <c r="V158" s="3" t="str">
        <f t="shared" si="5"/>
        <v/>
      </c>
      <c r="W158" s="3" t="str">
        <f>IF($K158&lt;&gt;"",SUM($X158:$XFD158),"")</f>
        <v/>
      </c>
      <c r="X158" s="3" t="str">
        <f>IF($K158&lt;&gt;"",IF($M158&gt;X$11,30,$M158)*ROUND(($N158+$V157)*$T$5/3000,2),"")</f>
        <v/>
      </c>
      <c r="Y158" s="3" t="str">
        <f>IF($K158&lt;&gt;"",IF($M158&gt;X$11,IF($M158&lt;Y$11,$M158-X$11,30),0)*ROUND(($N158+$V157+SUM($X158:X158))*$T$5/3000,2),"")</f>
        <v/>
      </c>
      <c r="Z158" s="3"/>
      <c r="AA158" s="3"/>
    </row>
    <row r="159" spans="5:27" x14ac:dyDescent="0.25">
      <c r="E159" s="5"/>
      <c r="F159" t="str">
        <f>IF($K159&lt;&gt;"",TEXT(L159,"DDD"),"")</f>
        <v/>
      </c>
      <c r="G159" s="5" t="str">
        <f>IF($K159&lt;&gt;"",EOMONTH(DATE(YEAR($M$6),$G$11+K159+SUM($B$12:B159),1),0),"")</f>
        <v/>
      </c>
      <c r="H159" s="22" t="str">
        <f>IF($K159&lt;&gt;"",IF($A159="Prepago",$H158,$H158+1),"")</f>
        <v/>
      </c>
      <c r="I159" s="22" t="str">
        <f>IF($K159&lt;&gt;"",IF(ISNUMBER($C159),-$P159+$W159-$Q159,ABS($W159)+$R159+$S159+$T159),"")</f>
        <v/>
      </c>
      <c r="J159" s="22" t="str">
        <f>IF(K159&lt;&gt;"",IF(COUNTA($X159:$XFD159)*30&lt;$M159,1,0),"")</f>
        <v/>
      </c>
      <c r="K159" t="str">
        <f>IF($K158&lt;NCUOTAS+CUOTAADICIONAL+PGRACIA,$K158+1,"")</f>
        <v/>
      </c>
      <c r="L159" s="5" t="str">
        <f>IF($K159&lt;&gt;"",IF(ULTIMODIA=0,IF($E159="",DATE(YEAR($M$7),MONTH($M$7)+($A$1*($H159-1))+SUM($B$12:$B159),DAY($M$7)),$E159),G159),"")</f>
        <v/>
      </c>
      <c r="M159" s="9" t="str">
        <f>IF($K159&lt;&gt;"",$L159-$L158,"")</f>
        <v/>
      </c>
      <c r="N159" s="3" t="str">
        <f>IF($K159&lt;&gt;"",$U158,"")</f>
        <v/>
      </c>
      <c r="O159" s="3" t="str">
        <f>IF($K159&lt;&gt;"",IF($A159="Gracia Parcial",IF(AND($C159&lt;$W159+$R159+$S159+$T159+$V158,$C159&gt;0),$C159,$W159+$R159+$S159+$T159+$V158),IF($A159="Gracia Total",0,IF($A159="Prepago",$C159,IF(ISNUMBER($C159),$C159*VALUE(MID($C$1,MONTH($L159),1)),$P$5*VALUE(MID($C$1,MONTH($L159),1))))))-IF($K160="",ARREGLO,0),"")</f>
        <v/>
      </c>
      <c r="P159" s="3" t="str">
        <f>IF($K159&lt;&gt;"",IF($O159-$Q159&gt;0,$O159-$Q159-$R159-$S159-$T159,0),"")</f>
        <v/>
      </c>
      <c r="Q159" s="3" t="str">
        <f t="shared" si="4"/>
        <v/>
      </c>
      <c r="R159" s="3" t="str">
        <f>IF($K159&lt;&gt;"",IF($A159="Prepago",0,IF(($H159+SUM($B$12:$B159))*$S$6&gt;SUM($R$11:$R158)+$S$6,$S$6*2,$S$6)),"")</f>
        <v/>
      </c>
      <c r="S159" s="3" t="str">
        <f>IF($K159&lt;&gt;"",IF($A159="Prepago",0,IF(($H159+SUM($B$12:$B159))*$S$7&gt;SUM($S$11:$S158)+$S$7,$S$7*2,$S$7)),"")</f>
        <v/>
      </c>
      <c r="T159" s="3" t="str">
        <f>IF($K159&lt;&gt;"",IF($A159="Prepago",0,IF(($H159+SUM($B$12:$B159))*$S$8&gt;SUM($T$11:$T158)+$S$8,$S$8*2,$S$8)),"")</f>
        <v/>
      </c>
      <c r="U159" s="3" t="str">
        <f>IF($K159&lt;&gt;"",$N159-$P159,"")</f>
        <v/>
      </c>
      <c r="V159" s="3" t="str">
        <f t="shared" si="5"/>
        <v/>
      </c>
      <c r="W159" s="3" t="str">
        <f>IF($K159&lt;&gt;"",SUM($X159:$XFD159),"")</f>
        <v/>
      </c>
      <c r="X159" s="3" t="str">
        <f>IF($K159&lt;&gt;"",IF($M159&gt;X$11,30,$M159)*ROUND(($N159+$V158)*$T$5/3000,2),"")</f>
        <v/>
      </c>
      <c r="Y159" s="3" t="str">
        <f>IF($K159&lt;&gt;"",IF($M159&gt;X$11,IF($M159&lt;Y$11,$M159-X$11,30),0)*ROUND(($N159+$V158+SUM($X159:X159))*$T$5/3000,2),"")</f>
        <v/>
      </c>
      <c r="Z159" s="3"/>
      <c r="AA159" s="3"/>
    </row>
    <row r="160" spans="5:27" x14ac:dyDescent="0.25">
      <c r="E160" s="5"/>
      <c r="F160" t="str">
        <f>IF($K160&lt;&gt;"",TEXT(L160,"DDD"),"")</f>
        <v/>
      </c>
      <c r="G160" s="5" t="str">
        <f>IF($K160&lt;&gt;"",EOMONTH(DATE(YEAR($M$6),$G$11+K160+SUM($B$12:B160),1),0),"")</f>
        <v/>
      </c>
      <c r="H160" s="22" t="str">
        <f>IF($K160&lt;&gt;"",IF($A160="Prepago",$H159,$H159+1),"")</f>
        <v/>
      </c>
      <c r="I160" s="22" t="str">
        <f>IF($K160&lt;&gt;"",IF(ISNUMBER($C160),-$P160+$W160-$Q160,ABS($W160)+$R160+$S160+$T160),"")</f>
        <v/>
      </c>
      <c r="J160" s="22" t="str">
        <f>IF(K160&lt;&gt;"",IF(COUNTA($X160:$XFD160)*30&lt;$M160,1,0),"")</f>
        <v/>
      </c>
      <c r="K160" t="str">
        <f>IF($K159&lt;NCUOTAS+CUOTAADICIONAL+PGRACIA,$K159+1,"")</f>
        <v/>
      </c>
      <c r="L160" s="5" t="str">
        <f>IF($K160&lt;&gt;"",IF(ULTIMODIA=0,IF($E160="",DATE(YEAR($M$7),MONTH($M$7)+($A$1*($H160-1))+SUM($B$12:$B160),DAY($M$7)),$E160),G160),"")</f>
        <v/>
      </c>
      <c r="M160" s="9" t="str">
        <f>IF($K160&lt;&gt;"",$L160-$L159,"")</f>
        <v/>
      </c>
      <c r="N160" s="3" t="str">
        <f>IF($K160&lt;&gt;"",$U159,"")</f>
        <v/>
      </c>
      <c r="O160" s="3" t="str">
        <f>IF($K160&lt;&gt;"",IF($A160="Gracia Parcial",IF(AND($C160&lt;$W160+$R160+$S160+$T160+$V159,$C160&gt;0),$C160,$W160+$R160+$S160+$T160+$V159),IF($A160="Gracia Total",0,IF($A160="Prepago",$C160,IF(ISNUMBER($C160),$C160*VALUE(MID($C$1,MONTH($L160),1)),$P$5*VALUE(MID($C$1,MONTH($L160),1))))))-IF($K161="",ARREGLO,0),"")</f>
        <v/>
      </c>
      <c r="P160" s="3" t="str">
        <f>IF($K160&lt;&gt;"",IF($O160-$Q160&gt;0,$O160-$Q160-$R160-$S160-$T160,0),"")</f>
        <v/>
      </c>
      <c r="Q160" s="3" t="str">
        <f t="shared" si="4"/>
        <v/>
      </c>
      <c r="R160" s="3" t="str">
        <f>IF($K160&lt;&gt;"",IF($A160="Prepago",0,IF(($H160+SUM($B$12:$B160))*$S$6&gt;SUM($R$11:$R159)+$S$6,$S$6*2,$S$6)),"")</f>
        <v/>
      </c>
      <c r="S160" s="3" t="str">
        <f>IF($K160&lt;&gt;"",IF($A160="Prepago",0,IF(($H160+SUM($B$12:$B160))*$S$7&gt;SUM($S$11:$S159)+$S$7,$S$7*2,$S$7)),"")</f>
        <v/>
      </c>
      <c r="T160" s="3" t="str">
        <f>IF($K160&lt;&gt;"",IF($A160="Prepago",0,IF(($H160+SUM($B$12:$B160))*$S$8&gt;SUM($T$11:$T159)+$S$8,$S$8*2,$S$8)),"")</f>
        <v/>
      </c>
      <c r="U160" s="3" t="str">
        <f>IF($K160&lt;&gt;"",$N160-$P160,"")</f>
        <v/>
      </c>
      <c r="V160" s="3" t="str">
        <f t="shared" si="5"/>
        <v/>
      </c>
      <c r="W160" s="3" t="str">
        <f>IF($K160&lt;&gt;"",SUM($X160:$XFD160),"")</f>
        <v/>
      </c>
      <c r="X160" s="3" t="str">
        <f>IF($K160&lt;&gt;"",IF($M160&gt;X$11,30,$M160)*ROUND(($N160+$V159)*$T$5/3000,2),"")</f>
        <v/>
      </c>
      <c r="Y160" s="3" t="str">
        <f>IF($K160&lt;&gt;"",IF($M160&gt;X$11,IF($M160&lt;Y$11,$M160-X$11,30),0)*ROUND(($N160+$V159+SUM($X160:X160))*$T$5/3000,2),"")</f>
        <v/>
      </c>
      <c r="Z160" s="3"/>
      <c r="AA160" s="3"/>
    </row>
    <row r="161" spans="5:27" x14ac:dyDescent="0.25">
      <c r="E161" s="5"/>
      <c r="F161" t="str">
        <f>IF($K161&lt;&gt;"",TEXT(L161,"DDD"),"")</f>
        <v/>
      </c>
      <c r="G161" s="5" t="str">
        <f>IF($K161&lt;&gt;"",EOMONTH(DATE(YEAR($M$6),$G$11+K161+SUM($B$12:B161),1),0),"")</f>
        <v/>
      </c>
      <c r="H161" s="22" t="str">
        <f>IF($K161&lt;&gt;"",IF($A161="Prepago",$H160,$H160+1),"")</f>
        <v/>
      </c>
      <c r="I161" s="22" t="str">
        <f>IF($K161&lt;&gt;"",IF(ISNUMBER($C161),-$P161+$W161-$Q161,ABS($W161)+$R161+$S161+$T161),"")</f>
        <v/>
      </c>
      <c r="J161" s="22" t="str">
        <f>IF(K161&lt;&gt;"",IF(COUNTA($X161:$XFD161)*30&lt;$M161,1,0),"")</f>
        <v/>
      </c>
      <c r="K161" t="str">
        <f>IF($K160&lt;NCUOTAS+CUOTAADICIONAL+PGRACIA,$K160+1,"")</f>
        <v/>
      </c>
      <c r="L161" s="5" t="str">
        <f>IF($K161&lt;&gt;"",IF(ULTIMODIA=0,IF($E161="",DATE(YEAR($M$7),MONTH($M$7)+($A$1*($H161-1))+SUM($B$12:$B161),DAY($M$7)),$E161),G161),"")</f>
        <v/>
      </c>
      <c r="M161" s="9" t="str">
        <f>IF($K161&lt;&gt;"",$L161-$L160,"")</f>
        <v/>
      </c>
      <c r="N161" s="3" t="str">
        <f>IF($K161&lt;&gt;"",$U160,"")</f>
        <v/>
      </c>
      <c r="O161" s="3" t="str">
        <f>IF($K161&lt;&gt;"",IF($A161="Gracia Parcial",IF(AND($C161&lt;$W161+$R161+$S161+$T161+$V160,$C161&gt;0),$C161,$W161+$R161+$S161+$T161+$V160),IF($A161="Gracia Total",0,IF($A161="Prepago",$C161,IF(ISNUMBER($C161),$C161*VALUE(MID($C$1,MONTH($L161),1)),$P$5*VALUE(MID($C$1,MONTH($L161),1))))))-IF($K162="",ARREGLO,0),"")</f>
        <v/>
      </c>
      <c r="P161" s="3" t="str">
        <f>IF($K161&lt;&gt;"",IF($O161-$Q161&gt;0,$O161-$Q161-$R161-$S161-$T161,0),"")</f>
        <v/>
      </c>
      <c r="Q161" s="3" t="str">
        <f t="shared" si="4"/>
        <v/>
      </c>
      <c r="R161" s="3" t="str">
        <f>IF($K161&lt;&gt;"",IF($A161="Prepago",0,IF(($H161+SUM($B$12:$B161))*$S$6&gt;SUM($R$11:$R160)+$S$6,$S$6*2,$S$6)),"")</f>
        <v/>
      </c>
      <c r="S161" s="3" t="str">
        <f>IF($K161&lt;&gt;"",IF($A161="Prepago",0,IF(($H161+SUM($B$12:$B161))*$S$7&gt;SUM($S$11:$S160)+$S$7,$S$7*2,$S$7)),"")</f>
        <v/>
      </c>
      <c r="T161" s="3" t="str">
        <f>IF($K161&lt;&gt;"",IF($A161="Prepago",0,IF(($H161+SUM($B$12:$B161))*$S$8&gt;SUM($T$11:$T160)+$S$8,$S$8*2,$S$8)),"")</f>
        <v/>
      </c>
      <c r="U161" s="3" t="str">
        <f>IF($K161&lt;&gt;"",$N161-$P161,"")</f>
        <v/>
      </c>
      <c r="V161" s="3" t="str">
        <f t="shared" si="5"/>
        <v/>
      </c>
      <c r="W161" s="3" t="str">
        <f>IF($K161&lt;&gt;"",SUM($X161:$XFD161),"")</f>
        <v/>
      </c>
      <c r="X161" s="3" t="str">
        <f>IF($K161&lt;&gt;"",IF($M161&gt;X$11,30,$M161)*ROUND(($N161+$V160)*$T$5/3000,2),"")</f>
        <v/>
      </c>
      <c r="Y161" s="3" t="str">
        <f>IF($K161&lt;&gt;"",IF($M161&gt;X$11,IF($M161&lt;Y$11,$M161-X$11,30),0)*ROUND(($N161+$V160+SUM($X161:X161))*$T$5/3000,2),"")</f>
        <v/>
      </c>
      <c r="Z161" s="3"/>
      <c r="AA161" s="3"/>
    </row>
    <row r="162" spans="5:27" x14ac:dyDescent="0.25">
      <c r="E162" s="5"/>
      <c r="F162" t="str">
        <f>IF($K162&lt;&gt;"",TEXT(L162,"DDD"),"")</f>
        <v/>
      </c>
      <c r="G162" s="5" t="str">
        <f>IF($K162&lt;&gt;"",EOMONTH(DATE(YEAR($M$6),$G$11+K162+SUM($B$12:B162),1),0),"")</f>
        <v/>
      </c>
      <c r="H162" s="22" t="str">
        <f>IF($K162&lt;&gt;"",IF($A162="Prepago",$H161,$H161+1),"")</f>
        <v/>
      </c>
      <c r="I162" s="22" t="str">
        <f>IF($K162&lt;&gt;"",IF(ISNUMBER($C162),-$P162+$W162-$Q162,ABS($W162)+$R162+$S162+$T162),"")</f>
        <v/>
      </c>
      <c r="J162" s="22" t="str">
        <f>IF(K162&lt;&gt;"",IF(COUNTA($X162:$XFD162)*30&lt;$M162,1,0),"")</f>
        <v/>
      </c>
      <c r="K162" t="str">
        <f>IF($K161&lt;NCUOTAS+CUOTAADICIONAL+PGRACIA,$K161+1,"")</f>
        <v/>
      </c>
      <c r="L162" s="5" t="str">
        <f>IF($K162&lt;&gt;"",IF(ULTIMODIA=0,IF($E162="",DATE(YEAR($M$7),MONTH($M$7)+($A$1*($H162-1))+SUM($B$12:$B162),DAY($M$7)),$E162),G162),"")</f>
        <v/>
      </c>
      <c r="M162" s="9" t="str">
        <f>IF($K162&lt;&gt;"",$L162-$L161,"")</f>
        <v/>
      </c>
      <c r="N162" s="3" t="str">
        <f>IF($K162&lt;&gt;"",$U161,"")</f>
        <v/>
      </c>
      <c r="O162" s="3" t="str">
        <f>IF($K162&lt;&gt;"",IF($A162="Gracia Parcial",IF(AND($C162&lt;$W162+$R162+$S162+$T162+$V161,$C162&gt;0),$C162,$W162+$R162+$S162+$T162+$V161),IF($A162="Gracia Total",0,IF($A162="Prepago",$C162,IF(ISNUMBER($C162),$C162*VALUE(MID($C$1,MONTH($L162),1)),$P$5*VALUE(MID($C$1,MONTH($L162),1))))))-IF($K163="",ARREGLO,0),"")</f>
        <v/>
      </c>
      <c r="P162" s="3" t="str">
        <f>IF($K162&lt;&gt;"",IF($O162-$Q162&gt;0,$O162-$Q162-$R162-$S162-$T162,0),"")</f>
        <v/>
      </c>
      <c r="Q162" s="3" t="str">
        <f t="shared" si="4"/>
        <v/>
      </c>
      <c r="R162" s="3" t="str">
        <f>IF($K162&lt;&gt;"",IF($A162="Prepago",0,IF(($H162+SUM($B$12:$B162))*$S$6&gt;SUM($R$11:$R161)+$S$6,$S$6*2,$S$6)),"")</f>
        <v/>
      </c>
      <c r="S162" s="3" t="str">
        <f>IF($K162&lt;&gt;"",IF($A162="Prepago",0,IF(($H162+SUM($B$12:$B162))*$S$7&gt;SUM($S$11:$S161)+$S$7,$S$7*2,$S$7)),"")</f>
        <v/>
      </c>
      <c r="T162" s="3" t="str">
        <f>IF($K162&lt;&gt;"",IF($A162="Prepago",0,IF(($H162+SUM($B$12:$B162))*$S$8&gt;SUM($T$11:$T161)+$S$8,$S$8*2,$S$8)),"")</f>
        <v/>
      </c>
      <c r="U162" s="3" t="str">
        <f>IF($K162&lt;&gt;"",$N162-$P162,"")</f>
        <v/>
      </c>
      <c r="V162" s="3" t="str">
        <f t="shared" si="5"/>
        <v/>
      </c>
      <c r="W162" s="3" t="str">
        <f>IF($K162&lt;&gt;"",SUM($X162:$XFD162),"")</f>
        <v/>
      </c>
      <c r="X162" s="3" t="str">
        <f>IF($K162&lt;&gt;"",IF($M162&gt;X$11,30,$M162)*ROUND(($N162+$V161)*$T$5/3000,2),"")</f>
        <v/>
      </c>
      <c r="Y162" s="3" t="str">
        <f>IF($K162&lt;&gt;"",IF($M162&gt;X$11,IF($M162&lt;Y$11,$M162-X$11,30),0)*ROUND(($N162+$V161+SUM($X162:X162))*$T$5/3000,2),"")</f>
        <v/>
      </c>
      <c r="Z162" s="3"/>
      <c r="AA162" s="3"/>
    </row>
    <row r="163" spans="5:27" x14ac:dyDescent="0.25">
      <c r="E163" s="5"/>
      <c r="F163" t="str">
        <f>IF($K163&lt;&gt;"",TEXT(L163,"DDD"),"")</f>
        <v/>
      </c>
      <c r="G163" s="5" t="str">
        <f>IF($K163&lt;&gt;"",EOMONTH(DATE(YEAR($M$6),$G$11+K163+SUM($B$12:B163),1),0),"")</f>
        <v/>
      </c>
      <c r="H163" s="22" t="str">
        <f>IF($K163&lt;&gt;"",IF($A163="Prepago",$H162,$H162+1),"")</f>
        <v/>
      </c>
      <c r="I163" s="22" t="str">
        <f>IF($K163&lt;&gt;"",IF(ISNUMBER($C163),-$P163+$W163-$Q163,ABS($W163)+$R163+$S163+$T163),"")</f>
        <v/>
      </c>
      <c r="J163" s="22" t="str">
        <f>IF(K163&lt;&gt;"",IF(COUNTA($X163:$XFD163)*30&lt;$M163,1,0),"")</f>
        <v/>
      </c>
      <c r="K163" t="str">
        <f>IF($K162&lt;NCUOTAS+CUOTAADICIONAL+PGRACIA,$K162+1,"")</f>
        <v/>
      </c>
      <c r="L163" s="5" t="str">
        <f>IF($K163&lt;&gt;"",IF(ULTIMODIA=0,IF($E163="",DATE(YEAR($M$7),MONTH($M$7)+($A$1*($H163-1))+SUM($B$12:$B163),DAY($M$7)),$E163),G163),"")</f>
        <v/>
      </c>
      <c r="M163" s="9" t="str">
        <f>IF($K163&lt;&gt;"",$L163-$L162,"")</f>
        <v/>
      </c>
      <c r="N163" s="3" t="str">
        <f>IF($K163&lt;&gt;"",$U162,"")</f>
        <v/>
      </c>
      <c r="O163" s="3" t="str">
        <f>IF($K163&lt;&gt;"",IF($A163="Gracia Parcial",IF(AND($C163&lt;$W163+$R163+$S163+$T163+$V162,$C163&gt;0),$C163,$W163+$R163+$S163+$T163+$V162),IF($A163="Gracia Total",0,IF($A163="Prepago",$C163,IF(ISNUMBER($C163),$C163*VALUE(MID($C$1,MONTH($L163),1)),$P$5*VALUE(MID($C$1,MONTH($L163),1))))))-IF($K164="",ARREGLO,0),"")</f>
        <v/>
      </c>
      <c r="P163" s="3" t="str">
        <f>IF($K163&lt;&gt;"",IF($O163-$Q163&gt;0,$O163-$Q163-$R163-$S163-$T163,0),"")</f>
        <v/>
      </c>
      <c r="Q163" s="3" t="str">
        <f t="shared" si="4"/>
        <v/>
      </c>
      <c r="R163" s="3" t="str">
        <f>IF($K163&lt;&gt;"",IF($A163="Prepago",0,IF(($H163+SUM($B$12:$B163))*$S$6&gt;SUM($R$11:$R162)+$S$6,$S$6*2,$S$6)),"")</f>
        <v/>
      </c>
      <c r="S163" s="3" t="str">
        <f>IF($K163&lt;&gt;"",IF($A163="Prepago",0,IF(($H163+SUM($B$12:$B163))*$S$7&gt;SUM($S$11:$S162)+$S$7,$S$7*2,$S$7)),"")</f>
        <v/>
      </c>
      <c r="T163" s="3" t="str">
        <f>IF($K163&lt;&gt;"",IF($A163="Prepago",0,IF(($H163+SUM($B$12:$B163))*$S$8&gt;SUM($T$11:$T162)+$S$8,$S$8*2,$S$8)),"")</f>
        <v/>
      </c>
      <c r="U163" s="3" t="str">
        <f>IF($K163&lt;&gt;"",$N163-$P163,"")</f>
        <v/>
      </c>
      <c r="V163" s="3" t="str">
        <f t="shared" si="5"/>
        <v/>
      </c>
      <c r="W163" s="3" t="str">
        <f>IF($K163&lt;&gt;"",SUM($X163:$XFD163),"")</f>
        <v/>
      </c>
      <c r="X163" s="3" t="str">
        <f>IF($K163&lt;&gt;"",IF($M163&gt;X$11,30,$M163)*ROUND(($N163+$V162)*$T$5/3000,2),"")</f>
        <v/>
      </c>
      <c r="Y163" s="3" t="str">
        <f>IF($K163&lt;&gt;"",IF($M163&gt;X$11,IF($M163&lt;Y$11,$M163-X$11,30),0)*ROUND(($N163+$V162+SUM($X163:X163))*$T$5/3000,2),"")</f>
        <v/>
      </c>
      <c r="Z163" s="3"/>
      <c r="AA163" s="3"/>
    </row>
    <row r="164" spans="5:27" x14ac:dyDescent="0.25">
      <c r="E164" s="5"/>
      <c r="F164" t="str">
        <f>IF($K164&lt;&gt;"",TEXT(L164,"DDD"),"")</f>
        <v/>
      </c>
      <c r="G164" s="5" t="str">
        <f>IF($K164&lt;&gt;"",EOMONTH(DATE(YEAR($M$6),$G$11+K164+SUM($B$12:B164),1),0),"")</f>
        <v/>
      </c>
      <c r="H164" s="22" t="str">
        <f>IF($K164&lt;&gt;"",IF($A164="Prepago",$H163,$H163+1),"")</f>
        <v/>
      </c>
      <c r="I164" s="22" t="str">
        <f>IF($K164&lt;&gt;"",IF(ISNUMBER($C164),-$P164+$W164-$Q164,ABS($W164)+$R164+$S164+$T164),"")</f>
        <v/>
      </c>
      <c r="J164" s="22" t="str">
        <f>IF(K164&lt;&gt;"",IF(COUNTA($X164:$XFD164)*30&lt;$M164,1,0),"")</f>
        <v/>
      </c>
      <c r="K164" t="str">
        <f>IF($K163&lt;NCUOTAS+CUOTAADICIONAL+PGRACIA,$K163+1,"")</f>
        <v/>
      </c>
      <c r="L164" s="5" t="str">
        <f>IF($K164&lt;&gt;"",IF(ULTIMODIA=0,IF($E164="",DATE(YEAR($M$7),MONTH($M$7)+($A$1*($H164-1))+SUM($B$12:$B164),DAY($M$7)),$E164),G164),"")</f>
        <v/>
      </c>
      <c r="M164" s="9" t="str">
        <f>IF($K164&lt;&gt;"",$L164-$L163,"")</f>
        <v/>
      </c>
      <c r="N164" s="3" t="str">
        <f>IF($K164&lt;&gt;"",$U163,"")</f>
        <v/>
      </c>
      <c r="O164" s="3" t="str">
        <f>IF($K164&lt;&gt;"",IF($A164="Gracia Parcial",IF(AND($C164&lt;$W164+$R164+$S164+$T164+$V163,$C164&gt;0),$C164,$W164+$R164+$S164+$T164+$V163),IF($A164="Gracia Total",0,IF($A164="Prepago",$C164,IF(ISNUMBER($C164),$C164*VALUE(MID($C$1,MONTH($L164),1)),$P$5*VALUE(MID($C$1,MONTH($L164),1))))))-IF($K165="",ARREGLO,0),"")</f>
        <v/>
      </c>
      <c r="P164" s="3" t="str">
        <f>IF($K164&lt;&gt;"",IF($O164-$Q164&gt;0,$O164-$Q164-$R164-$S164-$T164,0),"")</f>
        <v/>
      </c>
      <c r="Q164" s="3" t="str">
        <f t="shared" si="4"/>
        <v/>
      </c>
      <c r="R164" s="3" t="str">
        <f>IF($K164&lt;&gt;"",IF($A164="Prepago",0,IF(($H164+SUM($B$12:$B164))*$S$6&gt;SUM($R$11:$R163)+$S$6,$S$6*2,$S$6)),"")</f>
        <v/>
      </c>
      <c r="S164" s="3" t="str">
        <f>IF($K164&lt;&gt;"",IF($A164="Prepago",0,IF(($H164+SUM($B$12:$B164))*$S$7&gt;SUM($S$11:$S163)+$S$7,$S$7*2,$S$7)),"")</f>
        <v/>
      </c>
      <c r="T164" s="3" t="str">
        <f>IF($K164&lt;&gt;"",IF($A164="Prepago",0,IF(($H164+SUM($B$12:$B164))*$S$8&gt;SUM($T$11:$T163)+$S$8,$S$8*2,$S$8)),"")</f>
        <v/>
      </c>
      <c r="U164" s="3" t="str">
        <f>IF($K164&lt;&gt;"",$N164-$P164,"")</f>
        <v/>
      </c>
      <c r="V164" s="3" t="str">
        <f t="shared" si="5"/>
        <v/>
      </c>
      <c r="W164" s="3" t="str">
        <f>IF($K164&lt;&gt;"",SUM($X164:$XFD164),"")</f>
        <v/>
      </c>
      <c r="X164" s="3" t="str">
        <f>IF($K164&lt;&gt;"",IF($M164&gt;X$11,30,$M164)*ROUND(($N164+$V163)*$T$5/3000,2),"")</f>
        <v/>
      </c>
      <c r="Y164" s="3" t="str">
        <f>IF($K164&lt;&gt;"",IF($M164&gt;X$11,IF($M164&lt;Y$11,$M164-X$11,30),0)*ROUND(($N164+$V163+SUM($X164:X164))*$T$5/3000,2),"")</f>
        <v/>
      </c>
      <c r="Z164" s="3"/>
      <c r="AA164" s="3"/>
    </row>
    <row r="165" spans="5:27" x14ac:dyDescent="0.25">
      <c r="E165" s="5"/>
      <c r="F165" t="str">
        <f>IF($K165&lt;&gt;"",TEXT(L165,"DDD"),"")</f>
        <v/>
      </c>
      <c r="G165" s="5" t="str">
        <f>IF($K165&lt;&gt;"",EOMONTH(DATE(YEAR($M$6),$G$11+K165+SUM($B$12:B165),1),0),"")</f>
        <v/>
      </c>
      <c r="H165" s="22" t="str">
        <f>IF($K165&lt;&gt;"",IF($A165="Prepago",$H164,$H164+1),"")</f>
        <v/>
      </c>
      <c r="I165" s="22" t="str">
        <f>IF($K165&lt;&gt;"",IF(ISNUMBER($C165),-$P165+$W165-$Q165,ABS($W165)+$R165+$S165+$T165),"")</f>
        <v/>
      </c>
      <c r="J165" s="22" t="str">
        <f>IF(K165&lt;&gt;"",IF(COUNTA($X165:$XFD165)*30&lt;$M165,1,0),"")</f>
        <v/>
      </c>
      <c r="K165" t="str">
        <f>IF($K164&lt;NCUOTAS+CUOTAADICIONAL+PGRACIA,$K164+1,"")</f>
        <v/>
      </c>
      <c r="L165" s="5" t="str">
        <f>IF($K165&lt;&gt;"",IF(ULTIMODIA=0,IF($E165="",DATE(YEAR($M$7),MONTH($M$7)+($A$1*($H165-1))+SUM($B$12:$B165),DAY($M$7)),$E165),G165),"")</f>
        <v/>
      </c>
      <c r="M165" s="9" t="str">
        <f>IF($K165&lt;&gt;"",$L165-$L164,"")</f>
        <v/>
      </c>
      <c r="N165" s="3" t="str">
        <f>IF($K165&lt;&gt;"",$U164,"")</f>
        <v/>
      </c>
      <c r="O165" s="3" t="str">
        <f>IF($K165&lt;&gt;"",IF($A165="Gracia Parcial",IF(AND($C165&lt;$W165+$R165+$S165+$T165+$V164,$C165&gt;0),$C165,$W165+$R165+$S165+$T165+$V164),IF($A165="Gracia Total",0,IF($A165="Prepago",$C165,IF(ISNUMBER($C165),$C165*VALUE(MID($C$1,MONTH($L165),1)),$P$5*VALUE(MID($C$1,MONTH($L165),1))))))-IF($K166="",ARREGLO,0),"")</f>
        <v/>
      </c>
      <c r="P165" s="3" t="str">
        <f>IF($K165&lt;&gt;"",IF($O165-$Q165&gt;0,$O165-$Q165-$R165-$S165-$T165,0),"")</f>
        <v/>
      </c>
      <c r="Q165" s="3" t="str">
        <f t="shared" si="4"/>
        <v/>
      </c>
      <c r="R165" s="3" t="str">
        <f>IF($K165&lt;&gt;"",IF($A165="Prepago",0,IF(($H165+SUM($B$12:$B165))*$S$6&gt;SUM($R$11:$R164)+$S$6,$S$6*2,$S$6)),"")</f>
        <v/>
      </c>
      <c r="S165" s="3" t="str">
        <f>IF($K165&lt;&gt;"",IF($A165="Prepago",0,IF(($H165+SUM($B$12:$B165))*$S$7&gt;SUM($S$11:$S164)+$S$7,$S$7*2,$S$7)),"")</f>
        <v/>
      </c>
      <c r="T165" s="3" t="str">
        <f>IF($K165&lt;&gt;"",IF($A165="Prepago",0,IF(($H165+SUM($B$12:$B165))*$S$8&gt;SUM($T$11:$T164)+$S$8,$S$8*2,$S$8)),"")</f>
        <v/>
      </c>
      <c r="U165" s="3" t="str">
        <f>IF($K165&lt;&gt;"",$N165-$P165,"")</f>
        <v/>
      </c>
      <c r="V165" s="3" t="str">
        <f t="shared" si="5"/>
        <v/>
      </c>
      <c r="W165" s="3" t="str">
        <f>IF($K165&lt;&gt;"",SUM($X165:$XFD165),"")</f>
        <v/>
      </c>
      <c r="X165" s="3" t="str">
        <f>IF($K165&lt;&gt;"",IF($M165&gt;X$11,30,$M165)*ROUND(($N165+$V164)*$T$5/3000,2),"")</f>
        <v/>
      </c>
      <c r="Y165" s="3" t="str">
        <f>IF($K165&lt;&gt;"",IF($M165&gt;X$11,IF($M165&lt;Y$11,$M165-X$11,30),0)*ROUND(($N165+$V164+SUM($X165:X165))*$T$5/3000,2),"")</f>
        <v/>
      </c>
      <c r="Z165" s="3"/>
      <c r="AA165" s="3"/>
    </row>
    <row r="166" spans="5:27" x14ac:dyDescent="0.25">
      <c r="E166" s="5"/>
      <c r="F166" t="str">
        <f>IF($K166&lt;&gt;"",TEXT(L166,"DDD"),"")</f>
        <v/>
      </c>
      <c r="G166" s="5" t="str">
        <f>IF($K166&lt;&gt;"",EOMONTH(DATE(YEAR($M$6),$G$11+K166+SUM($B$12:B166),1),0),"")</f>
        <v/>
      </c>
      <c r="H166" s="22" t="str">
        <f>IF($K166&lt;&gt;"",IF($A166="Prepago",$H165,$H165+1),"")</f>
        <v/>
      </c>
      <c r="I166" s="22" t="str">
        <f>IF($K166&lt;&gt;"",IF(ISNUMBER($C166),-$P166+$W166-$Q166,ABS($W166)+$R166+$S166+$T166),"")</f>
        <v/>
      </c>
      <c r="J166" s="22" t="str">
        <f>IF(K166&lt;&gt;"",IF(COUNTA($X166:$XFD166)*30&lt;$M166,1,0),"")</f>
        <v/>
      </c>
      <c r="K166" t="str">
        <f>IF($K165&lt;NCUOTAS+CUOTAADICIONAL+PGRACIA,$K165+1,"")</f>
        <v/>
      </c>
      <c r="L166" s="5" t="str">
        <f>IF($K166&lt;&gt;"",IF(ULTIMODIA=0,IF($E166="",DATE(YEAR($M$7),MONTH($M$7)+($A$1*($H166-1))+SUM($B$12:$B166),DAY($M$7)),$E166),G166),"")</f>
        <v/>
      </c>
      <c r="M166" s="9" t="str">
        <f>IF($K166&lt;&gt;"",$L166-$L165,"")</f>
        <v/>
      </c>
      <c r="N166" s="3" t="str">
        <f>IF($K166&lt;&gt;"",$U165,"")</f>
        <v/>
      </c>
      <c r="O166" s="3" t="str">
        <f>IF($K166&lt;&gt;"",IF($A166="Gracia Parcial",IF(AND($C166&lt;$W166+$R166+$S166+$T166+$V165,$C166&gt;0),$C166,$W166+$R166+$S166+$T166+$V165),IF($A166="Gracia Total",0,IF($A166="Prepago",$C166,IF(ISNUMBER($C166),$C166*VALUE(MID($C$1,MONTH($L166),1)),$P$5*VALUE(MID($C$1,MONTH($L166),1))))))-IF($K167="",ARREGLO,0),"")</f>
        <v/>
      </c>
      <c r="P166" s="3" t="str">
        <f>IF($K166&lt;&gt;"",IF($O166-$Q166&gt;0,$O166-$Q166-$R166-$S166-$T166,0),"")</f>
        <v/>
      </c>
      <c r="Q166" s="3" t="str">
        <f t="shared" si="4"/>
        <v/>
      </c>
      <c r="R166" s="3" t="str">
        <f>IF($K166&lt;&gt;"",IF($A166="Prepago",0,IF(($H166+SUM($B$12:$B166))*$S$6&gt;SUM($R$11:$R165)+$S$6,$S$6*2,$S$6)),"")</f>
        <v/>
      </c>
      <c r="S166" s="3" t="str">
        <f>IF($K166&lt;&gt;"",IF($A166="Prepago",0,IF(($H166+SUM($B$12:$B166))*$S$7&gt;SUM($S$11:$S165)+$S$7,$S$7*2,$S$7)),"")</f>
        <v/>
      </c>
      <c r="T166" s="3" t="str">
        <f>IF($K166&lt;&gt;"",IF($A166="Prepago",0,IF(($H166+SUM($B$12:$B166))*$S$8&gt;SUM($T$11:$T165)+$S$8,$S$8*2,$S$8)),"")</f>
        <v/>
      </c>
      <c r="U166" s="3" t="str">
        <f>IF($K166&lt;&gt;"",$N166-$P166,"")</f>
        <v/>
      </c>
      <c r="V166" s="3" t="str">
        <f t="shared" si="5"/>
        <v/>
      </c>
      <c r="W166" s="3" t="str">
        <f>IF($K166&lt;&gt;"",SUM($X166:$XFD166),"")</f>
        <v/>
      </c>
      <c r="X166" s="3" t="str">
        <f>IF($K166&lt;&gt;"",IF($M166&gt;X$11,30,$M166)*ROUND(($N166+$V165)*$T$5/3000,2),"")</f>
        <v/>
      </c>
      <c r="Y166" s="3" t="str">
        <f>IF($K166&lt;&gt;"",IF($M166&gt;X$11,IF($M166&lt;Y$11,$M166-X$11,30),0)*ROUND(($N166+$V165+SUM($X166:X166))*$T$5/3000,2),"")</f>
        <v/>
      </c>
      <c r="Z166" s="3"/>
      <c r="AA166" s="3"/>
    </row>
    <row r="167" spans="5:27" x14ac:dyDescent="0.25">
      <c r="E167" s="5"/>
      <c r="F167" t="str">
        <f>IF($K167&lt;&gt;"",TEXT(L167,"DDD"),"")</f>
        <v/>
      </c>
      <c r="G167" s="5" t="str">
        <f>IF($K167&lt;&gt;"",EOMONTH(DATE(YEAR($M$6),$G$11+K167+SUM($B$12:B167),1),0),"")</f>
        <v/>
      </c>
      <c r="H167" s="22" t="str">
        <f>IF($K167&lt;&gt;"",IF($A167="Prepago",$H166,$H166+1),"")</f>
        <v/>
      </c>
      <c r="I167" s="22" t="str">
        <f>IF($K167&lt;&gt;"",IF(ISNUMBER($C167),-$P167+$W167-$Q167,ABS($W167)+$R167+$S167+$T167),"")</f>
        <v/>
      </c>
      <c r="J167" s="22" t="str">
        <f>IF(K167&lt;&gt;"",IF(COUNTA($X167:$XFD167)*30&lt;$M167,1,0),"")</f>
        <v/>
      </c>
      <c r="K167" t="str">
        <f>IF($K166&lt;NCUOTAS+CUOTAADICIONAL+PGRACIA,$K166+1,"")</f>
        <v/>
      </c>
      <c r="L167" s="5" t="str">
        <f>IF($K167&lt;&gt;"",IF(ULTIMODIA=0,IF($E167="",DATE(YEAR($M$7),MONTH($M$7)+($A$1*($H167-1))+SUM($B$12:$B167),DAY($M$7)),$E167),G167),"")</f>
        <v/>
      </c>
      <c r="M167" s="9" t="str">
        <f>IF($K167&lt;&gt;"",$L167-$L166,"")</f>
        <v/>
      </c>
      <c r="N167" s="3" t="str">
        <f>IF($K167&lt;&gt;"",$U166,"")</f>
        <v/>
      </c>
      <c r="O167" s="3" t="str">
        <f>IF($K167&lt;&gt;"",IF($A167="Gracia Parcial",IF(AND($C167&lt;$W167+$R167+$S167+$T167+$V166,$C167&gt;0),$C167,$W167+$R167+$S167+$T167+$V166),IF($A167="Gracia Total",0,IF($A167="Prepago",$C167,IF(ISNUMBER($C167),$C167*VALUE(MID($C$1,MONTH($L167),1)),$P$5*VALUE(MID($C$1,MONTH($L167),1))))))-IF($K168="",ARREGLO,0),"")</f>
        <v/>
      </c>
      <c r="P167" s="3" t="str">
        <f>IF($K167&lt;&gt;"",IF($O167-$Q167&gt;0,$O167-$Q167-$R167-$S167-$T167,0),"")</f>
        <v/>
      </c>
      <c r="Q167" s="3" t="str">
        <f t="shared" si="4"/>
        <v/>
      </c>
      <c r="R167" s="3" t="str">
        <f>IF($K167&lt;&gt;"",IF($A167="Prepago",0,IF(($H167+SUM($B$12:$B167))*$S$6&gt;SUM($R$11:$R166)+$S$6,$S$6*2,$S$6)),"")</f>
        <v/>
      </c>
      <c r="S167" s="3" t="str">
        <f>IF($K167&lt;&gt;"",IF($A167="Prepago",0,IF(($H167+SUM($B$12:$B167))*$S$7&gt;SUM($S$11:$S166)+$S$7,$S$7*2,$S$7)),"")</f>
        <v/>
      </c>
      <c r="T167" s="3" t="str">
        <f>IF($K167&lt;&gt;"",IF($A167="Prepago",0,IF(($H167+SUM($B$12:$B167))*$S$8&gt;SUM($T$11:$T166)+$S$8,$S$8*2,$S$8)),"")</f>
        <v/>
      </c>
      <c r="U167" s="3" t="str">
        <f>IF($K167&lt;&gt;"",$N167-$P167,"")</f>
        <v/>
      </c>
      <c r="V167" s="3" t="str">
        <f t="shared" si="5"/>
        <v/>
      </c>
      <c r="W167" s="3" t="str">
        <f>IF($K167&lt;&gt;"",SUM($X167:$XFD167),"")</f>
        <v/>
      </c>
      <c r="X167" s="3" t="str">
        <f>IF($K167&lt;&gt;"",IF($M167&gt;X$11,30,$M167)*ROUND(($N167+$V166)*$T$5/3000,2),"")</f>
        <v/>
      </c>
      <c r="Y167" s="3" t="str">
        <f>IF($K167&lt;&gt;"",IF($M167&gt;X$11,IF($M167&lt;Y$11,$M167-X$11,30),0)*ROUND(($N167+$V166+SUM($X167:X167))*$T$5/3000,2),"")</f>
        <v/>
      </c>
      <c r="Z167" s="3"/>
      <c r="AA167" s="3"/>
    </row>
    <row r="168" spans="5:27" x14ac:dyDescent="0.25">
      <c r="E168" s="5"/>
      <c r="F168" t="str">
        <f>IF($K168&lt;&gt;"",TEXT(L168,"DDD"),"")</f>
        <v/>
      </c>
      <c r="G168" s="5" t="str">
        <f>IF($K168&lt;&gt;"",EOMONTH(DATE(YEAR($M$6),$G$11+K168+SUM($B$12:B168),1),0),"")</f>
        <v/>
      </c>
      <c r="H168" s="22" t="str">
        <f>IF($K168&lt;&gt;"",IF($A168="Prepago",$H167,$H167+1),"")</f>
        <v/>
      </c>
      <c r="I168" s="22" t="str">
        <f>IF($K168&lt;&gt;"",IF(ISNUMBER($C168),-$P168+$W168-$Q168,ABS($W168)+$R168+$S168+$T168),"")</f>
        <v/>
      </c>
      <c r="J168" s="22" t="str">
        <f>IF(K168&lt;&gt;"",IF(COUNTA($X168:$XFD168)*30&lt;$M168,1,0),"")</f>
        <v/>
      </c>
      <c r="K168" t="str">
        <f>IF($K167&lt;NCUOTAS+CUOTAADICIONAL+PGRACIA,$K167+1,"")</f>
        <v/>
      </c>
      <c r="L168" s="5" t="str">
        <f>IF($K168&lt;&gt;"",IF(ULTIMODIA=0,IF($E168="",DATE(YEAR($M$7),MONTH($M$7)+($A$1*($H168-1))+SUM($B$12:$B168),DAY($M$7)),$E168),G168),"")</f>
        <v/>
      </c>
      <c r="M168" s="9" t="str">
        <f>IF($K168&lt;&gt;"",$L168-$L167,"")</f>
        <v/>
      </c>
      <c r="N168" s="3" t="str">
        <f>IF($K168&lt;&gt;"",$U167,"")</f>
        <v/>
      </c>
      <c r="O168" s="3" t="str">
        <f>IF($K168&lt;&gt;"",IF($A168="Gracia Parcial",IF(AND($C168&lt;$W168+$R168+$S168+$T168+$V167,$C168&gt;0),$C168,$W168+$R168+$S168+$T168+$V167),IF($A168="Gracia Total",0,IF($A168="Prepago",$C168,IF(ISNUMBER($C168),$C168*VALUE(MID($C$1,MONTH($L168),1)),$P$5*VALUE(MID($C$1,MONTH($L168),1))))))-IF($K169="",ARREGLO,0),"")</f>
        <v/>
      </c>
      <c r="P168" s="3" t="str">
        <f>IF($K168&lt;&gt;"",IF($O168-$Q168&gt;0,$O168-$Q168-$R168-$S168-$T168,0),"")</f>
        <v/>
      </c>
      <c r="Q168" s="3" t="str">
        <f t="shared" si="4"/>
        <v/>
      </c>
      <c r="R168" s="3" t="str">
        <f>IF($K168&lt;&gt;"",IF($A168="Prepago",0,IF(($H168+SUM($B$12:$B168))*$S$6&gt;SUM($R$11:$R167)+$S$6,$S$6*2,$S$6)),"")</f>
        <v/>
      </c>
      <c r="S168" s="3" t="str">
        <f>IF($K168&lt;&gt;"",IF($A168="Prepago",0,IF(($H168+SUM($B$12:$B168))*$S$7&gt;SUM($S$11:$S167)+$S$7,$S$7*2,$S$7)),"")</f>
        <v/>
      </c>
      <c r="T168" s="3" t="str">
        <f>IF($K168&lt;&gt;"",IF($A168="Prepago",0,IF(($H168+SUM($B$12:$B168))*$S$8&gt;SUM($T$11:$T167)+$S$8,$S$8*2,$S$8)),"")</f>
        <v/>
      </c>
      <c r="U168" s="3" t="str">
        <f>IF($K168&lt;&gt;"",$N168-$P168,"")</f>
        <v/>
      </c>
      <c r="V168" s="3" t="str">
        <f t="shared" si="5"/>
        <v/>
      </c>
      <c r="W168" s="3" t="str">
        <f>IF($K168&lt;&gt;"",SUM($X168:$XFD168),"")</f>
        <v/>
      </c>
      <c r="X168" s="3" t="str">
        <f>IF($K168&lt;&gt;"",IF($M168&gt;X$11,30,$M168)*ROUND(($N168+$V167)*$T$5/3000,2),"")</f>
        <v/>
      </c>
      <c r="Y168" s="3" t="str">
        <f>IF($K168&lt;&gt;"",IF($M168&gt;X$11,IF($M168&lt;Y$11,$M168-X$11,30),0)*ROUND(($N168+$V167+SUM($X168:X168))*$T$5/3000,2),"")</f>
        <v/>
      </c>
      <c r="Z168" s="3"/>
      <c r="AA168" s="3"/>
    </row>
    <row r="169" spans="5:27" x14ac:dyDescent="0.25">
      <c r="E169" s="5"/>
      <c r="F169" t="str">
        <f>IF($K169&lt;&gt;"",TEXT(L169,"DDD"),"")</f>
        <v/>
      </c>
      <c r="G169" s="5" t="str">
        <f>IF($K169&lt;&gt;"",EOMONTH(DATE(YEAR($M$6),$G$11+K169+SUM($B$12:B169),1),0),"")</f>
        <v/>
      </c>
      <c r="H169" s="22" t="str">
        <f>IF($K169&lt;&gt;"",IF($A169="Prepago",$H168,$H168+1),"")</f>
        <v/>
      </c>
      <c r="I169" s="22" t="str">
        <f>IF($K169&lt;&gt;"",IF(ISNUMBER($C169),-$P169+$W169-$Q169,ABS($W169)+$R169+$S169+$T169),"")</f>
        <v/>
      </c>
      <c r="J169" s="22" t="str">
        <f>IF(K169&lt;&gt;"",IF(COUNTA($X169:$XFD169)*30&lt;$M169,1,0),"")</f>
        <v/>
      </c>
      <c r="K169" t="str">
        <f>IF($K168&lt;NCUOTAS+CUOTAADICIONAL+PGRACIA,$K168+1,"")</f>
        <v/>
      </c>
      <c r="L169" s="5" t="str">
        <f>IF($K169&lt;&gt;"",IF(ULTIMODIA=0,IF($E169="",DATE(YEAR($M$7),MONTH($M$7)+($A$1*($H169-1))+SUM($B$12:$B169),DAY($M$7)),$E169),G169),"")</f>
        <v/>
      </c>
      <c r="M169" s="9" t="str">
        <f>IF($K169&lt;&gt;"",$L169-$L168,"")</f>
        <v/>
      </c>
      <c r="N169" s="3" t="str">
        <f>IF($K169&lt;&gt;"",$U168,"")</f>
        <v/>
      </c>
      <c r="O169" s="3" t="str">
        <f>IF($K169&lt;&gt;"",IF($A169="Gracia Parcial",IF(AND($C169&lt;$W169+$R169+$S169+$T169+$V168,$C169&gt;0),$C169,$W169+$R169+$S169+$T169+$V168),IF($A169="Gracia Total",0,IF($A169="Prepago",$C169,IF(ISNUMBER($C169),$C169*VALUE(MID($C$1,MONTH($L169),1)),$P$5*VALUE(MID($C$1,MONTH($L169),1))))))-IF($K170="",ARREGLO,0),"")</f>
        <v/>
      </c>
      <c r="P169" s="3" t="str">
        <f>IF($K169&lt;&gt;"",IF($O169-$Q169&gt;0,$O169-$Q169-$R169-$S169-$T169,0),"")</f>
        <v/>
      </c>
      <c r="Q169" s="3" t="str">
        <f t="shared" si="4"/>
        <v/>
      </c>
      <c r="R169" s="3" t="str">
        <f>IF($K169&lt;&gt;"",IF($A169="Prepago",0,IF(($H169+SUM($B$12:$B169))*$S$6&gt;SUM($R$11:$R168)+$S$6,$S$6*2,$S$6)),"")</f>
        <v/>
      </c>
      <c r="S169" s="3" t="str">
        <f>IF($K169&lt;&gt;"",IF($A169="Prepago",0,IF(($H169+SUM($B$12:$B169))*$S$7&gt;SUM($S$11:$S168)+$S$7,$S$7*2,$S$7)),"")</f>
        <v/>
      </c>
      <c r="T169" s="3" t="str">
        <f>IF($K169&lt;&gt;"",IF($A169="Prepago",0,IF(($H169+SUM($B$12:$B169))*$S$8&gt;SUM($T$11:$T168)+$S$8,$S$8*2,$S$8)),"")</f>
        <v/>
      </c>
      <c r="U169" s="3" t="str">
        <f>IF($K169&lt;&gt;"",$N169-$P169,"")</f>
        <v/>
      </c>
      <c r="V169" s="3" t="str">
        <f t="shared" si="5"/>
        <v/>
      </c>
      <c r="W169" s="3" t="str">
        <f>IF($K169&lt;&gt;"",SUM($X169:$XFD169),"")</f>
        <v/>
      </c>
      <c r="X169" s="3" t="str">
        <f>IF($K169&lt;&gt;"",IF($M169&gt;X$11,30,$M169)*ROUND(($N169+$V168)*$T$5/3000,2),"")</f>
        <v/>
      </c>
      <c r="Y169" s="3" t="str">
        <f>IF($K169&lt;&gt;"",IF($M169&gt;X$11,IF($M169&lt;Y$11,$M169-X$11,30),0)*ROUND(($N169+$V168+SUM($X169:X169))*$T$5/3000,2),"")</f>
        <v/>
      </c>
      <c r="Z169" s="3"/>
      <c r="AA169" s="3"/>
    </row>
    <row r="170" spans="5:27" x14ac:dyDescent="0.25">
      <c r="E170" s="5"/>
      <c r="F170" t="str">
        <f>IF($K170&lt;&gt;"",TEXT(L170,"DDD"),"")</f>
        <v/>
      </c>
      <c r="G170" s="5" t="str">
        <f>IF($K170&lt;&gt;"",EOMONTH(DATE(YEAR($M$6),$G$11+K170+SUM($B$12:B170),1),0),"")</f>
        <v/>
      </c>
      <c r="H170" s="22" t="str">
        <f>IF($K170&lt;&gt;"",IF($A170="Prepago",$H169,$H169+1),"")</f>
        <v/>
      </c>
      <c r="I170" s="22" t="str">
        <f>IF($K170&lt;&gt;"",IF(ISNUMBER($C170),-$P170+$W170-$Q170,ABS($W170)+$R170+$S170+$T170),"")</f>
        <v/>
      </c>
      <c r="J170" s="22" t="str">
        <f>IF(K170&lt;&gt;"",IF(COUNTA($X170:$XFD170)*30&lt;$M170,1,0),"")</f>
        <v/>
      </c>
      <c r="K170" t="str">
        <f>IF($K169&lt;NCUOTAS+CUOTAADICIONAL+PGRACIA,$K169+1,"")</f>
        <v/>
      </c>
      <c r="L170" s="5" t="str">
        <f>IF($K170&lt;&gt;"",IF(ULTIMODIA=0,IF($E170="",DATE(YEAR($M$7),MONTH($M$7)+($A$1*($H170-1))+SUM($B$12:$B170),DAY($M$7)),$E170),G170),"")</f>
        <v/>
      </c>
      <c r="M170" s="9" t="str">
        <f>IF($K170&lt;&gt;"",$L170-$L169,"")</f>
        <v/>
      </c>
      <c r="N170" s="3" t="str">
        <f>IF($K170&lt;&gt;"",$U169,"")</f>
        <v/>
      </c>
      <c r="O170" s="3" t="str">
        <f>IF($K170&lt;&gt;"",IF($A170="Gracia Parcial",IF(AND($C170&lt;$W170+$R170+$S170+$T170+$V169,$C170&gt;0),$C170,$W170+$R170+$S170+$T170+$V169),IF($A170="Gracia Total",0,IF($A170="Prepago",$C170,IF(ISNUMBER($C170),$C170*VALUE(MID($C$1,MONTH($L170),1)),$P$5*VALUE(MID($C$1,MONTH($L170),1))))))-IF($K171="",ARREGLO,0),"")</f>
        <v/>
      </c>
      <c r="P170" s="3" t="str">
        <f>IF($K170&lt;&gt;"",IF($O170-$Q170&gt;0,$O170-$Q170-$R170-$S170-$T170,0),"")</f>
        <v/>
      </c>
      <c r="Q170" s="3" t="str">
        <f t="shared" si="4"/>
        <v/>
      </c>
      <c r="R170" s="3" t="str">
        <f>IF($K170&lt;&gt;"",IF($A170="Prepago",0,IF(($H170+SUM($B$12:$B170))*$S$6&gt;SUM($R$11:$R169)+$S$6,$S$6*2,$S$6)),"")</f>
        <v/>
      </c>
      <c r="S170" s="3" t="str">
        <f>IF($K170&lt;&gt;"",IF($A170="Prepago",0,IF(($H170+SUM($B$12:$B170))*$S$7&gt;SUM($S$11:$S169)+$S$7,$S$7*2,$S$7)),"")</f>
        <v/>
      </c>
      <c r="T170" s="3" t="str">
        <f>IF($K170&lt;&gt;"",IF($A170="Prepago",0,IF(($H170+SUM($B$12:$B170))*$S$8&gt;SUM($T$11:$T169)+$S$8,$S$8*2,$S$8)),"")</f>
        <v/>
      </c>
      <c r="U170" s="3" t="str">
        <f>IF($K170&lt;&gt;"",$N170-$P170,"")</f>
        <v/>
      </c>
      <c r="V170" s="3" t="str">
        <f t="shared" si="5"/>
        <v/>
      </c>
      <c r="W170" s="3" t="str">
        <f>IF($K170&lt;&gt;"",SUM($X170:$XFD170),"")</f>
        <v/>
      </c>
      <c r="X170" s="3" t="str">
        <f>IF($K170&lt;&gt;"",IF($M170&gt;X$11,30,$M170)*ROUND(($N170+$V169)*$T$5/3000,2),"")</f>
        <v/>
      </c>
      <c r="Y170" s="3" t="str">
        <f>IF($K170&lt;&gt;"",IF($M170&gt;X$11,IF($M170&lt;Y$11,$M170-X$11,30),0)*ROUND(($N170+$V169+SUM($X170:X170))*$T$5/3000,2),"")</f>
        <v/>
      </c>
      <c r="Z170" s="3"/>
      <c r="AA170" s="3"/>
    </row>
    <row r="171" spans="5:27" x14ac:dyDescent="0.25">
      <c r="E171" s="5"/>
      <c r="F171" t="str">
        <f>IF($K171&lt;&gt;"",TEXT(L171,"DDD"),"")</f>
        <v/>
      </c>
      <c r="G171" s="5" t="str">
        <f>IF($K171&lt;&gt;"",EOMONTH(DATE(YEAR($M$6),$G$11+K171+SUM($B$12:B171),1),0),"")</f>
        <v/>
      </c>
      <c r="H171" s="22" t="str">
        <f>IF($K171&lt;&gt;"",IF($A171="Prepago",$H170,$H170+1),"")</f>
        <v/>
      </c>
      <c r="I171" s="22" t="str">
        <f>IF($K171&lt;&gt;"",IF(ISNUMBER($C171),-$P171+$W171-$Q171,ABS($W171)+$R171+$S171+$T171),"")</f>
        <v/>
      </c>
      <c r="J171" s="22" t="str">
        <f>IF(K171&lt;&gt;"",IF(COUNTA($X171:$XFD171)*30&lt;$M171,1,0),"")</f>
        <v/>
      </c>
      <c r="K171" t="str">
        <f>IF($K170&lt;NCUOTAS+CUOTAADICIONAL+PGRACIA,$K170+1,"")</f>
        <v/>
      </c>
      <c r="L171" s="5" t="str">
        <f>IF($K171&lt;&gt;"",IF(ULTIMODIA=0,IF($E171="",DATE(YEAR($M$7),MONTH($M$7)+($A$1*($H171-1))+SUM($B$12:$B171),DAY($M$7)),$E171),G171),"")</f>
        <v/>
      </c>
      <c r="M171" s="9" t="str">
        <f>IF($K171&lt;&gt;"",$L171-$L170,"")</f>
        <v/>
      </c>
      <c r="N171" s="3" t="str">
        <f>IF($K171&lt;&gt;"",$U170,"")</f>
        <v/>
      </c>
      <c r="O171" s="3" t="str">
        <f>IF($K171&lt;&gt;"",IF($A171="Gracia Parcial",IF(AND($C171&lt;$W171+$R171+$S171+$T171+$V170,$C171&gt;0),$C171,$W171+$R171+$S171+$T171+$V170),IF($A171="Gracia Total",0,IF($A171="Prepago",$C171,IF(ISNUMBER($C171),$C171*VALUE(MID($C$1,MONTH($L171),1)),$P$5*VALUE(MID($C$1,MONTH($L171),1))))))-IF($K172="",ARREGLO,0),"")</f>
        <v/>
      </c>
      <c r="P171" s="3" t="str">
        <f>IF($K171&lt;&gt;"",IF($O171-$Q171&gt;0,$O171-$Q171-$R171-$S171-$T171,0),"")</f>
        <v/>
      </c>
      <c r="Q171" s="3" t="str">
        <f t="shared" si="4"/>
        <v/>
      </c>
      <c r="R171" s="3" t="str">
        <f>IF($K171&lt;&gt;"",IF($A171="Prepago",0,IF(($H171+SUM($B$12:$B171))*$S$6&gt;SUM($R$11:$R170)+$S$6,$S$6*2,$S$6)),"")</f>
        <v/>
      </c>
      <c r="S171" s="3" t="str">
        <f>IF($K171&lt;&gt;"",IF($A171="Prepago",0,IF(($H171+SUM($B$12:$B171))*$S$7&gt;SUM($S$11:$S170)+$S$7,$S$7*2,$S$7)),"")</f>
        <v/>
      </c>
      <c r="T171" s="3" t="str">
        <f>IF($K171&lt;&gt;"",IF($A171="Prepago",0,IF(($H171+SUM($B$12:$B171))*$S$8&gt;SUM($T$11:$T170)+$S$8,$S$8*2,$S$8)),"")</f>
        <v/>
      </c>
      <c r="U171" s="3" t="str">
        <f>IF($K171&lt;&gt;"",$N171-$P171,"")</f>
        <v/>
      </c>
      <c r="V171" s="3" t="str">
        <f t="shared" si="5"/>
        <v/>
      </c>
      <c r="W171" s="3" t="str">
        <f>IF($K171&lt;&gt;"",SUM($X171:$XFD171),"")</f>
        <v/>
      </c>
      <c r="X171" s="3" t="str">
        <f>IF($K171&lt;&gt;"",IF($M171&gt;X$11,30,$M171)*ROUND(($N171+$V170)*$T$5/3000,2),"")</f>
        <v/>
      </c>
      <c r="Y171" s="3" t="str">
        <f>IF($K171&lt;&gt;"",IF($M171&gt;X$11,IF($M171&lt;Y$11,$M171-X$11,30),0)*ROUND(($N171+$V170+SUM($X171:X171))*$T$5/3000,2),"")</f>
        <v/>
      </c>
      <c r="Z171" s="3"/>
      <c r="AA171" s="3"/>
    </row>
    <row r="172" spans="5:27" x14ac:dyDescent="0.25">
      <c r="E172" s="5"/>
      <c r="F172" t="str">
        <f>IF($K172&lt;&gt;"",TEXT(L172,"DDD"),"")</f>
        <v/>
      </c>
      <c r="G172" s="5" t="str">
        <f>IF($K172&lt;&gt;"",EOMONTH(DATE(YEAR($M$6),$G$11+K172+SUM($B$12:B172),1),0),"")</f>
        <v/>
      </c>
      <c r="H172" s="22" t="str">
        <f>IF($K172&lt;&gt;"",IF($A172="Prepago",$H171,$H171+1),"")</f>
        <v/>
      </c>
      <c r="I172" s="22" t="str">
        <f>IF($K172&lt;&gt;"",IF(ISNUMBER($C172),-$P172+$W172-$Q172,ABS($W172)+$R172+$S172+$T172),"")</f>
        <v/>
      </c>
      <c r="J172" s="22" t="str">
        <f>IF(K172&lt;&gt;"",IF(COUNTA($X172:$XFD172)*30&lt;$M172,1,0),"")</f>
        <v/>
      </c>
      <c r="K172" t="str">
        <f>IF($K171&lt;NCUOTAS+CUOTAADICIONAL+PGRACIA,$K171+1,"")</f>
        <v/>
      </c>
      <c r="L172" s="5" t="str">
        <f>IF($K172&lt;&gt;"",IF(ULTIMODIA=0,IF($E172="",DATE(YEAR($M$7),MONTH($M$7)+($A$1*($H172-1))+SUM($B$12:$B172),DAY($M$7)),$E172),G172),"")</f>
        <v/>
      </c>
      <c r="M172" s="9" t="str">
        <f>IF($K172&lt;&gt;"",$L172-$L171,"")</f>
        <v/>
      </c>
      <c r="N172" s="3" t="str">
        <f>IF($K172&lt;&gt;"",$U171,"")</f>
        <v/>
      </c>
      <c r="O172" s="3" t="str">
        <f>IF($K172&lt;&gt;"",IF($A172="Gracia Parcial",IF(AND($C172&lt;$W172+$R172+$S172+$T172+$V171,$C172&gt;0),$C172,$W172+$R172+$S172+$T172+$V171),IF($A172="Gracia Total",0,IF($A172="Prepago",$C172,IF(ISNUMBER($C172),$C172*VALUE(MID($C$1,MONTH($L172),1)),$P$5*VALUE(MID($C$1,MONTH($L172),1))))))-IF($K173="",ARREGLO,0),"")</f>
        <v/>
      </c>
      <c r="P172" s="3" t="str">
        <f>IF($K172&lt;&gt;"",IF($O172-$Q172&gt;0,$O172-$Q172-$R172-$S172-$T172,0),"")</f>
        <v/>
      </c>
      <c r="Q172" s="3" t="str">
        <f t="shared" si="4"/>
        <v/>
      </c>
      <c r="R172" s="3" t="str">
        <f>IF($K172&lt;&gt;"",IF($A172="Prepago",0,IF(($H172+SUM($B$12:$B172))*$S$6&gt;SUM($R$11:$R171)+$S$6,$S$6*2,$S$6)),"")</f>
        <v/>
      </c>
      <c r="S172" s="3" t="str">
        <f>IF($K172&lt;&gt;"",IF($A172="Prepago",0,IF(($H172+SUM($B$12:$B172))*$S$7&gt;SUM($S$11:$S171)+$S$7,$S$7*2,$S$7)),"")</f>
        <v/>
      </c>
      <c r="T172" s="3" t="str">
        <f>IF($K172&lt;&gt;"",IF($A172="Prepago",0,IF(($H172+SUM($B$12:$B172))*$S$8&gt;SUM($T$11:$T171)+$S$8,$S$8*2,$S$8)),"")</f>
        <v/>
      </c>
      <c r="U172" s="3" t="str">
        <f>IF($K172&lt;&gt;"",$N172-$P172,"")</f>
        <v/>
      </c>
      <c r="V172" s="3" t="str">
        <f t="shared" si="5"/>
        <v/>
      </c>
      <c r="W172" s="3" t="str">
        <f>IF($K172&lt;&gt;"",SUM($X172:$XFD172),"")</f>
        <v/>
      </c>
      <c r="X172" s="3" t="str">
        <f>IF($K172&lt;&gt;"",IF($M172&gt;X$11,30,$M172)*ROUND(($N172+$V171)*$T$5/3000,2),"")</f>
        <v/>
      </c>
      <c r="Y172" s="3" t="str">
        <f>IF($K172&lt;&gt;"",IF($M172&gt;X$11,IF($M172&lt;Y$11,$M172-X$11,30),0)*ROUND(($N172+$V171+SUM($X172:X172))*$T$5/3000,2),"")</f>
        <v/>
      </c>
      <c r="Z172" s="3"/>
      <c r="AA172" s="3"/>
    </row>
    <row r="173" spans="5:27" x14ac:dyDescent="0.25">
      <c r="E173" s="5"/>
      <c r="F173" t="str">
        <f>IF($K173&lt;&gt;"",TEXT(L173,"DDD"),"")</f>
        <v/>
      </c>
      <c r="G173" s="5" t="str">
        <f>IF($K173&lt;&gt;"",EOMONTH(DATE(YEAR($M$6),$G$11+K173+SUM($B$12:B173),1),0),"")</f>
        <v/>
      </c>
      <c r="H173" s="22" t="str">
        <f>IF($K173&lt;&gt;"",IF($A173="Prepago",$H172,$H172+1),"")</f>
        <v/>
      </c>
      <c r="I173" s="22" t="str">
        <f>IF($K173&lt;&gt;"",IF(ISNUMBER($C173),-$P173+$W173-$Q173,ABS($W173)+$R173+$S173+$T173),"")</f>
        <v/>
      </c>
      <c r="J173" s="22" t="str">
        <f>IF(K173&lt;&gt;"",IF(COUNTA($X173:$XFD173)*30&lt;$M173,1,0),"")</f>
        <v/>
      </c>
      <c r="K173" t="str">
        <f>IF($K172&lt;NCUOTAS+CUOTAADICIONAL+PGRACIA,$K172+1,"")</f>
        <v/>
      </c>
      <c r="L173" s="5" t="str">
        <f>IF($K173&lt;&gt;"",IF(ULTIMODIA=0,IF($E173="",DATE(YEAR($M$7),MONTH($M$7)+($A$1*($H173-1))+SUM($B$12:$B173),DAY($M$7)),$E173),G173),"")</f>
        <v/>
      </c>
      <c r="M173" s="9" t="str">
        <f>IF($K173&lt;&gt;"",$L173-$L172,"")</f>
        <v/>
      </c>
      <c r="N173" s="3" t="str">
        <f>IF($K173&lt;&gt;"",$U172,"")</f>
        <v/>
      </c>
      <c r="O173" s="3" t="str">
        <f>IF($K173&lt;&gt;"",IF($A173="Gracia Parcial",IF(AND($C173&lt;$W173+$R173+$S173+$T173+$V172,$C173&gt;0),$C173,$W173+$R173+$S173+$T173+$V172),IF($A173="Gracia Total",0,IF($A173="Prepago",$C173,IF(ISNUMBER($C173),$C173*VALUE(MID($C$1,MONTH($L173),1)),$P$5*VALUE(MID($C$1,MONTH($L173),1))))))-IF($K174="",ARREGLO,0),"")</f>
        <v/>
      </c>
      <c r="P173" s="3" t="str">
        <f>IF($K173&lt;&gt;"",IF($O173-$Q173&gt;0,$O173-$Q173-$R173-$S173-$T173,0),"")</f>
        <v/>
      </c>
      <c r="Q173" s="3" t="str">
        <f t="shared" si="4"/>
        <v/>
      </c>
      <c r="R173" s="3" t="str">
        <f>IF($K173&lt;&gt;"",IF($A173="Prepago",0,IF(($H173+SUM($B$12:$B173))*$S$6&gt;SUM($R$11:$R172)+$S$6,$S$6*2,$S$6)),"")</f>
        <v/>
      </c>
      <c r="S173" s="3" t="str">
        <f>IF($K173&lt;&gt;"",IF($A173="Prepago",0,IF(($H173+SUM($B$12:$B173))*$S$7&gt;SUM($S$11:$S172)+$S$7,$S$7*2,$S$7)),"")</f>
        <v/>
      </c>
      <c r="T173" s="3" t="str">
        <f>IF($K173&lt;&gt;"",IF($A173="Prepago",0,IF(($H173+SUM($B$12:$B173))*$S$8&gt;SUM($T$11:$T172)+$S$8,$S$8*2,$S$8)),"")</f>
        <v/>
      </c>
      <c r="U173" s="3" t="str">
        <f>IF($K173&lt;&gt;"",$N173-$P173,"")</f>
        <v/>
      </c>
      <c r="V173" s="3" t="str">
        <f t="shared" si="5"/>
        <v/>
      </c>
      <c r="W173" s="3" t="str">
        <f>IF($K173&lt;&gt;"",SUM($X173:$XFD173),"")</f>
        <v/>
      </c>
      <c r="X173" s="3" t="str">
        <f>IF($K173&lt;&gt;"",IF($M173&gt;X$11,30,$M173)*ROUND(($N173+$V172)*$T$5/3000,2),"")</f>
        <v/>
      </c>
      <c r="Y173" s="3" t="str">
        <f>IF($K173&lt;&gt;"",IF($M173&gt;X$11,IF($M173&lt;Y$11,$M173-X$11,30),0)*ROUND(($N173+$V172+SUM($X173:X173))*$T$5/3000,2),"")</f>
        <v/>
      </c>
      <c r="Z173" s="3"/>
      <c r="AA173" s="3"/>
    </row>
    <row r="174" spans="5:27" x14ac:dyDescent="0.25">
      <c r="E174" s="5"/>
      <c r="F174" t="str">
        <f>IF($K174&lt;&gt;"",TEXT(L174,"DDD"),"")</f>
        <v/>
      </c>
      <c r="G174" s="5" t="str">
        <f>IF($K174&lt;&gt;"",EOMONTH(DATE(YEAR($M$6),$G$11+K174+SUM($B$12:B174),1),0),"")</f>
        <v/>
      </c>
      <c r="H174" s="22" t="str">
        <f>IF($K174&lt;&gt;"",IF($A174="Prepago",$H173,$H173+1),"")</f>
        <v/>
      </c>
      <c r="I174" s="22" t="str">
        <f>IF($K174&lt;&gt;"",IF(ISNUMBER($C174),-$P174+$W174-$Q174,ABS($W174)+$R174+$S174+$T174),"")</f>
        <v/>
      </c>
      <c r="J174" s="22" t="str">
        <f>IF(K174&lt;&gt;"",IF(COUNTA($X174:$XFD174)*30&lt;$M174,1,0),"")</f>
        <v/>
      </c>
      <c r="K174" t="str">
        <f>IF($K173&lt;NCUOTAS+CUOTAADICIONAL+PGRACIA,$K173+1,"")</f>
        <v/>
      </c>
      <c r="L174" s="5" t="str">
        <f>IF($K174&lt;&gt;"",IF(ULTIMODIA=0,IF($E174="",DATE(YEAR($M$7),MONTH($M$7)+($A$1*($H174-1))+SUM($B$12:$B174),DAY($M$7)),$E174),G174),"")</f>
        <v/>
      </c>
      <c r="M174" s="9" t="str">
        <f>IF($K174&lt;&gt;"",$L174-$L173,"")</f>
        <v/>
      </c>
      <c r="N174" s="3" t="str">
        <f>IF($K174&lt;&gt;"",$U173,"")</f>
        <v/>
      </c>
      <c r="O174" s="3" t="str">
        <f>IF($K174&lt;&gt;"",IF($A174="Gracia Parcial",IF(AND($C174&lt;$W174+$R174+$S174+$T174+$V173,$C174&gt;0),$C174,$W174+$R174+$S174+$T174+$V173),IF($A174="Gracia Total",0,IF($A174="Prepago",$C174,IF(ISNUMBER($C174),$C174*VALUE(MID($C$1,MONTH($L174),1)),$P$5*VALUE(MID($C$1,MONTH($L174),1))))))-IF($K175="",ARREGLO,0),"")</f>
        <v/>
      </c>
      <c r="P174" s="3" t="str">
        <f>IF($K174&lt;&gt;"",IF($O174-$Q174&gt;0,$O174-$Q174-$R174-$S174-$T174,0),"")</f>
        <v/>
      </c>
      <c r="Q174" s="3" t="str">
        <f t="shared" si="4"/>
        <v/>
      </c>
      <c r="R174" s="3" t="str">
        <f>IF($K174&lt;&gt;"",IF($A174="Prepago",0,IF(($H174+SUM($B$12:$B174))*$S$6&gt;SUM($R$11:$R173)+$S$6,$S$6*2,$S$6)),"")</f>
        <v/>
      </c>
      <c r="S174" s="3" t="str">
        <f>IF($K174&lt;&gt;"",IF($A174="Prepago",0,IF(($H174+SUM($B$12:$B174))*$S$7&gt;SUM($S$11:$S173)+$S$7,$S$7*2,$S$7)),"")</f>
        <v/>
      </c>
      <c r="T174" s="3" t="str">
        <f>IF($K174&lt;&gt;"",IF($A174="Prepago",0,IF(($H174+SUM($B$12:$B174))*$S$8&gt;SUM($T$11:$T173)+$S$8,$S$8*2,$S$8)),"")</f>
        <v/>
      </c>
      <c r="U174" s="3" t="str">
        <f>IF($K174&lt;&gt;"",$N174-$P174,"")</f>
        <v/>
      </c>
      <c r="V174" s="3" t="str">
        <f t="shared" si="5"/>
        <v/>
      </c>
      <c r="W174" s="3" t="str">
        <f>IF($K174&lt;&gt;"",SUM($X174:$XFD174),"")</f>
        <v/>
      </c>
      <c r="X174" s="3" t="str">
        <f>IF($K174&lt;&gt;"",IF($M174&gt;X$11,30,$M174)*ROUND(($N174+$V173)*$T$5/3000,2),"")</f>
        <v/>
      </c>
      <c r="Y174" s="3" t="str">
        <f>IF($K174&lt;&gt;"",IF($M174&gt;X$11,IF($M174&lt;Y$11,$M174-X$11,30),0)*ROUND(($N174+$V173+SUM($X174:X174))*$T$5/3000,2),"")</f>
        <v/>
      </c>
      <c r="Z174" s="3"/>
      <c r="AA174" s="3"/>
    </row>
    <row r="175" spans="5:27" x14ac:dyDescent="0.25">
      <c r="E175" s="5"/>
      <c r="F175" t="str">
        <f>IF($K175&lt;&gt;"",TEXT(L175,"DDD"),"")</f>
        <v/>
      </c>
      <c r="G175" s="5" t="str">
        <f>IF($K175&lt;&gt;"",EOMONTH(DATE(YEAR($M$6),$G$11+K175+SUM($B$12:B175),1),0),"")</f>
        <v/>
      </c>
      <c r="H175" s="22" t="str">
        <f>IF($K175&lt;&gt;"",IF($A175="Prepago",$H174,$H174+1),"")</f>
        <v/>
      </c>
      <c r="I175" s="22" t="str">
        <f>IF($K175&lt;&gt;"",IF(ISNUMBER($C175),-$P175+$W175-$Q175,ABS($W175)+$R175+$S175+$T175),"")</f>
        <v/>
      </c>
      <c r="J175" s="22" t="str">
        <f>IF(K175&lt;&gt;"",IF(COUNTA($X175:$XFD175)*30&lt;$M175,1,0),"")</f>
        <v/>
      </c>
      <c r="K175" t="str">
        <f>IF($K174&lt;NCUOTAS+CUOTAADICIONAL+PGRACIA,$K174+1,"")</f>
        <v/>
      </c>
      <c r="L175" s="5" t="str">
        <f>IF($K175&lt;&gt;"",IF(ULTIMODIA=0,IF($E175="",DATE(YEAR($M$7),MONTH($M$7)+($A$1*($H175-1))+SUM($B$12:$B175),DAY($M$7)),$E175),G175),"")</f>
        <v/>
      </c>
      <c r="M175" s="9" t="str">
        <f>IF($K175&lt;&gt;"",$L175-$L174,"")</f>
        <v/>
      </c>
      <c r="N175" s="3" t="str">
        <f>IF($K175&lt;&gt;"",$U174,"")</f>
        <v/>
      </c>
      <c r="O175" s="3" t="str">
        <f>IF($K175&lt;&gt;"",IF($A175="Gracia Parcial",IF(AND($C175&lt;$W175+$R175+$S175+$T175+$V174,$C175&gt;0),$C175,$W175+$R175+$S175+$T175+$V174),IF($A175="Gracia Total",0,IF($A175="Prepago",$C175,IF(ISNUMBER($C175),$C175*VALUE(MID($C$1,MONTH($L175),1)),$P$5*VALUE(MID($C$1,MONTH($L175),1))))))-IF($K176="",ARREGLO,0),"")</f>
        <v/>
      </c>
      <c r="P175" s="3" t="str">
        <f>IF($K175&lt;&gt;"",IF($O175-$Q175&gt;0,$O175-$Q175-$R175-$S175-$T175,0),"")</f>
        <v/>
      </c>
      <c r="Q175" s="3" t="str">
        <f t="shared" si="4"/>
        <v/>
      </c>
      <c r="R175" s="3" t="str">
        <f>IF($K175&lt;&gt;"",IF($A175="Prepago",0,IF(($H175+SUM($B$12:$B175))*$S$6&gt;SUM($R$11:$R174)+$S$6,$S$6*2,$S$6)),"")</f>
        <v/>
      </c>
      <c r="S175" s="3" t="str">
        <f>IF($K175&lt;&gt;"",IF($A175="Prepago",0,IF(($H175+SUM($B$12:$B175))*$S$7&gt;SUM($S$11:$S174)+$S$7,$S$7*2,$S$7)),"")</f>
        <v/>
      </c>
      <c r="T175" s="3" t="str">
        <f>IF($K175&lt;&gt;"",IF($A175="Prepago",0,IF(($H175+SUM($B$12:$B175))*$S$8&gt;SUM($T$11:$T174)+$S$8,$S$8*2,$S$8)),"")</f>
        <v/>
      </c>
      <c r="U175" s="3" t="str">
        <f>IF($K175&lt;&gt;"",$N175-$P175,"")</f>
        <v/>
      </c>
      <c r="V175" s="3" t="str">
        <f t="shared" si="5"/>
        <v/>
      </c>
      <c r="W175" s="3" t="str">
        <f>IF($K175&lt;&gt;"",SUM($X175:$XFD175),"")</f>
        <v/>
      </c>
      <c r="X175" s="3" t="str">
        <f>IF($K175&lt;&gt;"",IF($M175&gt;X$11,30,$M175)*ROUND(($N175+$V174)*$T$5/3000,2),"")</f>
        <v/>
      </c>
      <c r="Y175" s="3" t="str">
        <f>IF($K175&lt;&gt;"",IF($M175&gt;X$11,IF($M175&lt;Y$11,$M175-X$11,30),0)*ROUND(($N175+$V174+SUM($X175:X175))*$T$5/3000,2),"")</f>
        <v/>
      </c>
      <c r="Z175" s="3"/>
      <c r="AA175" s="3"/>
    </row>
    <row r="176" spans="5:27" x14ac:dyDescent="0.25">
      <c r="E176" s="5"/>
      <c r="F176" t="str">
        <f>IF($K176&lt;&gt;"",TEXT(L176,"DDD"),"")</f>
        <v/>
      </c>
      <c r="G176" s="5" t="str">
        <f>IF($K176&lt;&gt;"",EOMONTH(DATE(YEAR($M$6),$G$11+K176+SUM($B$12:B176),1),0),"")</f>
        <v/>
      </c>
      <c r="H176" s="22" t="str">
        <f>IF($K176&lt;&gt;"",IF($A176="Prepago",$H175,$H175+1),"")</f>
        <v/>
      </c>
      <c r="I176" s="22" t="str">
        <f>IF($K176&lt;&gt;"",IF(ISNUMBER($C176),-$P176+$W176-$Q176,ABS($W176)+$R176+$S176+$T176),"")</f>
        <v/>
      </c>
      <c r="J176" s="22" t="str">
        <f>IF(K176&lt;&gt;"",IF(COUNTA($X176:$XFD176)*30&lt;$M176,1,0),"")</f>
        <v/>
      </c>
      <c r="K176" t="str">
        <f>IF($K175&lt;NCUOTAS+CUOTAADICIONAL+PGRACIA,$K175+1,"")</f>
        <v/>
      </c>
      <c r="L176" s="5" t="str">
        <f>IF($K176&lt;&gt;"",IF(ULTIMODIA=0,IF($E176="",DATE(YEAR($M$7),MONTH($M$7)+($A$1*($H176-1))+SUM($B$12:$B176),DAY($M$7)),$E176),G176),"")</f>
        <v/>
      </c>
      <c r="M176" s="9" t="str">
        <f>IF($K176&lt;&gt;"",$L176-$L175,"")</f>
        <v/>
      </c>
      <c r="N176" s="3" t="str">
        <f>IF($K176&lt;&gt;"",$U175,"")</f>
        <v/>
      </c>
      <c r="O176" s="3" t="str">
        <f>IF($K176&lt;&gt;"",IF($A176="Gracia Parcial",IF(AND($C176&lt;$W176+$R176+$S176+$T176+$V175,$C176&gt;0),$C176,$W176+$R176+$S176+$T176+$V175),IF($A176="Gracia Total",0,IF($A176="Prepago",$C176,IF(ISNUMBER($C176),$C176*VALUE(MID($C$1,MONTH($L176),1)),$P$5*VALUE(MID($C$1,MONTH($L176),1))))))-IF($K177="",ARREGLO,0),"")</f>
        <v/>
      </c>
      <c r="P176" s="3" t="str">
        <f>IF($K176&lt;&gt;"",IF($O176-$Q176&gt;0,$O176-$Q176-$R176-$S176-$T176,0),"")</f>
        <v/>
      </c>
      <c r="Q176" s="3" t="str">
        <f t="shared" si="4"/>
        <v/>
      </c>
      <c r="R176" s="3" t="str">
        <f>IF($K176&lt;&gt;"",IF($A176="Prepago",0,IF(($H176+SUM($B$12:$B176))*$S$6&gt;SUM($R$11:$R175)+$S$6,$S$6*2,$S$6)),"")</f>
        <v/>
      </c>
      <c r="S176" s="3" t="str">
        <f>IF($K176&lt;&gt;"",IF($A176="Prepago",0,IF(($H176+SUM($B$12:$B176))*$S$7&gt;SUM($S$11:$S175)+$S$7,$S$7*2,$S$7)),"")</f>
        <v/>
      </c>
      <c r="T176" s="3" t="str">
        <f>IF($K176&lt;&gt;"",IF($A176="Prepago",0,IF(($H176+SUM($B$12:$B176))*$S$8&gt;SUM($T$11:$T175)+$S$8,$S$8*2,$S$8)),"")</f>
        <v/>
      </c>
      <c r="U176" s="3" t="str">
        <f>IF($K176&lt;&gt;"",$N176-$P176,"")</f>
        <v/>
      </c>
      <c r="V176" s="3" t="str">
        <f t="shared" si="5"/>
        <v/>
      </c>
      <c r="W176" s="3" t="str">
        <f>IF($K176&lt;&gt;"",SUM($X176:$XFD176),"")</f>
        <v/>
      </c>
      <c r="X176" s="3" t="str">
        <f>IF($K176&lt;&gt;"",IF($M176&gt;X$11,30,$M176)*ROUND(($N176+$V175)*$T$5/3000,2),"")</f>
        <v/>
      </c>
      <c r="Y176" s="3" t="str">
        <f>IF($K176&lt;&gt;"",IF($M176&gt;X$11,IF($M176&lt;Y$11,$M176-X$11,30),0)*ROUND(($N176+$V175+SUM($X176:X176))*$T$5/3000,2),"")</f>
        <v/>
      </c>
      <c r="Z176" s="3"/>
      <c r="AA176" s="3"/>
    </row>
    <row r="177" spans="5:27" x14ac:dyDescent="0.25">
      <c r="E177" s="5"/>
      <c r="F177" t="str">
        <f>IF($K177&lt;&gt;"",TEXT(L177,"DDD"),"")</f>
        <v/>
      </c>
      <c r="G177" s="5" t="str">
        <f>IF($K177&lt;&gt;"",EOMONTH(DATE(YEAR($M$6),$G$11+K177+SUM($B$12:B177),1),0),"")</f>
        <v/>
      </c>
      <c r="H177" s="22" t="str">
        <f>IF($K177&lt;&gt;"",IF($A177="Prepago",$H176,$H176+1),"")</f>
        <v/>
      </c>
      <c r="I177" s="22" t="str">
        <f>IF($K177&lt;&gt;"",IF(ISNUMBER($C177),-$P177+$W177-$Q177,ABS($W177)+$R177+$S177+$T177),"")</f>
        <v/>
      </c>
      <c r="J177" s="22" t="str">
        <f>IF(K177&lt;&gt;"",IF(COUNTA($X177:$XFD177)*30&lt;$M177,1,0),"")</f>
        <v/>
      </c>
      <c r="K177" t="str">
        <f>IF($K176&lt;NCUOTAS+CUOTAADICIONAL+PGRACIA,$K176+1,"")</f>
        <v/>
      </c>
      <c r="L177" s="5" t="str">
        <f>IF($K177&lt;&gt;"",IF(ULTIMODIA=0,IF($E177="",DATE(YEAR($M$7),MONTH($M$7)+($A$1*($H177-1))+SUM($B$12:$B177),DAY($M$7)),$E177),G177),"")</f>
        <v/>
      </c>
      <c r="M177" s="9" t="str">
        <f>IF($K177&lt;&gt;"",$L177-$L176,"")</f>
        <v/>
      </c>
      <c r="N177" s="3" t="str">
        <f>IF($K177&lt;&gt;"",$U176,"")</f>
        <v/>
      </c>
      <c r="O177" s="3" t="str">
        <f>IF($K177&lt;&gt;"",IF($A177="Gracia Parcial",IF(AND($C177&lt;$W177+$R177+$S177+$T177+$V176,$C177&gt;0),$C177,$W177+$R177+$S177+$T177+$V176),IF($A177="Gracia Total",0,IF($A177="Prepago",$C177,IF(ISNUMBER($C177),$C177*VALUE(MID($C$1,MONTH($L177),1)),$P$5*VALUE(MID($C$1,MONTH($L177),1))))))-IF($K178="",ARREGLO,0),"")</f>
        <v/>
      </c>
      <c r="P177" s="3" t="str">
        <f>IF($K177&lt;&gt;"",IF($O177-$Q177&gt;0,$O177-$Q177-$R177-$S177-$T177,0),"")</f>
        <v/>
      </c>
      <c r="Q177" s="3" t="str">
        <f t="shared" si="4"/>
        <v/>
      </c>
      <c r="R177" s="3" t="str">
        <f>IF($K177&lt;&gt;"",IF($A177="Prepago",0,IF(($H177+SUM($B$12:$B177))*$S$6&gt;SUM($R$11:$R176)+$S$6,$S$6*2,$S$6)),"")</f>
        <v/>
      </c>
      <c r="S177" s="3" t="str">
        <f>IF($K177&lt;&gt;"",IF($A177="Prepago",0,IF(($H177+SUM($B$12:$B177))*$S$7&gt;SUM($S$11:$S176)+$S$7,$S$7*2,$S$7)),"")</f>
        <v/>
      </c>
      <c r="T177" s="3" t="str">
        <f>IF($K177&lt;&gt;"",IF($A177="Prepago",0,IF(($H177+SUM($B$12:$B177))*$S$8&gt;SUM($T$11:$T176)+$S$8,$S$8*2,$S$8)),"")</f>
        <v/>
      </c>
      <c r="U177" s="3" t="str">
        <f>IF($K177&lt;&gt;"",$N177-$P177,"")</f>
        <v/>
      </c>
      <c r="V177" s="3" t="str">
        <f t="shared" si="5"/>
        <v/>
      </c>
      <c r="W177" s="3" t="str">
        <f>IF($K177&lt;&gt;"",SUM($X177:$XFD177),"")</f>
        <v/>
      </c>
      <c r="X177" s="3" t="str">
        <f>IF($K177&lt;&gt;"",IF($M177&gt;X$11,30,$M177)*ROUND(($N177+$V176)*$T$5/3000,2),"")</f>
        <v/>
      </c>
      <c r="Y177" s="3" t="str">
        <f>IF($K177&lt;&gt;"",IF($M177&gt;X$11,IF($M177&lt;Y$11,$M177-X$11,30),0)*ROUND(($N177+$V176+SUM($X177:X177))*$T$5/3000,2),"")</f>
        <v/>
      </c>
      <c r="Z177" s="3"/>
      <c r="AA177" s="3"/>
    </row>
    <row r="178" spans="5:27" x14ac:dyDescent="0.25">
      <c r="E178" s="5"/>
      <c r="F178" t="str">
        <f>IF($K178&lt;&gt;"",TEXT(L178,"DDD"),"")</f>
        <v/>
      </c>
      <c r="G178" s="5" t="str">
        <f>IF($K178&lt;&gt;"",EOMONTH(DATE(YEAR($M$6),$G$11+K178+SUM($B$12:B178),1),0),"")</f>
        <v/>
      </c>
      <c r="H178" s="22" t="str">
        <f>IF($K178&lt;&gt;"",IF($A178="Prepago",$H177,$H177+1),"")</f>
        <v/>
      </c>
      <c r="I178" s="22" t="str">
        <f>IF($K178&lt;&gt;"",IF(ISNUMBER($C178),-$P178+$W178-$Q178,ABS($W178)+$R178+$S178+$T178),"")</f>
        <v/>
      </c>
      <c r="J178" s="22" t="str">
        <f>IF(K178&lt;&gt;"",IF(COUNTA($X178:$XFD178)*30&lt;$M178,1,0),"")</f>
        <v/>
      </c>
      <c r="K178" t="str">
        <f>IF($K177&lt;NCUOTAS+CUOTAADICIONAL+PGRACIA,$K177+1,"")</f>
        <v/>
      </c>
      <c r="L178" s="5" t="str">
        <f>IF($K178&lt;&gt;"",IF(ULTIMODIA=0,IF($E178="",DATE(YEAR($M$7),MONTH($M$7)+($A$1*($H178-1))+SUM($B$12:$B178),DAY($M$7)),$E178),G178),"")</f>
        <v/>
      </c>
      <c r="M178" s="9" t="str">
        <f>IF($K178&lt;&gt;"",$L178-$L177,"")</f>
        <v/>
      </c>
      <c r="N178" s="3" t="str">
        <f>IF($K178&lt;&gt;"",$U177,"")</f>
        <v/>
      </c>
      <c r="O178" s="3" t="str">
        <f>IF($K178&lt;&gt;"",IF($A178="Gracia Parcial",IF(AND($C178&lt;$W178+$R178+$S178+$T178+$V177,$C178&gt;0),$C178,$W178+$R178+$S178+$T178+$V177),IF($A178="Gracia Total",0,IF($A178="Prepago",$C178,IF(ISNUMBER($C178),$C178*VALUE(MID($C$1,MONTH($L178),1)),$P$5*VALUE(MID($C$1,MONTH($L178),1))))))-IF($K179="",ARREGLO,0),"")</f>
        <v/>
      </c>
      <c r="P178" s="3" t="str">
        <f>IF($K178&lt;&gt;"",IF($O178-$Q178&gt;0,$O178-$Q178-$R178-$S178-$T178,0),"")</f>
        <v/>
      </c>
      <c r="Q178" s="3" t="str">
        <f t="shared" si="4"/>
        <v/>
      </c>
      <c r="R178" s="3" t="str">
        <f>IF($K178&lt;&gt;"",IF($A178="Prepago",0,IF(($H178+SUM($B$12:$B178))*$S$6&gt;SUM($R$11:$R177)+$S$6,$S$6*2,$S$6)),"")</f>
        <v/>
      </c>
      <c r="S178" s="3" t="str">
        <f>IF($K178&lt;&gt;"",IF($A178="Prepago",0,IF(($H178+SUM($B$12:$B178))*$S$7&gt;SUM($S$11:$S177)+$S$7,$S$7*2,$S$7)),"")</f>
        <v/>
      </c>
      <c r="T178" s="3" t="str">
        <f>IF($K178&lt;&gt;"",IF($A178="Prepago",0,IF(($H178+SUM($B$12:$B178))*$S$8&gt;SUM($T$11:$T177)+$S$8,$S$8*2,$S$8)),"")</f>
        <v/>
      </c>
      <c r="U178" s="3" t="str">
        <f>IF($K178&lt;&gt;"",$N178-$P178,"")</f>
        <v/>
      </c>
      <c r="V178" s="3" t="str">
        <f t="shared" si="5"/>
        <v/>
      </c>
      <c r="W178" s="3" t="str">
        <f>IF($K178&lt;&gt;"",SUM($X178:$XFD178),"")</f>
        <v/>
      </c>
      <c r="X178" s="3" t="str">
        <f>IF($K178&lt;&gt;"",IF($M178&gt;X$11,30,$M178)*ROUND(($N178+$V177)*$T$5/3000,2),"")</f>
        <v/>
      </c>
      <c r="Y178" s="3" t="str">
        <f>IF($K178&lt;&gt;"",IF($M178&gt;X$11,IF($M178&lt;Y$11,$M178-X$11,30),0)*ROUND(($N178+$V177+SUM($X178:X178))*$T$5/3000,2),"")</f>
        <v/>
      </c>
      <c r="Z178" s="3"/>
      <c r="AA178" s="3"/>
    </row>
    <row r="179" spans="5:27" x14ac:dyDescent="0.25">
      <c r="E179" s="5"/>
      <c r="F179" t="str">
        <f>IF($K179&lt;&gt;"",TEXT(L179,"DDD"),"")</f>
        <v/>
      </c>
      <c r="G179" s="5" t="str">
        <f>IF($K179&lt;&gt;"",EOMONTH(DATE(YEAR($M$6),$G$11+K179+SUM($B$12:B179),1),0),"")</f>
        <v/>
      </c>
      <c r="H179" s="22" t="str">
        <f>IF($K179&lt;&gt;"",IF($A179="Prepago",$H178,$H178+1),"")</f>
        <v/>
      </c>
      <c r="I179" s="22" t="str">
        <f>IF($K179&lt;&gt;"",IF(ISNUMBER($C179),-$P179+$W179-$Q179,ABS($W179)+$R179+$S179+$T179),"")</f>
        <v/>
      </c>
      <c r="J179" s="22" t="str">
        <f>IF(K179&lt;&gt;"",IF(COUNTA($X179:$XFD179)*30&lt;$M179,1,0),"")</f>
        <v/>
      </c>
      <c r="K179" t="str">
        <f>IF($K178&lt;NCUOTAS+CUOTAADICIONAL+PGRACIA,$K178+1,"")</f>
        <v/>
      </c>
      <c r="L179" s="5" t="str">
        <f>IF($K179&lt;&gt;"",IF(ULTIMODIA=0,IF($E179="",DATE(YEAR($M$7),MONTH($M$7)+($A$1*($H179-1))+SUM($B$12:$B179),DAY($M$7)),$E179),G179),"")</f>
        <v/>
      </c>
      <c r="M179" s="9" t="str">
        <f>IF($K179&lt;&gt;"",$L179-$L178,"")</f>
        <v/>
      </c>
      <c r="N179" s="3" t="str">
        <f>IF($K179&lt;&gt;"",$U178,"")</f>
        <v/>
      </c>
      <c r="O179" s="3" t="str">
        <f>IF($K179&lt;&gt;"",IF($A179="Gracia Parcial",IF(AND($C179&lt;$W179+$R179+$S179+$T179+$V178,$C179&gt;0),$C179,$W179+$R179+$S179+$T179+$V178),IF($A179="Gracia Total",0,IF($A179="Prepago",$C179,IF(ISNUMBER($C179),$C179*VALUE(MID($C$1,MONTH($L179),1)),$P$5*VALUE(MID($C$1,MONTH($L179),1))))))-IF($K180="",ARREGLO,0),"")</f>
        <v/>
      </c>
      <c r="P179" s="3" t="str">
        <f>IF($K179&lt;&gt;"",IF($O179-$Q179&gt;0,$O179-$Q179-$R179-$S179-$T179,0),"")</f>
        <v/>
      </c>
      <c r="Q179" s="3" t="str">
        <f t="shared" si="4"/>
        <v/>
      </c>
      <c r="R179" s="3" t="str">
        <f>IF($K179&lt;&gt;"",IF($A179="Prepago",0,IF(($H179+SUM($B$12:$B179))*$S$6&gt;SUM($R$11:$R178)+$S$6,$S$6*2,$S$6)),"")</f>
        <v/>
      </c>
      <c r="S179" s="3" t="str">
        <f>IF($K179&lt;&gt;"",IF($A179="Prepago",0,IF(($H179+SUM($B$12:$B179))*$S$7&gt;SUM($S$11:$S178)+$S$7,$S$7*2,$S$7)),"")</f>
        <v/>
      </c>
      <c r="T179" s="3" t="str">
        <f>IF($K179&lt;&gt;"",IF($A179="Prepago",0,IF(($H179+SUM($B$12:$B179))*$S$8&gt;SUM($T$11:$T178)+$S$8,$S$8*2,$S$8)),"")</f>
        <v/>
      </c>
      <c r="U179" s="3" t="str">
        <f>IF($K179&lt;&gt;"",$N179-$P179,"")</f>
        <v/>
      </c>
      <c r="V179" s="3" t="str">
        <f t="shared" si="5"/>
        <v/>
      </c>
      <c r="W179" s="3" t="str">
        <f>IF($K179&lt;&gt;"",SUM($X179:$XFD179),"")</f>
        <v/>
      </c>
      <c r="X179" s="3" t="str">
        <f>IF($K179&lt;&gt;"",IF($M179&gt;X$11,30,$M179)*ROUND(($N179+$V178)*$T$5/3000,2),"")</f>
        <v/>
      </c>
      <c r="Y179" s="3" t="str">
        <f>IF($K179&lt;&gt;"",IF($M179&gt;X$11,IF($M179&lt;Y$11,$M179-X$11,30),0)*ROUND(($N179+$V178+SUM($X179:X179))*$T$5/3000,2),"")</f>
        <v/>
      </c>
      <c r="Z179" s="3"/>
      <c r="AA179" s="3"/>
    </row>
    <row r="180" spans="5:27" x14ac:dyDescent="0.25">
      <c r="E180" s="5"/>
      <c r="F180" t="str">
        <f>IF($K180&lt;&gt;"",TEXT(L180,"DDD"),"")</f>
        <v/>
      </c>
      <c r="G180" s="5" t="str">
        <f>IF($K180&lt;&gt;"",EOMONTH(DATE(YEAR($M$6),$G$11+K180+SUM($B$12:B180),1),0),"")</f>
        <v/>
      </c>
      <c r="H180" s="22" t="str">
        <f>IF($K180&lt;&gt;"",IF($A180="Prepago",$H179,$H179+1),"")</f>
        <v/>
      </c>
      <c r="I180" s="22" t="str">
        <f>IF($K180&lt;&gt;"",IF(ISNUMBER($C180),-$P180+$W180-$Q180,ABS($W180)+$R180+$S180+$T180),"")</f>
        <v/>
      </c>
      <c r="J180" s="22" t="str">
        <f>IF(K180&lt;&gt;"",IF(COUNTA($X180:$XFD180)*30&lt;$M180,1,0),"")</f>
        <v/>
      </c>
      <c r="K180" t="str">
        <f>IF($K179&lt;NCUOTAS+CUOTAADICIONAL+PGRACIA,$K179+1,"")</f>
        <v/>
      </c>
      <c r="L180" s="5" t="str">
        <f>IF($K180&lt;&gt;"",IF(ULTIMODIA=0,IF($E180="",DATE(YEAR($M$7),MONTH($M$7)+($A$1*($H180-1))+SUM($B$12:$B180),DAY($M$7)),$E180),G180),"")</f>
        <v/>
      </c>
      <c r="M180" s="9" t="str">
        <f>IF($K180&lt;&gt;"",$L180-$L179,"")</f>
        <v/>
      </c>
      <c r="N180" s="3" t="str">
        <f>IF($K180&lt;&gt;"",$U179,"")</f>
        <v/>
      </c>
      <c r="O180" s="3" t="str">
        <f>IF($K180&lt;&gt;"",IF($A180="Gracia Parcial",IF(AND($C180&lt;$W180+$R180+$S180+$T180+$V179,$C180&gt;0),$C180,$W180+$R180+$S180+$T180+$V179),IF($A180="Gracia Total",0,IF($A180="Prepago",$C180,IF(ISNUMBER($C180),$C180*VALUE(MID($C$1,MONTH($L180),1)),$P$5*VALUE(MID($C$1,MONTH($L180),1))))))-IF($K181="",ARREGLO,0),"")</f>
        <v/>
      </c>
      <c r="P180" s="3" t="str">
        <f>IF($K180&lt;&gt;"",IF($O180-$Q180&gt;0,$O180-$Q180-$R180-$S180-$T180,0),"")</f>
        <v/>
      </c>
      <c r="Q180" s="3" t="str">
        <f t="shared" si="4"/>
        <v/>
      </c>
      <c r="R180" s="3" t="str">
        <f>IF($K180&lt;&gt;"",IF($A180="Prepago",0,IF(($H180+SUM($B$12:$B180))*$S$6&gt;SUM($R$11:$R179)+$S$6,$S$6*2,$S$6)),"")</f>
        <v/>
      </c>
      <c r="S180" s="3" t="str">
        <f>IF($K180&lt;&gt;"",IF($A180="Prepago",0,IF(($H180+SUM($B$12:$B180))*$S$7&gt;SUM($S$11:$S179)+$S$7,$S$7*2,$S$7)),"")</f>
        <v/>
      </c>
      <c r="T180" s="3" t="str">
        <f>IF($K180&lt;&gt;"",IF($A180="Prepago",0,IF(($H180+SUM($B$12:$B180))*$S$8&gt;SUM($T$11:$T179)+$S$8,$S$8*2,$S$8)),"")</f>
        <v/>
      </c>
      <c r="U180" s="3" t="str">
        <f>IF($K180&lt;&gt;"",$N180-$P180,"")</f>
        <v/>
      </c>
      <c r="V180" s="3" t="str">
        <f t="shared" si="5"/>
        <v/>
      </c>
      <c r="W180" s="3" t="str">
        <f>IF($K180&lt;&gt;"",SUM($X180:$XFD180),"")</f>
        <v/>
      </c>
      <c r="X180" s="3" t="str">
        <f>IF($K180&lt;&gt;"",IF($M180&gt;X$11,30,$M180)*ROUND(($N180+$V179)*$T$5/3000,2),"")</f>
        <v/>
      </c>
      <c r="Y180" s="3" t="str">
        <f>IF($K180&lt;&gt;"",IF($M180&gt;X$11,IF($M180&lt;Y$11,$M180-X$11,30),0)*ROUND(($N180+$V179+SUM($X180:X180))*$T$5/3000,2),"")</f>
        <v/>
      </c>
      <c r="Z180" s="3"/>
      <c r="AA180" s="3"/>
    </row>
    <row r="181" spans="5:27" x14ac:dyDescent="0.25">
      <c r="E181" s="5"/>
      <c r="F181" t="str">
        <f>IF($K181&lt;&gt;"",TEXT(L181,"DDD"),"")</f>
        <v/>
      </c>
      <c r="G181" s="5" t="str">
        <f>IF($K181&lt;&gt;"",EOMONTH(DATE(YEAR($M$6),$G$11+K181+SUM($B$12:B181),1),0),"")</f>
        <v/>
      </c>
      <c r="H181" s="22" t="str">
        <f>IF($K181&lt;&gt;"",IF($A181="Prepago",$H180,$H180+1),"")</f>
        <v/>
      </c>
      <c r="I181" s="22" t="str">
        <f>IF($K181&lt;&gt;"",IF(ISNUMBER($C181),-$P181+$W181-$Q181,ABS($W181)+$R181+$S181+$T181),"")</f>
        <v/>
      </c>
      <c r="J181" s="22" t="str">
        <f>IF(K181&lt;&gt;"",IF(COUNTA($X181:$XFD181)*30&lt;$M181,1,0),"")</f>
        <v/>
      </c>
      <c r="K181" t="str">
        <f>IF($K180&lt;NCUOTAS+CUOTAADICIONAL+PGRACIA,$K180+1,"")</f>
        <v/>
      </c>
      <c r="L181" s="5" t="str">
        <f>IF($K181&lt;&gt;"",IF(ULTIMODIA=0,IF($E181="",DATE(YEAR($M$7),MONTH($M$7)+($A$1*($H181-1))+SUM($B$12:$B181),DAY($M$7)),$E181),G181),"")</f>
        <v/>
      </c>
      <c r="M181" s="9" t="str">
        <f>IF($K181&lt;&gt;"",$L181-$L180,"")</f>
        <v/>
      </c>
      <c r="N181" s="3" t="str">
        <f>IF($K181&lt;&gt;"",$U180,"")</f>
        <v/>
      </c>
      <c r="O181" s="3" t="str">
        <f>IF($K181&lt;&gt;"",IF($A181="Gracia Parcial",IF(AND($C181&lt;$W181+$R181+$S181+$T181+$V180,$C181&gt;0),$C181,$W181+$R181+$S181+$T181+$V180),IF($A181="Gracia Total",0,IF($A181="Prepago",$C181,IF(ISNUMBER($C181),$C181*VALUE(MID($C$1,MONTH($L181),1)),$P$5*VALUE(MID($C$1,MONTH($L181),1))))))-IF($K182="",ARREGLO,0),"")</f>
        <v/>
      </c>
      <c r="P181" s="3" t="str">
        <f>IF($K181&lt;&gt;"",IF($O181-$Q181&gt;0,$O181-$Q181-$R181-$S181-$T181,0),"")</f>
        <v/>
      </c>
      <c r="Q181" s="3" t="str">
        <f t="shared" si="4"/>
        <v/>
      </c>
      <c r="R181" s="3" t="str">
        <f>IF($K181&lt;&gt;"",IF($A181="Prepago",0,IF(($H181+SUM($B$12:$B181))*$S$6&gt;SUM($R$11:$R180)+$S$6,$S$6*2,$S$6)),"")</f>
        <v/>
      </c>
      <c r="S181" s="3" t="str">
        <f>IF($K181&lt;&gt;"",IF($A181="Prepago",0,IF(($H181+SUM($B$12:$B181))*$S$7&gt;SUM($S$11:$S180)+$S$7,$S$7*2,$S$7)),"")</f>
        <v/>
      </c>
      <c r="T181" s="3" t="str">
        <f>IF($K181&lt;&gt;"",IF($A181="Prepago",0,IF(($H181+SUM($B$12:$B181))*$S$8&gt;SUM($T$11:$T180)+$S$8,$S$8*2,$S$8)),"")</f>
        <v/>
      </c>
      <c r="U181" s="3" t="str">
        <f>IF($K181&lt;&gt;"",$N181-$P181,"")</f>
        <v/>
      </c>
      <c r="V181" s="3" t="str">
        <f t="shared" si="5"/>
        <v/>
      </c>
      <c r="W181" s="3" t="str">
        <f>IF($K181&lt;&gt;"",SUM($X181:$XFD181),"")</f>
        <v/>
      </c>
      <c r="X181" s="3" t="str">
        <f>IF($K181&lt;&gt;"",IF($M181&gt;X$11,30,$M181)*ROUND(($N181+$V180)*$T$5/3000,2),"")</f>
        <v/>
      </c>
      <c r="Y181" s="3" t="str">
        <f>IF($K181&lt;&gt;"",IF($M181&gt;X$11,IF($M181&lt;Y$11,$M181-X$11,30),0)*ROUND(($N181+$V180+SUM($X181:X181))*$T$5/3000,2),"")</f>
        <v/>
      </c>
      <c r="Z181" s="3"/>
      <c r="AA181" s="3"/>
    </row>
    <row r="182" spans="5:27" x14ac:dyDescent="0.25">
      <c r="E182" s="5"/>
      <c r="F182" t="str">
        <f>IF($K182&lt;&gt;"",TEXT(L182,"DDD"),"")</f>
        <v/>
      </c>
      <c r="G182" s="5" t="str">
        <f>IF($K182&lt;&gt;"",EOMONTH(DATE(YEAR($M$6),$G$11+K182+SUM($B$12:B182),1),0),"")</f>
        <v/>
      </c>
      <c r="H182" s="22" t="str">
        <f>IF($K182&lt;&gt;"",IF($A182="Prepago",$H181,$H181+1),"")</f>
        <v/>
      </c>
      <c r="I182" s="22" t="str">
        <f>IF($K182&lt;&gt;"",IF(ISNUMBER($C182),-$P182+$W182-$Q182,ABS($W182)+$R182+$S182+$T182),"")</f>
        <v/>
      </c>
      <c r="J182" s="22" t="str">
        <f>IF(K182&lt;&gt;"",IF(COUNTA($X182:$XFD182)*30&lt;$M182,1,0),"")</f>
        <v/>
      </c>
      <c r="K182" t="str">
        <f>IF($K181&lt;NCUOTAS+CUOTAADICIONAL+PGRACIA,$K181+1,"")</f>
        <v/>
      </c>
      <c r="L182" s="5" t="str">
        <f>IF($K182&lt;&gt;"",IF(ULTIMODIA=0,IF($E182="",DATE(YEAR($M$7),MONTH($M$7)+($A$1*($H182-1))+SUM($B$12:$B182),DAY($M$7)),$E182),G182),"")</f>
        <v/>
      </c>
      <c r="M182" s="9" t="str">
        <f>IF($K182&lt;&gt;"",$L182-$L181,"")</f>
        <v/>
      </c>
      <c r="N182" s="3" t="str">
        <f>IF($K182&lt;&gt;"",$U181,"")</f>
        <v/>
      </c>
      <c r="O182" s="3" t="str">
        <f>IF($K182&lt;&gt;"",IF($A182="Gracia Parcial",IF(AND($C182&lt;$W182+$R182+$S182+$T182+$V181,$C182&gt;0),$C182,$W182+$R182+$S182+$T182+$V181),IF($A182="Gracia Total",0,IF($A182="Prepago",$C182,IF(ISNUMBER($C182),$C182*VALUE(MID($C$1,MONTH($L182),1)),$P$5*VALUE(MID($C$1,MONTH($L182),1))))))-IF($K183="",ARREGLO,0),"")</f>
        <v/>
      </c>
      <c r="P182" s="3" t="str">
        <f>IF($K182&lt;&gt;"",IF($O182-$Q182&gt;0,$O182-$Q182-$R182-$S182-$T182,0),"")</f>
        <v/>
      </c>
      <c r="Q182" s="3" t="str">
        <f t="shared" si="4"/>
        <v/>
      </c>
      <c r="R182" s="3" t="str">
        <f>IF($K182&lt;&gt;"",IF($A182="Prepago",0,IF(($H182+SUM($B$12:$B182))*$S$6&gt;SUM($R$11:$R181)+$S$6,$S$6*2,$S$6)),"")</f>
        <v/>
      </c>
      <c r="S182" s="3" t="str">
        <f>IF($K182&lt;&gt;"",IF($A182="Prepago",0,IF(($H182+SUM($B$12:$B182))*$S$7&gt;SUM($S$11:$S181)+$S$7,$S$7*2,$S$7)),"")</f>
        <v/>
      </c>
      <c r="T182" s="3" t="str">
        <f>IF($K182&lt;&gt;"",IF($A182="Prepago",0,IF(($H182+SUM($B$12:$B182))*$S$8&gt;SUM($T$11:$T181)+$S$8,$S$8*2,$S$8)),"")</f>
        <v/>
      </c>
      <c r="U182" s="3" t="str">
        <f>IF($K182&lt;&gt;"",$N182-$P182,"")</f>
        <v/>
      </c>
      <c r="V182" s="3" t="str">
        <f t="shared" si="5"/>
        <v/>
      </c>
      <c r="W182" s="3" t="str">
        <f>IF($K182&lt;&gt;"",SUM($X182:$XFD182),"")</f>
        <v/>
      </c>
      <c r="X182" s="3" t="str">
        <f>IF($K182&lt;&gt;"",IF($M182&gt;X$11,30,$M182)*ROUND(($N182+$V181)*$T$5/3000,2),"")</f>
        <v/>
      </c>
      <c r="Y182" s="3" t="str">
        <f>IF($K182&lt;&gt;"",IF($M182&gt;X$11,IF($M182&lt;Y$11,$M182-X$11,30),0)*ROUND(($N182+$V181+SUM($X182:X182))*$T$5/3000,2),"")</f>
        <v/>
      </c>
      <c r="Z182" s="3"/>
      <c r="AA182" s="3"/>
    </row>
    <row r="183" spans="5:27" x14ac:dyDescent="0.25">
      <c r="E183" s="5"/>
      <c r="F183" t="str">
        <f>IF($K183&lt;&gt;"",TEXT(L183,"DDD"),"")</f>
        <v/>
      </c>
      <c r="G183" s="5" t="str">
        <f>IF($K183&lt;&gt;"",EOMONTH(DATE(YEAR($M$6),$G$11+K183+SUM($B$12:B183),1),0),"")</f>
        <v/>
      </c>
      <c r="H183" s="22" t="str">
        <f>IF($K183&lt;&gt;"",IF($A183="Prepago",$H182,$H182+1),"")</f>
        <v/>
      </c>
      <c r="I183" s="22" t="str">
        <f>IF($K183&lt;&gt;"",IF(ISNUMBER($C183),-$P183+$W183-$Q183,ABS($W183)+$R183+$S183+$T183),"")</f>
        <v/>
      </c>
      <c r="J183" s="22" t="str">
        <f>IF(K183&lt;&gt;"",IF(COUNTA($X183:$XFD183)*30&lt;$M183,1,0),"")</f>
        <v/>
      </c>
      <c r="K183" t="str">
        <f>IF($K182&lt;NCUOTAS+CUOTAADICIONAL+PGRACIA,$K182+1,"")</f>
        <v/>
      </c>
      <c r="L183" s="5" t="str">
        <f>IF($K183&lt;&gt;"",IF(ULTIMODIA=0,IF($E183="",DATE(YEAR($M$7),MONTH($M$7)+($A$1*($H183-1))+SUM($B$12:$B183),DAY($M$7)),$E183),G183),"")</f>
        <v/>
      </c>
      <c r="M183" s="9" t="str">
        <f>IF($K183&lt;&gt;"",$L183-$L182,"")</f>
        <v/>
      </c>
      <c r="N183" s="3" t="str">
        <f>IF($K183&lt;&gt;"",$U182,"")</f>
        <v/>
      </c>
      <c r="O183" s="3" t="str">
        <f>IF($K183&lt;&gt;"",IF($A183="Gracia Parcial",IF(AND($C183&lt;$W183+$R183+$S183+$T183+$V182,$C183&gt;0),$C183,$W183+$R183+$S183+$T183+$V182),IF($A183="Gracia Total",0,IF($A183="Prepago",$C183,IF(ISNUMBER($C183),$C183*VALUE(MID($C$1,MONTH($L183),1)),$P$5*VALUE(MID($C$1,MONTH($L183),1))))))-IF($K184="",ARREGLO,0),"")</f>
        <v/>
      </c>
      <c r="P183" s="3" t="str">
        <f>IF($K183&lt;&gt;"",IF($O183-$Q183&gt;0,$O183-$Q183-$R183-$S183-$T183,0),"")</f>
        <v/>
      </c>
      <c r="Q183" s="3" t="str">
        <f t="shared" si="4"/>
        <v/>
      </c>
      <c r="R183" s="3" t="str">
        <f>IF($K183&lt;&gt;"",IF($A183="Prepago",0,IF(($H183+SUM($B$12:$B183))*$S$6&gt;SUM($R$11:$R182)+$S$6,$S$6*2,$S$6)),"")</f>
        <v/>
      </c>
      <c r="S183" s="3" t="str">
        <f>IF($K183&lt;&gt;"",IF($A183="Prepago",0,IF(($H183+SUM($B$12:$B183))*$S$7&gt;SUM($S$11:$S182)+$S$7,$S$7*2,$S$7)),"")</f>
        <v/>
      </c>
      <c r="T183" s="3" t="str">
        <f>IF($K183&lt;&gt;"",IF($A183="Prepago",0,IF(($H183+SUM($B$12:$B183))*$S$8&gt;SUM($T$11:$T182)+$S$8,$S$8*2,$S$8)),"")</f>
        <v/>
      </c>
      <c r="U183" s="3" t="str">
        <f>IF($K183&lt;&gt;"",$N183-$P183,"")</f>
        <v/>
      </c>
      <c r="V183" s="3" t="str">
        <f t="shared" si="5"/>
        <v/>
      </c>
      <c r="W183" s="3" t="str">
        <f>IF($K183&lt;&gt;"",SUM($X183:$XFD183),"")</f>
        <v/>
      </c>
      <c r="X183" s="3" t="str">
        <f>IF($K183&lt;&gt;"",IF($M183&gt;X$11,30,$M183)*ROUND(($N183+$V182)*$T$5/3000,2),"")</f>
        <v/>
      </c>
      <c r="Y183" s="3" t="str">
        <f>IF($K183&lt;&gt;"",IF($M183&gt;X$11,IF($M183&lt;Y$11,$M183-X$11,30),0)*ROUND(($N183+$V182+SUM($X183:X183))*$T$5/3000,2),"")</f>
        <v/>
      </c>
      <c r="Z183" s="3"/>
      <c r="AA183" s="3"/>
    </row>
    <row r="184" spans="5:27" x14ac:dyDescent="0.25">
      <c r="E184" s="5"/>
      <c r="F184" t="str">
        <f>IF($K184&lt;&gt;"",TEXT(L184,"DDD"),"")</f>
        <v/>
      </c>
      <c r="G184" s="5" t="str">
        <f>IF($K184&lt;&gt;"",EOMONTH(DATE(YEAR($M$6),$G$11+K184+SUM($B$12:B184),1),0),"")</f>
        <v/>
      </c>
      <c r="H184" s="22" t="str">
        <f>IF($K184&lt;&gt;"",IF($A184="Prepago",$H183,$H183+1),"")</f>
        <v/>
      </c>
      <c r="I184" s="22" t="str">
        <f>IF($K184&lt;&gt;"",IF(ISNUMBER($C184),-$P184+$W184-$Q184,ABS($W184)+$R184+$S184+$T184),"")</f>
        <v/>
      </c>
      <c r="J184" s="22" t="str">
        <f>IF(K184&lt;&gt;"",IF(COUNTA($X184:$XFD184)*30&lt;$M184,1,0),"")</f>
        <v/>
      </c>
      <c r="K184" t="str">
        <f>IF($K183&lt;NCUOTAS+CUOTAADICIONAL+PGRACIA,$K183+1,"")</f>
        <v/>
      </c>
      <c r="L184" s="5" t="str">
        <f>IF($K184&lt;&gt;"",IF(ULTIMODIA=0,IF($E184="",DATE(YEAR($M$7),MONTH($M$7)+($A$1*($H184-1))+SUM($B$12:$B184),DAY($M$7)),$E184),G184),"")</f>
        <v/>
      </c>
      <c r="M184" s="9" t="str">
        <f>IF($K184&lt;&gt;"",$L184-$L183,"")</f>
        <v/>
      </c>
      <c r="N184" s="3" t="str">
        <f>IF($K184&lt;&gt;"",$U183,"")</f>
        <v/>
      </c>
      <c r="O184" s="3" t="str">
        <f>IF($K184&lt;&gt;"",IF($A184="Gracia Parcial",IF(AND($C184&lt;$W184+$R184+$S184+$T184+$V183,$C184&gt;0),$C184,$W184+$R184+$S184+$T184+$V183),IF($A184="Gracia Total",0,IF($A184="Prepago",$C184,IF(ISNUMBER($C184),$C184*VALUE(MID($C$1,MONTH($L184),1)),$P$5*VALUE(MID($C$1,MONTH($L184),1))))))-IF($K185="",ARREGLO,0),"")</f>
        <v/>
      </c>
      <c r="P184" s="3" t="str">
        <f>IF($K184&lt;&gt;"",IF($O184-$Q184&gt;0,$O184-$Q184-$R184-$S184-$T184,0),"")</f>
        <v/>
      </c>
      <c r="Q184" s="3" t="str">
        <f t="shared" si="4"/>
        <v/>
      </c>
      <c r="R184" s="3" t="str">
        <f>IF($K184&lt;&gt;"",IF($A184="Prepago",0,IF(($H184+SUM($B$12:$B184))*$S$6&gt;SUM($R$11:$R183)+$S$6,$S$6*2,$S$6)),"")</f>
        <v/>
      </c>
      <c r="S184" s="3" t="str">
        <f>IF($K184&lt;&gt;"",IF($A184="Prepago",0,IF(($H184+SUM($B$12:$B184))*$S$7&gt;SUM($S$11:$S183)+$S$7,$S$7*2,$S$7)),"")</f>
        <v/>
      </c>
      <c r="T184" s="3" t="str">
        <f>IF($K184&lt;&gt;"",IF($A184="Prepago",0,IF(($H184+SUM($B$12:$B184))*$S$8&gt;SUM($T$11:$T183)+$S$8,$S$8*2,$S$8)),"")</f>
        <v/>
      </c>
      <c r="U184" s="3" t="str">
        <f>IF($K184&lt;&gt;"",$N184-$P184,"")</f>
        <v/>
      </c>
      <c r="V184" s="3" t="str">
        <f t="shared" si="5"/>
        <v/>
      </c>
      <c r="W184" s="3" t="str">
        <f>IF($K184&lt;&gt;"",SUM($X184:$XFD184),"")</f>
        <v/>
      </c>
      <c r="X184" s="3" t="str">
        <f>IF($K184&lt;&gt;"",IF($M184&gt;X$11,30,$M184)*ROUND(($N184+$V183)*$T$5/3000,2),"")</f>
        <v/>
      </c>
      <c r="Y184" s="3" t="str">
        <f>IF($K184&lt;&gt;"",IF($M184&gt;X$11,IF($M184&lt;Y$11,$M184-X$11,30),0)*ROUND(($N184+$V183+SUM($X184:X184))*$T$5/3000,2),"")</f>
        <v/>
      </c>
      <c r="Z184" s="3"/>
      <c r="AA184" s="3"/>
    </row>
    <row r="185" spans="5:27" x14ac:dyDescent="0.25">
      <c r="E185" s="5"/>
      <c r="F185" t="str">
        <f>IF($K185&lt;&gt;"",TEXT(L185,"DDD"),"")</f>
        <v/>
      </c>
      <c r="G185" s="5" t="str">
        <f>IF($K185&lt;&gt;"",EOMONTH(DATE(YEAR($M$6),$G$11+K185+SUM($B$12:B185),1),0),"")</f>
        <v/>
      </c>
      <c r="H185" s="22" t="str">
        <f>IF($K185&lt;&gt;"",IF($A185="Prepago",$H184,$H184+1),"")</f>
        <v/>
      </c>
      <c r="I185" s="22" t="str">
        <f>IF($K185&lt;&gt;"",IF(ISNUMBER($C185),-$P185+$W185-$Q185,ABS($W185)+$R185+$S185+$T185),"")</f>
        <v/>
      </c>
      <c r="J185" s="22" t="str">
        <f>IF(K185&lt;&gt;"",IF(COUNTA($X185:$XFD185)*30&lt;$M185,1,0),"")</f>
        <v/>
      </c>
      <c r="K185" t="str">
        <f>IF($K184&lt;NCUOTAS+CUOTAADICIONAL+PGRACIA,$K184+1,"")</f>
        <v/>
      </c>
      <c r="L185" s="5" t="str">
        <f>IF($K185&lt;&gt;"",IF(ULTIMODIA=0,IF($E185="",DATE(YEAR($M$7),MONTH($M$7)+($A$1*($H185-1))+SUM($B$12:$B185),DAY($M$7)),$E185),G185),"")</f>
        <v/>
      </c>
      <c r="M185" s="9" t="str">
        <f>IF($K185&lt;&gt;"",$L185-$L184,"")</f>
        <v/>
      </c>
      <c r="N185" s="3" t="str">
        <f>IF($K185&lt;&gt;"",$U184,"")</f>
        <v/>
      </c>
      <c r="O185" s="3" t="str">
        <f>IF($K185&lt;&gt;"",IF($A185="Gracia Parcial",IF(AND($C185&lt;$W185+$R185+$S185+$T185+$V184,$C185&gt;0),$C185,$W185+$R185+$S185+$T185+$V184),IF($A185="Gracia Total",0,IF($A185="Prepago",$C185,IF(ISNUMBER($C185),$C185*VALUE(MID($C$1,MONTH($L185),1)),$P$5*VALUE(MID($C$1,MONTH($L185),1))))))-IF($K186="",ARREGLO,0),"")</f>
        <v/>
      </c>
      <c r="P185" s="3" t="str">
        <f>IF($K185&lt;&gt;"",IF($O185-$Q185&gt;0,$O185-$Q185-$R185-$S185-$T185,0),"")</f>
        <v/>
      </c>
      <c r="Q185" s="3" t="str">
        <f t="shared" si="4"/>
        <v/>
      </c>
      <c r="R185" s="3" t="str">
        <f>IF($K185&lt;&gt;"",IF($A185="Prepago",0,IF(($H185+SUM($B$12:$B185))*$S$6&gt;SUM($R$11:$R184)+$S$6,$S$6*2,$S$6)),"")</f>
        <v/>
      </c>
      <c r="S185" s="3" t="str">
        <f>IF($K185&lt;&gt;"",IF($A185="Prepago",0,IF(($H185+SUM($B$12:$B185))*$S$7&gt;SUM($S$11:$S184)+$S$7,$S$7*2,$S$7)),"")</f>
        <v/>
      </c>
      <c r="T185" s="3" t="str">
        <f>IF($K185&lt;&gt;"",IF($A185="Prepago",0,IF(($H185+SUM($B$12:$B185))*$S$8&gt;SUM($T$11:$T184)+$S$8,$S$8*2,$S$8)),"")</f>
        <v/>
      </c>
      <c r="U185" s="3" t="str">
        <f>IF($K185&lt;&gt;"",$N185-$P185,"")</f>
        <v/>
      </c>
      <c r="V185" s="3" t="str">
        <f t="shared" si="5"/>
        <v/>
      </c>
      <c r="W185" s="3" t="str">
        <f>IF($K185&lt;&gt;"",SUM($X185:$XFD185),"")</f>
        <v/>
      </c>
      <c r="X185" s="3" t="str">
        <f>IF($K185&lt;&gt;"",IF($M185&gt;X$11,30,$M185)*ROUND(($N185+$V184)*$T$5/3000,2),"")</f>
        <v/>
      </c>
      <c r="Y185" s="3" t="str">
        <f>IF($K185&lt;&gt;"",IF($M185&gt;X$11,IF($M185&lt;Y$11,$M185-X$11,30),0)*ROUND(($N185+$V184+SUM($X185:X185))*$T$5/3000,2),"")</f>
        <v/>
      </c>
      <c r="Z185" s="3"/>
      <c r="AA185" s="3"/>
    </row>
    <row r="186" spans="5:27" x14ac:dyDescent="0.25">
      <c r="E186" s="5"/>
      <c r="F186" t="str">
        <f>IF($K186&lt;&gt;"",TEXT(L186,"DDD"),"")</f>
        <v/>
      </c>
      <c r="G186" s="5" t="str">
        <f>IF($K186&lt;&gt;"",EOMONTH(DATE(YEAR($M$6),$G$11+K186+SUM($B$12:B186),1),0),"")</f>
        <v/>
      </c>
      <c r="H186" s="22" t="str">
        <f>IF($K186&lt;&gt;"",IF($A186="Prepago",$H185,$H185+1),"")</f>
        <v/>
      </c>
      <c r="I186" s="22" t="str">
        <f>IF($K186&lt;&gt;"",IF(ISNUMBER($C186),-$P186+$W186-$Q186,ABS($W186)+$R186+$S186+$T186),"")</f>
        <v/>
      </c>
      <c r="J186" s="22" t="str">
        <f>IF(K186&lt;&gt;"",IF(COUNTA($X186:$XFD186)*30&lt;$M186,1,0),"")</f>
        <v/>
      </c>
      <c r="K186" t="str">
        <f>IF($K185&lt;NCUOTAS+CUOTAADICIONAL+PGRACIA,$K185+1,"")</f>
        <v/>
      </c>
      <c r="L186" s="5" t="str">
        <f>IF($K186&lt;&gt;"",IF(ULTIMODIA=0,IF($E186="",DATE(YEAR($M$7),MONTH($M$7)+($A$1*($H186-1))+SUM($B$12:$B186),DAY($M$7)),$E186),G186),"")</f>
        <v/>
      </c>
      <c r="M186" s="9" t="str">
        <f>IF($K186&lt;&gt;"",$L186-$L185,"")</f>
        <v/>
      </c>
      <c r="N186" s="3" t="str">
        <f>IF($K186&lt;&gt;"",$U185,"")</f>
        <v/>
      </c>
      <c r="O186" s="3" t="str">
        <f>IF($K186&lt;&gt;"",IF($A186="Gracia Parcial",IF(AND($C186&lt;$W186+$R186+$S186+$T186+$V185,$C186&gt;0),$C186,$W186+$R186+$S186+$T186+$V185),IF($A186="Gracia Total",0,IF($A186="Prepago",$C186,IF(ISNUMBER($C186),$C186*VALUE(MID($C$1,MONTH($L186),1)),$P$5*VALUE(MID($C$1,MONTH($L186),1))))))-IF($K187="",ARREGLO,0),"")</f>
        <v/>
      </c>
      <c r="P186" s="3" t="str">
        <f>IF($K186&lt;&gt;"",IF($O186-$Q186&gt;0,$O186-$Q186-$R186-$S186-$T186,0),"")</f>
        <v/>
      </c>
      <c r="Q186" s="3" t="str">
        <f t="shared" si="4"/>
        <v/>
      </c>
      <c r="R186" s="3" t="str">
        <f>IF($K186&lt;&gt;"",IF($A186="Prepago",0,IF(($H186+SUM($B$12:$B186))*$S$6&gt;SUM($R$11:$R185)+$S$6,$S$6*2,$S$6)),"")</f>
        <v/>
      </c>
      <c r="S186" s="3" t="str">
        <f>IF($K186&lt;&gt;"",IF($A186="Prepago",0,IF(($H186+SUM($B$12:$B186))*$S$7&gt;SUM($S$11:$S185)+$S$7,$S$7*2,$S$7)),"")</f>
        <v/>
      </c>
      <c r="T186" s="3" t="str">
        <f>IF($K186&lt;&gt;"",IF($A186="Prepago",0,IF(($H186+SUM($B$12:$B186))*$S$8&gt;SUM($T$11:$T185)+$S$8,$S$8*2,$S$8)),"")</f>
        <v/>
      </c>
      <c r="U186" s="3" t="str">
        <f>IF($K186&lt;&gt;"",$N186-$P186,"")</f>
        <v/>
      </c>
      <c r="V186" s="3" t="str">
        <f t="shared" si="5"/>
        <v/>
      </c>
      <c r="W186" s="3" t="str">
        <f>IF($K186&lt;&gt;"",SUM($X186:$XFD186),"")</f>
        <v/>
      </c>
      <c r="X186" s="3" t="str">
        <f>IF($K186&lt;&gt;"",IF($M186&gt;X$11,30,$M186)*ROUND(($N186+$V185)*$T$5/3000,2),"")</f>
        <v/>
      </c>
      <c r="Y186" s="3" t="str">
        <f>IF($K186&lt;&gt;"",IF($M186&gt;X$11,IF($M186&lt;Y$11,$M186-X$11,30),0)*ROUND(($N186+$V185+SUM($X186:X186))*$T$5/3000,2),"")</f>
        <v/>
      </c>
      <c r="Z186" s="3"/>
      <c r="AA186" s="3"/>
    </row>
    <row r="187" spans="5:27" x14ac:dyDescent="0.25">
      <c r="E187" s="5"/>
      <c r="F187" t="str">
        <f>IF($K187&lt;&gt;"",TEXT(L187,"DDD"),"")</f>
        <v/>
      </c>
      <c r="G187" s="5" t="str">
        <f>IF($K187&lt;&gt;"",EOMONTH(DATE(YEAR($M$6),$G$11+K187+SUM($B$12:B187),1),0),"")</f>
        <v/>
      </c>
      <c r="H187" s="22" t="str">
        <f>IF($K187&lt;&gt;"",IF($A187="Prepago",$H186,$H186+1),"")</f>
        <v/>
      </c>
      <c r="I187" s="22" t="str">
        <f>IF($K187&lt;&gt;"",IF(ISNUMBER($C187),-$P187+$W187-$Q187,ABS($W187)+$R187+$S187+$T187),"")</f>
        <v/>
      </c>
      <c r="J187" s="22" t="str">
        <f>IF(K187&lt;&gt;"",IF(COUNTA($X187:$XFD187)*30&lt;$M187,1,0),"")</f>
        <v/>
      </c>
      <c r="K187" t="str">
        <f>IF($K186&lt;NCUOTAS+CUOTAADICIONAL+PGRACIA,$K186+1,"")</f>
        <v/>
      </c>
      <c r="L187" s="5" t="str">
        <f>IF($K187&lt;&gt;"",IF(ULTIMODIA=0,IF($E187="",DATE(YEAR($M$7),MONTH($M$7)+($A$1*($H187-1))+SUM($B$12:$B187),DAY($M$7)),$E187),G187),"")</f>
        <v/>
      </c>
      <c r="M187" s="9" t="str">
        <f>IF($K187&lt;&gt;"",$L187-$L186,"")</f>
        <v/>
      </c>
      <c r="N187" s="3" t="str">
        <f>IF($K187&lt;&gt;"",$U186,"")</f>
        <v/>
      </c>
      <c r="O187" s="3" t="str">
        <f>IF($K187&lt;&gt;"",IF($A187="Gracia Parcial",IF(AND($C187&lt;$W187+$R187+$S187+$T187+$V186,$C187&gt;0),$C187,$W187+$R187+$S187+$T187+$V186),IF($A187="Gracia Total",0,IF($A187="Prepago",$C187,IF(ISNUMBER($C187),$C187*VALUE(MID($C$1,MONTH($L187),1)),$P$5*VALUE(MID($C$1,MONTH($L187),1))))))-IF($K188="",ARREGLO,0),"")</f>
        <v/>
      </c>
      <c r="P187" s="3" t="str">
        <f>IF($K187&lt;&gt;"",IF($O187-$Q187&gt;0,$O187-$Q187-$R187-$S187-$T187,0),"")</f>
        <v/>
      </c>
      <c r="Q187" s="3" t="str">
        <f t="shared" si="4"/>
        <v/>
      </c>
      <c r="R187" s="3" t="str">
        <f>IF($K187&lt;&gt;"",IF($A187="Prepago",0,IF(($H187+SUM($B$12:$B187))*$S$6&gt;SUM($R$11:$R186)+$S$6,$S$6*2,$S$6)),"")</f>
        <v/>
      </c>
      <c r="S187" s="3" t="str">
        <f>IF($K187&lt;&gt;"",IF($A187="Prepago",0,IF(($H187+SUM($B$12:$B187))*$S$7&gt;SUM($S$11:$S186)+$S$7,$S$7*2,$S$7)),"")</f>
        <v/>
      </c>
      <c r="T187" s="3" t="str">
        <f>IF($K187&lt;&gt;"",IF($A187="Prepago",0,IF(($H187+SUM($B$12:$B187))*$S$8&gt;SUM($T$11:$T186)+$S$8,$S$8*2,$S$8)),"")</f>
        <v/>
      </c>
      <c r="U187" s="3" t="str">
        <f>IF($K187&lt;&gt;"",$N187-$P187,"")</f>
        <v/>
      </c>
      <c r="V187" s="3" t="str">
        <f t="shared" si="5"/>
        <v/>
      </c>
      <c r="W187" s="3" t="str">
        <f>IF($K187&lt;&gt;"",SUM($X187:$XFD187),"")</f>
        <v/>
      </c>
      <c r="X187" s="3" t="str">
        <f>IF($K187&lt;&gt;"",IF($M187&gt;X$11,30,$M187)*ROUND(($N187+$V186)*$T$5/3000,2),"")</f>
        <v/>
      </c>
      <c r="Y187" s="3" t="str">
        <f>IF($K187&lt;&gt;"",IF($M187&gt;X$11,IF($M187&lt;Y$11,$M187-X$11,30),0)*ROUND(($N187+$V186+SUM($X187:X187))*$T$5/3000,2),"")</f>
        <v/>
      </c>
      <c r="Z187" s="3"/>
      <c r="AA187" s="3"/>
    </row>
    <row r="188" spans="5:27" x14ac:dyDescent="0.25">
      <c r="E188" s="5"/>
      <c r="F188" t="str">
        <f>IF($K188&lt;&gt;"",TEXT(L188,"DDD"),"")</f>
        <v/>
      </c>
      <c r="G188" s="5" t="str">
        <f>IF($K188&lt;&gt;"",EOMONTH(DATE(YEAR($M$6),$G$11+K188+SUM($B$12:B188),1),0),"")</f>
        <v/>
      </c>
      <c r="H188" s="22" t="str">
        <f>IF($K188&lt;&gt;"",IF($A188="Prepago",$H187,$H187+1),"")</f>
        <v/>
      </c>
      <c r="I188" s="22" t="str">
        <f>IF($K188&lt;&gt;"",IF(ISNUMBER($C188),-$P188+$W188-$Q188,ABS($W188)+$R188+$S188+$T188),"")</f>
        <v/>
      </c>
      <c r="J188" s="22" t="str">
        <f>IF(K188&lt;&gt;"",IF(COUNTA($X188:$XFD188)*30&lt;$M188,1,0),"")</f>
        <v/>
      </c>
      <c r="K188" t="str">
        <f>IF($K187&lt;NCUOTAS+CUOTAADICIONAL+PGRACIA,$K187+1,"")</f>
        <v/>
      </c>
      <c r="L188" s="5" t="str">
        <f>IF($K188&lt;&gt;"",IF(ULTIMODIA=0,IF($E188="",DATE(YEAR($M$7),MONTH($M$7)+($A$1*($H188-1))+SUM($B$12:$B188),DAY($M$7)),$E188),G188),"")</f>
        <v/>
      </c>
      <c r="M188" s="9" t="str">
        <f>IF($K188&lt;&gt;"",$L188-$L187,"")</f>
        <v/>
      </c>
      <c r="N188" s="3" t="str">
        <f>IF($K188&lt;&gt;"",$U187,"")</f>
        <v/>
      </c>
      <c r="O188" s="3" t="str">
        <f>IF($K188&lt;&gt;"",IF($A188="Gracia Parcial",IF(AND($C188&lt;$W188+$R188+$S188+$T188+$V187,$C188&gt;0),$C188,$W188+$R188+$S188+$T188+$V187),IF($A188="Gracia Total",0,IF($A188="Prepago",$C188,IF(ISNUMBER($C188),$C188*VALUE(MID($C$1,MONTH($L188),1)),$P$5*VALUE(MID($C$1,MONTH($L188),1))))))-IF($K189="",ARREGLO,0),"")</f>
        <v/>
      </c>
      <c r="P188" s="3" t="str">
        <f>IF($K188&lt;&gt;"",IF($O188-$Q188&gt;0,$O188-$Q188-$R188-$S188-$T188,0),"")</f>
        <v/>
      </c>
      <c r="Q188" s="3" t="str">
        <f t="shared" si="4"/>
        <v/>
      </c>
      <c r="R188" s="3" t="str">
        <f>IF($K188&lt;&gt;"",IF($A188="Prepago",0,IF(($H188+SUM($B$12:$B188))*$S$6&gt;SUM($R$11:$R187)+$S$6,$S$6*2,$S$6)),"")</f>
        <v/>
      </c>
      <c r="S188" s="3" t="str">
        <f>IF($K188&lt;&gt;"",IF($A188="Prepago",0,IF(($H188+SUM($B$12:$B188))*$S$7&gt;SUM($S$11:$S187)+$S$7,$S$7*2,$S$7)),"")</f>
        <v/>
      </c>
      <c r="T188" s="3" t="str">
        <f>IF($K188&lt;&gt;"",IF($A188="Prepago",0,IF(($H188+SUM($B$12:$B188))*$S$8&gt;SUM($T$11:$T187)+$S$8,$S$8*2,$S$8)),"")</f>
        <v/>
      </c>
      <c r="U188" s="3" t="str">
        <f>IF($K188&lt;&gt;"",$N188-$P188,"")</f>
        <v/>
      </c>
      <c r="V188" s="3" t="str">
        <f t="shared" si="5"/>
        <v/>
      </c>
      <c r="W188" s="3" t="str">
        <f>IF($K188&lt;&gt;"",SUM($X188:$XFD188),"")</f>
        <v/>
      </c>
      <c r="X188" s="3" t="str">
        <f>IF($K188&lt;&gt;"",IF($M188&gt;X$11,30,$M188)*ROUND(($N188+$V187)*$T$5/3000,2),"")</f>
        <v/>
      </c>
      <c r="Y188" s="3" t="str">
        <f>IF($K188&lt;&gt;"",IF($M188&gt;X$11,IF($M188&lt;Y$11,$M188-X$11,30),0)*ROUND(($N188+$V187+SUM($X188:X188))*$T$5/3000,2),"")</f>
        <v/>
      </c>
      <c r="Z188" s="3"/>
      <c r="AA188" s="3"/>
    </row>
    <row r="189" spans="5:27" x14ac:dyDescent="0.25">
      <c r="E189" s="5"/>
      <c r="F189" t="str">
        <f>IF($K189&lt;&gt;"",TEXT(L189,"DDD"),"")</f>
        <v/>
      </c>
      <c r="G189" s="5" t="str">
        <f>IF($K189&lt;&gt;"",EOMONTH(DATE(YEAR($M$6),$G$11+K189+SUM($B$12:B189),1),0),"")</f>
        <v/>
      </c>
      <c r="H189" s="22" t="str">
        <f>IF($K189&lt;&gt;"",IF($A189="Prepago",$H188,$H188+1),"")</f>
        <v/>
      </c>
      <c r="I189" s="22" t="str">
        <f>IF($K189&lt;&gt;"",IF(ISNUMBER($C189),-$P189+$W189-$Q189,ABS($W189)+$R189+$S189+$T189),"")</f>
        <v/>
      </c>
      <c r="J189" s="22" t="str">
        <f>IF(K189&lt;&gt;"",IF(COUNTA($X189:$XFD189)*30&lt;$M189,1,0),"")</f>
        <v/>
      </c>
      <c r="K189" t="str">
        <f>IF($K188&lt;NCUOTAS+CUOTAADICIONAL+PGRACIA,$K188+1,"")</f>
        <v/>
      </c>
      <c r="L189" s="5" t="str">
        <f>IF($K189&lt;&gt;"",IF(ULTIMODIA=0,IF($E189="",DATE(YEAR($M$7),MONTH($M$7)+($A$1*($H189-1))+SUM($B$12:$B189),DAY($M$7)),$E189),G189),"")</f>
        <v/>
      </c>
      <c r="M189" s="9" t="str">
        <f>IF($K189&lt;&gt;"",$L189-$L188,"")</f>
        <v/>
      </c>
      <c r="N189" s="3" t="str">
        <f>IF($K189&lt;&gt;"",$U188,"")</f>
        <v/>
      </c>
      <c r="O189" s="3" t="str">
        <f>IF($K189&lt;&gt;"",IF($A189="Gracia Parcial",IF(AND($C189&lt;$W189+$R189+$S189+$T189+$V188,$C189&gt;0),$C189,$W189+$R189+$S189+$T189+$V188),IF($A189="Gracia Total",0,IF($A189="Prepago",$C189,IF(ISNUMBER($C189),$C189*VALUE(MID($C$1,MONTH($L189),1)),$P$5*VALUE(MID($C$1,MONTH($L189),1))))))-IF($K190="",ARREGLO,0),"")</f>
        <v/>
      </c>
      <c r="P189" s="3" t="str">
        <f>IF($K189&lt;&gt;"",IF($O189-$Q189&gt;0,$O189-$Q189-$R189-$S189-$T189,0),"")</f>
        <v/>
      </c>
      <c r="Q189" s="3" t="str">
        <f t="shared" si="4"/>
        <v/>
      </c>
      <c r="R189" s="3" t="str">
        <f>IF($K189&lt;&gt;"",IF($A189="Prepago",0,IF(($H189+SUM($B$12:$B189))*$S$6&gt;SUM($R$11:$R188)+$S$6,$S$6*2,$S$6)),"")</f>
        <v/>
      </c>
      <c r="S189" s="3" t="str">
        <f>IF($K189&lt;&gt;"",IF($A189="Prepago",0,IF(($H189+SUM($B$12:$B189))*$S$7&gt;SUM($S$11:$S188)+$S$7,$S$7*2,$S$7)),"")</f>
        <v/>
      </c>
      <c r="T189" s="3" t="str">
        <f>IF($K189&lt;&gt;"",IF($A189="Prepago",0,IF(($H189+SUM($B$12:$B189))*$S$8&gt;SUM($T$11:$T188)+$S$8,$S$8*2,$S$8)),"")</f>
        <v/>
      </c>
      <c r="U189" s="3" t="str">
        <f>IF($K189&lt;&gt;"",$N189-$P189,"")</f>
        <v/>
      </c>
      <c r="V189" s="3" t="str">
        <f t="shared" si="5"/>
        <v/>
      </c>
      <c r="W189" s="3" t="str">
        <f>IF($K189&lt;&gt;"",SUM($X189:$XFD189),"")</f>
        <v/>
      </c>
      <c r="X189" s="3" t="str">
        <f>IF($K189&lt;&gt;"",IF($M189&gt;X$11,30,$M189)*ROUND(($N189+$V188)*$T$5/3000,2),"")</f>
        <v/>
      </c>
      <c r="Y189" s="3" t="str">
        <f>IF($K189&lt;&gt;"",IF($M189&gt;X$11,IF($M189&lt;Y$11,$M189-X$11,30),0)*ROUND(($N189+$V188+SUM($X189:X189))*$T$5/3000,2),"")</f>
        <v/>
      </c>
      <c r="Z189" s="3"/>
      <c r="AA189" s="3"/>
    </row>
    <row r="190" spans="5:27" x14ac:dyDescent="0.25">
      <c r="E190" s="5"/>
      <c r="F190" t="str">
        <f>IF($K190&lt;&gt;"",TEXT(L190,"DDD"),"")</f>
        <v/>
      </c>
      <c r="G190" s="5" t="str">
        <f>IF($K190&lt;&gt;"",EOMONTH(DATE(YEAR($M$6),$G$11+K190+SUM($B$12:B190),1),0),"")</f>
        <v/>
      </c>
      <c r="H190" s="22" t="str">
        <f>IF($K190&lt;&gt;"",IF($A190="Prepago",$H189,$H189+1),"")</f>
        <v/>
      </c>
      <c r="I190" s="22" t="str">
        <f>IF($K190&lt;&gt;"",IF(ISNUMBER($C190),-$P190+$W190-$Q190,ABS($W190)+$R190+$S190+$T190),"")</f>
        <v/>
      </c>
      <c r="J190" s="22" t="str">
        <f>IF(K190&lt;&gt;"",IF(COUNTA($X190:$XFD190)*30&lt;$M190,1,0),"")</f>
        <v/>
      </c>
      <c r="K190" t="str">
        <f>IF($K189&lt;NCUOTAS+CUOTAADICIONAL+PGRACIA,$K189+1,"")</f>
        <v/>
      </c>
      <c r="L190" s="5" t="str">
        <f>IF($K190&lt;&gt;"",IF(ULTIMODIA=0,IF($E190="",DATE(YEAR($M$7),MONTH($M$7)+($A$1*($H190-1))+SUM($B$12:$B190),DAY($M$7)),$E190),G190),"")</f>
        <v/>
      </c>
      <c r="M190" s="9" t="str">
        <f>IF($K190&lt;&gt;"",$L190-$L189,"")</f>
        <v/>
      </c>
      <c r="N190" s="3" t="str">
        <f>IF($K190&lt;&gt;"",$U189,"")</f>
        <v/>
      </c>
      <c r="O190" s="3" t="str">
        <f>IF($K190&lt;&gt;"",IF($A190="Gracia Parcial",IF(AND($C190&lt;$W190+$R190+$S190+$T190+$V189,$C190&gt;0),$C190,$W190+$R190+$S190+$T190+$V189),IF($A190="Gracia Total",0,IF($A190="Prepago",$C190,IF(ISNUMBER($C190),$C190*VALUE(MID($C$1,MONTH($L190),1)),$P$5*VALUE(MID($C$1,MONTH($L190),1))))))-IF($K191="",ARREGLO,0),"")</f>
        <v/>
      </c>
      <c r="P190" s="3" t="str">
        <f>IF($K190&lt;&gt;"",IF($O190-$Q190&gt;0,$O190-$Q190-$R190-$S190-$T190,0),"")</f>
        <v/>
      </c>
      <c r="Q190" s="3" t="str">
        <f t="shared" si="4"/>
        <v/>
      </c>
      <c r="R190" s="3" t="str">
        <f>IF($K190&lt;&gt;"",IF($A190="Prepago",0,IF(($H190+SUM($B$12:$B190))*$S$6&gt;SUM($R$11:$R189)+$S$6,$S$6*2,$S$6)),"")</f>
        <v/>
      </c>
      <c r="S190" s="3" t="str">
        <f>IF($K190&lt;&gt;"",IF($A190="Prepago",0,IF(($H190+SUM($B$12:$B190))*$S$7&gt;SUM($S$11:$S189)+$S$7,$S$7*2,$S$7)),"")</f>
        <v/>
      </c>
      <c r="T190" s="3" t="str">
        <f>IF($K190&lt;&gt;"",IF($A190="Prepago",0,IF(($H190+SUM($B$12:$B190))*$S$8&gt;SUM($T$11:$T189)+$S$8,$S$8*2,$S$8)),"")</f>
        <v/>
      </c>
      <c r="U190" s="3" t="str">
        <f>IF($K190&lt;&gt;"",$N190-$P190,"")</f>
        <v/>
      </c>
      <c r="V190" s="3" t="str">
        <f t="shared" si="5"/>
        <v/>
      </c>
      <c r="W190" s="3" t="str">
        <f>IF($K190&lt;&gt;"",SUM($X190:$XFD190),"")</f>
        <v/>
      </c>
      <c r="X190" s="3" t="str">
        <f>IF($K190&lt;&gt;"",IF($M190&gt;X$11,30,$M190)*ROUND(($N190+$V189)*$T$5/3000,2),"")</f>
        <v/>
      </c>
      <c r="Y190" s="3" t="str">
        <f>IF($K190&lt;&gt;"",IF($M190&gt;X$11,IF($M190&lt;Y$11,$M190-X$11,30),0)*ROUND(($N190+$V189+SUM($X190:X190))*$T$5/3000,2),"")</f>
        <v/>
      </c>
      <c r="Z190" s="3"/>
      <c r="AA190" s="3"/>
    </row>
    <row r="191" spans="5:27" x14ac:dyDescent="0.25">
      <c r="E191" s="5"/>
      <c r="F191" t="str">
        <f>IF($K191&lt;&gt;"",TEXT(L191,"DDD"),"")</f>
        <v/>
      </c>
      <c r="G191" s="5" t="str">
        <f>IF($K191&lt;&gt;"",EOMONTH(DATE(YEAR($M$6),$G$11+K191+SUM($B$12:B191),1),0),"")</f>
        <v/>
      </c>
      <c r="H191" s="22" t="str">
        <f>IF($K191&lt;&gt;"",IF($A191="Prepago",$H190,$H190+1),"")</f>
        <v/>
      </c>
      <c r="I191" s="22" t="str">
        <f>IF($K191&lt;&gt;"",IF(ISNUMBER($C191),-$P191+$W191-$Q191,ABS($W191)+$R191+$S191+$T191),"")</f>
        <v/>
      </c>
      <c r="J191" s="22" t="str">
        <f>IF(K191&lt;&gt;"",IF(COUNTA($X191:$XFD191)*30&lt;$M191,1,0),"")</f>
        <v/>
      </c>
      <c r="K191" t="str">
        <f>IF($K190&lt;NCUOTAS+CUOTAADICIONAL+PGRACIA,$K190+1,"")</f>
        <v/>
      </c>
      <c r="L191" s="5" t="str">
        <f>IF($K191&lt;&gt;"",IF(ULTIMODIA=0,IF($E191="",DATE(YEAR($M$7),MONTH($M$7)+($A$1*($H191-1))+SUM($B$12:$B191),DAY($M$7)),$E191),G191),"")</f>
        <v/>
      </c>
      <c r="M191" s="9" t="str">
        <f>IF($K191&lt;&gt;"",$L191-$L190,"")</f>
        <v/>
      </c>
      <c r="N191" s="3" t="str">
        <f>IF($K191&lt;&gt;"",$U190,"")</f>
        <v/>
      </c>
      <c r="O191" s="3" t="str">
        <f>IF($K191&lt;&gt;"",IF($A191="Gracia Parcial",IF(AND($C191&lt;$W191+$R191+$S191+$T191+$V190,$C191&gt;0),$C191,$W191+$R191+$S191+$T191+$V190),IF($A191="Gracia Total",0,IF($A191="Prepago",$C191,IF(ISNUMBER($C191),$C191*VALUE(MID($C$1,MONTH($L191),1)),$P$5*VALUE(MID($C$1,MONTH($L191),1))))))-IF($K192="",ARREGLO,0),"")</f>
        <v/>
      </c>
      <c r="P191" s="3" t="str">
        <f>IF($K191&lt;&gt;"",IF($O191-$Q191&gt;0,$O191-$Q191-$R191-$S191-$T191,0),"")</f>
        <v/>
      </c>
      <c r="Q191" s="3" t="str">
        <f t="shared" si="4"/>
        <v/>
      </c>
      <c r="R191" s="3" t="str">
        <f>IF($K191&lt;&gt;"",IF($A191="Prepago",0,IF(($H191+SUM($B$12:$B191))*$S$6&gt;SUM($R$11:$R190)+$S$6,$S$6*2,$S$6)),"")</f>
        <v/>
      </c>
      <c r="S191" s="3" t="str">
        <f>IF($K191&lt;&gt;"",IF($A191="Prepago",0,IF(($H191+SUM($B$12:$B191))*$S$7&gt;SUM($S$11:$S190)+$S$7,$S$7*2,$S$7)),"")</f>
        <v/>
      </c>
      <c r="T191" s="3" t="str">
        <f>IF($K191&lt;&gt;"",IF($A191="Prepago",0,IF(($H191+SUM($B$12:$B191))*$S$8&gt;SUM($T$11:$T190)+$S$8,$S$8*2,$S$8)),"")</f>
        <v/>
      </c>
      <c r="U191" s="3" t="str">
        <f>IF($K191&lt;&gt;"",$N191-$P191,"")</f>
        <v/>
      </c>
      <c r="V191" s="3" t="str">
        <f t="shared" si="5"/>
        <v/>
      </c>
      <c r="W191" s="3" t="str">
        <f>IF($K191&lt;&gt;"",SUM($X191:$XFD191),"")</f>
        <v/>
      </c>
      <c r="X191" s="3" t="str">
        <f>IF($K191&lt;&gt;"",IF($M191&gt;X$11,30,$M191)*ROUND(($N191+$V190)*$T$5/3000,2),"")</f>
        <v/>
      </c>
      <c r="Y191" s="3" t="str">
        <f>IF($K191&lt;&gt;"",IF($M191&gt;X$11,IF($M191&lt;Y$11,$M191-X$11,30),0)*ROUND(($N191+$V190+SUM($X191:X191))*$T$5/3000,2),"")</f>
        <v/>
      </c>
      <c r="Z191" s="3"/>
      <c r="AA191" s="3"/>
    </row>
    <row r="192" spans="5:27" x14ac:dyDescent="0.25">
      <c r="E192" s="5"/>
      <c r="F192" t="str">
        <f>IF($K192&lt;&gt;"",TEXT(L192,"DDD"),"")</f>
        <v/>
      </c>
      <c r="G192" s="5" t="str">
        <f>IF($K192&lt;&gt;"",EOMONTH(DATE(YEAR($M$6),$G$11+K192+SUM($B$12:B192),1),0),"")</f>
        <v/>
      </c>
      <c r="H192" s="22" t="str">
        <f>IF($K192&lt;&gt;"",IF($A192="Prepago",$H191,$H191+1),"")</f>
        <v/>
      </c>
      <c r="I192" s="22" t="str">
        <f>IF($K192&lt;&gt;"",IF(ISNUMBER($C192),-$P192+$W192-$Q192,ABS($W192)+$R192+$S192+$T192),"")</f>
        <v/>
      </c>
      <c r="J192" s="22" t="str">
        <f>IF(K192&lt;&gt;"",IF(COUNTA($X192:$XFD192)*30&lt;$M192,1,0),"")</f>
        <v/>
      </c>
      <c r="K192" t="str">
        <f>IF($K191&lt;NCUOTAS+CUOTAADICIONAL+PGRACIA,$K191+1,"")</f>
        <v/>
      </c>
      <c r="L192" s="5" t="str">
        <f>IF($K192&lt;&gt;"",IF(ULTIMODIA=0,IF($E192="",DATE(YEAR($M$7),MONTH($M$7)+($A$1*($H192-1))+SUM($B$12:$B192),DAY($M$7)),$E192),G192),"")</f>
        <v/>
      </c>
      <c r="M192" s="9" t="str">
        <f>IF($K192&lt;&gt;"",$L192-$L191,"")</f>
        <v/>
      </c>
      <c r="N192" s="3" t="str">
        <f>IF($K192&lt;&gt;"",$U191,"")</f>
        <v/>
      </c>
      <c r="O192" s="3" t="str">
        <f>IF($K192&lt;&gt;"",IF($A192="Gracia Parcial",IF(AND($C192&lt;$W192+$R192+$S192+$T192+$V191,$C192&gt;0),$C192,$W192+$R192+$S192+$T192+$V191),IF($A192="Gracia Total",0,IF($A192="Prepago",$C192,IF(ISNUMBER($C192),$C192*VALUE(MID($C$1,MONTH($L192),1)),$P$5*VALUE(MID($C$1,MONTH($L192),1))))))-IF($K193="",ARREGLO,0),"")</f>
        <v/>
      </c>
      <c r="P192" s="3" t="str">
        <f>IF($K192&lt;&gt;"",IF($O192-$Q192&gt;0,$O192-$Q192-$R192-$S192-$T192,0),"")</f>
        <v/>
      </c>
      <c r="Q192" s="3" t="str">
        <f t="shared" si="4"/>
        <v/>
      </c>
      <c r="R192" s="3" t="str">
        <f>IF($K192&lt;&gt;"",IF($A192="Prepago",0,IF(($H192+SUM($B$12:$B192))*$S$6&gt;SUM($R$11:$R191)+$S$6,$S$6*2,$S$6)),"")</f>
        <v/>
      </c>
      <c r="S192" s="3" t="str">
        <f>IF($K192&lt;&gt;"",IF($A192="Prepago",0,IF(($H192+SUM($B$12:$B192))*$S$7&gt;SUM($S$11:$S191)+$S$7,$S$7*2,$S$7)),"")</f>
        <v/>
      </c>
      <c r="T192" s="3" t="str">
        <f>IF($K192&lt;&gt;"",IF($A192="Prepago",0,IF(($H192+SUM($B$12:$B192))*$S$8&gt;SUM($T$11:$T191)+$S$8,$S$8*2,$S$8)),"")</f>
        <v/>
      </c>
      <c r="U192" s="3" t="str">
        <f>IF($K192&lt;&gt;"",$N192-$P192,"")</f>
        <v/>
      </c>
      <c r="V192" s="3" t="str">
        <f t="shared" si="5"/>
        <v/>
      </c>
      <c r="W192" s="3" t="str">
        <f>IF($K192&lt;&gt;"",SUM($X192:$XFD192),"")</f>
        <v/>
      </c>
      <c r="X192" s="3" t="str">
        <f>IF($K192&lt;&gt;"",IF($M192&gt;X$11,30,$M192)*ROUND(($N192+$V191)*$T$5/3000,2),"")</f>
        <v/>
      </c>
      <c r="Y192" s="3" t="str">
        <f>IF($K192&lt;&gt;"",IF($M192&gt;X$11,IF($M192&lt;Y$11,$M192-X$11,30),0)*ROUND(($N192+$V191+SUM($X192:X192))*$T$5/3000,2),"")</f>
        <v/>
      </c>
      <c r="Z192" s="3"/>
      <c r="AA192" s="3"/>
    </row>
    <row r="193" spans="5:27" x14ac:dyDescent="0.25">
      <c r="E193" s="5"/>
      <c r="F193" t="str">
        <f>IF($K193&lt;&gt;"",TEXT(L193,"DDD"),"")</f>
        <v/>
      </c>
      <c r="G193" s="5" t="str">
        <f>IF($K193&lt;&gt;"",EOMONTH(DATE(YEAR($M$6),$G$11+K193+SUM($B$12:B193),1),0),"")</f>
        <v/>
      </c>
      <c r="H193" s="22" t="str">
        <f>IF($K193&lt;&gt;"",IF($A193="Prepago",$H192,$H192+1),"")</f>
        <v/>
      </c>
      <c r="I193" s="22" t="str">
        <f>IF($K193&lt;&gt;"",IF(ISNUMBER($C193),-$P193+$W193-$Q193,ABS($W193)+$R193+$S193+$T193),"")</f>
        <v/>
      </c>
      <c r="J193" s="22" t="str">
        <f>IF(K193&lt;&gt;"",IF(COUNTA($X193:$XFD193)*30&lt;$M193,1,0),"")</f>
        <v/>
      </c>
      <c r="K193" t="str">
        <f>IF($K192&lt;NCUOTAS+CUOTAADICIONAL+PGRACIA,$K192+1,"")</f>
        <v/>
      </c>
      <c r="L193" s="5" t="str">
        <f>IF($K193&lt;&gt;"",IF(ULTIMODIA=0,IF($E193="",DATE(YEAR($M$7),MONTH($M$7)+($A$1*($H193-1))+SUM($B$12:$B193),DAY($M$7)),$E193),G193),"")</f>
        <v/>
      </c>
      <c r="M193" s="9" t="str">
        <f>IF($K193&lt;&gt;"",$L193-$L192,"")</f>
        <v/>
      </c>
      <c r="N193" s="3" t="str">
        <f>IF($K193&lt;&gt;"",$U192,"")</f>
        <v/>
      </c>
      <c r="O193" s="3" t="str">
        <f>IF($K193&lt;&gt;"",IF($A193="Gracia Parcial",IF(AND($C193&lt;$W193+$R193+$S193+$T193+$V192,$C193&gt;0),$C193,$W193+$R193+$S193+$T193+$V192),IF($A193="Gracia Total",0,IF($A193="Prepago",$C193,IF(ISNUMBER($C193),$C193*VALUE(MID($C$1,MONTH($L193),1)),$P$5*VALUE(MID($C$1,MONTH($L193),1))))))-IF($K194="",ARREGLO,0),"")</f>
        <v/>
      </c>
      <c r="P193" s="3" t="str">
        <f>IF($K193&lt;&gt;"",IF($O193-$Q193&gt;0,$O193-$Q193-$R193-$S193-$T193,0),"")</f>
        <v/>
      </c>
      <c r="Q193" s="3" t="str">
        <f t="shared" si="4"/>
        <v/>
      </c>
      <c r="R193" s="3" t="str">
        <f>IF($K193&lt;&gt;"",IF($A193="Prepago",0,IF(($H193+SUM($B$12:$B193))*$S$6&gt;SUM($R$11:$R192)+$S$6,$S$6*2,$S$6)),"")</f>
        <v/>
      </c>
      <c r="S193" s="3" t="str">
        <f>IF($K193&lt;&gt;"",IF($A193="Prepago",0,IF(($H193+SUM($B$12:$B193))*$S$7&gt;SUM($S$11:$S192)+$S$7,$S$7*2,$S$7)),"")</f>
        <v/>
      </c>
      <c r="T193" s="3" t="str">
        <f>IF($K193&lt;&gt;"",IF($A193="Prepago",0,IF(($H193+SUM($B$12:$B193))*$S$8&gt;SUM($T$11:$T192)+$S$8,$S$8*2,$S$8)),"")</f>
        <v/>
      </c>
      <c r="U193" s="3" t="str">
        <f>IF($K193&lt;&gt;"",$N193-$P193,"")</f>
        <v/>
      </c>
      <c r="V193" s="3" t="str">
        <f t="shared" si="5"/>
        <v/>
      </c>
      <c r="W193" s="3" t="str">
        <f>IF($K193&lt;&gt;"",SUM($X193:$XFD193),"")</f>
        <v/>
      </c>
      <c r="X193" s="3" t="str">
        <f>IF($K193&lt;&gt;"",IF($M193&gt;X$11,30,$M193)*ROUND(($N193+$V192)*$T$5/3000,2),"")</f>
        <v/>
      </c>
      <c r="Y193" s="3" t="str">
        <f>IF($K193&lt;&gt;"",IF($M193&gt;X$11,IF($M193&lt;Y$11,$M193-X$11,30),0)*ROUND(($N193+$V192+SUM($X193:X193))*$T$5/3000,2),"")</f>
        <v/>
      </c>
      <c r="Z193" s="3"/>
      <c r="AA193" s="3"/>
    </row>
    <row r="194" spans="5:27" x14ac:dyDescent="0.25">
      <c r="E194" s="5"/>
      <c r="F194" t="str">
        <f>IF($K194&lt;&gt;"",TEXT(L194,"DDD"),"")</f>
        <v/>
      </c>
      <c r="G194" s="5" t="str">
        <f>IF($K194&lt;&gt;"",EOMONTH(DATE(YEAR($M$6),$G$11+K194+SUM($B$12:B194),1),0),"")</f>
        <v/>
      </c>
      <c r="H194" s="22" t="str">
        <f>IF($K194&lt;&gt;"",IF($A194="Prepago",$H193,$H193+1),"")</f>
        <v/>
      </c>
      <c r="I194" s="22" t="str">
        <f>IF($K194&lt;&gt;"",IF(ISNUMBER($C194),-$P194+$W194-$Q194,ABS($W194)+$R194+$S194+$T194),"")</f>
        <v/>
      </c>
      <c r="J194" s="22" t="str">
        <f>IF(K194&lt;&gt;"",IF(COUNTA($X194:$XFD194)*30&lt;$M194,1,0),"")</f>
        <v/>
      </c>
      <c r="K194" t="str">
        <f>IF($K193&lt;NCUOTAS+CUOTAADICIONAL+PGRACIA,$K193+1,"")</f>
        <v/>
      </c>
      <c r="L194" s="5" t="str">
        <f>IF($K194&lt;&gt;"",IF(ULTIMODIA=0,IF($E194="",DATE(YEAR($M$7),MONTH($M$7)+($A$1*($H194-1))+SUM($B$12:$B194),DAY($M$7)),$E194),G194),"")</f>
        <v/>
      </c>
      <c r="M194" s="9" t="str">
        <f>IF($K194&lt;&gt;"",$L194-$L193,"")</f>
        <v/>
      </c>
      <c r="N194" s="3" t="str">
        <f>IF($K194&lt;&gt;"",$U193,"")</f>
        <v/>
      </c>
      <c r="O194" s="3" t="str">
        <f>IF($K194&lt;&gt;"",IF($A194="Gracia Parcial",IF(AND($C194&lt;$W194+$R194+$S194+$T194+$V193,$C194&gt;0),$C194,$W194+$R194+$S194+$T194+$V193),IF($A194="Gracia Total",0,IF($A194="Prepago",$C194,IF(ISNUMBER($C194),$C194*VALUE(MID($C$1,MONTH($L194),1)),$P$5*VALUE(MID($C$1,MONTH($L194),1))))))-IF($K195="",ARREGLO,0),"")</f>
        <v/>
      </c>
      <c r="P194" s="3" t="str">
        <f>IF($K194&lt;&gt;"",IF($O194-$Q194&gt;0,$O194-$Q194-$R194-$S194-$T194,0),"")</f>
        <v/>
      </c>
      <c r="Q194" s="3" t="str">
        <f t="shared" si="4"/>
        <v/>
      </c>
      <c r="R194" s="3" t="str">
        <f>IF($K194&lt;&gt;"",IF($A194="Prepago",0,IF(($H194+SUM($B$12:$B194))*$S$6&gt;SUM($R$11:$R193)+$S$6,$S$6*2,$S$6)),"")</f>
        <v/>
      </c>
      <c r="S194" s="3" t="str">
        <f>IF($K194&lt;&gt;"",IF($A194="Prepago",0,IF(($H194+SUM($B$12:$B194))*$S$7&gt;SUM($S$11:$S193)+$S$7,$S$7*2,$S$7)),"")</f>
        <v/>
      </c>
      <c r="T194" s="3" t="str">
        <f>IF($K194&lt;&gt;"",IF($A194="Prepago",0,IF(($H194+SUM($B$12:$B194))*$S$8&gt;SUM($T$11:$T193)+$S$8,$S$8*2,$S$8)),"")</f>
        <v/>
      </c>
      <c r="U194" s="3" t="str">
        <f>IF($K194&lt;&gt;"",$N194-$P194,"")</f>
        <v/>
      </c>
      <c r="V194" s="3" t="str">
        <f t="shared" si="5"/>
        <v/>
      </c>
      <c r="W194" s="3" t="str">
        <f>IF($K194&lt;&gt;"",SUM($X194:$XFD194),"")</f>
        <v/>
      </c>
      <c r="X194" s="3" t="str">
        <f>IF($K194&lt;&gt;"",IF($M194&gt;X$11,30,$M194)*ROUND(($N194+$V193)*$T$5/3000,2),"")</f>
        <v/>
      </c>
      <c r="Y194" s="3" t="str">
        <f>IF($K194&lt;&gt;"",IF($M194&gt;X$11,IF($M194&lt;Y$11,$M194-X$11,30),0)*ROUND(($N194+$V193+SUM($X194:X194))*$T$5/3000,2),"")</f>
        <v/>
      </c>
      <c r="Z194" s="3"/>
      <c r="AA194" s="3"/>
    </row>
    <row r="195" spans="5:27" x14ac:dyDescent="0.25">
      <c r="E195" s="5"/>
      <c r="F195" t="str">
        <f>IF($K195&lt;&gt;"",TEXT(L195,"DDD"),"")</f>
        <v/>
      </c>
      <c r="G195" s="5" t="str">
        <f>IF($K195&lt;&gt;"",EOMONTH(DATE(YEAR($M$6),$G$11+K195+SUM($B$12:B195),1),0),"")</f>
        <v/>
      </c>
      <c r="H195" s="22" t="str">
        <f>IF($K195&lt;&gt;"",IF($A195="Prepago",$H194,$H194+1),"")</f>
        <v/>
      </c>
      <c r="I195" s="22" t="str">
        <f>IF($K195&lt;&gt;"",IF(ISNUMBER($C195),-$P195+$W195-$Q195,ABS($W195)+$R195+$S195+$T195),"")</f>
        <v/>
      </c>
      <c r="J195" s="22" t="str">
        <f>IF(K195&lt;&gt;"",IF(COUNTA($X195:$XFD195)*30&lt;$M195,1,0),"")</f>
        <v/>
      </c>
      <c r="K195" t="str">
        <f>IF($K194&lt;NCUOTAS+CUOTAADICIONAL+PGRACIA,$K194+1,"")</f>
        <v/>
      </c>
      <c r="L195" s="5" t="str">
        <f>IF($K195&lt;&gt;"",IF(ULTIMODIA=0,IF($E195="",DATE(YEAR($M$7),MONTH($M$7)+($A$1*($H195-1))+SUM($B$12:$B195),DAY($M$7)),$E195),G195),"")</f>
        <v/>
      </c>
      <c r="M195" s="9" t="str">
        <f>IF($K195&lt;&gt;"",$L195-$L194,"")</f>
        <v/>
      </c>
      <c r="N195" s="3" t="str">
        <f>IF($K195&lt;&gt;"",$U194,"")</f>
        <v/>
      </c>
      <c r="O195" s="3" t="str">
        <f>IF($K195&lt;&gt;"",IF($A195="Gracia Parcial",IF(AND($C195&lt;$W195+$R195+$S195+$T195+$V194,$C195&gt;0),$C195,$W195+$R195+$S195+$T195+$V194),IF($A195="Gracia Total",0,IF($A195="Prepago",$C195,IF(ISNUMBER($C195),$C195*VALUE(MID($C$1,MONTH($L195),1)),$P$5*VALUE(MID($C$1,MONTH($L195),1))))))-IF($K196="",ARREGLO,0),"")</f>
        <v/>
      </c>
      <c r="P195" s="3" t="str">
        <f>IF($K195&lt;&gt;"",IF($O195-$Q195&gt;0,$O195-$Q195-$R195-$S195-$T195,0),"")</f>
        <v/>
      </c>
      <c r="Q195" s="3" t="str">
        <f t="shared" si="4"/>
        <v/>
      </c>
      <c r="R195" s="3" t="str">
        <f>IF($K195&lt;&gt;"",IF($A195="Prepago",0,IF(($H195+SUM($B$12:$B195))*$S$6&gt;SUM($R$11:$R194)+$S$6,$S$6*2,$S$6)),"")</f>
        <v/>
      </c>
      <c r="S195" s="3" t="str">
        <f>IF($K195&lt;&gt;"",IF($A195="Prepago",0,IF(($H195+SUM($B$12:$B195))*$S$7&gt;SUM($S$11:$S194)+$S$7,$S$7*2,$S$7)),"")</f>
        <v/>
      </c>
      <c r="T195" s="3" t="str">
        <f>IF($K195&lt;&gt;"",IF($A195="Prepago",0,IF(($H195+SUM($B$12:$B195))*$S$8&gt;SUM($T$11:$T194)+$S$8,$S$8*2,$S$8)),"")</f>
        <v/>
      </c>
      <c r="U195" s="3" t="str">
        <f>IF($K195&lt;&gt;"",$N195-$P195,"")</f>
        <v/>
      </c>
      <c r="V195" s="3" t="str">
        <f t="shared" si="5"/>
        <v/>
      </c>
      <c r="W195" s="3" t="str">
        <f>IF($K195&lt;&gt;"",SUM($X195:$XFD195),"")</f>
        <v/>
      </c>
      <c r="X195" s="3" t="str">
        <f>IF($K195&lt;&gt;"",IF($M195&gt;X$11,30,$M195)*ROUND(($N195+$V194)*$T$5/3000,2),"")</f>
        <v/>
      </c>
      <c r="Y195" s="3" t="str">
        <f>IF($K195&lt;&gt;"",IF($M195&gt;X$11,IF($M195&lt;Y$11,$M195-X$11,30),0)*ROUND(($N195+$V194+SUM($X195:X195))*$T$5/3000,2),"")</f>
        <v/>
      </c>
      <c r="Z195" s="3"/>
      <c r="AA195" s="3"/>
    </row>
    <row r="196" spans="5:27" x14ac:dyDescent="0.25">
      <c r="E196" s="5"/>
      <c r="F196" t="str">
        <f>IF($K196&lt;&gt;"",TEXT(L196,"DDD"),"")</f>
        <v/>
      </c>
      <c r="G196" s="5" t="str">
        <f>IF($K196&lt;&gt;"",EOMONTH(DATE(YEAR($M$6),$G$11+K196+SUM($B$12:B196),1),0),"")</f>
        <v/>
      </c>
      <c r="H196" s="22" t="str">
        <f>IF($K196&lt;&gt;"",IF($A196="Prepago",$H195,$H195+1),"")</f>
        <v/>
      </c>
      <c r="I196" s="22" t="str">
        <f>IF($K196&lt;&gt;"",IF(ISNUMBER($C196),-$P196+$W196-$Q196,ABS($W196)+$R196+$S196+$T196),"")</f>
        <v/>
      </c>
      <c r="J196" s="22" t="str">
        <f>IF(K196&lt;&gt;"",IF(COUNTA($X196:$XFD196)*30&lt;$M196,1,0),"")</f>
        <v/>
      </c>
      <c r="K196" t="str">
        <f>IF($K195&lt;NCUOTAS+CUOTAADICIONAL+PGRACIA,$K195+1,"")</f>
        <v/>
      </c>
      <c r="L196" s="5" t="str">
        <f>IF($K196&lt;&gt;"",IF(ULTIMODIA=0,IF($E196="",DATE(YEAR($M$7),MONTH($M$7)+($A$1*($H196-1))+SUM($B$12:$B196),DAY($M$7)),$E196),G196),"")</f>
        <v/>
      </c>
      <c r="M196" s="9" t="str">
        <f>IF($K196&lt;&gt;"",$L196-$L195,"")</f>
        <v/>
      </c>
      <c r="N196" s="3" t="str">
        <f>IF($K196&lt;&gt;"",$U195,"")</f>
        <v/>
      </c>
      <c r="O196" s="3" t="str">
        <f>IF($K196&lt;&gt;"",IF($A196="Gracia Parcial",IF(AND($C196&lt;$W196+$R196+$S196+$T196+$V195,$C196&gt;0),$C196,$W196+$R196+$S196+$T196+$V195),IF($A196="Gracia Total",0,IF($A196="Prepago",$C196,IF(ISNUMBER($C196),$C196*VALUE(MID($C$1,MONTH($L196),1)),$P$5*VALUE(MID($C$1,MONTH($L196),1))))))-IF($K197="",ARREGLO,0),"")</f>
        <v/>
      </c>
      <c r="P196" s="3" t="str">
        <f>IF($K196&lt;&gt;"",IF($O196-$Q196&gt;0,$O196-$Q196-$R196-$S196-$T196,0),"")</f>
        <v/>
      </c>
      <c r="Q196" s="3" t="str">
        <f t="shared" si="4"/>
        <v/>
      </c>
      <c r="R196" s="3" t="str">
        <f>IF($K196&lt;&gt;"",IF($A196="Prepago",0,IF(($H196+SUM($B$12:$B196))*$S$6&gt;SUM($R$11:$R195)+$S$6,$S$6*2,$S$6)),"")</f>
        <v/>
      </c>
      <c r="S196" s="3" t="str">
        <f>IF($K196&lt;&gt;"",IF($A196="Prepago",0,IF(($H196+SUM($B$12:$B196))*$S$7&gt;SUM($S$11:$S195)+$S$7,$S$7*2,$S$7)),"")</f>
        <v/>
      </c>
      <c r="T196" s="3" t="str">
        <f>IF($K196&lt;&gt;"",IF($A196="Prepago",0,IF(($H196+SUM($B$12:$B196))*$S$8&gt;SUM($T$11:$T195)+$S$8,$S$8*2,$S$8)),"")</f>
        <v/>
      </c>
      <c r="U196" s="3" t="str">
        <f>IF($K196&lt;&gt;"",$N196-$P196,"")</f>
        <v/>
      </c>
      <c r="V196" s="3" t="str">
        <f t="shared" si="5"/>
        <v/>
      </c>
      <c r="W196" s="3" t="str">
        <f>IF($K196&lt;&gt;"",SUM($X196:$XFD196),"")</f>
        <v/>
      </c>
      <c r="X196" s="3" t="str">
        <f>IF($K196&lt;&gt;"",IF($M196&gt;X$11,30,$M196)*ROUND(($N196+$V195)*$T$5/3000,2),"")</f>
        <v/>
      </c>
      <c r="Y196" s="3" t="str">
        <f>IF($K196&lt;&gt;"",IF($M196&gt;X$11,IF($M196&lt;Y$11,$M196-X$11,30),0)*ROUND(($N196+$V195+SUM($X196:X196))*$T$5/3000,2),"")</f>
        <v/>
      </c>
      <c r="Z196" s="3"/>
      <c r="AA196" s="3"/>
    </row>
    <row r="197" spans="5:27" x14ac:dyDescent="0.25">
      <c r="E197" s="5"/>
      <c r="F197" t="str">
        <f>IF($K197&lt;&gt;"",TEXT(L197,"DDD"),"")</f>
        <v/>
      </c>
      <c r="G197" s="5" t="str">
        <f>IF($K197&lt;&gt;"",EOMONTH(DATE(YEAR($M$6),$G$11+K197+SUM($B$12:B197),1),0),"")</f>
        <v/>
      </c>
      <c r="H197" s="22" t="str">
        <f>IF($K197&lt;&gt;"",IF($A197="Prepago",$H196,$H196+1),"")</f>
        <v/>
      </c>
      <c r="I197" s="22" t="str">
        <f>IF($K197&lt;&gt;"",IF(ISNUMBER($C197),-$P197+$W197-$Q197,ABS($W197)+$R197+$S197+$T197),"")</f>
        <v/>
      </c>
      <c r="J197" s="22" t="str">
        <f>IF(K197&lt;&gt;"",IF(COUNTA($X197:$XFD197)*30&lt;$M197,1,0),"")</f>
        <v/>
      </c>
      <c r="K197" t="str">
        <f>IF($K196&lt;NCUOTAS+CUOTAADICIONAL+PGRACIA,$K196+1,"")</f>
        <v/>
      </c>
      <c r="L197" s="5" t="str">
        <f>IF($K197&lt;&gt;"",IF(ULTIMODIA=0,IF($E197="",DATE(YEAR($M$7),MONTH($M$7)+($A$1*($H197-1))+SUM($B$12:$B197),DAY($M$7)),$E197),G197),"")</f>
        <v/>
      </c>
      <c r="M197" s="9" t="str">
        <f>IF($K197&lt;&gt;"",$L197-$L196,"")</f>
        <v/>
      </c>
      <c r="N197" s="3" t="str">
        <f>IF($K197&lt;&gt;"",$U196,"")</f>
        <v/>
      </c>
      <c r="O197" s="3" t="str">
        <f>IF($K197&lt;&gt;"",IF($A197="Gracia Parcial",IF(AND($C197&lt;$W197+$R197+$S197+$T197+$V196,$C197&gt;0),$C197,$W197+$R197+$S197+$T197+$V196),IF($A197="Gracia Total",0,IF($A197="Prepago",$C197,IF(ISNUMBER($C197),$C197*VALUE(MID($C$1,MONTH($L197),1)),$P$5*VALUE(MID($C$1,MONTH($L197),1))))))-IF($K198="",ARREGLO,0),"")</f>
        <v/>
      </c>
      <c r="P197" s="3" t="str">
        <f>IF($K197&lt;&gt;"",IF($O197-$Q197&gt;0,$O197-$Q197-$R197-$S197-$T197,0),"")</f>
        <v/>
      </c>
      <c r="Q197" s="3" t="str">
        <f t="shared" si="4"/>
        <v/>
      </c>
      <c r="R197" s="3" t="str">
        <f>IF($K197&lt;&gt;"",IF($A197="Prepago",0,IF(($H197+SUM($B$12:$B197))*$S$6&gt;SUM($R$11:$R196)+$S$6,$S$6*2,$S$6)),"")</f>
        <v/>
      </c>
      <c r="S197" s="3" t="str">
        <f>IF($K197&lt;&gt;"",IF($A197="Prepago",0,IF(($H197+SUM($B$12:$B197))*$S$7&gt;SUM($S$11:$S196)+$S$7,$S$7*2,$S$7)),"")</f>
        <v/>
      </c>
      <c r="T197" s="3" t="str">
        <f>IF($K197&lt;&gt;"",IF($A197="Prepago",0,IF(($H197+SUM($B$12:$B197))*$S$8&gt;SUM($T$11:$T196)+$S$8,$S$8*2,$S$8)),"")</f>
        <v/>
      </c>
      <c r="U197" s="3" t="str">
        <f>IF($K197&lt;&gt;"",$N197-$P197,"")</f>
        <v/>
      </c>
      <c r="V197" s="3" t="str">
        <f t="shared" si="5"/>
        <v/>
      </c>
      <c r="W197" s="3" t="str">
        <f>IF($K197&lt;&gt;"",SUM($X197:$XFD197),"")</f>
        <v/>
      </c>
      <c r="X197" s="3" t="str">
        <f>IF($K197&lt;&gt;"",IF($M197&gt;X$11,30,$M197)*ROUND(($N197+$V196)*$T$5/3000,2),"")</f>
        <v/>
      </c>
      <c r="Y197" s="3" t="str">
        <f>IF($K197&lt;&gt;"",IF($M197&gt;X$11,IF($M197&lt;Y$11,$M197-X$11,30),0)*ROUND(($N197+$V196+SUM($X197:X197))*$T$5/3000,2),"")</f>
        <v/>
      </c>
      <c r="Z197" s="3"/>
      <c r="AA197" s="3"/>
    </row>
    <row r="198" spans="5:27" x14ac:dyDescent="0.25">
      <c r="E198" s="5"/>
      <c r="F198" t="str">
        <f>IF($K198&lt;&gt;"",TEXT(L198,"DDD"),"")</f>
        <v/>
      </c>
      <c r="G198" s="5" t="str">
        <f>IF($K198&lt;&gt;"",EOMONTH(DATE(YEAR($M$6),$G$11+K198+SUM($B$12:B198),1),0),"")</f>
        <v/>
      </c>
      <c r="H198" s="22" t="str">
        <f>IF($K198&lt;&gt;"",IF($A198="Prepago",$H197,$H197+1),"")</f>
        <v/>
      </c>
      <c r="I198" s="22" t="str">
        <f>IF($K198&lt;&gt;"",IF(ISNUMBER($C198),-$P198+$W198-$Q198,ABS($W198)+$R198+$S198+$T198),"")</f>
        <v/>
      </c>
      <c r="J198" s="22" t="str">
        <f>IF(K198&lt;&gt;"",IF(COUNTA($X198:$XFD198)*30&lt;$M198,1,0),"")</f>
        <v/>
      </c>
      <c r="K198" t="str">
        <f>IF($K197&lt;NCUOTAS+CUOTAADICIONAL+PGRACIA,$K197+1,"")</f>
        <v/>
      </c>
      <c r="L198" s="5" t="str">
        <f>IF($K198&lt;&gt;"",IF(ULTIMODIA=0,IF($E198="",DATE(YEAR($M$7),MONTH($M$7)+($A$1*($H198-1))+SUM($B$12:$B198),DAY($M$7)),$E198),G198),"")</f>
        <v/>
      </c>
      <c r="M198" s="9" t="str">
        <f>IF($K198&lt;&gt;"",$L198-$L197,"")</f>
        <v/>
      </c>
      <c r="N198" s="3" t="str">
        <f>IF($K198&lt;&gt;"",$U197,"")</f>
        <v/>
      </c>
      <c r="O198" s="3" t="str">
        <f>IF($K198&lt;&gt;"",IF($A198="Gracia Parcial",IF(AND($C198&lt;$W198+$R198+$S198+$T198+$V197,$C198&gt;0),$C198,$W198+$R198+$S198+$T198+$V197),IF($A198="Gracia Total",0,IF($A198="Prepago",$C198,IF(ISNUMBER($C198),$C198*VALUE(MID($C$1,MONTH($L198),1)),$P$5*VALUE(MID($C$1,MONTH($L198),1))))))-IF($K199="",ARREGLO,0),"")</f>
        <v/>
      </c>
      <c r="P198" s="3" t="str">
        <f>IF($K198&lt;&gt;"",IF($O198-$Q198&gt;0,$O198-$Q198-$R198-$S198-$T198,0),"")</f>
        <v/>
      </c>
      <c r="Q198" s="3" t="str">
        <f t="shared" si="4"/>
        <v/>
      </c>
      <c r="R198" s="3" t="str">
        <f>IF($K198&lt;&gt;"",IF($A198="Prepago",0,IF(($H198+SUM($B$12:$B198))*$S$6&gt;SUM($R$11:$R197)+$S$6,$S$6*2,$S$6)),"")</f>
        <v/>
      </c>
      <c r="S198" s="3" t="str">
        <f>IF($K198&lt;&gt;"",IF($A198="Prepago",0,IF(($H198+SUM($B$12:$B198))*$S$7&gt;SUM($S$11:$S197)+$S$7,$S$7*2,$S$7)),"")</f>
        <v/>
      </c>
      <c r="T198" s="3" t="str">
        <f>IF($K198&lt;&gt;"",IF($A198="Prepago",0,IF(($H198+SUM($B$12:$B198))*$S$8&gt;SUM($T$11:$T197)+$S$8,$S$8*2,$S$8)),"")</f>
        <v/>
      </c>
      <c r="U198" s="3" t="str">
        <f>IF($K198&lt;&gt;"",$N198-$P198,"")</f>
        <v/>
      </c>
      <c r="V198" s="3" t="str">
        <f t="shared" si="5"/>
        <v/>
      </c>
      <c r="W198" s="3" t="str">
        <f>IF($K198&lt;&gt;"",SUM($X198:$XFD198),"")</f>
        <v/>
      </c>
      <c r="X198" s="3" t="str">
        <f>IF($K198&lt;&gt;"",IF($M198&gt;X$11,30,$M198)*ROUND(($N198+$V197)*$T$5/3000,2),"")</f>
        <v/>
      </c>
      <c r="Y198" s="3" t="str">
        <f>IF($K198&lt;&gt;"",IF($M198&gt;X$11,IF($M198&lt;Y$11,$M198-X$11,30),0)*ROUND(($N198+$V197+SUM($X198:X198))*$T$5/3000,2),"")</f>
        <v/>
      </c>
      <c r="Z198" s="3"/>
      <c r="AA198" s="3"/>
    </row>
    <row r="199" spans="5:27" x14ac:dyDescent="0.25">
      <c r="E199" s="5"/>
      <c r="F199" t="str">
        <f>IF($K199&lt;&gt;"",TEXT(L199,"DDD"),"")</f>
        <v/>
      </c>
      <c r="G199" s="5" t="str">
        <f>IF($K199&lt;&gt;"",EOMONTH(DATE(YEAR($M$6),$G$11+K199+SUM($B$12:B199),1),0),"")</f>
        <v/>
      </c>
      <c r="H199" s="22" t="str">
        <f>IF($K199&lt;&gt;"",IF($A199="Prepago",$H198,$H198+1),"")</f>
        <v/>
      </c>
      <c r="I199" s="22" t="str">
        <f>IF($K199&lt;&gt;"",IF(ISNUMBER($C199),-$P199+$W199-$Q199,ABS($W199)+$R199+$S199+$T199),"")</f>
        <v/>
      </c>
      <c r="J199" s="22" t="str">
        <f>IF(K199&lt;&gt;"",IF(COUNTA($X199:$XFD199)*30&lt;$M199,1,0),"")</f>
        <v/>
      </c>
      <c r="K199" t="str">
        <f>IF($K198&lt;NCUOTAS+CUOTAADICIONAL+PGRACIA,$K198+1,"")</f>
        <v/>
      </c>
      <c r="L199" s="5" t="str">
        <f>IF($K199&lt;&gt;"",IF(ULTIMODIA=0,IF($E199="",DATE(YEAR($M$7),MONTH($M$7)+($A$1*($H199-1))+SUM($B$12:$B199),DAY($M$7)),$E199),G199),"")</f>
        <v/>
      </c>
      <c r="M199" s="9" t="str">
        <f>IF($K199&lt;&gt;"",$L199-$L198,"")</f>
        <v/>
      </c>
      <c r="N199" s="3" t="str">
        <f>IF($K199&lt;&gt;"",$U198,"")</f>
        <v/>
      </c>
      <c r="O199" s="3" t="str">
        <f>IF($K199&lt;&gt;"",IF($A199="Gracia Parcial",IF(AND($C199&lt;$W199+$R199+$S199+$T199+$V198,$C199&gt;0),$C199,$W199+$R199+$S199+$T199+$V198),IF($A199="Gracia Total",0,IF($A199="Prepago",$C199,IF(ISNUMBER($C199),$C199*VALUE(MID($C$1,MONTH($L199),1)),$P$5*VALUE(MID($C$1,MONTH($L199),1))))))-IF($K200="",ARREGLO,0),"")</f>
        <v/>
      </c>
      <c r="P199" s="3" t="str">
        <f>IF($K199&lt;&gt;"",IF($O199-$Q199&gt;0,$O199-$Q199-$R199-$S199-$T199,0),"")</f>
        <v/>
      </c>
      <c r="Q199" s="3" t="str">
        <f t="shared" si="4"/>
        <v/>
      </c>
      <c r="R199" s="3" t="str">
        <f>IF($K199&lt;&gt;"",IF($A199="Prepago",0,IF(($H199+SUM($B$12:$B199))*$S$6&gt;SUM($R$11:$R198)+$S$6,$S$6*2,$S$6)),"")</f>
        <v/>
      </c>
      <c r="S199" s="3" t="str">
        <f>IF($K199&lt;&gt;"",IF($A199="Prepago",0,IF(($H199+SUM($B$12:$B199))*$S$7&gt;SUM($S$11:$S198)+$S$7,$S$7*2,$S$7)),"")</f>
        <v/>
      </c>
      <c r="T199" s="3" t="str">
        <f>IF($K199&lt;&gt;"",IF($A199="Prepago",0,IF(($H199+SUM($B$12:$B199))*$S$8&gt;SUM($T$11:$T198)+$S$8,$S$8*2,$S$8)),"")</f>
        <v/>
      </c>
      <c r="U199" s="3" t="str">
        <f>IF($K199&lt;&gt;"",$N199-$P199,"")</f>
        <v/>
      </c>
      <c r="V199" s="3" t="str">
        <f t="shared" si="5"/>
        <v/>
      </c>
      <c r="W199" s="3" t="str">
        <f>IF($K199&lt;&gt;"",SUM($X199:$XFD199),"")</f>
        <v/>
      </c>
      <c r="X199" s="3" t="str">
        <f>IF($K199&lt;&gt;"",IF($M199&gt;X$11,30,$M199)*ROUND(($N199+$V198)*$T$5/3000,2),"")</f>
        <v/>
      </c>
      <c r="Y199" s="3" t="str">
        <f>IF($K199&lt;&gt;"",IF($M199&gt;X$11,IF($M199&lt;Y$11,$M199-X$11,30),0)*ROUND(($N199+$V198+SUM($X199:X199))*$T$5/3000,2),"")</f>
        <v/>
      </c>
      <c r="Z199" s="3"/>
      <c r="AA199" s="3"/>
    </row>
    <row r="200" spans="5:27" x14ac:dyDescent="0.25">
      <c r="E200" s="5"/>
      <c r="F200" t="str">
        <f>IF($K200&lt;&gt;"",TEXT(L200,"DDD"),"")</f>
        <v/>
      </c>
      <c r="G200" s="5" t="str">
        <f>IF($K200&lt;&gt;"",EOMONTH(DATE(YEAR($M$6),$G$11+K200+SUM($B$12:B200),1),0),"")</f>
        <v/>
      </c>
      <c r="H200" s="22" t="str">
        <f>IF($K200&lt;&gt;"",IF($A200="Prepago",$H199,$H199+1),"")</f>
        <v/>
      </c>
      <c r="I200" s="22" t="str">
        <f>IF($K200&lt;&gt;"",IF(ISNUMBER($C200),-$P200+$W200-$Q200,ABS($W200)+$R200+$S200+$T200),"")</f>
        <v/>
      </c>
      <c r="J200" s="22" t="str">
        <f>IF(K200&lt;&gt;"",IF(COUNTA($X200:$XFD200)*30&lt;$M200,1,0),"")</f>
        <v/>
      </c>
      <c r="K200" t="str">
        <f>IF($K199&lt;NCUOTAS+CUOTAADICIONAL+PGRACIA,$K199+1,"")</f>
        <v/>
      </c>
      <c r="L200" s="5" t="str">
        <f>IF($K200&lt;&gt;"",IF(ULTIMODIA=0,IF($E200="",DATE(YEAR($M$7),MONTH($M$7)+($A$1*($H200-1))+SUM($B$12:$B200),DAY($M$7)),$E200),G200),"")</f>
        <v/>
      </c>
      <c r="M200" s="9" t="str">
        <f>IF($K200&lt;&gt;"",$L200-$L199,"")</f>
        <v/>
      </c>
      <c r="N200" s="3" t="str">
        <f>IF($K200&lt;&gt;"",$U199,"")</f>
        <v/>
      </c>
      <c r="O200" s="3" t="str">
        <f>IF($K200&lt;&gt;"",IF($A200="Gracia Parcial",IF(AND($C200&lt;$W200+$R200+$S200+$T200+$V199,$C200&gt;0),$C200,$W200+$R200+$S200+$T200+$V199),IF($A200="Gracia Total",0,IF($A200="Prepago",$C200,IF(ISNUMBER($C200),$C200*VALUE(MID($C$1,MONTH($L200),1)),$P$5*VALUE(MID($C$1,MONTH($L200),1))))))-IF($K201="",ARREGLO,0),"")</f>
        <v/>
      </c>
      <c r="P200" s="3" t="str">
        <f>IF($K200&lt;&gt;"",IF($O200-$Q200&gt;0,$O200-$Q200-$R200-$S200-$T200,0),"")</f>
        <v/>
      </c>
      <c r="Q200" s="3" t="str">
        <f t="shared" si="4"/>
        <v/>
      </c>
      <c r="R200" s="3" t="str">
        <f>IF($K200&lt;&gt;"",IF($A200="Prepago",0,IF(($H200+SUM($B$12:$B200))*$S$6&gt;SUM($R$11:$R199)+$S$6,$S$6*2,$S$6)),"")</f>
        <v/>
      </c>
      <c r="S200" s="3" t="str">
        <f>IF($K200&lt;&gt;"",IF($A200="Prepago",0,IF(($H200+SUM($B$12:$B200))*$S$7&gt;SUM($S$11:$S199)+$S$7,$S$7*2,$S$7)),"")</f>
        <v/>
      </c>
      <c r="T200" s="3" t="str">
        <f>IF($K200&lt;&gt;"",IF($A200="Prepago",0,IF(($H200+SUM($B$12:$B200))*$S$8&gt;SUM($T$11:$T199)+$S$8,$S$8*2,$S$8)),"")</f>
        <v/>
      </c>
      <c r="U200" s="3" t="str">
        <f>IF($K200&lt;&gt;"",$N200-$P200,"")</f>
        <v/>
      </c>
      <c r="V200" s="3" t="str">
        <f t="shared" si="5"/>
        <v/>
      </c>
      <c r="W200" s="3" t="str">
        <f>IF($K200&lt;&gt;"",SUM($X200:$XFD200),"")</f>
        <v/>
      </c>
      <c r="X200" s="3" t="str">
        <f>IF($K200&lt;&gt;"",IF($M200&gt;X$11,30,$M200)*ROUND(($N200+$V199)*$T$5/3000,2),"")</f>
        <v/>
      </c>
      <c r="Y200" s="3" t="str">
        <f>IF($K200&lt;&gt;"",IF($M200&gt;X$11,IF($M200&lt;Y$11,$M200-X$11,30),0)*ROUND(($N200+$V199+SUM($X200:X200))*$T$5/3000,2),"")</f>
        <v/>
      </c>
      <c r="Z200" s="3"/>
      <c r="AA200" s="3"/>
    </row>
    <row r="201" spans="5:27" x14ac:dyDescent="0.25">
      <c r="E201" s="5"/>
      <c r="F201" t="str">
        <f>IF($K201&lt;&gt;"",TEXT(L201,"DDD"),"")</f>
        <v/>
      </c>
      <c r="G201" s="5" t="str">
        <f>IF($K201&lt;&gt;"",EOMONTH(DATE(YEAR($M$6),$G$11+K201+SUM($B$12:B201),1),0),"")</f>
        <v/>
      </c>
      <c r="H201" s="22" t="str">
        <f>IF($K201&lt;&gt;"",IF($A201="Prepago",$H200,$H200+1),"")</f>
        <v/>
      </c>
      <c r="I201" s="22" t="str">
        <f>IF($K201&lt;&gt;"",IF(ISNUMBER($C201),-$P201+$W201-$Q201,ABS($W201)+$R201+$S201+$T201),"")</f>
        <v/>
      </c>
      <c r="J201" s="22" t="str">
        <f>IF(K201&lt;&gt;"",IF(COUNTA($X201:$XFD201)*30&lt;$M201,1,0),"")</f>
        <v/>
      </c>
      <c r="K201" t="str">
        <f>IF($K200&lt;NCUOTAS+CUOTAADICIONAL+PGRACIA,$K200+1,"")</f>
        <v/>
      </c>
      <c r="L201" s="5" t="str">
        <f>IF($K201&lt;&gt;"",IF(ULTIMODIA=0,IF($E201="",DATE(YEAR($M$7),MONTH($M$7)+($A$1*($H201-1))+SUM($B$12:$B201),DAY($M$7)),$E201),G201),"")</f>
        <v/>
      </c>
      <c r="M201" s="9" t="str">
        <f>IF($K201&lt;&gt;"",$L201-$L200,"")</f>
        <v/>
      </c>
      <c r="N201" s="3" t="str">
        <f>IF($K201&lt;&gt;"",$U200,"")</f>
        <v/>
      </c>
      <c r="O201" s="3" t="str">
        <f>IF($K201&lt;&gt;"",IF($A201="Gracia Parcial",IF(AND($C201&lt;$W201+$R201+$S201+$T201+$V200,$C201&gt;0),$C201,$W201+$R201+$S201+$T201+$V200),IF($A201="Gracia Total",0,IF($A201="Prepago",$C201,IF(ISNUMBER($C201),$C201*VALUE(MID($C$1,MONTH($L201),1)),$P$5*VALUE(MID($C$1,MONTH($L201),1))))))-IF($K202="",ARREGLO,0),"")</f>
        <v/>
      </c>
      <c r="P201" s="3" t="str">
        <f>IF($K201&lt;&gt;"",IF($O201-$Q201&gt;0,$O201-$Q201-$R201-$S201-$T201,0),"")</f>
        <v/>
      </c>
      <c r="Q201" s="3" t="str">
        <f t="shared" si="4"/>
        <v/>
      </c>
      <c r="R201" s="3" t="str">
        <f>IF($K201&lt;&gt;"",IF($A201="Prepago",0,IF(($H201+SUM($B$12:$B201))*$S$6&gt;SUM($R$11:$R200)+$S$6,$S$6*2,$S$6)),"")</f>
        <v/>
      </c>
      <c r="S201" s="3" t="str">
        <f>IF($K201&lt;&gt;"",IF($A201="Prepago",0,IF(($H201+SUM($B$12:$B201))*$S$7&gt;SUM($S$11:$S200)+$S$7,$S$7*2,$S$7)),"")</f>
        <v/>
      </c>
      <c r="T201" s="3" t="str">
        <f>IF($K201&lt;&gt;"",IF($A201="Prepago",0,IF(($H201+SUM($B$12:$B201))*$S$8&gt;SUM($T$11:$T200)+$S$8,$S$8*2,$S$8)),"")</f>
        <v/>
      </c>
      <c r="U201" s="3" t="str">
        <f>IF($K201&lt;&gt;"",$N201-$P201,"")</f>
        <v/>
      </c>
      <c r="V201" s="3" t="str">
        <f t="shared" si="5"/>
        <v/>
      </c>
      <c r="W201" s="3" t="str">
        <f>IF($K201&lt;&gt;"",SUM($X201:$XFD201),"")</f>
        <v/>
      </c>
      <c r="X201" s="3" t="str">
        <f>IF($K201&lt;&gt;"",IF($M201&gt;X$11,30,$M201)*ROUND(($N201+$V200)*$T$5/3000,2),"")</f>
        <v/>
      </c>
      <c r="Y201" s="3" t="str">
        <f>IF($K201&lt;&gt;"",IF($M201&gt;X$11,IF($M201&lt;Y$11,$M201-X$11,30),0)*ROUND(($N201+$V200+SUM($X201:X201))*$T$5/3000,2),"")</f>
        <v/>
      </c>
      <c r="Z201" s="3"/>
      <c r="AA201" s="3"/>
    </row>
    <row r="202" spans="5:27" x14ac:dyDescent="0.25">
      <c r="E202" s="5"/>
      <c r="F202" t="str">
        <f>IF($K202&lt;&gt;"",TEXT(L202,"DDD"),"")</f>
        <v/>
      </c>
      <c r="G202" s="5" t="str">
        <f>IF($K202&lt;&gt;"",EOMONTH(DATE(YEAR($M$6),$G$11+K202+SUM($B$12:B202),1),0),"")</f>
        <v/>
      </c>
      <c r="H202" s="22" t="str">
        <f>IF($K202&lt;&gt;"",IF($A202="Prepago",$H201,$H201+1),"")</f>
        <v/>
      </c>
      <c r="I202" s="22" t="str">
        <f>IF($K202&lt;&gt;"",IF(ISNUMBER($C202),-$P202+$W202-$Q202,ABS($W202)+$R202+$S202+$T202),"")</f>
        <v/>
      </c>
      <c r="J202" s="22" t="str">
        <f>IF(K202&lt;&gt;"",IF(COUNTA($X202:$XFD202)*30&lt;$M202,1,0),"")</f>
        <v/>
      </c>
      <c r="K202" t="str">
        <f>IF($K201&lt;NCUOTAS+CUOTAADICIONAL+PGRACIA,$K201+1,"")</f>
        <v/>
      </c>
      <c r="L202" s="5" t="str">
        <f>IF($K202&lt;&gt;"",IF(ULTIMODIA=0,IF($E202="",DATE(YEAR($M$7),MONTH($M$7)+($A$1*($H202-1))+SUM($B$12:$B202),DAY($M$7)),$E202),G202),"")</f>
        <v/>
      </c>
      <c r="M202" s="9" t="str">
        <f>IF($K202&lt;&gt;"",$L202-$L201,"")</f>
        <v/>
      </c>
      <c r="N202" s="3" t="str">
        <f>IF($K202&lt;&gt;"",$U201,"")</f>
        <v/>
      </c>
      <c r="O202" s="3" t="str">
        <f>IF($K202&lt;&gt;"",IF($A202="Gracia Parcial",IF(AND($C202&lt;$W202+$R202+$S202+$T202+$V201,$C202&gt;0),$C202,$W202+$R202+$S202+$T202+$V201),IF($A202="Gracia Total",0,IF($A202="Prepago",$C202,IF(ISNUMBER($C202),$C202*VALUE(MID($C$1,MONTH($L202),1)),$P$5*VALUE(MID($C$1,MONTH($L202),1))))))-IF($K203="",ARREGLO,0),"")</f>
        <v/>
      </c>
      <c r="P202" s="3" t="str">
        <f>IF($K202&lt;&gt;"",IF($O202-$Q202&gt;0,$O202-$Q202-$R202-$S202-$T202,0),"")</f>
        <v/>
      </c>
      <c r="Q202" s="3" t="str">
        <f t="shared" si="4"/>
        <v/>
      </c>
      <c r="R202" s="3" t="str">
        <f>IF($K202&lt;&gt;"",IF($A202="Prepago",0,IF(($H202+SUM($B$12:$B202))*$S$6&gt;SUM($R$11:$R201)+$S$6,$S$6*2,$S$6)),"")</f>
        <v/>
      </c>
      <c r="S202" s="3" t="str">
        <f>IF($K202&lt;&gt;"",IF($A202="Prepago",0,IF(($H202+SUM($B$12:$B202))*$S$7&gt;SUM($S$11:$S201)+$S$7,$S$7*2,$S$7)),"")</f>
        <v/>
      </c>
      <c r="T202" s="3" t="str">
        <f>IF($K202&lt;&gt;"",IF($A202="Prepago",0,IF(($H202+SUM($B$12:$B202))*$S$8&gt;SUM($T$11:$T201)+$S$8,$S$8*2,$S$8)),"")</f>
        <v/>
      </c>
      <c r="U202" s="3" t="str">
        <f>IF($K202&lt;&gt;"",$N202-$P202,"")</f>
        <v/>
      </c>
      <c r="V202" s="3" t="str">
        <f t="shared" si="5"/>
        <v/>
      </c>
      <c r="W202" s="3" t="str">
        <f>IF($K202&lt;&gt;"",SUM($X202:$XFD202),"")</f>
        <v/>
      </c>
      <c r="X202" s="3" t="str">
        <f>IF($K202&lt;&gt;"",IF($M202&gt;X$11,30,$M202)*ROUND(($N202+$V201)*$T$5/3000,2),"")</f>
        <v/>
      </c>
      <c r="Y202" s="3" t="str">
        <f>IF($K202&lt;&gt;"",IF($M202&gt;X$11,IF($M202&lt;Y$11,$M202-X$11,30),0)*ROUND(($N202+$V201+SUM($X202:X202))*$T$5/3000,2),"")</f>
        <v/>
      </c>
      <c r="Z202" s="3"/>
      <c r="AA202" s="3"/>
    </row>
    <row r="203" spans="5:27" x14ac:dyDescent="0.25">
      <c r="E203" s="5"/>
      <c r="F203" t="str">
        <f>IF($K203&lt;&gt;"",TEXT(L203,"DDD"),"")</f>
        <v/>
      </c>
      <c r="G203" s="5" t="str">
        <f>IF($K203&lt;&gt;"",EOMONTH(DATE(YEAR($M$6),$G$11+K203+SUM($B$12:B203),1),0),"")</f>
        <v/>
      </c>
      <c r="H203" s="22" t="str">
        <f>IF($K203&lt;&gt;"",IF($A203="Prepago",$H202,$H202+1),"")</f>
        <v/>
      </c>
      <c r="I203" s="22" t="str">
        <f>IF($K203&lt;&gt;"",IF(ISNUMBER($C203),-$P203+$W203-$Q203,ABS($W203)+$R203+$S203+$T203),"")</f>
        <v/>
      </c>
      <c r="J203" s="22" t="str">
        <f>IF(K203&lt;&gt;"",IF(COUNTA($X203:$XFD203)*30&lt;$M203,1,0),"")</f>
        <v/>
      </c>
      <c r="K203" t="str">
        <f>IF($K202&lt;NCUOTAS+CUOTAADICIONAL+PGRACIA,$K202+1,"")</f>
        <v/>
      </c>
      <c r="L203" s="5" t="str">
        <f>IF($K203&lt;&gt;"",IF(ULTIMODIA=0,IF($E203="",DATE(YEAR($M$7),MONTH($M$7)+($A$1*($H203-1))+SUM($B$12:$B203),DAY($M$7)),$E203),G203),"")</f>
        <v/>
      </c>
      <c r="M203" s="9" t="str">
        <f>IF($K203&lt;&gt;"",$L203-$L202,"")</f>
        <v/>
      </c>
      <c r="N203" s="3" t="str">
        <f>IF($K203&lt;&gt;"",$U202,"")</f>
        <v/>
      </c>
      <c r="O203" s="3" t="str">
        <f>IF($K203&lt;&gt;"",IF($A203="Gracia Parcial",IF(AND($C203&lt;$W203+$R203+$S203+$T203+$V202,$C203&gt;0),$C203,$W203+$R203+$S203+$T203+$V202),IF($A203="Gracia Total",0,IF($A203="Prepago",$C203,IF(ISNUMBER($C203),$C203*VALUE(MID($C$1,MONTH($L203),1)),$P$5*VALUE(MID($C$1,MONTH($L203),1))))))-IF($K204="",ARREGLO,0),"")</f>
        <v/>
      </c>
      <c r="P203" s="3" t="str">
        <f>IF($K203&lt;&gt;"",IF($O203-$Q203&gt;0,$O203-$Q203-$R203-$S203-$T203,0),"")</f>
        <v/>
      </c>
      <c r="Q203" s="3" t="str">
        <f t="shared" si="4"/>
        <v/>
      </c>
      <c r="R203" s="3" t="str">
        <f>IF($K203&lt;&gt;"",IF($A203="Prepago",0,IF(($H203+SUM($B$12:$B203))*$S$6&gt;SUM($R$11:$R202)+$S$6,$S$6*2,$S$6)),"")</f>
        <v/>
      </c>
      <c r="S203" s="3" t="str">
        <f>IF($K203&lt;&gt;"",IF($A203="Prepago",0,IF(($H203+SUM($B$12:$B203))*$S$7&gt;SUM($S$11:$S202)+$S$7,$S$7*2,$S$7)),"")</f>
        <v/>
      </c>
      <c r="T203" s="3" t="str">
        <f>IF($K203&lt;&gt;"",IF($A203="Prepago",0,IF(($H203+SUM($B$12:$B203))*$S$8&gt;SUM($T$11:$T202)+$S$8,$S$8*2,$S$8)),"")</f>
        <v/>
      </c>
      <c r="U203" s="3" t="str">
        <f>IF($K203&lt;&gt;"",$N203-$P203,"")</f>
        <v/>
      </c>
      <c r="V203" s="3" t="str">
        <f t="shared" si="5"/>
        <v/>
      </c>
      <c r="W203" s="3" t="str">
        <f>IF($K203&lt;&gt;"",SUM($X203:$XFD203),"")</f>
        <v/>
      </c>
      <c r="X203" s="3" t="str">
        <f>IF($K203&lt;&gt;"",IF($M203&gt;X$11,30,$M203)*ROUND(($N203+$V202)*$T$5/3000,2),"")</f>
        <v/>
      </c>
      <c r="Y203" s="3" t="str">
        <f>IF($K203&lt;&gt;"",IF($M203&gt;X$11,IF($M203&lt;Y$11,$M203-X$11,30),0)*ROUND(($N203+$V202+SUM($X203:X203))*$T$5/3000,2),"")</f>
        <v/>
      </c>
      <c r="Z203" s="3"/>
      <c r="AA203" s="3"/>
    </row>
    <row r="204" spans="5:27" x14ac:dyDescent="0.25">
      <c r="E204" s="5"/>
      <c r="F204" t="str">
        <f>IF($K204&lt;&gt;"",TEXT(L204,"DDD"),"")</f>
        <v/>
      </c>
      <c r="G204" s="5" t="str">
        <f>IF($K204&lt;&gt;"",EOMONTH(DATE(YEAR($M$6),$G$11+K204+SUM($B$12:B204),1),0),"")</f>
        <v/>
      </c>
      <c r="H204" s="22" t="str">
        <f>IF($K204&lt;&gt;"",IF($A204="Prepago",$H203,$H203+1),"")</f>
        <v/>
      </c>
      <c r="I204" s="22" t="str">
        <f>IF($K204&lt;&gt;"",IF(ISNUMBER($C204),-$P204+$W204-$Q204,ABS($W204)+$R204+$S204+$T204),"")</f>
        <v/>
      </c>
      <c r="J204" s="22" t="str">
        <f>IF(K204&lt;&gt;"",IF(COUNTA($X204:$XFD204)*30&lt;$M204,1,0),"")</f>
        <v/>
      </c>
      <c r="K204" t="str">
        <f>IF($K203&lt;NCUOTAS+CUOTAADICIONAL+PGRACIA,$K203+1,"")</f>
        <v/>
      </c>
      <c r="L204" s="5" t="str">
        <f>IF($K204&lt;&gt;"",IF(ULTIMODIA=0,IF($E204="",DATE(YEAR($M$7),MONTH($M$7)+($A$1*($H204-1))+SUM($B$12:$B204),DAY($M$7)),$E204),G204),"")</f>
        <v/>
      </c>
      <c r="M204" s="9" t="str">
        <f>IF($K204&lt;&gt;"",$L204-$L203,"")</f>
        <v/>
      </c>
      <c r="N204" s="3" t="str">
        <f>IF($K204&lt;&gt;"",$U203,"")</f>
        <v/>
      </c>
      <c r="O204" s="3" t="str">
        <f>IF($K204&lt;&gt;"",IF($A204="Gracia Parcial",IF(AND($C204&lt;$W204+$R204+$S204+$T204+$V203,$C204&gt;0),$C204,$W204+$R204+$S204+$T204+$V203),IF($A204="Gracia Total",0,IF($A204="Prepago",$C204,IF(ISNUMBER($C204),$C204*VALUE(MID($C$1,MONTH($L204),1)),$P$5*VALUE(MID($C$1,MONTH($L204),1))))))-IF($K205="",ARREGLO,0),"")</f>
        <v/>
      </c>
      <c r="P204" s="3" t="str">
        <f>IF($K204&lt;&gt;"",IF($O204-$Q204&gt;0,$O204-$Q204-$R204-$S204-$T204,0),"")</f>
        <v/>
      </c>
      <c r="Q204" s="3" t="str">
        <f t="shared" si="4"/>
        <v/>
      </c>
      <c r="R204" s="3" t="str">
        <f>IF($K204&lt;&gt;"",IF($A204="Prepago",0,IF(($H204+SUM($B$12:$B204))*$S$6&gt;SUM($R$11:$R203)+$S$6,$S$6*2,$S$6)),"")</f>
        <v/>
      </c>
      <c r="S204" s="3" t="str">
        <f>IF($K204&lt;&gt;"",IF($A204="Prepago",0,IF(($H204+SUM($B$12:$B204))*$S$7&gt;SUM($S$11:$S203)+$S$7,$S$7*2,$S$7)),"")</f>
        <v/>
      </c>
      <c r="T204" s="3" t="str">
        <f>IF($K204&lt;&gt;"",IF($A204="Prepago",0,IF(($H204+SUM($B$12:$B204))*$S$8&gt;SUM($T$11:$T203)+$S$8,$S$8*2,$S$8)),"")</f>
        <v/>
      </c>
      <c r="U204" s="3" t="str">
        <f>IF($K204&lt;&gt;"",$N204-$P204,"")</f>
        <v/>
      </c>
      <c r="V204" s="3" t="str">
        <f t="shared" si="5"/>
        <v/>
      </c>
      <c r="W204" s="3" t="str">
        <f>IF($K204&lt;&gt;"",SUM($X204:$XFD204),"")</f>
        <v/>
      </c>
      <c r="X204" s="3" t="str">
        <f t="shared" ref="X204:X208" si="6">IF($K204&lt;&gt;"",IF($M204&gt;X$11,30,$M204)*ROUND(($N204+$V203)*$T$5/3000,2),"")</f>
        <v/>
      </c>
      <c r="Y204" s="3" t="str">
        <f>IF($K204&lt;&gt;"",IF($M204&gt;X$11,IF($M204&lt;Y$11,$M204-X$11,30),0)*ROUND(($N204+$V203+SUM($X204:X204))*$T$5/3000,2),"")</f>
        <v/>
      </c>
      <c r="Z204" s="3"/>
      <c r="AA204" s="3"/>
    </row>
    <row r="205" spans="5:27" x14ac:dyDescent="0.25">
      <c r="E205" s="5"/>
      <c r="F205" t="str">
        <f t="shared" ref="F205:F208" si="7">IF($K205&lt;&gt;"",TEXT(L205,"DDD"),"")</f>
        <v/>
      </c>
      <c r="G205" s="5" t="str">
        <f>IF($K205&lt;&gt;"",EOMONTH(DATE(YEAR($M$6),$G$11+K205+SUM($B$12:B205),1),0),"")</f>
        <v/>
      </c>
      <c r="H205" s="22" t="str">
        <f>IF($K205&lt;&gt;"",IF($A205="Prepago",$H204,$H204+1),"")</f>
        <v/>
      </c>
      <c r="I205" s="22" t="str">
        <f t="shared" ref="I205:I208" si="8">IF($K205&lt;&gt;"",IF(ISNUMBER($C205),-$P205+$W205-$Q205,ABS($W205)+$R205+$S205+$T205),"")</f>
        <v/>
      </c>
      <c r="J205" s="22" t="str">
        <f>IF(K205&lt;&gt;"",IF(COUNTA($X205:$XFD205)*30&lt;$M205,1,0),"")</f>
        <v/>
      </c>
      <c r="K205" t="str">
        <f>IF($K204&lt;NCUOTAS+CUOTAADICIONAL+PGRACIA,$K204+1,"")</f>
        <v/>
      </c>
      <c r="L205" s="5" t="str">
        <f>IF($K205&lt;&gt;"",IF(ULTIMODIA=0,IF($E205="",DATE(YEAR($M$7),MONTH($M$7)+($A$1*($H205-1))+SUM($B$12:$B205),DAY($M$7)),$E205),G205),"")</f>
        <v/>
      </c>
      <c r="M205" s="9" t="str">
        <f t="shared" ref="M205:M208" si="9">IF($K205&lt;&gt;"",$L205-$L204,"")</f>
        <v/>
      </c>
      <c r="N205" s="3" t="str">
        <f t="shared" ref="N205:N208" si="10">IF($K205&lt;&gt;"",$U204,"")</f>
        <v/>
      </c>
      <c r="O205" s="3" t="str">
        <f>IF($K205&lt;&gt;"",IF($A205="Gracia Parcial",IF(AND($C205&lt;$W205+$R205+$S205+$T205+$V204,$C205&gt;0),$C205,$W205+$R205+$S205+$T205+$V204),IF($A205="Gracia Total",0,IF($A205="Prepago",$C205,IF(ISNUMBER($C205),$C205*VALUE(MID($C$1,MONTH($L205),1)),$P$5*VALUE(MID($C$1,MONTH($L205),1))))))-IF($K206="",ARREGLO,0),"")</f>
        <v/>
      </c>
      <c r="P205" s="3" t="str">
        <f t="shared" ref="P205:P208" si="11">IF($K205&lt;&gt;"",IF($O205-$Q205&gt;0,$O205-$Q205-$R205-$S205-$T205,0),"")</f>
        <v/>
      </c>
      <c r="Q205" s="3" t="str">
        <f t="shared" ref="Q205:Q208" si="12">IF($K205&lt;&gt;"",IF($O205&gt;=IF($D205="",$W205,$D205)+$V204+$R205+$S205+$T205,IF($D205="",$W205,$D205)+$V204,$O205-$R205-$S205-$T205),"")</f>
        <v/>
      </c>
      <c r="R205" s="3" t="str">
        <f>IF($K205&lt;&gt;"",IF($A205="Prepago",0,IF(($H205+SUM($B$12:$B205))*$S$6&gt;SUM($R$11:$R204)+$S$6,$S$6*2,$S$6)),"")</f>
        <v/>
      </c>
      <c r="S205" s="3" t="str">
        <f>IF($K205&lt;&gt;"",IF($A205="Prepago",0,IF(($H205+SUM($B$12:$B205))*$S$7&gt;SUM($S$11:$S204)+$S$7,$S$7*2,$S$7)),"")</f>
        <v/>
      </c>
      <c r="T205" s="3" t="str">
        <f>IF($K205&lt;&gt;"",IF($A205="Prepago",0,IF(($H205+SUM($B$12:$B205))*$S$8&gt;SUM($T$11:$T204)+$S$8,$S$8*2,$S$8)),"")</f>
        <v/>
      </c>
      <c r="U205" s="3" t="str">
        <f t="shared" ref="U205:U208" si="13">IF($K205&lt;&gt;"",$N205-$P205,"")</f>
        <v/>
      </c>
      <c r="V205" s="3" t="str">
        <f t="shared" ref="V205:V208" si="14">IF($K205&lt;&gt;"",+$V204+IF($D205="",$W205,$D205)-$Q205,"")</f>
        <v/>
      </c>
      <c r="W205" s="3" t="str">
        <f>IF($K205&lt;&gt;"",SUM($X205:$XFD205),"")</f>
        <v/>
      </c>
      <c r="X205" s="3" t="str">
        <f t="shared" si="6"/>
        <v/>
      </c>
      <c r="Y205" s="3" t="str">
        <f>IF($K205&lt;&gt;"",IF($M205&gt;X$11,IF($M205&lt;Y$11,$M205-X$11,30),0)*ROUND(($N205+$V204+SUM($X205:X205))*$T$5/3000,2),"")</f>
        <v/>
      </c>
      <c r="Z205" s="3"/>
      <c r="AA205" s="3"/>
    </row>
    <row r="206" spans="5:27" x14ac:dyDescent="0.25">
      <c r="E206" s="5"/>
      <c r="F206" t="str">
        <f t="shared" si="7"/>
        <v/>
      </c>
      <c r="G206" s="5" t="str">
        <f>IF($K206&lt;&gt;"",EOMONTH(DATE(YEAR($M$6),$G$11+K206+SUM($B$12:B206),1),0),"")</f>
        <v/>
      </c>
      <c r="H206" s="22" t="str">
        <f>IF($K206&lt;&gt;"",IF($A206="Prepago",$H205,$H205+1),"")</f>
        <v/>
      </c>
      <c r="I206" s="22" t="str">
        <f t="shared" si="8"/>
        <v/>
      </c>
      <c r="J206" s="22" t="str">
        <f>IF(K206&lt;&gt;"",IF(COUNTA($X206:$XFD206)*30&lt;$M206,1,0),"")</f>
        <v/>
      </c>
      <c r="K206" t="str">
        <f>IF($K205&lt;NCUOTAS+CUOTAADICIONAL+PGRACIA,$K205+1,"")</f>
        <v/>
      </c>
      <c r="L206" s="5" t="str">
        <f>IF($K206&lt;&gt;"",IF(ULTIMODIA=0,IF($E206="",DATE(YEAR($M$7),MONTH($M$7)+($A$1*($H206-1))+SUM($B$12:$B206),DAY($M$7)),$E206),G206),"")</f>
        <v/>
      </c>
      <c r="M206" s="9" t="str">
        <f t="shared" si="9"/>
        <v/>
      </c>
      <c r="N206" s="3" t="str">
        <f t="shared" si="10"/>
        <v/>
      </c>
      <c r="O206" s="3" t="str">
        <f>IF($K206&lt;&gt;"",IF($A206="Gracia Parcial",IF(AND($C206&lt;$W206+$R206+$S206+$T206+$V205,$C206&gt;0),$C206,$W206+$R206+$S206+$T206+$V205),IF($A206="Gracia Total",0,IF($A206="Prepago",$C206,IF(ISNUMBER($C206),$C206*VALUE(MID($C$1,MONTH($L206),1)),$P$5*VALUE(MID($C$1,MONTH($L206),1))))))-IF($K207="",ARREGLO,0),"")</f>
        <v/>
      </c>
      <c r="P206" s="3" t="str">
        <f t="shared" si="11"/>
        <v/>
      </c>
      <c r="Q206" s="3" t="str">
        <f t="shared" si="12"/>
        <v/>
      </c>
      <c r="R206" s="3" t="str">
        <f>IF($K206&lt;&gt;"",IF($A206="Prepago",0,IF(($H206+SUM($B$12:$B206))*$S$6&gt;SUM($R$11:$R205)+$S$6,$S$6*2,$S$6)),"")</f>
        <v/>
      </c>
      <c r="S206" s="3" t="str">
        <f>IF($K206&lt;&gt;"",IF($A206="Prepago",0,IF(($H206+SUM($B$12:$B206))*$S$7&gt;SUM($S$11:$S205)+$S$7,$S$7*2,$S$7)),"")</f>
        <v/>
      </c>
      <c r="T206" s="3" t="str">
        <f>IF($K206&lt;&gt;"",IF($A206="Prepago",0,IF(($H206+SUM($B$12:$B206))*$S$8&gt;SUM($T$11:$T205)+$S$8,$S$8*2,$S$8)),"")</f>
        <v/>
      </c>
      <c r="U206" s="3" t="str">
        <f t="shared" si="13"/>
        <v/>
      </c>
      <c r="V206" s="3" t="str">
        <f t="shared" si="14"/>
        <v/>
      </c>
      <c r="W206" s="3" t="str">
        <f>IF($K206&lt;&gt;"",SUM($X206:$XFD206),"")</f>
        <v/>
      </c>
      <c r="X206" s="3" t="str">
        <f t="shared" si="6"/>
        <v/>
      </c>
      <c r="Y206" s="3" t="str">
        <f>IF($K206&lt;&gt;"",IF($M206&gt;X$11,IF($M206&lt;Y$11,$M206-X$11,30),0)*ROUND(($N206+$V205+SUM($X206:X206))*$T$5/3000,2),"")</f>
        <v/>
      </c>
      <c r="Z206" s="3"/>
      <c r="AA206" s="3"/>
    </row>
    <row r="207" spans="5:27" x14ac:dyDescent="0.25">
      <c r="E207" s="5"/>
      <c r="F207" t="str">
        <f t="shared" si="7"/>
        <v/>
      </c>
      <c r="G207" s="5" t="str">
        <f>IF($K207&lt;&gt;"",EOMONTH(DATE(YEAR($M$6),$G$11+K207+SUM($B$12:B207),1),0),"")</f>
        <v/>
      </c>
      <c r="H207" s="22" t="str">
        <f>IF($K207&lt;&gt;"",IF($A207="Prepago",$H206,$H206+1),"")</f>
        <v/>
      </c>
      <c r="I207" s="22" t="str">
        <f t="shared" si="8"/>
        <v/>
      </c>
      <c r="J207" s="22" t="str">
        <f>IF(K207&lt;&gt;"",IF(COUNTA($X207:$XFD207)*30&lt;$M207,1,0),"")</f>
        <v/>
      </c>
      <c r="K207" t="str">
        <f>IF($K206&lt;NCUOTAS+CUOTAADICIONAL+PGRACIA,$K206+1,"")</f>
        <v/>
      </c>
      <c r="L207" s="5" t="str">
        <f>IF($K207&lt;&gt;"",IF(ULTIMODIA=0,IF($E207="",DATE(YEAR($M$7),MONTH($M$7)+($A$1*($H207-1))+SUM($B$12:$B207),DAY($M$7)),$E207),G207),"")</f>
        <v/>
      </c>
      <c r="M207" s="9" t="str">
        <f t="shared" si="9"/>
        <v/>
      </c>
      <c r="N207" s="3" t="str">
        <f t="shared" si="10"/>
        <v/>
      </c>
      <c r="O207" s="3" t="str">
        <f>IF($K207&lt;&gt;"",IF($A207="Gracia Parcial",IF(AND($C207&lt;$W207+$R207+$S207+$T207+$V206,$C207&gt;0),$C207,$W207+$R207+$S207+$T207+$V206),IF($A207="Gracia Total",0,IF($A207="Prepago",$C207,IF(ISNUMBER($C207),$C207*VALUE(MID($C$1,MONTH($L207),1)),$P$5*VALUE(MID($C$1,MONTH($L207),1))))))-IF($K208="",ARREGLO,0),"")</f>
        <v/>
      </c>
      <c r="P207" s="3" t="str">
        <f t="shared" si="11"/>
        <v/>
      </c>
      <c r="Q207" s="3" t="str">
        <f t="shared" si="12"/>
        <v/>
      </c>
      <c r="R207" s="3" t="str">
        <f>IF($K207&lt;&gt;"",IF($A207="Prepago",0,IF(($H207+SUM($B$12:$B207))*$S$6&gt;SUM($R$11:$R206)+$S$6,$S$6*2,$S$6)),"")</f>
        <v/>
      </c>
      <c r="S207" s="3" t="str">
        <f>IF($K207&lt;&gt;"",IF($A207="Prepago",0,IF(($H207+SUM($B$12:$B207))*$S$7&gt;SUM($S$11:$S206)+$S$7,$S$7*2,$S$7)),"")</f>
        <v/>
      </c>
      <c r="T207" s="3" t="str">
        <f>IF($K207&lt;&gt;"",IF($A207="Prepago",0,IF(($H207+SUM($B$12:$B207))*$S$8&gt;SUM($T$11:$T206)+$S$8,$S$8*2,$S$8)),"")</f>
        <v/>
      </c>
      <c r="U207" s="3" t="str">
        <f t="shared" si="13"/>
        <v/>
      </c>
      <c r="V207" s="3" t="str">
        <f t="shared" si="14"/>
        <v/>
      </c>
      <c r="W207" s="3" t="str">
        <f>IF($K207&lt;&gt;"",SUM($X207:$XFD207),"")</f>
        <v/>
      </c>
      <c r="X207" s="3" t="str">
        <f t="shared" si="6"/>
        <v/>
      </c>
      <c r="Y207" s="3" t="str">
        <f>IF($K207&lt;&gt;"",IF($M207&gt;X$11,IF($M207&lt;Y$11,$M207-X$11,30),0)*ROUND(($N207+$V206+SUM($X207:X207))*$T$5/3000,2),"")</f>
        <v/>
      </c>
      <c r="Z207" s="3"/>
      <c r="AA207" s="3"/>
    </row>
    <row r="208" spans="5:27" x14ac:dyDescent="0.25">
      <c r="E208" s="5"/>
      <c r="F208" t="str">
        <f t="shared" si="7"/>
        <v/>
      </c>
      <c r="G208" s="5" t="str">
        <f>IF($K208&lt;&gt;"",EOMONTH(DATE(YEAR($M$6),$G$11+K208+SUM($B$12:B208),1),0),"")</f>
        <v/>
      </c>
      <c r="H208" s="22" t="str">
        <f>IF($K208&lt;&gt;"",IF($A208="Prepago",$H207,$H207+1),"")</f>
        <v/>
      </c>
      <c r="I208" s="22" t="str">
        <f t="shared" si="8"/>
        <v/>
      </c>
      <c r="J208" s="22" t="str">
        <f>IF(K208&lt;&gt;"",IF(COUNTA($X208:$XFD208)*30&lt;$M208,1,0),"")</f>
        <v/>
      </c>
      <c r="K208" t="str">
        <f>IF($K207&lt;NCUOTAS+CUOTAADICIONAL+PGRACIA,$K207+1,"")</f>
        <v/>
      </c>
      <c r="L208" s="5" t="str">
        <f>IF($K208&lt;&gt;"",IF(ULTIMODIA=0,IF($E208="",DATE(YEAR($M$7),MONTH($M$7)+($A$1*($H208-1))+SUM($B$12:$B208),DAY($M$7)),$E208),G208),"")</f>
        <v/>
      </c>
      <c r="M208" s="9" t="str">
        <f t="shared" si="9"/>
        <v/>
      </c>
      <c r="N208" s="3" t="str">
        <f t="shared" si="10"/>
        <v/>
      </c>
      <c r="O208" s="3" t="str">
        <f>IF($K208&lt;&gt;"",IF($A208="Gracia Parcial",IF(AND($C208&lt;$W208+$R208+$S208+$T208+$V207,$C208&gt;0),$C208,$W208+$R208+$S208+$T208+$V207),IF($A208="Gracia Total",0,IF($A208="Prepago",$C208,IF(ISNUMBER($C208),$C208*VALUE(MID($C$1,MONTH($L208),1)),$P$5*VALUE(MID($C$1,MONTH($L208),1))))))-IF($K209="",ARREGLO,0),"")</f>
        <v/>
      </c>
      <c r="P208" s="3" t="str">
        <f t="shared" si="11"/>
        <v/>
      </c>
      <c r="Q208" s="3" t="str">
        <f t="shared" si="12"/>
        <v/>
      </c>
      <c r="R208" s="3" t="str">
        <f>IF($K208&lt;&gt;"",IF($A208="Prepago",0,IF(($H208+SUM($B$12:$B208))*$S$6&gt;SUM($R$11:$R207)+$S$6,$S$6*2,$S$6)),"")</f>
        <v/>
      </c>
      <c r="S208" s="3" t="str">
        <f>IF($K208&lt;&gt;"",IF($A208="Prepago",0,IF(($H208+SUM($B$12:$B208))*$S$7&gt;SUM($S$11:$S207)+$S$7,$S$7*2,$S$7)),"")</f>
        <v/>
      </c>
      <c r="T208" s="3" t="str">
        <f>IF($K208&lt;&gt;"",IF($A208="Prepago",0,IF(($H208+SUM($B$12:$B208))*$S$8&gt;SUM($T$11:$T207)+$S$8,$S$8*2,$S$8)),"")</f>
        <v/>
      </c>
      <c r="U208" s="3" t="str">
        <f t="shared" si="13"/>
        <v/>
      </c>
      <c r="V208" s="3" t="str">
        <f t="shared" si="14"/>
        <v/>
      </c>
      <c r="W208" s="3" t="str">
        <f>IF($K208&lt;&gt;"",SUM($X208:$XFD208),"")</f>
        <v/>
      </c>
      <c r="X208" s="3" t="str">
        <f t="shared" si="6"/>
        <v/>
      </c>
      <c r="Y208" s="3" t="str">
        <f>IF($K208&lt;&gt;"",IF($M208&gt;X$11,IF($M208&lt;Y$11,$M208-X$11,30),0)*ROUND(($N208+$V207+SUM($X208:X208))*$T$5/3000,2),"")</f>
        <v/>
      </c>
      <c r="Z208" s="3"/>
      <c r="AA208" s="3"/>
    </row>
  </sheetData>
  <protectedRanges>
    <protectedRange algorithmName="SHA-512" hashValue="saOoXsqAoQxcXXYzXQIOV3/apjOtIOId7A6E3Kbbks0v/+hkXCO7VppjyeJOkYNfZLM9Y82SgohJPBHQ4upYMw==" saltValue="AI4kOYg9mvAOcytG4WhlkQ==" spinCount="100000" sqref="AB10:AC10 AV11 AX11 AZ11 BB11 BD11 BF11 BH11 BJ11 BL11 BN11 BP11 BR11 BT11 BV11 BX11 BZ11 CB11 CD11 CF11 AF11 AH11 AJ11 AL11 AN11 AP11 AR11 AT11 AB13:AC15 AD11 L10:AA11 AB25:AC60 AB21:AC23 AC16 K10:K208 BV12:CF12 AD13:CF16 AB18:CF18 AG17:CF17 AD20:CF60 AE19:CF19 L12:X208" name="Rango1"/>
    <protectedRange algorithmName="SHA-512" hashValue="saOoXsqAoQxcXXYzXQIOV3/apjOtIOId7A6E3Kbbks0v/+hkXCO7VppjyeJOkYNfZLM9Y82SgohJPBHQ4upYMw==" saltValue="AI4kOYg9mvAOcytG4WhlkQ==" spinCount="100000" sqref="Z25:AA208 Z24:AC24 Z21:AA23 Z20:AC20 Y16:AB16 Y13:AA15 Z18:AA18 Y18:Y208 Y12:BU12 Y17:AF17 Z19:AD19" name="Rango1_1"/>
  </protectedRanges>
  <mergeCells count="2">
    <mergeCell ref="Y6:Z6"/>
    <mergeCell ref="K1:K2"/>
  </mergeCells>
  <conditionalFormatting sqref="W10 L11:W208">
    <cfRule type="expression" dxfId="1" priority="19">
      <formula>AND($K10&lt;&gt;"")</formula>
    </cfRule>
  </conditionalFormatting>
  <conditionalFormatting sqref="L11:V208">
    <cfRule type="expression" dxfId="0" priority="7">
      <formula>AND(ROUND(L11,0)&lt;0)</formula>
    </cfRule>
  </conditionalFormatting>
  <conditionalFormatting sqref="V7">
    <cfRule type="expression" dxfId="7" priority="6">
      <formula>AND($V$7&lt;&gt;0)</formula>
    </cfRule>
  </conditionalFormatting>
  <conditionalFormatting sqref="AA7">
    <cfRule type="expression" dxfId="6" priority="4">
      <formula>AND($AA$7&lt;&gt;"OK")</formula>
    </cfRule>
  </conditionalFormatting>
  <conditionalFormatting sqref="AA6">
    <cfRule type="expression" dxfId="5" priority="3">
      <formula>AND($AA$6&lt;&gt;"OK")</formula>
    </cfRule>
  </conditionalFormatting>
  <conditionalFormatting sqref="H12:J208 A12:E208">
    <cfRule type="expression" dxfId="4" priority="46">
      <formula>AND($K12&lt;&gt;"")</formula>
    </cfRule>
  </conditionalFormatting>
  <conditionalFormatting sqref="K10 F10:G10">
    <cfRule type="expression" dxfId="3" priority="51">
      <formula>AND(COUNTA($K:$K)-2&lt;$P$6)</formula>
    </cfRule>
  </conditionalFormatting>
  <conditionalFormatting sqref="K12:K1048576 F12:G1048576">
    <cfRule type="expression" dxfId="2" priority="58">
      <formula>AND(COUNTA($X12:$XFD12)*30&lt;$M12,$K12&lt;&gt;"")</formula>
    </cfRule>
  </conditionalFormatting>
  <dataValidations count="7">
    <dataValidation type="decimal" operator="greaterThanOrEqual" allowBlank="1" showInputMessage="1" showErrorMessage="1" errorTitle="TEA" error="Debe ser un numero positivo" sqref="S5" xr:uid="{00000000-0002-0000-0000-000000000000}">
      <formula1>0</formula1>
    </dataValidation>
    <dataValidation operator="greaterThanOrEqual" allowBlank="1" showInputMessage="1" showErrorMessage="1" errorTitle="Meses de Gracia Inicial" error="Debe ser un numero entero positivo" sqref="P7" xr:uid="{00000000-0002-0000-0000-000001000000}"/>
    <dataValidation type="whole" operator="greaterThan" allowBlank="1" showInputMessage="1" showErrorMessage="1" errorTitle="Numero de Cuotas" error="Debe ser un numero entero positivo" sqref="P6" xr:uid="{00000000-0002-0000-0000-000002000000}">
      <formula1>0</formula1>
    </dataValidation>
    <dataValidation operator="greaterThan" showInputMessage="1" showErrorMessage="1" errorTitle="Fecha de la 1ra Cuota" error="Debe ser una Fecha posterior al desembolso" sqref="M7" xr:uid="{00000000-0002-0000-0000-000003000000}"/>
    <dataValidation type="date" operator="greaterThanOrEqual" showInputMessage="1" showErrorMessage="1" errorTitle="Fecha de desembolso" error="Debe ser una Fecha" sqref="M6" xr:uid="{00000000-0002-0000-0000-000004000000}">
      <formula1>36892</formula1>
    </dataValidation>
    <dataValidation type="decimal" operator="notEqual" showInputMessage="1" showErrorMessage="1" errorTitle="Monto" error="Debe ser un dato numérico" sqref="M8" xr:uid="{00000000-0002-0000-0000-000005000000}">
      <formula1>0</formula1>
    </dataValidation>
    <dataValidation type="list" allowBlank="1" showInputMessage="1" showErrorMessage="1" sqref="A12:B208" xr:uid="{00000000-0002-0000-0000-000006000000}">
      <formula1>TIPO_CUOTAS</formula1>
    </dataValidation>
  </dataValidations>
  <pageMargins left="0.70866141732283472" right="0.70866141732283472" top="0.74803149606299213" bottom="0.35433070866141736" header="0.31496062992125984" footer="0.31496062992125984"/>
  <pageSetup scale="50" orientation="landscape" r:id="rId1"/>
  <drawing r:id="rId2"/>
  <legacyDrawing r:id="rId3"/>
  <controls>
    <mc:AlternateContent xmlns:mc="http://schemas.openxmlformats.org/markup-compatibility/2006">
      <mc:Choice Requires="x14">
        <control shapeId="1027" r:id="rId4" name="btAjustar">
          <controlPr defaultSize="0" autoLine="0" autoPict="0" r:id="rId5">
            <anchor moveWithCells="1">
              <from>
                <xdr:col>16</xdr:col>
                <xdr:colOff>85725</xdr:colOff>
                <xdr:row>4</xdr:row>
                <xdr:rowOff>66675</xdr:rowOff>
              </from>
              <to>
                <xdr:col>16</xdr:col>
                <xdr:colOff>866775</xdr:colOff>
                <xdr:row>6</xdr:row>
                <xdr:rowOff>114300</xdr:rowOff>
              </to>
            </anchor>
          </controlPr>
        </control>
      </mc:Choice>
      <mc:Fallback>
        <control shapeId="1027" r:id="rId4" name="btAjustar"/>
      </mc:Fallback>
    </mc:AlternateContent>
    <mc:AlternateContent xmlns:mc="http://schemas.openxmlformats.org/markup-compatibility/2006">
      <mc:Choice Requires="x14">
        <control shapeId="1025" r:id="rId6" name="btnLimpiar">
          <controlPr defaultSize="0" autoLine="0" autoPict="0" r:id="rId7">
            <anchor moveWithCells="1">
              <from>
                <xdr:col>0</xdr:col>
                <xdr:colOff>238125</xdr:colOff>
                <xdr:row>7</xdr:row>
                <xdr:rowOff>28575</xdr:rowOff>
              </from>
              <to>
                <xdr:col>3</xdr:col>
                <xdr:colOff>419100</xdr:colOff>
                <xdr:row>8</xdr:row>
                <xdr:rowOff>133350</xdr:rowOff>
              </to>
            </anchor>
          </controlPr>
        </control>
      </mc:Choice>
      <mc:Fallback>
        <control shapeId="1025" r:id="rId6" name="btnLimpiar"/>
      </mc:Fallback>
    </mc:AlternateContent>
    <mc:AlternateContent xmlns:mc="http://schemas.openxmlformats.org/markup-compatibility/2006">
      <mc:Choice Requires="x14">
        <control shapeId="1042" r:id="rId8" name="cbUltimoDia">
          <controlPr defaultSize="0" autoLine="0" autoPict="0" r:id="rId9">
            <anchor moveWithCells="1">
              <from>
                <xdr:col>13</xdr:col>
                <xdr:colOff>85725</xdr:colOff>
                <xdr:row>5</xdr:row>
                <xdr:rowOff>161925</xdr:rowOff>
              </from>
              <to>
                <xdr:col>13</xdr:col>
                <xdr:colOff>981075</xdr:colOff>
                <xdr:row>7</xdr:row>
                <xdr:rowOff>19050</xdr:rowOff>
              </to>
            </anchor>
          </controlPr>
        </control>
      </mc:Choice>
      <mc:Fallback>
        <control shapeId="1042" r:id="rId8" name="cbUltimoDia"/>
      </mc:Fallback>
    </mc:AlternateContent>
    <mc:AlternateContent xmlns:mc="http://schemas.openxmlformats.org/markup-compatibility/2006">
      <mc:Choice Requires="x14">
        <control shapeId="1029" r:id="rId10" name="Option Button 5">
          <controlPr defaultSize="0" autoFill="0" autoLine="0" autoPict="0" altText="Mensual Fijo">
            <anchor moveWithCells="1">
              <from>
                <xdr:col>2</xdr:col>
                <xdr:colOff>57150</xdr:colOff>
                <xdr:row>1</xdr:row>
                <xdr:rowOff>47625</xdr:rowOff>
              </from>
              <to>
                <xdr:col>3</xdr:col>
                <xdr:colOff>647700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1" name="Option Button 6">
          <controlPr defaultSize="0" autoFill="0" autoLine="0" autoPict="0" altText="Mensual Fijo">
            <anchor moveWithCells="1">
              <from>
                <xdr:col>2</xdr:col>
                <xdr:colOff>57150</xdr:colOff>
                <xdr:row>2</xdr:row>
                <xdr:rowOff>123825</xdr:rowOff>
              </from>
              <to>
                <xdr:col>3</xdr:col>
                <xdr:colOff>628650</xdr:colOff>
                <xdr:row>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2" name="Option Button 7">
          <controlPr defaultSize="0" autoFill="0" autoLine="0" autoPict="0" altText="Mensual Fijo">
            <anchor moveWithCells="1">
              <from>
                <xdr:col>2</xdr:col>
                <xdr:colOff>57150</xdr:colOff>
                <xdr:row>4</xdr:row>
                <xdr:rowOff>47625</xdr:rowOff>
              </from>
              <to>
                <xdr:col>3</xdr:col>
                <xdr:colOff>647700</xdr:colOff>
                <xdr:row>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3" name="Button 19">
          <controlPr defaultSize="0" print="0" autoFill="0" autoPict="0" macro="[0]!GenerarCSV">
            <anchor moveWithCells="1" sizeWithCells="1">
              <from>
                <xdr:col>23</xdr:col>
                <xdr:colOff>38100</xdr:colOff>
                <xdr:row>4</xdr:row>
                <xdr:rowOff>0</xdr:rowOff>
              </from>
              <to>
                <xdr:col>23</xdr:col>
                <xdr:colOff>866775</xdr:colOff>
                <xdr:row>6</xdr:row>
                <xdr:rowOff>161925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5"/>
  <sheetViews>
    <sheetView workbookViewId="0"/>
  </sheetViews>
  <sheetFormatPr baseColWidth="10" defaultRowHeight="15" x14ac:dyDescent="0.25"/>
  <cols>
    <col min="1" max="1" width="14.140625" customWidth="1"/>
  </cols>
  <sheetData>
    <row r="1" spans="1:1" x14ac:dyDescent="0.25">
      <c r="A1" t="s">
        <v>101</v>
      </c>
    </row>
    <row r="3" spans="1:1" x14ac:dyDescent="0.25">
      <c r="A3" t="s">
        <v>103</v>
      </c>
    </row>
    <row r="4" spans="1:1" x14ac:dyDescent="0.25">
      <c r="A4" t="s">
        <v>102</v>
      </c>
    </row>
    <row r="5" spans="1:1" x14ac:dyDescent="0.25">
      <c r="A5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15</vt:i4>
      </vt:variant>
    </vt:vector>
  </HeadingPairs>
  <TitlesOfParts>
    <vt:vector size="17" baseType="lpstr">
      <vt:lpstr>Hoja1</vt:lpstr>
      <vt:lpstr>Hoja2</vt:lpstr>
      <vt:lpstr>areaFija</vt:lpstr>
      <vt:lpstr>ARREGLO</vt:lpstr>
      <vt:lpstr>CUOTA</vt:lpstr>
      <vt:lpstr>CUOTAADICIONAL</vt:lpstr>
      <vt:lpstr>dataGracia</vt:lpstr>
      <vt:lpstr>FIN_REF</vt:lpstr>
      <vt:lpstr>INICIO_REF</vt:lpstr>
      <vt:lpstr>InicioLimpiar</vt:lpstr>
      <vt:lpstr>MONTO</vt:lpstr>
      <vt:lpstr>NCUOTAS</vt:lpstr>
      <vt:lpstr>OBJETIVO</vt:lpstr>
      <vt:lpstr>PAGO_SIN_FIJAR</vt:lpstr>
      <vt:lpstr>PGRACIA</vt:lpstr>
      <vt:lpstr>TIPO_CUOTAS</vt:lpstr>
      <vt:lpstr>ULTIMODIA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djhoncon</dc:creator>
  <cp:lastModifiedBy>Kenji Jhoncon</cp:lastModifiedBy>
  <cp:lastPrinted>2018-02-05T18:12:04Z</cp:lastPrinted>
  <dcterms:created xsi:type="dcterms:W3CDTF">2017-07-14T15:21:18Z</dcterms:created>
  <dcterms:modified xsi:type="dcterms:W3CDTF">2020-08-25T17:55:20Z</dcterms:modified>
</cp:coreProperties>
</file>