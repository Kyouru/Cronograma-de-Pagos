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Z:\Familia\Kyouru\Zona Trabajo\Excel Macro\Cronograma\"/>
    </mc:Choice>
  </mc:AlternateContent>
  <xr:revisionPtr revIDLastSave="0" documentId="13_ncr:1_{55F1DFD4-B32E-4F35-A5B4-3008856CC08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iginal 1" sheetId="1" r:id="rId1"/>
    <sheet name="Hoja2" sheetId="2" state="hidden" r:id="rId2"/>
  </sheets>
  <functionGroups builtInGroupCount="19"/>
  <definedNames>
    <definedName name="areaFija">'Original 1'!$C$11</definedName>
    <definedName name="areaFija2">'Original 1'!$B$11</definedName>
    <definedName name="ARREGLO">'Original 1'!$AA$8</definedName>
    <definedName name="CAPITALFIJOPAGADO">'Original 1'!$K$11</definedName>
    <definedName name="CUOTA">'Original 1'!$Q$5</definedName>
    <definedName name="CUOTAADICIONAL">'Original 1'!$Q$7</definedName>
    <definedName name="dataGracia">'Original 1'!$A$11</definedName>
    <definedName name="FIN_REF">'Original 1'!$W$11</definedName>
    <definedName name="FinLimpiar">'Original 1'!$E$12</definedName>
    <definedName name="INICIO_REF">'Original 1'!$L$11</definedName>
    <definedName name="InicioLimpiar">'Original 1'!$A$12</definedName>
    <definedName name="MESADICIONAL">'Original 1'!$B$1</definedName>
    <definedName name="MONTO">'Original 1'!$N$8</definedName>
    <definedName name="NCUOTAS">'Original 1'!$Q$6</definedName>
    <definedName name="NPREPAGO">'Original 1'!$Q$9</definedName>
    <definedName name="OBJETIVO">'Original 1'!$AA$7</definedName>
    <definedName name="OBJETIVO2">'Original 1'!$AB$7</definedName>
    <definedName name="PAGO_SIN_FIJAR">'Original 1'!#REF!</definedName>
    <definedName name="TIPO_CUOTAS">Hoja2!$A$2:$A$5</definedName>
    <definedName name="TOTALCUOTAS">'Original 1'!$R$8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6" i="1" l="1"/>
  <c r="B11" i="1" l="1"/>
  <c r="M11" i="1" l="1"/>
  <c r="Q9" i="1" l="1"/>
  <c r="Q8" i="1" l="1"/>
  <c r="R8" i="1" s="1"/>
  <c r="L12" i="1"/>
  <c r="J12" i="1" l="1"/>
  <c r="H12" i="1"/>
  <c r="U12" i="1" s="1"/>
  <c r="L13" i="1"/>
  <c r="W11" i="1"/>
  <c r="O12" i="1" s="1"/>
  <c r="AB1" i="1"/>
  <c r="V5" i="1"/>
  <c r="G12" i="1" l="1"/>
  <c r="M12" i="1" s="1"/>
  <c r="V12" i="1"/>
  <c r="S12" i="1"/>
  <c r="T12" i="1"/>
  <c r="J13" i="1"/>
  <c r="H13" i="1"/>
  <c r="U13" i="1" s="1"/>
  <c r="L14" i="1"/>
  <c r="V13" i="1" l="1"/>
  <c r="G13" i="1"/>
  <c r="M13" i="1" s="1"/>
  <c r="S13" i="1"/>
  <c r="T13" i="1"/>
  <c r="J14" i="1"/>
  <c r="H14" i="1"/>
  <c r="V14" i="1" s="1"/>
  <c r="L15" i="1"/>
  <c r="U14" i="1" l="1"/>
  <c r="G14" i="1"/>
  <c r="M14" i="1" s="1"/>
  <c r="P14" i="1" s="1"/>
  <c r="T14" i="1"/>
  <c r="S14" i="1"/>
  <c r="J15" i="1"/>
  <c r="H15" i="1"/>
  <c r="V15" i="1" s="1"/>
  <c r="L16" i="1"/>
  <c r="C1" i="1"/>
  <c r="P12" i="1" s="1"/>
  <c r="P13" i="1" l="1"/>
  <c r="U15" i="1"/>
  <c r="S15" i="1"/>
  <c r="T15" i="1"/>
  <c r="G15" i="1"/>
  <c r="M15" i="1" s="1"/>
  <c r="P15" i="1" s="1"/>
  <c r="J16" i="1"/>
  <c r="H16" i="1"/>
  <c r="V16" i="1" s="1"/>
  <c r="L17" i="1"/>
  <c r="U16" i="1" l="1"/>
  <c r="T16" i="1"/>
  <c r="S16" i="1"/>
  <c r="G16" i="1"/>
  <c r="M16" i="1" s="1"/>
  <c r="P16" i="1" s="1"/>
  <c r="J17" i="1"/>
  <c r="H17" i="1"/>
  <c r="V17" i="1" s="1"/>
  <c r="L18" i="1"/>
  <c r="U17" i="1" l="1"/>
  <c r="T17" i="1"/>
  <c r="S17" i="1"/>
  <c r="G17" i="1"/>
  <c r="M17" i="1" s="1"/>
  <c r="P17" i="1" s="1"/>
  <c r="J18" i="1"/>
  <c r="L19" i="1"/>
  <c r="H18" i="1"/>
  <c r="V18" i="1" s="1"/>
  <c r="F12" i="1"/>
  <c r="U18" i="1" l="1"/>
  <c r="L20" i="1"/>
  <c r="J20" i="1" s="1"/>
  <c r="T18" i="1"/>
  <c r="S18" i="1"/>
  <c r="G18" i="1"/>
  <c r="M18" i="1" s="1"/>
  <c r="P18" i="1" s="1"/>
  <c r="J19" i="1"/>
  <c r="H19" i="1"/>
  <c r="V19" i="1" s="1"/>
  <c r="L21" i="1"/>
  <c r="N12" i="1"/>
  <c r="U19" i="1" l="1"/>
  <c r="G19" i="1"/>
  <c r="M19" i="1" s="1"/>
  <c r="P19" i="1" s="1"/>
  <c r="T19" i="1"/>
  <c r="S19" i="1"/>
  <c r="J21" i="1"/>
  <c r="H20" i="1"/>
  <c r="V20" i="1" s="1"/>
  <c r="Z12" i="1"/>
  <c r="AA12" i="1" s="1"/>
  <c r="L22" i="1"/>
  <c r="U20" i="1" l="1"/>
  <c r="T20" i="1"/>
  <c r="S20" i="1"/>
  <c r="G20" i="1"/>
  <c r="M20" i="1" s="1"/>
  <c r="P20" i="1" s="1"/>
  <c r="J22" i="1"/>
  <c r="H21" i="1"/>
  <c r="U21" i="1" s="1"/>
  <c r="L23" i="1"/>
  <c r="V21" i="1" l="1"/>
  <c r="G21" i="1"/>
  <c r="M21" i="1" s="1"/>
  <c r="P21" i="1" s="1"/>
  <c r="S21" i="1"/>
  <c r="T21" i="1"/>
  <c r="J23" i="1"/>
  <c r="H22" i="1"/>
  <c r="U22" i="1" s="1"/>
  <c r="L24" i="1"/>
  <c r="F13" i="1"/>
  <c r="N13" i="1"/>
  <c r="V22" i="1" l="1"/>
  <c r="T22" i="1"/>
  <c r="S22" i="1"/>
  <c r="H23" i="1"/>
  <c r="U23" i="1" s="1"/>
  <c r="G22" i="1"/>
  <c r="M22" i="1" s="1"/>
  <c r="P22" i="1" s="1"/>
  <c r="J24" i="1"/>
  <c r="L25" i="1"/>
  <c r="F14" i="1"/>
  <c r="N14" i="1"/>
  <c r="V23" i="1" l="1"/>
  <c r="H24" i="1"/>
  <c r="U24" i="1" s="1"/>
  <c r="T23" i="1"/>
  <c r="S23" i="1"/>
  <c r="G23" i="1"/>
  <c r="M23" i="1" s="1"/>
  <c r="P23" i="1" s="1"/>
  <c r="J25" i="1"/>
  <c r="N15" i="1"/>
  <c r="F15" i="1"/>
  <c r="L26" i="1"/>
  <c r="H25" i="1" l="1"/>
  <c r="U25" i="1" s="1"/>
  <c r="V24" i="1"/>
  <c r="G24" i="1"/>
  <c r="M24" i="1" s="1"/>
  <c r="P24" i="1" s="1"/>
  <c r="G25" i="1"/>
  <c r="M25" i="1" s="1"/>
  <c r="P25" i="1" s="1"/>
  <c r="S24" i="1"/>
  <c r="S25" i="1" s="1"/>
  <c r="T24" i="1"/>
  <c r="T25" i="1" s="1"/>
  <c r="J26" i="1"/>
  <c r="H26" i="1"/>
  <c r="L27" i="1"/>
  <c r="F16" i="1"/>
  <c r="N16" i="1"/>
  <c r="U26" i="1" l="1"/>
  <c r="V25" i="1"/>
  <c r="V26" i="1" s="1"/>
  <c r="T26" i="1"/>
  <c r="G26" i="1"/>
  <c r="M26" i="1" s="1"/>
  <c r="P26" i="1" s="1"/>
  <c r="S26" i="1"/>
  <c r="J27" i="1"/>
  <c r="H27" i="1"/>
  <c r="U27" i="1" s="1"/>
  <c r="F17" i="1"/>
  <c r="N17" i="1"/>
  <c r="L28" i="1"/>
  <c r="V27" i="1" l="1"/>
  <c r="G27" i="1"/>
  <c r="M27" i="1" s="1"/>
  <c r="P27" i="1" s="1"/>
  <c r="S27" i="1"/>
  <c r="T27" i="1"/>
  <c r="J28" i="1"/>
  <c r="H28" i="1"/>
  <c r="G28" i="1" s="1"/>
  <c r="M28" i="1" s="1"/>
  <c r="P28" i="1" s="1"/>
  <c r="I12" i="1"/>
  <c r="Y12" i="1"/>
  <c r="R12" i="1" s="1"/>
  <c r="F18" i="1"/>
  <c r="N18" i="1"/>
  <c r="F19" i="1"/>
  <c r="L29" i="1"/>
  <c r="U28" i="1" l="1"/>
  <c r="Q12" i="1"/>
  <c r="V28" i="1"/>
  <c r="T28" i="1"/>
  <c r="S28" i="1"/>
  <c r="J29" i="1"/>
  <c r="H29" i="1"/>
  <c r="N19" i="1"/>
  <c r="L30" i="1"/>
  <c r="U29" i="1" l="1"/>
  <c r="V29" i="1"/>
  <c r="T29" i="1"/>
  <c r="K12" i="1"/>
  <c r="X12" i="1"/>
  <c r="S29" i="1"/>
  <c r="G29" i="1"/>
  <c r="M29" i="1" s="1"/>
  <c r="P29" i="1" s="1"/>
  <c r="J30" i="1"/>
  <c r="H30" i="1"/>
  <c r="L31" i="1"/>
  <c r="F20" i="1"/>
  <c r="N20" i="1"/>
  <c r="V30" i="1" l="1"/>
  <c r="U30" i="1"/>
  <c r="T30" i="1"/>
  <c r="S30" i="1"/>
  <c r="G30" i="1"/>
  <c r="M30" i="1" s="1"/>
  <c r="P30" i="1" s="1"/>
  <c r="J31" i="1"/>
  <c r="W12" i="1"/>
  <c r="H31" i="1"/>
  <c r="L32" i="1"/>
  <c r="F21" i="1"/>
  <c r="N21" i="1"/>
  <c r="V31" i="1" l="1"/>
  <c r="U31" i="1"/>
  <c r="T31" i="1"/>
  <c r="S31" i="1"/>
  <c r="G31" i="1"/>
  <c r="M31" i="1" s="1"/>
  <c r="P31" i="1" s="1"/>
  <c r="J32" i="1"/>
  <c r="H32" i="1"/>
  <c r="V32" i="1" s="1"/>
  <c r="N22" i="1"/>
  <c r="F22" i="1"/>
  <c r="L33" i="1"/>
  <c r="U32" i="1" l="1"/>
  <c r="T32" i="1"/>
  <c r="S32" i="1"/>
  <c r="G32" i="1"/>
  <c r="M32" i="1" s="1"/>
  <c r="P32" i="1" s="1"/>
  <c r="J33" i="1"/>
  <c r="H33" i="1"/>
  <c r="V33" i="1" s="1"/>
  <c r="N23" i="1"/>
  <c r="F23" i="1"/>
  <c r="L34" i="1"/>
  <c r="U33" i="1" l="1"/>
  <c r="T33" i="1"/>
  <c r="S33" i="1"/>
  <c r="G33" i="1"/>
  <c r="M33" i="1" s="1"/>
  <c r="P33" i="1" s="1"/>
  <c r="J34" i="1"/>
  <c r="H34" i="1"/>
  <c r="V34" i="1" s="1"/>
  <c r="N24" i="1"/>
  <c r="F24" i="1"/>
  <c r="F25" i="1"/>
  <c r="L35" i="1"/>
  <c r="U34" i="1" l="1"/>
  <c r="T34" i="1"/>
  <c r="S34" i="1"/>
  <c r="G34" i="1"/>
  <c r="M34" i="1" s="1"/>
  <c r="P34" i="1" s="1"/>
  <c r="J35" i="1"/>
  <c r="H35" i="1"/>
  <c r="G35" i="1" s="1"/>
  <c r="M35" i="1" s="1"/>
  <c r="P35" i="1" s="1"/>
  <c r="N25" i="1"/>
  <c r="L36" i="1"/>
  <c r="U35" i="1" l="1"/>
  <c r="V35" i="1"/>
  <c r="S35" i="1"/>
  <c r="T35" i="1"/>
  <c r="J36" i="1"/>
  <c r="H36" i="1"/>
  <c r="L37" i="1"/>
  <c r="F26" i="1"/>
  <c r="N26" i="1"/>
  <c r="U36" i="1" l="1"/>
  <c r="V36" i="1"/>
  <c r="S36" i="1"/>
  <c r="T36" i="1"/>
  <c r="G36" i="1"/>
  <c r="M36" i="1" s="1"/>
  <c r="P36" i="1" s="1"/>
  <c r="J37" i="1"/>
  <c r="H37" i="1"/>
  <c r="L38" i="1"/>
  <c r="F27" i="1"/>
  <c r="N27" i="1"/>
  <c r="U37" i="1" l="1"/>
  <c r="V37" i="1"/>
  <c r="T37" i="1"/>
  <c r="S37" i="1"/>
  <c r="G37" i="1"/>
  <c r="J38" i="1"/>
  <c r="H38" i="1"/>
  <c r="U38" i="1" s="1"/>
  <c r="F29" i="1"/>
  <c r="L39" i="1"/>
  <c r="F28" i="1"/>
  <c r="N28" i="1"/>
  <c r="V38" i="1" l="1"/>
  <c r="S38" i="1"/>
  <c r="M37" i="1"/>
  <c r="P37" i="1" s="1"/>
  <c r="T38" i="1"/>
  <c r="G38" i="1"/>
  <c r="M38" i="1" s="1"/>
  <c r="P38" i="1" s="1"/>
  <c r="J39" i="1"/>
  <c r="H39" i="1"/>
  <c r="U39" i="1" s="1"/>
  <c r="F30" i="1"/>
  <c r="N30" i="1"/>
  <c r="N29" i="1"/>
  <c r="L40" i="1"/>
  <c r="V39" i="1" l="1"/>
  <c r="T39" i="1"/>
  <c r="S39" i="1"/>
  <c r="G39" i="1"/>
  <c r="M39" i="1" s="1"/>
  <c r="P39" i="1" s="1"/>
  <c r="J40" i="1"/>
  <c r="H40" i="1"/>
  <c r="L41" i="1"/>
  <c r="V40" i="1" l="1"/>
  <c r="U40" i="1"/>
  <c r="S40" i="1"/>
  <c r="T40" i="1"/>
  <c r="G40" i="1"/>
  <c r="M40" i="1" s="1"/>
  <c r="P40" i="1" s="1"/>
  <c r="J41" i="1"/>
  <c r="H41" i="1"/>
  <c r="V41" i="1" s="1"/>
  <c r="F31" i="1"/>
  <c r="N31" i="1"/>
  <c r="L42" i="1"/>
  <c r="U41" i="1" l="1"/>
  <c r="T41" i="1"/>
  <c r="S41" i="1"/>
  <c r="G41" i="1"/>
  <c r="M41" i="1" s="1"/>
  <c r="P41" i="1" s="1"/>
  <c r="J42" i="1"/>
  <c r="H42" i="1"/>
  <c r="V42" i="1" s="1"/>
  <c r="F33" i="1"/>
  <c r="L43" i="1"/>
  <c r="U42" i="1" l="1"/>
  <c r="S42" i="1"/>
  <c r="T42" i="1"/>
  <c r="G42" i="1"/>
  <c r="M42" i="1" s="1"/>
  <c r="P42" i="1" s="1"/>
  <c r="J43" i="1"/>
  <c r="H43" i="1"/>
  <c r="V43" i="1" s="1"/>
  <c r="N34" i="1"/>
  <c r="F34" i="1"/>
  <c r="L44" i="1"/>
  <c r="U43" i="1" l="1"/>
  <c r="T43" i="1"/>
  <c r="S43" i="1"/>
  <c r="G43" i="1"/>
  <c r="M43" i="1" s="1"/>
  <c r="P43" i="1" s="1"/>
  <c r="J44" i="1"/>
  <c r="H44" i="1"/>
  <c r="V44" i="1" s="1"/>
  <c r="N35" i="1"/>
  <c r="F35" i="1"/>
  <c r="L45" i="1"/>
  <c r="U44" i="1" l="1"/>
  <c r="S44" i="1"/>
  <c r="T44" i="1"/>
  <c r="G44" i="1"/>
  <c r="M44" i="1" s="1"/>
  <c r="P44" i="1" s="1"/>
  <c r="J45" i="1"/>
  <c r="H45" i="1"/>
  <c r="V45" i="1" s="1"/>
  <c r="N36" i="1"/>
  <c r="F36" i="1"/>
  <c r="L46" i="1"/>
  <c r="U45" i="1" l="1"/>
  <c r="S45" i="1"/>
  <c r="T45" i="1"/>
  <c r="G45" i="1"/>
  <c r="M45" i="1" s="1"/>
  <c r="P45" i="1" s="1"/>
  <c r="J46" i="1"/>
  <c r="H46" i="1"/>
  <c r="V46" i="1" s="1"/>
  <c r="L47" i="1"/>
  <c r="U46" i="1" l="1"/>
  <c r="S46" i="1"/>
  <c r="T46" i="1"/>
  <c r="G46" i="1"/>
  <c r="M46" i="1" s="1"/>
  <c r="P46" i="1" s="1"/>
  <c r="J47" i="1"/>
  <c r="H47" i="1"/>
  <c r="V47" i="1" s="1"/>
  <c r="F39" i="1"/>
  <c r="L48" i="1"/>
  <c r="U47" i="1" l="1"/>
  <c r="T47" i="1"/>
  <c r="S47" i="1"/>
  <c r="G47" i="1"/>
  <c r="M47" i="1" s="1"/>
  <c r="P47" i="1" s="1"/>
  <c r="J48" i="1"/>
  <c r="H48" i="1"/>
  <c r="V48" i="1" s="1"/>
  <c r="F40" i="1"/>
  <c r="L49" i="1"/>
  <c r="U49" i="1" s="1"/>
  <c r="U48" i="1" l="1"/>
  <c r="T48" i="1"/>
  <c r="S48" i="1"/>
  <c r="G48" i="1"/>
  <c r="M48" i="1" s="1"/>
  <c r="P48" i="1" s="1"/>
  <c r="J49" i="1"/>
  <c r="H49" i="1"/>
  <c r="N40" i="1"/>
  <c r="L50" i="1"/>
  <c r="U50" i="1" s="1"/>
  <c r="V49" i="1" l="1"/>
  <c r="S49" i="1"/>
  <c r="T49" i="1"/>
  <c r="G49" i="1"/>
  <c r="M49" i="1" s="1"/>
  <c r="P49" i="1" s="1"/>
  <c r="J50" i="1"/>
  <c r="H50" i="1"/>
  <c r="V50" i="1" s="1"/>
  <c r="N41" i="1"/>
  <c r="F41" i="1"/>
  <c r="L51" i="1"/>
  <c r="U51" i="1" s="1"/>
  <c r="S50" i="1" l="1"/>
  <c r="T50" i="1"/>
  <c r="G50" i="1"/>
  <c r="M50" i="1" s="1"/>
  <c r="P50" i="1" s="1"/>
  <c r="J51" i="1"/>
  <c r="H51" i="1"/>
  <c r="G51" i="1" s="1"/>
  <c r="L52" i="1"/>
  <c r="U52" i="1" s="1"/>
  <c r="V51" i="1" l="1"/>
  <c r="T51" i="1"/>
  <c r="S51" i="1"/>
  <c r="M51" i="1"/>
  <c r="P51" i="1" s="1"/>
  <c r="J52" i="1"/>
  <c r="H52" i="1"/>
  <c r="L53" i="1"/>
  <c r="U53" i="1" s="1"/>
  <c r="V52" i="1" l="1"/>
  <c r="T52" i="1"/>
  <c r="S52" i="1"/>
  <c r="G52" i="1"/>
  <c r="M52" i="1" s="1"/>
  <c r="P52" i="1" s="1"/>
  <c r="J53" i="1"/>
  <c r="H53" i="1"/>
  <c r="L54" i="1"/>
  <c r="U54" i="1" s="1"/>
  <c r="V53" i="1" l="1"/>
  <c r="T53" i="1"/>
  <c r="S53" i="1"/>
  <c r="G53" i="1"/>
  <c r="M53" i="1" s="1"/>
  <c r="P53" i="1" s="1"/>
  <c r="J54" i="1"/>
  <c r="H54" i="1"/>
  <c r="F45" i="1"/>
  <c r="F46" i="1"/>
  <c r="L55" i="1"/>
  <c r="U55" i="1" s="1"/>
  <c r="V54" i="1" l="1"/>
  <c r="T54" i="1"/>
  <c r="S54" i="1"/>
  <c r="G54" i="1"/>
  <c r="M54" i="1" s="1"/>
  <c r="P54" i="1" s="1"/>
  <c r="J55" i="1"/>
  <c r="H55" i="1"/>
  <c r="N46" i="1"/>
  <c r="L56" i="1"/>
  <c r="U56" i="1" s="1"/>
  <c r="V55" i="1" l="1"/>
  <c r="T55" i="1"/>
  <c r="S55" i="1"/>
  <c r="G55" i="1"/>
  <c r="M55" i="1" s="1"/>
  <c r="P55" i="1" s="1"/>
  <c r="J56" i="1"/>
  <c r="H56" i="1"/>
  <c r="F48" i="1"/>
  <c r="L57" i="1"/>
  <c r="U57" i="1" s="1"/>
  <c r="V56" i="1" l="1"/>
  <c r="T56" i="1"/>
  <c r="S56" i="1"/>
  <c r="G56" i="1"/>
  <c r="M56" i="1" s="1"/>
  <c r="P56" i="1" s="1"/>
  <c r="J57" i="1"/>
  <c r="H57" i="1"/>
  <c r="G57" i="1" s="1"/>
  <c r="N48" i="1"/>
  <c r="L58" i="1"/>
  <c r="U58" i="1" s="1"/>
  <c r="F49" i="1"/>
  <c r="N49" i="1"/>
  <c r="V57" i="1" l="1"/>
  <c r="S57" i="1"/>
  <c r="T57" i="1"/>
  <c r="M57" i="1"/>
  <c r="P57" i="1" s="1"/>
  <c r="J58" i="1"/>
  <c r="H58" i="1"/>
  <c r="L59" i="1"/>
  <c r="U59" i="1" s="1"/>
  <c r="F50" i="1"/>
  <c r="N50" i="1"/>
  <c r="V58" i="1" l="1"/>
  <c r="T58" i="1"/>
  <c r="S58" i="1"/>
  <c r="G58" i="1"/>
  <c r="M58" i="1" s="1"/>
  <c r="P58" i="1" s="1"/>
  <c r="J59" i="1"/>
  <c r="H59" i="1"/>
  <c r="G59" i="1" s="1"/>
  <c r="L60" i="1"/>
  <c r="F51" i="1"/>
  <c r="N51" i="1"/>
  <c r="Q60" i="1" l="1"/>
  <c r="U60" i="1"/>
  <c r="P60" i="1"/>
  <c r="R60" i="1"/>
  <c r="V60" i="1"/>
  <c r="V59" i="1"/>
  <c r="T59" i="1"/>
  <c r="S59" i="1"/>
  <c r="M59" i="1"/>
  <c r="P59" i="1" s="1"/>
  <c r="AA3" i="1" s="1"/>
  <c r="J60" i="1"/>
  <c r="H60" i="1"/>
  <c r="G60" i="1" s="1"/>
  <c r="M60" i="1" s="1"/>
  <c r="L61" i="1"/>
  <c r="F52" i="1"/>
  <c r="N52" i="1"/>
  <c r="R61" i="1" l="1"/>
  <c r="P61" i="1"/>
  <c r="Q61" i="1"/>
  <c r="U61" i="1"/>
  <c r="V61" i="1"/>
  <c r="S60" i="1"/>
  <c r="T60" i="1"/>
  <c r="J61" i="1"/>
  <c r="H61" i="1"/>
  <c r="L62" i="1"/>
  <c r="F53" i="1"/>
  <c r="N53" i="1"/>
  <c r="Q62" i="1" l="1"/>
  <c r="R62" i="1"/>
  <c r="U62" i="1"/>
  <c r="P62" i="1"/>
  <c r="V62" i="1"/>
  <c r="T61" i="1"/>
  <c r="S61" i="1"/>
  <c r="G61" i="1"/>
  <c r="M61" i="1" s="1"/>
  <c r="J62" i="1"/>
  <c r="H62" i="1"/>
  <c r="G62" i="1" s="1"/>
  <c r="M62" i="1" s="1"/>
  <c r="L63" i="1"/>
  <c r="F54" i="1"/>
  <c r="N54" i="1"/>
  <c r="Q63" i="1" l="1"/>
  <c r="U63" i="1"/>
  <c r="P63" i="1"/>
  <c r="R63" i="1"/>
  <c r="V63" i="1"/>
  <c r="T62" i="1"/>
  <c r="S62" i="1"/>
  <c r="J63" i="1"/>
  <c r="H63" i="1"/>
  <c r="L64" i="1"/>
  <c r="F55" i="1"/>
  <c r="N55" i="1"/>
  <c r="R64" i="1" l="1"/>
  <c r="Q64" i="1"/>
  <c r="U64" i="1"/>
  <c r="P64" i="1"/>
  <c r="V64" i="1"/>
  <c r="S63" i="1"/>
  <c r="T63" i="1"/>
  <c r="G63" i="1"/>
  <c r="M63" i="1" s="1"/>
  <c r="J64" i="1"/>
  <c r="H64" i="1"/>
  <c r="G64" i="1" s="1"/>
  <c r="M64" i="1" s="1"/>
  <c r="L65" i="1"/>
  <c r="F56" i="1"/>
  <c r="N56" i="1"/>
  <c r="R65" i="1" l="1"/>
  <c r="Q65" i="1"/>
  <c r="U65" i="1"/>
  <c r="P65" i="1"/>
  <c r="V65" i="1"/>
  <c r="T64" i="1"/>
  <c r="S64" i="1"/>
  <c r="J65" i="1"/>
  <c r="H65" i="1"/>
  <c r="L66" i="1"/>
  <c r="F57" i="1"/>
  <c r="N57" i="1"/>
  <c r="R66" i="1" l="1"/>
  <c r="Q66" i="1"/>
  <c r="U66" i="1"/>
  <c r="P66" i="1"/>
  <c r="V66" i="1"/>
  <c r="T65" i="1"/>
  <c r="S65" i="1"/>
  <c r="G65" i="1"/>
  <c r="M65" i="1" s="1"/>
  <c r="J66" i="1"/>
  <c r="H66" i="1"/>
  <c r="G66" i="1" s="1"/>
  <c r="M66" i="1" s="1"/>
  <c r="L67" i="1"/>
  <c r="F58" i="1"/>
  <c r="N58" i="1"/>
  <c r="R67" i="1" l="1"/>
  <c r="Q67" i="1"/>
  <c r="U67" i="1"/>
  <c r="P67" i="1"/>
  <c r="V67" i="1"/>
  <c r="S66" i="1"/>
  <c r="T66" i="1"/>
  <c r="J67" i="1"/>
  <c r="H67" i="1"/>
  <c r="L68" i="1"/>
  <c r="F59" i="1"/>
  <c r="N59" i="1"/>
  <c r="R68" i="1" l="1"/>
  <c r="Q68" i="1"/>
  <c r="U68" i="1"/>
  <c r="P68" i="1"/>
  <c r="L69" i="1"/>
  <c r="V68" i="1"/>
  <c r="T67" i="1"/>
  <c r="S67" i="1"/>
  <c r="G67" i="1"/>
  <c r="M67" i="1" s="1"/>
  <c r="J68" i="1"/>
  <c r="H68" i="1"/>
  <c r="G68" i="1" s="1"/>
  <c r="M68" i="1" s="1"/>
  <c r="F60" i="1"/>
  <c r="N60" i="1"/>
  <c r="R69" i="1" l="1"/>
  <c r="U69" i="1"/>
  <c r="P69" i="1"/>
  <c r="Q69" i="1"/>
  <c r="L70" i="1"/>
  <c r="V69" i="1"/>
  <c r="S68" i="1"/>
  <c r="T68" i="1"/>
  <c r="J69" i="1"/>
  <c r="H69" i="1"/>
  <c r="F61" i="1"/>
  <c r="N61" i="1"/>
  <c r="U70" i="1" l="1"/>
  <c r="P70" i="1"/>
  <c r="Q70" i="1"/>
  <c r="R70" i="1"/>
  <c r="L71" i="1"/>
  <c r="V70" i="1"/>
  <c r="T69" i="1"/>
  <c r="S69" i="1"/>
  <c r="G69" i="1"/>
  <c r="M69" i="1" s="1"/>
  <c r="J70" i="1"/>
  <c r="H70" i="1"/>
  <c r="F62" i="1"/>
  <c r="N62" i="1"/>
  <c r="U71" i="1" l="1"/>
  <c r="P71" i="1"/>
  <c r="Q71" i="1"/>
  <c r="R71" i="1"/>
  <c r="L72" i="1"/>
  <c r="V71" i="1"/>
  <c r="S70" i="1"/>
  <c r="T70" i="1"/>
  <c r="G70" i="1"/>
  <c r="M70" i="1" s="1"/>
  <c r="N69" i="1"/>
  <c r="J71" i="1"/>
  <c r="H71" i="1"/>
  <c r="F63" i="1"/>
  <c r="N63" i="1"/>
  <c r="Q72" i="1" l="1"/>
  <c r="U72" i="1"/>
  <c r="P72" i="1"/>
  <c r="R72" i="1"/>
  <c r="V72" i="1"/>
  <c r="L73" i="1"/>
  <c r="S71" i="1"/>
  <c r="T71" i="1"/>
  <c r="N70" i="1"/>
  <c r="G71" i="1"/>
  <c r="M71" i="1" s="1"/>
  <c r="J72" i="1"/>
  <c r="H72" i="1"/>
  <c r="F64" i="1"/>
  <c r="N64" i="1"/>
  <c r="R73" i="1" l="1"/>
  <c r="P73" i="1"/>
  <c r="Q73" i="1"/>
  <c r="U73" i="1"/>
  <c r="V73" i="1"/>
  <c r="L74" i="1"/>
  <c r="T72" i="1"/>
  <c r="S72" i="1"/>
  <c r="G72" i="1"/>
  <c r="M72" i="1" s="1"/>
  <c r="N71" i="1"/>
  <c r="J73" i="1"/>
  <c r="H73" i="1"/>
  <c r="F65" i="1"/>
  <c r="N65" i="1"/>
  <c r="Q74" i="1" l="1"/>
  <c r="R74" i="1"/>
  <c r="U74" i="1"/>
  <c r="P74" i="1"/>
  <c r="V74" i="1"/>
  <c r="L75" i="1"/>
  <c r="S73" i="1"/>
  <c r="T73" i="1"/>
  <c r="G73" i="1"/>
  <c r="M73" i="1" s="1"/>
  <c r="N72" i="1"/>
  <c r="J74" i="1"/>
  <c r="H74" i="1"/>
  <c r="F66" i="1"/>
  <c r="N66" i="1"/>
  <c r="Q75" i="1" l="1"/>
  <c r="U75" i="1"/>
  <c r="P75" i="1"/>
  <c r="R75" i="1"/>
  <c r="V75" i="1"/>
  <c r="L76" i="1"/>
  <c r="T74" i="1"/>
  <c r="S74" i="1"/>
  <c r="N73" i="1"/>
  <c r="G74" i="1"/>
  <c r="M74" i="1" s="1"/>
  <c r="J75" i="1"/>
  <c r="H75" i="1"/>
  <c r="F67" i="1"/>
  <c r="N67" i="1"/>
  <c r="R76" i="1" l="1"/>
  <c r="Q76" i="1"/>
  <c r="U76" i="1"/>
  <c r="P76" i="1"/>
  <c r="V76" i="1"/>
  <c r="L77" i="1"/>
  <c r="S75" i="1"/>
  <c r="T75" i="1"/>
  <c r="G75" i="1"/>
  <c r="M75" i="1" s="1"/>
  <c r="N74" i="1"/>
  <c r="J76" i="1"/>
  <c r="H76" i="1"/>
  <c r="F68" i="1"/>
  <c r="N68" i="1"/>
  <c r="R77" i="1" l="1"/>
  <c r="Q77" i="1"/>
  <c r="U77" i="1"/>
  <c r="P77" i="1"/>
  <c r="V77" i="1"/>
  <c r="L78" i="1"/>
  <c r="S76" i="1"/>
  <c r="T76" i="1"/>
  <c r="N75" i="1"/>
  <c r="G76" i="1"/>
  <c r="M76" i="1" s="1"/>
  <c r="J77" i="1"/>
  <c r="H77" i="1"/>
  <c r="F69" i="1"/>
  <c r="R78" i="1" l="1"/>
  <c r="Q78" i="1"/>
  <c r="U78" i="1"/>
  <c r="P78" i="1"/>
  <c r="V78" i="1"/>
  <c r="L79" i="1"/>
  <c r="S77" i="1"/>
  <c r="T77" i="1"/>
  <c r="G77" i="1"/>
  <c r="M77" i="1" s="1"/>
  <c r="N76" i="1"/>
  <c r="J78" i="1"/>
  <c r="H78" i="1"/>
  <c r="F70" i="1"/>
  <c r="R79" i="1" l="1"/>
  <c r="Q79" i="1"/>
  <c r="U79" i="1"/>
  <c r="P79" i="1"/>
  <c r="V79" i="1"/>
  <c r="L80" i="1"/>
  <c r="S78" i="1"/>
  <c r="T78" i="1"/>
  <c r="N77" i="1"/>
  <c r="G78" i="1"/>
  <c r="M78" i="1" s="1"/>
  <c r="J79" i="1"/>
  <c r="H79" i="1"/>
  <c r="F71" i="1"/>
  <c r="R80" i="1" l="1"/>
  <c r="Q80" i="1"/>
  <c r="P80" i="1"/>
  <c r="U80" i="1"/>
  <c r="V80" i="1"/>
  <c r="L81" i="1"/>
  <c r="T79" i="1"/>
  <c r="S79" i="1"/>
  <c r="N78" i="1"/>
  <c r="G79" i="1"/>
  <c r="M79" i="1" s="1"/>
  <c r="J80" i="1"/>
  <c r="H80" i="1"/>
  <c r="F72" i="1"/>
  <c r="R81" i="1" l="1"/>
  <c r="Q81" i="1"/>
  <c r="P81" i="1"/>
  <c r="U81" i="1"/>
  <c r="V81" i="1"/>
  <c r="L82" i="1"/>
  <c r="S80" i="1"/>
  <c r="T80" i="1"/>
  <c r="N79" i="1"/>
  <c r="G80" i="1"/>
  <c r="M80" i="1" s="1"/>
  <c r="J81" i="1"/>
  <c r="H81" i="1"/>
  <c r="F73" i="1"/>
  <c r="U82" i="1" l="1"/>
  <c r="P82" i="1"/>
  <c r="Q82" i="1"/>
  <c r="R82" i="1"/>
  <c r="V82" i="1"/>
  <c r="L83" i="1"/>
  <c r="T81" i="1"/>
  <c r="S81" i="1"/>
  <c r="N80" i="1"/>
  <c r="G81" i="1"/>
  <c r="M81" i="1" s="1"/>
  <c r="J82" i="1"/>
  <c r="H82" i="1"/>
  <c r="F74" i="1"/>
  <c r="U83" i="1" l="1"/>
  <c r="P83" i="1"/>
  <c r="Q83" i="1"/>
  <c r="R83" i="1"/>
  <c r="V83" i="1"/>
  <c r="L84" i="1"/>
  <c r="T82" i="1"/>
  <c r="S82" i="1"/>
  <c r="G82" i="1"/>
  <c r="M82" i="1" s="1"/>
  <c r="N81" i="1"/>
  <c r="J83" i="1"/>
  <c r="H83" i="1"/>
  <c r="F75" i="1"/>
  <c r="Q84" i="1" l="1"/>
  <c r="U84" i="1"/>
  <c r="P84" i="1"/>
  <c r="R84" i="1"/>
  <c r="V84" i="1"/>
  <c r="L85" i="1"/>
  <c r="T83" i="1"/>
  <c r="S83" i="1"/>
  <c r="G83" i="1"/>
  <c r="M83" i="1" s="1"/>
  <c r="N82" i="1"/>
  <c r="J84" i="1"/>
  <c r="H84" i="1"/>
  <c r="F76" i="1"/>
  <c r="R85" i="1" l="1"/>
  <c r="P85" i="1"/>
  <c r="Q85" i="1"/>
  <c r="U85" i="1"/>
  <c r="V85" i="1"/>
  <c r="L86" i="1"/>
  <c r="S84" i="1"/>
  <c r="T84" i="1"/>
  <c r="N83" i="1"/>
  <c r="G84" i="1"/>
  <c r="M84" i="1" s="1"/>
  <c r="J85" i="1"/>
  <c r="H85" i="1"/>
  <c r="F77" i="1"/>
  <c r="Q86" i="1" l="1"/>
  <c r="R86" i="1"/>
  <c r="U86" i="1"/>
  <c r="P86" i="1"/>
  <c r="V86" i="1"/>
  <c r="L87" i="1"/>
  <c r="S85" i="1"/>
  <c r="T85" i="1"/>
  <c r="G85" i="1"/>
  <c r="M85" i="1" s="1"/>
  <c r="N84" i="1"/>
  <c r="J86" i="1"/>
  <c r="H86" i="1"/>
  <c r="F78" i="1"/>
  <c r="Q87" i="1" l="1"/>
  <c r="U87" i="1"/>
  <c r="P87" i="1"/>
  <c r="R87" i="1"/>
  <c r="V87" i="1"/>
  <c r="L88" i="1"/>
  <c r="S86" i="1"/>
  <c r="T86" i="1"/>
  <c r="N85" i="1"/>
  <c r="G86" i="1"/>
  <c r="M86" i="1" s="1"/>
  <c r="J87" i="1"/>
  <c r="H87" i="1"/>
  <c r="F79" i="1"/>
  <c r="R88" i="1" l="1"/>
  <c r="Q88" i="1"/>
  <c r="U88" i="1"/>
  <c r="P88" i="1"/>
  <c r="V88" i="1"/>
  <c r="L89" i="1"/>
  <c r="S87" i="1"/>
  <c r="T87" i="1"/>
  <c r="N86" i="1"/>
  <c r="G87" i="1"/>
  <c r="M87" i="1" s="1"/>
  <c r="J88" i="1"/>
  <c r="H88" i="1"/>
  <c r="F80" i="1"/>
  <c r="R89" i="1" l="1"/>
  <c r="Q89" i="1"/>
  <c r="U89" i="1"/>
  <c r="P89" i="1"/>
  <c r="V89" i="1"/>
  <c r="L90" i="1"/>
  <c r="T88" i="1"/>
  <c r="S88" i="1"/>
  <c r="N87" i="1"/>
  <c r="G88" i="1"/>
  <c r="M88" i="1" s="1"/>
  <c r="J89" i="1"/>
  <c r="H89" i="1"/>
  <c r="F81" i="1"/>
  <c r="R90" i="1" l="1"/>
  <c r="Q90" i="1"/>
  <c r="U90" i="1"/>
  <c r="P90" i="1"/>
  <c r="V90" i="1"/>
  <c r="L91" i="1"/>
  <c r="T89" i="1"/>
  <c r="S89" i="1"/>
  <c r="N88" i="1"/>
  <c r="G89" i="1"/>
  <c r="M89" i="1" s="1"/>
  <c r="J90" i="1"/>
  <c r="H90" i="1"/>
  <c r="F82" i="1"/>
  <c r="R91" i="1" l="1"/>
  <c r="Q91" i="1"/>
  <c r="U91" i="1"/>
  <c r="P91" i="1"/>
  <c r="V91" i="1"/>
  <c r="L92" i="1"/>
  <c r="T90" i="1"/>
  <c r="S90" i="1"/>
  <c r="N89" i="1"/>
  <c r="G90" i="1"/>
  <c r="M90" i="1" s="1"/>
  <c r="J91" i="1"/>
  <c r="H91" i="1"/>
  <c r="F83" i="1"/>
  <c r="R92" i="1" l="1"/>
  <c r="Q92" i="1"/>
  <c r="U92" i="1"/>
  <c r="P92" i="1"/>
  <c r="V92" i="1"/>
  <c r="L93" i="1"/>
  <c r="S91" i="1"/>
  <c r="T91" i="1"/>
  <c r="N90" i="1"/>
  <c r="G91" i="1"/>
  <c r="M91" i="1" s="1"/>
  <c r="J92" i="1"/>
  <c r="H92" i="1"/>
  <c r="F84" i="1"/>
  <c r="R93" i="1" l="1"/>
  <c r="Q93" i="1"/>
  <c r="U93" i="1"/>
  <c r="P93" i="1"/>
  <c r="V93" i="1"/>
  <c r="L94" i="1"/>
  <c r="T92" i="1"/>
  <c r="S92" i="1"/>
  <c r="N91" i="1"/>
  <c r="G92" i="1"/>
  <c r="M92" i="1" s="1"/>
  <c r="J93" i="1"/>
  <c r="H93" i="1"/>
  <c r="F85" i="1"/>
  <c r="U94" i="1" l="1"/>
  <c r="P94" i="1"/>
  <c r="R94" i="1"/>
  <c r="Q94" i="1"/>
  <c r="V94" i="1"/>
  <c r="L95" i="1"/>
  <c r="S93" i="1"/>
  <c r="T93" i="1"/>
  <c r="N92" i="1"/>
  <c r="G93" i="1"/>
  <c r="M93" i="1" s="1"/>
  <c r="J94" i="1"/>
  <c r="H94" i="1"/>
  <c r="F86" i="1"/>
  <c r="U95" i="1" l="1"/>
  <c r="P95" i="1"/>
  <c r="Q95" i="1"/>
  <c r="R95" i="1"/>
  <c r="L96" i="1"/>
  <c r="V95" i="1"/>
  <c r="T94" i="1"/>
  <c r="S94" i="1"/>
  <c r="N93" i="1"/>
  <c r="G94" i="1"/>
  <c r="M94" i="1" s="1"/>
  <c r="J95" i="1"/>
  <c r="H95" i="1"/>
  <c r="H96" i="1" s="1"/>
  <c r="F87" i="1"/>
  <c r="Q96" i="1" l="1"/>
  <c r="U96" i="1"/>
  <c r="P96" i="1"/>
  <c r="R96" i="1"/>
  <c r="V96" i="1"/>
  <c r="J96" i="1"/>
  <c r="L97" i="1"/>
  <c r="T95" i="1"/>
  <c r="T96" i="1" s="1"/>
  <c r="S95" i="1"/>
  <c r="S96" i="1" s="1"/>
  <c r="G96" i="1"/>
  <c r="M96" i="1" s="1"/>
  <c r="H97" i="1"/>
  <c r="N94" i="1"/>
  <c r="G95" i="1"/>
  <c r="M95" i="1" s="1"/>
  <c r="F88" i="1"/>
  <c r="R97" i="1" l="1"/>
  <c r="P97" i="1"/>
  <c r="Q97" i="1"/>
  <c r="U97" i="1"/>
  <c r="V97" i="1"/>
  <c r="J97" i="1"/>
  <c r="L98" i="1"/>
  <c r="S97" i="1"/>
  <c r="T97" i="1"/>
  <c r="N96" i="1"/>
  <c r="F96" i="1"/>
  <c r="G97" i="1"/>
  <c r="M97" i="1" s="1"/>
  <c r="N95" i="1"/>
  <c r="F89" i="1"/>
  <c r="Q98" i="1" l="1"/>
  <c r="R98" i="1"/>
  <c r="U98" i="1"/>
  <c r="P98" i="1"/>
  <c r="H98" i="1"/>
  <c r="V98" i="1"/>
  <c r="L99" i="1"/>
  <c r="H99" i="1" s="1"/>
  <c r="J98" i="1"/>
  <c r="T98" i="1"/>
  <c r="S98" i="1"/>
  <c r="G98" i="1"/>
  <c r="M98" i="1" s="1"/>
  <c r="F97" i="1"/>
  <c r="N97" i="1"/>
  <c r="F90" i="1"/>
  <c r="Q99" i="1" l="1"/>
  <c r="U99" i="1"/>
  <c r="P99" i="1"/>
  <c r="R99" i="1"/>
  <c r="V99" i="1"/>
  <c r="L100" i="1"/>
  <c r="J99" i="1"/>
  <c r="S99" i="1"/>
  <c r="T99" i="1"/>
  <c r="F98" i="1"/>
  <c r="N98" i="1"/>
  <c r="G99" i="1"/>
  <c r="M99" i="1" s="1"/>
  <c r="F91" i="1"/>
  <c r="R100" i="1" l="1"/>
  <c r="Q100" i="1"/>
  <c r="U100" i="1"/>
  <c r="P100" i="1"/>
  <c r="H100" i="1"/>
  <c r="V100" i="1"/>
  <c r="J100" i="1"/>
  <c r="L101" i="1"/>
  <c r="T100" i="1"/>
  <c r="S100" i="1"/>
  <c r="N99" i="1"/>
  <c r="F99" i="1"/>
  <c r="G100" i="1"/>
  <c r="M100" i="1" s="1"/>
  <c r="F92" i="1"/>
  <c r="R101" i="1" l="1"/>
  <c r="Q101" i="1"/>
  <c r="U101" i="1"/>
  <c r="P101" i="1"/>
  <c r="H101" i="1"/>
  <c r="V101" i="1"/>
  <c r="J101" i="1"/>
  <c r="L102" i="1"/>
  <c r="H102" i="1" s="1"/>
  <c r="T101" i="1"/>
  <c r="S101" i="1"/>
  <c r="G101" i="1"/>
  <c r="M101" i="1" s="1"/>
  <c r="N100" i="1"/>
  <c r="F100" i="1"/>
  <c r="F93" i="1"/>
  <c r="R102" i="1" l="1"/>
  <c r="Q102" i="1"/>
  <c r="U102" i="1"/>
  <c r="P102" i="1"/>
  <c r="V102" i="1"/>
  <c r="J102" i="1"/>
  <c r="L103" i="1"/>
  <c r="H103" i="1" s="1"/>
  <c r="T102" i="1"/>
  <c r="S102" i="1"/>
  <c r="G102" i="1"/>
  <c r="M102" i="1" s="1"/>
  <c r="F101" i="1"/>
  <c r="N101" i="1"/>
  <c r="F94" i="1"/>
  <c r="R103" i="1" l="1"/>
  <c r="Q103" i="1"/>
  <c r="U103" i="1"/>
  <c r="P103" i="1"/>
  <c r="V103" i="1"/>
  <c r="J103" i="1"/>
  <c r="L104" i="1"/>
  <c r="H104" i="1" s="1"/>
  <c r="S103" i="1"/>
  <c r="T103" i="1"/>
  <c r="G103" i="1"/>
  <c r="M103" i="1" s="1"/>
  <c r="N102" i="1"/>
  <c r="F102" i="1"/>
  <c r="F95" i="1"/>
  <c r="R104" i="1" l="1"/>
  <c r="U104" i="1"/>
  <c r="Q104" i="1"/>
  <c r="P104" i="1"/>
  <c r="V104" i="1"/>
  <c r="L105" i="1"/>
  <c r="J104" i="1"/>
  <c r="T104" i="1"/>
  <c r="S104" i="1"/>
  <c r="F103" i="1"/>
  <c r="N103" i="1"/>
  <c r="G104" i="1"/>
  <c r="M104" i="1" s="1"/>
  <c r="R105" i="1" l="1"/>
  <c r="P105" i="1"/>
  <c r="Q105" i="1"/>
  <c r="U105" i="1"/>
  <c r="H105" i="1"/>
  <c r="V105" i="1"/>
  <c r="L106" i="1"/>
  <c r="J105" i="1"/>
  <c r="T105" i="1"/>
  <c r="S105" i="1"/>
  <c r="F104" i="1"/>
  <c r="N104" i="1"/>
  <c r="G105" i="1"/>
  <c r="M105" i="1" s="1"/>
  <c r="U106" i="1" l="1"/>
  <c r="P106" i="1"/>
  <c r="R106" i="1"/>
  <c r="Q106" i="1"/>
  <c r="H106" i="1"/>
  <c r="V106" i="1"/>
  <c r="J106" i="1"/>
  <c r="L107" i="1"/>
  <c r="S106" i="1"/>
  <c r="T106" i="1"/>
  <c r="G106" i="1"/>
  <c r="M106" i="1" s="1"/>
  <c r="H107" i="1"/>
  <c r="N105" i="1"/>
  <c r="F105" i="1"/>
  <c r="N33" i="1"/>
  <c r="F32" i="1"/>
  <c r="N32" i="1"/>
  <c r="U107" i="1" l="1"/>
  <c r="P107" i="1"/>
  <c r="Q107" i="1"/>
  <c r="R107" i="1"/>
  <c r="V107" i="1"/>
  <c r="J107" i="1"/>
  <c r="L108" i="1"/>
  <c r="T107" i="1"/>
  <c r="S107" i="1"/>
  <c r="G107" i="1"/>
  <c r="M107" i="1" s="1"/>
  <c r="H108" i="1"/>
  <c r="N106" i="1"/>
  <c r="F106" i="1"/>
  <c r="N37" i="1"/>
  <c r="F37" i="1"/>
  <c r="F38" i="1"/>
  <c r="N38" i="1"/>
  <c r="N39" i="1"/>
  <c r="Q108" i="1" l="1"/>
  <c r="U108" i="1"/>
  <c r="P108" i="1"/>
  <c r="R108" i="1"/>
  <c r="V108" i="1"/>
  <c r="L109" i="1"/>
  <c r="J108" i="1"/>
  <c r="T108" i="1"/>
  <c r="S108" i="1"/>
  <c r="N107" i="1"/>
  <c r="F107" i="1"/>
  <c r="G108" i="1"/>
  <c r="M108" i="1" s="1"/>
  <c r="F44" i="1"/>
  <c r="N44" i="1"/>
  <c r="N45" i="1"/>
  <c r="N43" i="1"/>
  <c r="F43" i="1"/>
  <c r="N42" i="1"/>
  <c r="F42" i="1"/>
  <c r="R109" i="1" l="1"/>
  <c r="P109" i="1"/>
  <c r="Q109" i="1"/>
  <c r="U109" i="1"/>
  <c r="H109" i="1"/>
  <c r="V109" i="1"/>
  <c r="J109" i="1"/>
  <c r="L110" i="1"/>
  <c r="S109" i="1"/>
  <c r="T109" i="1"/>
  <c r="N108" i="1"/>
  <c r="F108" i="1"/>
  <c r="G109" i="1"/>
  <c r="M109" i="1" s="1"/>
  <c r="F47" i="1"/>
  <c r="N47" i="1"/>
  <c r="O13" i="1"/>
  <c r="Q110" i="1" l="1"/>
  <c r="R110" i="1"/>
  <c r="U110" i="1"/>
  <c r="P110" i="1"/>
  <c r="H110" i="1"/>
  <c r="V110" i="1"/>
  <c r="J110" i="1"/>
  <c r="L111" i="1"/>
  <c r="Z13" i="1"/>
  <c r="AA13" i="1" s="1"/>
  <c r="S110" i="1"/>
  <c r="T110" i="1"/>
  <c r="G110" i="1"/>
  <c r="M110" i="1" s="1"/>
  <c r="F109" i="1"/>
  <c r="N109" i="1"/>
  <c r="Q111" i="1" l="1"/>
  <c r="U111" i="1"/>
  <c r="P111" i="1"/>
  <c r="R111" i="1"/>
  <c r="H111" i="1"/>
  <c r="V111" i="1"/>
  <c r="L112" i="1"/>
  <c r="J111" i="1"/>
  <c r="S111" i="1"/>
  <c r="T111" i="1"/>
  <c r="N110" i="1"/>
  <c r="F110" i="1"/>
  <c r="G111" i="1"/>
  <c r="M111" i="1" s="1"/>
  <c r="R112" i="1" l="1"/>
  <c r="Q112" i="1"/>
  <c r="U112" i="1"/>
  <c r="P112" i="1"/>
  <c r="H112" i="1"/>
  <c r="V112" i="1"/>
  <c r="J112" i="1"/>
  <c r="L113" i="1"/>
  <c r="T112" i="1"/>
  <c r="S112" i="1"/>
  <c r="G112" i="1"/>
  <c r="M112" i="1" s="1"/>
  <c r="N111" i="1"/>
  <c r="F111" i="1"/>
  <c r="R113" i="1" l="1"/>
  <c r="Q113" i="1"/>
  <c r="U113" i="1"/>
  <c r="P113" i="1"/>
  <c r="H113" i="1"/>
  <c r="V113" i="1"/>
  <c r="J113" i="1"/>
  <c r="L114" i="1"/>
  <c r="H114" i="1" s="1"/>
  <c r="T113" i="1"/>
  <c r="S113" i="1"/>
  <c r="F112" i="1"/>
  <c r="N112" i="1"/>
  <c r="G113" i="1"/>
  <c r="M113" i="1" s="1"/>
  <c r="R114" i="1" l="1"/>
  <c r="Q114" i="1"/>
  <c r="U114" i="1"/>
  <c r="P114" i="1"/>
  <c r="V114" i="1"/>
  <c r="L115" i="1"/>
  <c r="J114" i="1"/>
  <c r="T114" i="1"/>
  <c r="S114" i="1"/>
  <c r="G114" i="1"/>
  <c r="M114" i="1" s="1"/>
  <c r="F113" i="1"/>
  <c r="N113" i="1"/>
  <c r="R115" i="1" l="1"/>
  <c r="Q115" i="1"/>
  <c r="U115" i="1"/>
  <c r="P115" i="1"/>
  <c r="H115" i="1"/>
  <c r="V115" i="1"/>
  <c r="J115" i="1"/>
  <c r="L116" i="1"/>
  <c r="I13" i="1"/>
  <c r="Y13" i="1"/>
  <c r="T115" i="1"/>
  <c r="S115" i="1"/>
  <c r="G115" i="1"/>
  <c r="M115" i="1" s="1"/>
  <c r="N114" i="1"/>
  <c r="F114" i="1"/>
  <c r="R116" i="1" l="1"/>
  <c r="Q116" i="1"/>
  <c r="P116" i="1"/>
  <c r="U116" i="1"/>
  <c r="H116" i="1"/>
  <c r="R13" i="1"/>
  <c r="V116" i="1"/>
  <c r="J116" i="1"/>
  <c r="L117" i="1"/>
  <c r="T116" i="1"/>
  <c r="S116" i="1"/>
  <c r="G116" i="1"/>
  <c r="M116" i="1" s="1"/>
  <c r="N115" i="1"/>
  <c r="F115" i="1"/>
  <c r="R117" i="1" l="1"/>
  <c r="U117" i="1"/>
  <c r="P117" i="1"/>
  <c r="Q117" i="1"/>
  <c r="H117" i="1"/>
  <c r="Q13" i="1"/>
  <c r="W13" i="1" s="1"/>
  <c r="O14" i="1" s="1"/>
  <c r="V117" i="1"/>
  <c r="J117" i="1"/>
  <c r="L118" i="1"/>
  <c r="X13" i="1"/>
  <c r="K13" i="1"/>
  <c r="S117" i="1"/>
  <c r="T117" i="1"/>
  <c r="G117" i="1"/>
  <c r="M117" i="1" s="1"/>
  <c r="F116" i="1"/>
  <c r="N116" i="1"/>
  <c r="U118" i="1" l="1"/>
  <c r="P118" i="1"/>
  <c r="R118" i="1"/>
  <c r="Q118" i="1"/>
  <c r="H118" i="1"/>
  <c r="V118" i="1"/>
  <c r="J118" i="1"/>
  <c r="L119" i="1"/>
  <c r="Z14" i="1"/>
  <c r="T118" i="1"/>
  <c r="S118" i="1"/>
  <c r="G118" i="1"/>
  <c r="M118" i="1" s="1"/>
  <c r="F117" i="1"/>
  <c r="N117" i="1"/>
  <c r="AA14" i="1" l="1"/>
  <c r="U119" i="1"/>
  <c r="P119" i="1"/>
  <c r="Q119" i="1"/>
  <c r="R119" i="1"/>
  <c r="H119" i="1"/>
  <c r="V119" i="1"/>
  <c r="J119" i="1"/>
  <c r="L120" i="1"/>
  <c r="T119" i="1"/>
  <c r="S119" i="1"/>
  <c r="G119" i="1"/>
  <c r="M119" i="1" s="1"/>
  <c r="F118" i="1"/>
  <c r="N118" i="1"/>
  <c r="Q120" i="1" l="1"/>
  <c r="U120" i="1"/>
  <c r="P120" i="1"/>
  <c r="R120" i="1"/>
  <c r="H120" i="1"/>
  <c r="V120" i="1"/>
  <c r="L121" i="1"/>
  <c r="J120" i="1"/>
  <c r="S120" i="1"/>
  <c r="T120" i="1"/>
  <c r="G120" i="1"/>
  <c r="M120" i="1" s="1"/>
  <c r="N119" i="1"/>
  <c r="F119" i="1"/>
  <c r="I14" i="1" l="1"/>
  <c r="Y14" i="1"/>
  <c r="R121" i="1"/>
  <c r="P121" i="1"/>
  <c r="Q121" i="1"/>
  <c r="U121" i="1"/>
  <c r="H121" i="1"/>
  <c r="R14" i="1"/>
  <c r="V121" i="1"/>
  <c r="J121" i="1"/>
  <c r="L122" i="1"/>
  <c r="K14" i="1"/>
  <c r="T121" i="1"/>
  <c r="S121" i="1"/>
  <c r="F120" i="1"/>
  <c r="N120" i="1"/>
  <c r="G121" i="1"/>
  <c r="M121" i="1" s="1"/>
  <c r="R122" i="1" l="1"/>
  <c r="U122" i="1"/>
  <c r="P122" i="1"/>
  <c r="Q122" i="1"/>
  <c r="X14" i="1"/>
  <c r="Q14" i="1"/>
  <c r="W14" i="1" s="1"/>
  <c r="O15" i="1" s="1"/>
  <c r="V122" i="1"/>
  <c r="L123" i="1"/>
  <c r="J122" i="1"/>
  <c r="H122" i="1"/>
  <c r="S122" i="1"/>
  <c r="T122" i="1"/>
  <c r="G122" i="1"/>
  <c r="M122" i="1" s="1"/>
  <c r="F121" i="1"/>
  <c r="N121" i="1"/>
  <c r="Q123" i="1" l="1"/>
  <c r="U123" i="1"/>
  <c r="P123" i="1"/>
  <c r="R123" i="1"/>
  <c r="H123" i="1"/>
  <c r="Z15" i="1"/>
  <c r="AA15" i="1" s="1"/>
  <c r="Y15" i="1" s="1"/>
  <c r="R15" i="1" s="1"/>
  <c r="X15" i="1" s="1"/>
  <c r="V123" i="1"/>
  <c r="J123" i="1"/>
  <c r="L124" i="1"/>
  <c r="T123" i="1"/>
  <c r="S123" i="1"/>
  <c r="G123" i="1"/>
  <c r="M123" i="1" s="1"/>
  <c r="F122" i="1"/>
  <c r="N122" i="1"/>
  <c r="R124" i="1" l="1"/>
  <c r="Q124" i="1"/>
  <c r="U124" i="1"/>
  <c r="P124" i="1"/>
  <c r="H124" i="1"/>
  <c r="I15" i="1"/>
  <c r="Q15" i="1"/>
  <c r="W15" i="1" s="1"/>
  <c r="O16" i="1" s="1"/>
  <c r="Z16" i="1" s="1"/>
  <c r="K15" i="1"/>
  <c r="V124" i="1"/>
  <c r="J124" i="1"/>
  <c r="L125" i="1"/>
  <c r="S124" i="1"/>
  <c r="T124" i="1"/>
  <c r="G124" i="1"/>
  <c r="M124" i="1" s="1"/>
  <c r="F123" i="1"/>
  <c r="N123" i="1"/>
  <c r="R125" i="1" l="1"/>
  <c r="Q125" i="1"/>
  <c r="U125" i="1"/>
  <c r="P125" i="1"/>
  <c r="H125" i="1"/>
  <c r="V125" i="1"/>
  <c r="L126" i="1"/>
  <c r="J125" i="1"/>
  <c r="AA16" i="1"/>
  <c r="T125" i="1"/>
  <c r="S125" i="1"/>
  <c r="F124" i="1"/>
  <c r="N124" i="1"/>
  <c r="G125" i="1"/>
  <c r="M125" i="1" s="1"/>
  <c r="R126" i="1" l="1"/>
  <c r="Q126" i="1"/>
  <c r="U126" i="1"/>
  <c r="P126" i="1"/>
  <c r="V126" i="1"/>
  <c r="J126" i="1"/>
  <c r="L127" i="1"/>
  <c r="H127" i="1" s="1"/>
  <c r="H126" i="1"/>
  <c r="T126" i="1"/>
  <c r="S126" i="1"/>
  <c r="G126" i="1"/>
  <c r="M126" i="1" s="1"/>
  <c r="N125" i="1"/>
  <c r="F125" i="1"/>
  <c r="R127" i="1" l="1"/>
  <c r="Q127" i="1"/>
  <c r="U127" i="1"/>
  <c r="P127" i="1"/>
  <c r="V127" i="1"/>
  <c r="J127" i="1"/>
  <c r="L128" i="1"/>
  <c r="S127" i="1"/>
  <c r="T127" i="1"/>
  <c r="G127" i="1"/>
  <c r="M127" i="1" s="1"/>
  <c r="H128" i="1"/>
  <c r="F126" i="1"/>
  <c r="N126" i="1"/>
  <c r="R128" i="1" l="1"/>
  <c r="Q128" i="1"/>
  <c r="P128" i="1"/>
  <c r="U128" i="1"/>
  <c r="V128" i="1"/>
  <c r="J128" i="1"/>
  <c r="L129" i="1"/>
  <c r="T128" i="1"/>
  <c r="S128" i="1"/>
  <c r="G128" i="1"/>
  <c r="M128" i="1" s="1"/>
  <c r="F127" i="1"/>
  <c r="N127" i="1"/>
  <c r="R129" i="1" l="1"/>
  <c r="P129" i="1"/>
  <c r="U129" i="1"/>
  <c r="Q129" i="1"/>
  <c r="H129" i="1"/>
  <c r="V129" i="1"/>
  <c r="J129" i="1"/>
  <c r="L130" i="1"/>
  <c r="Y16" i="1"/>
  <c r="I16" i="1"/>
  <c r="T129" i="1"/>
  <c r="S129" i="1"/>
  <c r="G129" i="1"/>
  <c r="M129" i="1" s="1"/>
  <c r="N128" i="1"/>
  <c r="F128" i="1"/>
  <c r="U130" i="1" l="1"/>
  <c r="P130" i="1"/>
  <c r="R130" i="1"/>
  <c r="Q130" i="1"/>
  <c r="H130" i="1"/>
  <c r="R16" i="1"/>
  <c r="Q16" i="1" s="1"/>
  <c r="V130" i="1"/>
  <c r="J130" i="1"/>
  <c r="L131" i="1"/>
  <c r="T130" i="1"/>
  <c r="S130" i="1"/>
  <c r="G130" i="1"/>
  <c r="M130" i="1" s="1"/>
  <c r="N129" i="1"/>
  <c r="F129" i="1"/>
  <c r="U131" i="1" l="1"/>
  <c r="P131" i="1"/>
  <c r="Q131" i="1"/>
  <c r="R131" i="1"/>
  <c r="H131" i="1"/>
  <c r="V131" i="1"/>
  <c r="J131" i="1"/>
  <c r="L132" i="1"/>
  <c r="X16" i="1"/>
  <c r="W16" i="1"/>
  <c r="O17" i="1" s="1"/>
  <c r="K16" i="1"/>
  <c r="S131" i="1"/>
  <c r="T131" i="1"/>
  <c r="G131" i="1"/>
  <c r="M131" i="1" s="1"/>
  <c r="F130" i="1"/>
  <c r="N130" i="1"/>
  <c r="Q132" i="1" l="1"/>
  <c r="U132" i="1"/>
  <c r="P132" i="1"/>
  <c r="R132" i="1"/>
  <c r="H132" i="1"/>
  <c r="V132" i="1"/>
  <c r="J132" i="1"/>
  <c r="L133" i="1"/>
  <c r="Z17" i="1"/>
  <c r="T132" i="1"/>
  <c r="S132" i="1"/>
  <c r="G132" i="1"/>
  <c r="M132" i="1" s="1"/>
  <c r="F131" i="1"/>
  <c r="N131" i="1"/>
  <c r="R133" i="1" l="1"/>
  <c r="P133" i="1"/>
  <c r="Q133" i="1"/>
  <c r="U133" i="1"/>
  <c r="H133" i="1"/>
  <c r="V133" i="1"/>
  <c r="L134" i="1"/>
  <c r="J133" i="1"/>
  <c r="AA17" i="1"/>
  <c r="S133" i="1"/>
  <c r="T133" i="1"/>
  <c r="G133" i="1"/>
  <c r="M133" i="1" s="1"/>
  <c r="N132" i="1"/>
  <c r="F132" i="1"/>
  <c r="R134" i="1" l="1"/>
  <c r="U134" i="1"/>
  <c r="P134" i="1"/>
  <c r="Q134" i="1"/>
  <c r="H134" i="1"/>
  <c r="V134" i="1"/>
  <c r="L135" i="1"/>
  <c r="J134" i="1"/>
  <c r="T134" i="1"/>
  <c r="S134" i="1"/>
  <c r="G134" i="1"/>
  <c r="M134" i="1" s="1"/>
  <c r="H135" i="1"/>
  <c r="F133" i="1"/>
  <c r="N133" i="1"/>
  <c r="Q135" i="1" l="1"/>
  <c r="U135" i="1"/>
  <c r="P135" i="1"/>
  <c r="R135" i="1"/>
  <c r="V135" i="1"/>
  <c r="L136" i="1"/>
  <c r="J135" i="1"/>
  <c r="I17" i="1"/>
  <c r="T135" i="1"/>
  <c r="S135" i="1"/>
  <c r="G135" i="1"/>
  <c r="M135" i="1" s="1"/>
  <c r="H136" i="1"/>
  <c r="N134" i="1"/>
  <c r="F134" i="1"/>
  <c r="R136" i="1" l="1"/>
  <c r="Q136" i="1"/>
  <c r="U136" i="1"/>
  <c r="P136" i="1"/>
  <c r="V136" i="1"/>
  <c r="L137" i="1"/>
  <c r="J136" i="1"/>
  <c r="Y17" i="1"/>
  <c r="T136" i="1"/>
  <c r="S136" i="1"/>
  <c r="N135" i="1"/>
  <c r="F135" i="1"/>
  <c r="G136" i="1"/>
  <c r="M136" i="1" s="1"/>
  <c r="R137" i="1" l="1"/>
  <c r="Q137" i="1"/>
  <c r="U137" i="1"/>
  <c r="P137" i="1"/>
  <c r="H137" i="1"/>
  <c r="V137" i="1"/>
  <c r="J137" i="1"/>
  <c r="L138" i="1"/>
  <c r="T137" i="1"/>
  <c r="S137" i="1"/>
  <c r="G137" i="1"/>
  <c r="M137" i="1" s="1"/>
  <c r="F136" i="1"/>
  <c r="N136" i="1"/>
  <c r="R138" i="1" l="1"/>
  <c r="Q138" i="1"/>
  <c r="U138" i="1"/>
  <c r="P138" i="1"/>
  <c r="R17" i="1"/>
  <c r="Q17" i="1" s="1"/>
  <c r="V138" i="1"/>
  <c r="L139" i="1"/>
  <c r="J138" i="1"/>
  <c r="H138" i="1"/>
  <c r="T138" i="1"/>
  <c r="S138" i="1"/>
  <c r="G138" i="1"/>
  <c r="M138" i="1" s="1"/>
  <c r="N137" i="1"/>
  <c r="F137" i="1"/>
  <c r="R139" i="1" l="1"/>
  <c r="Q139" i="1"/>
  <c r="U139" i="1"/>
  <c r="P139" i="1"/>
  <c r="H139" i="1"/>
  <c r="X17" i="1"/>
  <c r="V139" i="1"/>
  <c r="L140" i="1"/>
  <c r="J139" i="1"/>
  <c r="K17" i="1"/>
  <c r="W17" i="1"/>
  <c r="O18" i="1" s="1"/>
  <c r="T139" i="1"/>
  <c r="S139" i="1"/>
  <c r="G139" i="1"/>
  <c r="M139" i="1" s="1"/>
  <c r="N138" i="1"/>
  <c r="F138" i="1"/>
  <c r="R140" i="1" l="1"/>
  <c r="Q140" i="1"/>
  <c r="P140" i="1"/>
  <c r="U140" i="1"/>
  <c r="H140" i="1"/>
  <c r="Z18" i="1"/>
  <c r="AA18" i="1" s="1"/>
  <c r="Y18" i="1" s="1"/>
  <c r="R18" i="1" s="1"/>
  <c r="X18" i="1" s="1"/>
  <c r="V140" i="1"/>
  <c r="L141" i="1"/>
  <c r="J140" i="1"/>
  <c r="K18" i="1"/>
  <c r="S140" i="1"/>
  <c r="T140" i="1"/>
  <c r="F139" i="1"/>
  <c r="N139" i="1"/>
  <c r="G140" i="1"/>
  <c r="M140" i="1" s="1"/>
  <c r="R141" i="1" l="1"/>
  <c r="U141" i="1"/>
  <c r="Q141" i="1"/>
  <c r="P141" i="1"/>
  <c r="I18" i="1"/>
  <c r="Q18" i="1"/>
  <c r="W18" i="1" s="1"/>
  <c r="O19" i="1" s="1"/>
  <c r="Z19" i="1" s="1"/>
  <c r="AA19" i="1" s="1"/>
  <c r="Y19" i="1" s="1"/>
  <c r="H141" i="1"/>
  <c r="V141" i="1"/>
  <c r="J141" i="1"/>
  <c r="L142" i="1"/>
  <c r="S141" i="1"/>
  <c r="T141" i="1"/>
  <c r="G141" i="1"/>
  <c r="M141" i="1" s="1"/>
  <c r="F140" i="1"/>
  <c r="N140" i="1"/>
  <c r="U142" i="1" l="1"/>
  <c r="P142" i="1"/>
  <c r="Q142" i="1"/>
  <c r="R142" i="1"/>
  <c r="H142" i="1"/>
  <c r="R19" i="1"/>
  <c r="Q19" i="1" s="1"/>
  <c r="V142" i="1"/>
  <c r="L143" i="1"/>
  <c r="H143" i="1" s="1"/>
  <c r="J142" i="1"/>
  <c r="I19" i="1"/>
  <c r="S142" i="1"/>
  <c r="T142" i="1"/>
  <c r="G142" i="1"/>
  <c r="M142" i="1" s="1"/>
  <c r="F141" i="1"/>
  <c r="N141" i="1"/>
  <c r="U143" i="1" l="1"/>
  <c r="P143" i="1"/>
  <c r="Q143" i="1"/>
  <c r="R143" i="1"/>
  <c r="V143" i="1"/>
  <c r="L144" i="1"/>
  <c r="H144" i="1" s="1"/>
  <c r="J143" i="1"/>
  <c r="X19" i="1"/>
  <c r="K19" i="1"/>
  <c r="W19" i="1"/>
  <c r="O20" i="1" s="1"/>
  <c r="S143" i="1"/>
  <c r="T143" i="1"/>
  <c r="G143" i="1"/>
  <c r="M143" i="1" s="1"/>
  <c r="N142" i="1"/>
  <c r="F142" i="1"/>
  <c r="Q144" i="1" l="1"/>
  <c r="U144" i="1"/>
  <c r="P144" i="1"/>
  <c r="R144" i="1"/>
  <c r="V144" i="1"/>
  <c r="L145" i="1"/>
  <c r="J144" i="1"/>
  <c r="Z20" i="1"/>
  <c r="AA20" i="1" s="1"/>
  <c r="T144" i="1"/>
  <c r="S144" i="1"/>
  <c r="F143" i="1"/>
  <c r="N143" i="1"/>
  <c r="G144" i="1"/>
  <c r="M144" i="1" s="1"/>
  <c r="R145" i="1" l="1"/>
  <c r="P145" i="1"/>
  <c r="Q145" i="1"/>
  <c r="U145" i="1"/>
  <c r="V145" i="1"/>
  <c r="L146" i="1"/>
  <c r="J145" i="1"/>
  <c r="H145" i="1"/>
  <c r="T145" i="1"/>
  <c r="S145" i="1"/>
  <c r="N144" i="1"/>
  <c r="F144" i="1"/>
  <c r="G145" i="1"/>
  <c r="M145" i="1" s="1"/>
  <c r="R146" i="1" l="1"/>
  <c r="U146" i="1"/>
  <c r="P146" i="1"/>
  <c r="Q146" i="1"/>
  <c r="V146" i="1"/>
  <c r="L147" i="1"/>
  <c r="J146" i="1"/>
  <c r="H146" i="1"/>
  <c r="S146" i="1"/>
  <c r="T146" i="1"/>
  <c r="G146" i="1"/>
  <c r="M146" i="1" s="1"/>
  <c r="H147" i="1"/>
  <c r="N145" i="1"/>
  <c r="F145" i="1"/>
  <c r="Q147" i="1" l="1"/>
  <c r="U147" i="1"/>
  <c r="P147" i="1"/>
  <c r="R147" i="1"/>
  <c r="V147" i="1"/>
  <c r="J147" i="1"/>
  <c r="L148" i="1"/>
  <c r="T147" i="1"/>
  <c r="S147" i="1"/>
  <c r="G147" i="1"/>
  <c r="M147" i="1" s="1"/>
  <c r="F146" i="1"/>
  <c r="N146" i="1"/>
  <c r="R148" i="1" l="1"/>
  <c r="Q148" i="1"/>
  <c r="U148" i="1"/>
  <c r="P148" i="1"/>
  <c r="H148" i="1"/>
  <c r="V148" i="1"/>
  <c r="J148" i="1"/>
  <c r="L149" i="1"/>
  <c r="T148" i="1"/>
  <c r="S148" i="1"/>
  <c r="G148" i="1"/>
  <c r="M148" i="1" s="1"/>
  <c r="N147" i="1"/>
  <c r="F147" i="1"/>
  <c r="R149" i="1" l="1"/>
  <c r="Q149" i="1"/>
  <c r="U149" i="1"/>
  <c r="P149" i="1"/>
  <c r="H149" i="1"/>
  <c r="V149" i="1"/>
  <c r="L150" i="1"/>
  <c r="J149" i="1"/>
  <c r="Y20" i="1"/>
  <c r="S149" i="1"/>
  <c r="T149" i="1"/>
  <c r="N148" i="1"/>
  <c r="F148" i="1"/>
  <c r="G149" i="1"/>
  <c r="M149" i="1" s="1"/>
  <c r="R150" i="1" l="1"/>
  <c r="Q150" i="1"/>
  <c r="U150" i="1"/>
  <c r="P150" i="1"/>
  <c r="R20" i="1"/>
  <c r="Q20" i="1" s="1"/>
  <c r="V150" i="1"/>
  <c r="J150" i="1"/>
  <c r="L151" i="1"/>
  <c r="H150" i="1"/>
  <c r="I20" i="1"/>
  <c r="T150" i="1"/>
  <c r="S150" i="1"/>
  <c r="G150" i="1"/>
  <c r="M150" i="1" s="1"/>
  <c r="N149" i="1"/>
  <c r="F149" i="1"/>
  <c r="R151" i="1" l="1"/>
  <c r="Q151" i="1"/>
  <c r="U151" i="1"/>
  <c r="P151" i="1"/>
  <c r="H151" i="1"/>
  <c r="V151" i="1"/>
  <c r="J151" i="1"/>
  <c r="L152" i="1"/>
  <c r="X20" i="1"/>
  <c r="K20" i="1"/>
  <c r="W20" i="1"/>
  <c r="O21" i="1" s="1"/>
  <c r="T151" i="1"/>
  <c r="S151" i="1"/>
  <c r="G151" i="1"/>
  <c r="M151" i="1" s="1"/>
  <c r="F150" i="1"/>
  <c r="N150" i="1"/>
  <c r="R152" i="1" l="1"/>
  <c r="Q152" i="1"/>
  <c r="U152" i="1"/>
  <c r="P152" i="1"/>
  <c r="V152" i="1"/>
  <c r="J152" i="1"/>
  <c r="L153" i="1"/>
  <c r="H152" i="1"/>
  <c r="Z21" i="1"/>
  <c r="S152" i="1"/>
  <c r="T152" i="1"/>
  <c r="G152" i="1"/>
  <c r="M152" i="1" s="1"/>
  <c r="F151" i="1"/>
  <c r="N151" i="1"/>
  <c r="R153" i="1" l="1"/>
  <c r="P153" i="1"/>
  <c r="U153" i="1"/>
  <c r="Q153" i="1"/>
  <c r="H153" i="1"/>
  <c r="V153" i="1"/>
  <c r="L154" i="1"/>
  <c r="J153" i="1"/>
  <c r="AA21" i="1"/>
  <c r="S153" i="1"/>
  <c r="T153" i="1"/>
  <c r="G153" i="1"/>
  <c r="M153" i="1" s="1"/>
  <c r="N152" i="1"/>
  <c r="F152" i="1"/>
  <c r="U154" i="1" l="1"/>
  <c r="P154" i="1"/>
  <c r="R154" i="1"/>
  <c r="Q154" i="1"/>
  <c r="H154" i="1"/>
  <c r="V154" i="1"/>
  <c r="J154" i="1"/>
  <c r="L155" i="1"/>
  <c r="T154" i="1"/>
  <c r="S154" i="1"/>
  <c r="F153" i="1"/>
  <c r="N153" i="1"/>
  <c r="G154" i="1"/>
  <c r="M154" i="1" s="1"/>
  <c r="U155" i="1" l="1"/>
  <c r="P155" i="1"/>
  <c r="Q155" i="1"/>
  <c r="R155" i="1"/>
  <c r="H155" i="1"/>
  <c r="V155" i="1"/>
  <c r="J155" i="1"/>
  <c r="L156" i="1"/>
  <c r="H156" i="1" s="1"/>
  <c r="S155" i="1"/>
  <c r="T155" i="1"/>
  <c r="G155" i="1"/>
  <c r="M155" i="1" s="1"/>
  <c r="N154" i="1"/>
  <c r="F154" i="1"/>
  <c r="Q156" i="1" l="1"/>
  <c r="U156" i="1"/>
  <c r="P156" i="1"/>
  <c r="R156" i="1"/>
  <c r="V156" i="1"/>
  <c r="J156" i="1"/>
  <c r="L157" i="1"/>
  <c r="T156" i="1"/>
  <c r="S156" i="1"/>
  <c r="G156" i="1"/>
  <c r="M156" i="1" s="1"/>
  <c r="H157" i="1"/>
  <c r="N155" i="1"/>
  <c r="F155" i="1"/>
  <c r="R157" i="1" l="1"/>
  <c r="P157" i="1"/>
  <c r="Q157" i="1"/>
  <c r="U157" i="1"/>
  <c r="V157" i="1"/>
  <c r="L158" i="1"/>
  <c r="J157" i="1"/>
  <c r="Y21" i="1"/>
  <c r="I21" i="1"/>
  <c r="T157" i="1"/>
  <c r="S157" i="1"/>
  <c r="G157" i="1"/>
  <c r="M157" i="1" s="1"/>
  <c r="F156" i="1"/>
  <c r="N156" i="1"/>
  <c r="R158" i="1" l="1"/>
  <c r="U158" i="1"/>
  <c r="P158" i="1"/>
  <c r="Q158" i="1"/>
  <c r="H158" i="1"/>
  <c r="R21" i="1"/>
  <c r="Q21" i="1" s="1"/>
  <c r="V158" i="1"/>
  <c r="L159" i="1"/>
  <c r="J158" i="1"/>
  <c r="S158" i="1"/>
  <c r="T158" i="1"/>
  <c r="G158" i="1"/>
  <c r="M158" i="1" s="1"/>
  <c r="N157" i="1"/>
  <c r="F157" i="1"/>
  <c r="Q159" i="1" l="1"/>
  <c r="U159" i="1"/>
  <c r="P159" i="1"/>
  <c r="R159" i="1"/>
  <c r="H159" i="1"/>
  <c r="V159" i="1"/>
  <c r="L160" i="1"/>
  <c r="J159" i="1"/>
  <c r="W21" i="1"/>
  <c r="O22" i="1" s="1"/>
  <c r="K21" i="1"/>
  <c r="X21" i="1"/>
  <c r="T159" i="1"/>
  <c r="S159" i="1"/>
  <c r="F158" i="1"/>
  <c r="N158" i="1"/>
  <c r="G159" i="1"/>
  <c r="M159" i="1" s="1"/>
  <c r="R160" i="1" l="1"/>
  <c r="Q160" i="1"/>
  <c r="U160" i="1"/>
  <c r="P160" i="1"/>
  <c r="V160" i="1"/>
  <c r="J160" i="1"/>
  <c r="L161" i="1"/>
  <c r="H160" i="1"/>
  <c r="Z22" i="1"/>
  <c r="AA22" i="1" s="1"/>
  <c r="Y22" i="1" s="1"/>
  <c r="T160" i="1"/>
  <c r="S160" i="1"/>
  <c r="G160" i="1"/>
  <c r="M160" i="1" s="1"/>
  <c r="F159" i="1"/>
  <c r="N159" i="1"/>
  <c r="R161" i="1" l="1"/>
  <c r="Q161" i="1"/>
  <c r="U161" i="1"/>
  <c r="P161" i="1"/>
  <c r="H161" i="1"/>
  <c r="V161" i="1"/>
  <c r="L162" i="1"/>
  <c r="J161" i="1"/>
  <c r="I22" i="1"/>
  <c r="S161" i="1"/>
  <c r="T161" i="1"/>
  <c r="G161" i="1"/>
  <c r="M161" i="1" s="1"/>
  <c r="F160" i="1"/>
  <c r="N160" i="1"/>
  <c r="R162" i="1" l="1"/>
  <c r="Q162" i="1"/>
  <c r="U162" i="1"/>
  <c r="P162" i="1"/>
  <c r="H162" i="1"/>
  <c r="R22" i="1"/>
  <c r="Q22" i="1" s="1"/>
  <c r="V162" i="1"/>
  <c r="J162" i="1"/>
  <c r="L163" i="1"/>
  <c r="T162" i="1"/>
  <c r="S162" i="1"/>
  <c r="G162" i="1"/>
  <c r="M162" i="1" s="1"/>
  <c r="N161" i="1"/>
  <c r="F161" i="1"/>
  <c r="R163" i="1" l="1"/>
  <c r="Q163" i="1"/>
  <c r="U163" i="1"/>
  <c r="P163" i="1"/>
  <c r="H163" i="1"/>
  <c r="X22" i="1"/>
  <c r="V163" i="1"/>
  <c r="J163" i="1"/>
  <c r="L164" i="1"/>
  <c r="W22" i="1"/>
  <c r="O23" i="1" s="1"/>
  <c r="K22" i="1"/>
  <c r="T163" i="1"/>
  <c r="S163" i="1"/>
  <c r="G163" i="1"/>
  <c r="M163" i="1" s="1"/>
  <c r="N162" i="1"/>
  <c r="F162" i="1"/>
  <c r="R164" i="1" l="1"/>
  <c r="Q164" i="1"/>
  <c r="U164" i="1"/>
  <c r="P164" i="1"/>
  <c r="H164" i="1"/>
  <c r="Z23" i="1"/>
  <c r="AA23" i="1" s="1"/>
  <c r="Y23" i="1" s="1"/>
  <c r="V164" i="1"/>
  <c r="J164" i="1"/>
  <c r="L165" i="1"/>
  <c r="S164" i="1"/>
  <c r="T164" i="1"/>
  <c r="F163" i="1"/>
  <c r="N163" i="1"/>
  <c r="G164" i="1"/>
  <c r="M164" i="1" s="1"/>
  <c r="R165" i="1" l="1"/>
  <c r="U165" i="1"/>
  <c r="P165" i="1"/>
  <c r="Q165" i="1"/>
  <c r="I23" i="1"/>
  <c r="R23" i="1"/>
  <c r="Q23" i="1" s="1"/>
  <c r="H165" i="1"/>
  <c r="V165" i="1"/>
  <c r="J165" i="1"/>
  <c r="L166" i="1"/>
  <c r="T165" i="1"/>
  <c r="S165" i="1"/>
  <c r="G165" i="1"/>
  <c r="M165" i="1" s="1"/>
  <c r="F164" i="1"/>
  <c r="N164" i="1"/>
  <c r="U166" i="1" l="1"/>
  <c r="P166" i="1"/>
  <c r="R166" i="1"/>
  <c r="Q166" i="1"/>
  <c r="H166" i="1"/>
  <c r="X23" i="1"/>
  <c r="V166" i="1"/>
  <c r="J166" i="1"/>
  <c r="L167" i="1"/>
  <c r="W23" i="1"/>
  <c r="O24" i="1" s="1"/>
  <c r="K23" i="1"/>
  <c r="S166" i="1"/>
  <c r="T166" i="1"/>
  <c r="G166" i="1"/>
  <c r="M166" i="1" s="1"/>
  <c r="F165" i="1"/>
  <c r="N165" i="1"/>
  <c r="U167" i="1" l="1"/>
  <c r="P167" i="1"/>
  <c r="Q167" i="1"/>
  <c r="R167" i="1"/>
  <c r="H167" i="1"/>
  <c r="Z24" i="1"/>
  <c r="AA24" i="1" s="1"/>
  <c r="I24" i="1" s="1"/>
  <c r="V167" i="1"/>
  <c r="L168" i="1"/>
  <c r="J167" i="1"/>
  <c r="T167" i="1"/>
  <c r="S167" i="1"/>
  <c r="N166" i="1"/>
  <c r="F166" i="1"/>
  <c r="G167" i="1"/>
  <c r="M167" i="1" s="1"/>
  <c r="Q168" i="1" l="1"/>
  <c r="U168" i="1"/>
  <c r="P168" i="1"/>
  <c r="R168" i="1"/>
  <c r="H168" i="1"/>
  <c r="Y24" i="1"/>
  <c r="R24" i="1" s="1"/>
  <c r="X24" i="1" s="1"/>
  <c r="V168" i="1"/>
  <c r="J168" i="1"/>
  <c r="L169" i="1"/>
  <c r="K24" i="1"/>
  <c r="T168" i="1"/>
  <c r="S168" i="1"/>
  <c r="N167" i="1"/>
  <c r="F167" i="1"/>
  <c r="G168" i="1"/>
  <c r="M168" i="1" s="1"/>
  <c r="R169" i="1" l="1"/>
  <c r="P169" i="1"/>
  <c r="Q169" i="1"/>
  <c r="U169" i="1"/>
  <c r="Q24" i="1"/>
  <c r="W24" i="1" s="1"/>
  <c r="O25" i="1" s="1"/>
  <c r="Z25" i="1" s="1"/>
  <c r="AA25" i="1" s="1"/>
  <c r="Y25" i="1" s="1"/>
  <c r="V169" i="1"/>
  <c r="L170" i="1"/>
  <c r="J169" i="1"/>
  <c r="H169" i="1"/>
  <c r="S169" i="1"/>
  <c r="T169" i="1"/>
  <c r="F168" i="1"/>
  <c r="N168" i="1"/>
  <c r="G169" i="1"/>
  <c r="M169" i="1" s="1"/>
  <c r="R170" i="1" l="1"/>
  <c r="U170" i="1"/>
  <c r="P170" i="1"/>
  <c r="Q170" i="1"/>
  <c r="V170" i="1"/>
  <c r="L171" i="1"/>
  <c r="J170" i="1"/>
  <c r="H170" i="1"/>
  <c r="I25" i="1"/>
  <c r="S170" i="1"/>
  <c r="T170" i="1"/>
  <c r="N169" i="1"/>
  <c r="F169" i="1"/>
  <c r="G170" i="1"/>
  <c r="M170" i="1" s="1"/>
  <c r="Q171" i="1" l="1"/>
  <c r="U171" i="1"/>
  <c r="P171" i="1"/>
  <c r="R171" i="1"/>
  <c r="R25" i="1"/>
  <c r="Q25" i="1" s="1"/>
  <c r="V171" i="1"/>
  <c r="J171" i="1"/>
  <c r="L172" i="1"/>
  <c r="H172" i="1" s="1"/>
  <c r="H171" i="1"/>
  <c r="T171" i="1"/>
  <c r="S171" i="1"/>
  <c r="G171" i="1"/>
  <c r="M171" i="1" s="1"/>
  <c r="N170" i="1"/>
  <c r="F170" i="1"/>
  <c r="R172" i="1" l="1"/>
  <c r="Q172" i="1"/>
  <c r="U172" i="1"/>
  <c r="P172" i="1"/>
  <c r="X25" i="1"/>
  <c r="V172" i="1"/>
  <c r="J172" i="1"/>
  <c r="L173" i="1"/>
  <c r="W25" i="1"/>
  <c r="O26" i="1" s="1"/>
  <c r="K25" i="1"/>
  <c r="S172" i="1"/>
  <c r="T172" i="1"/>
  <c r="F171" i="1"/>
  <c r="N171" i="1"/>
  <c r="G172" i="1"/>
  <c r="M172" i="1" s="1"/>
  <c r="R173" i="1" l="1"/>
  <c r="Q173" i="1"/>
  <c r="U173" i="1"/>
  <c r="P173" i="1"/>
  <c r="Z26" i="1"/>
  <c r="AA26" i="1" s="1"/>
  <c r="I26" i="1" s="1"/>
  <c r="V173" i="1"/>
  <c r="L174" i="1"/>
  <c r="J173" i="1"/>
  <c r="H173" i="1"/>
  <c r="S173" i="1"/>
  <c r="T173" i="1"/>
  <c r="F172" i="1"/>
  <c r="N172" i="1"/>
  <c r="G173" i="1"/>
  <c r="M173" i="1" s="1"/>
  <c r="R174" i="1" l="1"/>
  <c r="Q174" i="1"/>
  <c r="U174" i="1"/>
  <c r="P174" i="1"/>
  <c r="H174" i="1"/>
  <c r="Y26" i="1"/>
  <c r="V174" i="1"/>
  <c r="J174" i="1"/>
  <c r="L175" i="1"/>
  <c r="H175" i="1" s="1"/>
  <c r="S174" i="1"/>
  <c r="T174" i="1"/>
  <c r="G174" i="1"/>
  <c r="M174" i="1" s="1"/>
  <c r="N173" i="1"/>
  <c r="F173" i="1"/>
  <c r="R175" i="1" l="1"/>
  <c r="Q175" i="1"/>
  <c r="U175" i="1"/>
  <c r="P175" i="1"/>
  <c r="R26" i="1"/>
  <c r="Q26" i="1" s="1"/>
  <c r="V175" i="1"/>
  <c r="J175" i="1"/>
  <c r="L176" i="1"/>
  <c r="T175" i="1"/>
  <c r="S175" i="1"/>
  <c r="G175" i="1"/>
  <c r="M175" i="1" s="1"/>
  <c r="F174" i="1"/>
  <c r="N174" i="1"/>
  <c r="R176" i="1" l="1"/>
  <c r="Q176" i="1"/>
  <c r="U176" i="1"/>
  <c r="P176" i="1"/>
  <c r="H176" i="1"/>
  <c r="X26" i="1"/>
  <c r="V176" i="1"/>
  <c r="J176" i="1"/>
  <c r="L177" i="1"/>
  <c r="K26" i="1"/>
  <c r="W26" i="1"/>
  <c r="O27" i="1" s="1"/>
  <c r="S176" i="1"/>
  <c r="T176" i="1"/>
  <c r="G176" i="1"/>
  <c r="M176" i="1" s="1"/>
  <c r="F175" i="1"/>
  <c r="N175" i="1"/>
  <c r="R177" i="1" l="1"/>
  <c r="P177" i="1"/>
  <c r="Q177" i="1"/>
  <c r="U177" i="1"/>
  <c r="H177" i="1"/>
  <c r="V177" i="1"/>
  <c r="L178" i="1"/>
  <c r="J177" i="1"/>
  <c r="Z27" i="1"/>
  <c r="T177" i="1"/>
  <c r="S177" i="1"/>
  <c r="G177" i="1"/>
  <c r="M177" i="1" s="1"/>
  <c r="F176" i="1"/>
  <c r="N176" i="1"/>
  <c r="U178" i="1" l="1"/>
  <c r="P178" i="1"/>
  <c r="R178" i="1"/>
  <c r="Q178" i="1"/>
  <c r="H178" i="1"/>
  <c r="V178" i="1"/>
  <c r="J178" i="1"/>
  <c r="L179" i="1"/>
  <c r="H179" i="1" s="1"/>
  <c r="AA27" i="1"/>
  <c r="T178" i="1"/>
  <c r="S178" i="1"/>
  <c r="G178" i="1"/>
  <c r="M178" i="1" s="1"/>
  <c r="N177" i="1"/>
  <c r="F177" i="1"/>
  <c r="U179" i="1" l="1"/>
  <c r="P179" i="1"/>
  <c r="Q179" i="1"/>
  <c r="R179" i="1"/>
  <c r="V179" i="1"/>
  <c r="L180" i="1"/>
  <c r="J179" i="1"/>
  <c r="T179" i="1"/>
  <c r="S179" i="1"/>
  <c r="G179" i="1"/>
  <c r="M179" i="1" s="1"/>
  <c r="F178" i="1"/>
  <c r="N178" i="1"/>
  <c r="Q180" i="1" l="1"/>
  <c r="U180" i="1"/>
  <c r="P180" i="1"/>
  <c r="R180" i="1"/>
  <c r="H180" i="1"/>
  <c r="V180" i="1"/>
  <c r="J180" i="1"/>
  <c r="L181" i="1"/>
  <c r="H181" i="1" s="1"/>
  <c r="S180" i="1"/>
  <c r="T180" i="1"/>
  <c r="G180" i="1"/>
  <c r="M180" i="1" s="1"/>
  <c r="N179" i="1"/>
  <c r="F179" i="1"/>
  <c r="R181" i="1" l="1"/>
  <c r="P181" i="1"/>
  <c r="Q181" i="1"/>
  <c r="U181" i="1"/>
  <c r="V181" i="1"/>
  <c r="L182" i="1"/>
  <c r="H182" i="1" s="1"/>
  <c r="J181" i="1"/>
  <c r="I27" i="1"/>
  <c r="Y27" i="1"/>
  <c r="R27" i="1" s="1"/>
  <c r="Q27" i="1" s="1"/>
  <c r="T181" i="1"/>
  <c r="S181" i="1"/>
  <c r="G181" i="1"/>
  <c r="M181" i="1" s="1"/>
  <c r="F180" i="1"/>
  <c r="N180" i="1"/>
  <c r="R182" i="1" l="1"/>
  <c r="U182" i="1"/>
  <c r="P182" i="1"/>
  <c r="Q182" i="1"/>
  <c r="V182" i="1"/>
  <c r="L183" i="1"/>
  <c r="J182" i="1"/>
  <c r="T182" i="1"/>
  <c r="S182" i="1"/>
  <c r="G182" i="1"/>
  <c r="M182" i="1" s="1"/>
  <c r="H183" i="1"/>
  <c r="F181" i="1"/>
  <c r="N181" i="1"/>
  <c r="Q183" i="1" l="1"/>
  <c r="U183" i="1"/>
  <c r="P183" i="1"/>
  <c r="R183" i="1"/>
  <c r="V183" i="1"/>
  <c r="L184" i="1"/>
  <c r="H184" i="1" s="1"/>
  <c r="J183" i="1"/>
  <c r="X27" i="1"/>
  <c r="K27" i="1"/>
  <c r="W27" i="1"/>
  <c r="O28" i="1" s="1"/>
  <c r="S183" i="1"/>
  <c r="T183" i="1"/>
  <c r="G183" i="1"/>
  <c r="M183" i="1" s="1"/>
  <c r="N182" i="1"/>
  <c r="F182" i="1"/>
  <c r="R184" i="1" l="1"/>
  <c r="Q184" i="1"/>
  <c r="U184" i="1"/>
  <c r="P184" i="1"/>
  <c r="V184" i="1"/>
  <c r="L185" i="1"/>
  <c r="H185" i="1" s="1"/>
  <c r="J184" i="1"/>
  <c r="Z28" i="1"/>
  <c r="AA28" i="1" s="1"/>
  <c r="I28" i="1" s="1"/>
  <c r="S184" i="1"/>
  <c r="T184" i="1"/>
  <c r="N183" i="1"/>
  <c r="F183" i="1"/>
  <c r="G184" i="1"/>
  <c r="M184" i="1" s="1"/>
  <c r="Q185" i="1" l="1"/>
  <c r="U185" i="1"/>
  <c r="P185" i="1"/>
  <c r="R185" i="1"/>
  <c r="V185" i="1"/>
  <c r="L186" i="1"/>
  <c r="J185" i="1"/>
  <c r="Y28" i="1"/>
  <c r="R28" i="1" s="1"/>
  <c r="Q28" i="1" s="1"/>
  <c r="S185" i="1"/>
  <c r="T185" i="1"/>
  <c r="G185" i="1"/>
  <c r="M185" i="1" s="1"/>
  <c r="F184" i="1"/>
  <c r="N184" i="1"/>
  <c r="R186" i="1" l="1"/>
  <c r="Q186" i="1"/>
  <c r="U186" i="1"/>
  <c r="P186" i="1"/>
  <c r="H186" i="1"/>
  <c r="V186" i="1"/>
  <c r="L187" i="1"/>
  <c r="J186" i="1"/>
  <c r="T186" i="1"/>
  <c r="S186" i="1"/>
  <c r="G186" i="1"/>
  <c r="M186" i="1" s="1"/>
  <c r="F185" i="1"/>
  <c r="N185" i="1"/>
  <c r="R187" i="1" l="1"/>
  <c r="Q187" i="1"/>
  <c r="U187" i="1"/>
  <c r="P187" i="1"/>
  <c r="H187" i="1"/>
  <c r="V187" i="1"/>
  <c r="L188" i="1"/>
  <c r="J187" i="1"/>
  <c r="X28" i="1"/>
  <c r="K28" i="1"/>
  <c r="W28" i="1"/>
  <c r="O29" i="1" s="1"/>
  <c r="S187" i="1"/>
  <c r="T187" i="1"/>
  <c r="G187" i="1"/>
  <c r="M187" i="1" s="1"/>
  <c r="N186" i="1"/>
  <c r="F186" i="1"/>
  <c r="R188" i="1" l="1"/>
  <c r="Q188" i="1"/>
  <c r="P188" i="1"/>
  <c r="U188" i="1"/>
  <c r="H188" i="1"/>
  <c r="V188" i="1"/>
  <c r="J188" i="1"/>
  <c r="L189" i="1"/>
  <c r="Z29" i="1"/>
  <c r="T188" i="1"/>
  <c r="S188" i="1"/>
  <c r="N187" i="1"/>
  <c r="F187" i="1"/>
  <c r="G188" i="1"/>
  <c r="M188" i="1" s="1"/>
  <c r="R189" i="1" l="1"/>
  <c r="Q189" i="1"/>
  <c r="P189" i="1"/>
  <c r="U189" i="1"/>
  <c r="V189" i="1"/>
  <c r="L190" i="1"/>
  <c r="J189" i="1"/>
  <c r="H189" i="1"/>
  <c r="AA29" i="1"/>
  <c r="I29" i="1" s="1"/>
  <c r="T189" i="1"/>
  <c r="S189" i="1"/>
  <c r="F188" i="1"/>
  <c r="N188" i="1"/>
  <c r="G189" i="1"/>
  <c r="M189" i="1" s="1"/>
  <c r="U190" i="1" l="1"/>
  <c r="P190" i="1"/>
  <c r="Q190" i="1"/>
  <c r="R190" i="1"/>
  <c r="H190" i="1"/>
  <c r="V190" i="1"/>
  <c r="L191" i="1"/>
  <c r="J190" i="1"/>
  <c r="Y29" i="1"/>
  <c r="R29" i="1" s="1"/>
  <c r="Q29" i="1" s="1"/>
  <c r="T190" i="1"/>
  <c r="S190" i="1"/>
  <c r="G190" i="1"/>
  <c r="M190" i="1" s="1"/>
  <c r="F189" i="1"/>
  <c r="N189" i="1"/>
  <c r="U191" i="1" l="1"/>
  <c r="P191" i="1"/>
  <c r="Q191" i="1"/>
  <c r="R191" i="1"/>
  <c r="H191" i="1"/>
  <c r="V191" i="1"/>
  <c r="J191" i="1"/>
  <c r="L192" i="1"/>
  <c r="S191" i="1"/>
  <c r="T191" i="1"/>
  <c r="T192" i="1" s="1"/>
  <c r="G192" i="1"/>
  <c r="M192" i="1" s="1"/>
  <c r="G191" i="1"/>
  <c r="M191" i="1" s="1"/>
  <c r="F190" i="1"/>
  <c r="N190" i="1"/>
  <c r="Q192" i="1" l="1"/>
  <c r="U192" i="1"/>
  <c r="P192" i="1"/>
  <c r="R192" i="1"/>
  <c r="S192" i="1"/>
  <c r="V192" i="1"/>
  <c r="L193" i="1"/>
  <c r="G193" i="1" s="1"/>
  <c r="M193" i="1" s="1"/>
  <c r="J192" i="1"/>
  <c r="H192" i="1"/>
  <c r="X29" i="1"/>
  <c r="K29" i="1"/>
  <c r="W29" i="1"/>
  <c r="O30" i="1" s="1"/>
  <c r="F192" i="1"/>
  <c r="N192" i="1"/>
  <c r="F191" i="1"/>
  <c r="N191" i="1"/>
  <c r="T193" i="1" l="1"/>
  <c r="R193" i="1"/>
  <c r="U193" i="1"/>
  <c r="P193" i="1"/>
  <c r="Q193" i="1"/>
  <c r="S193" i="1"/>
  <c r="V193" i="1"/>
  <c r="L194" i="1"/>
  <c r="T194" i="1" s="1"/>
  <c r="J193" i="1"/>
  <c r="H193" i="1"/>
  <c r="Z30" i="1"/>
  <c r="AA30" i="1" s="1"/>
  <c r="Y30" i="1" s="1"/>
  <c r="N193" i="1"/>
  <c r="F193" i="1"/>
  <c r="S194" i="1" l="1"/>
  <c r="R194" i="1"/>
  <c r="U194" i="1"/>
  <c r="P194" i="1"/>
  <c r="Q194" i="1"/>
  <c r="G194" i="1"/>
  <c r="M194" i="1" s="1"/>
  <c r="R30" i="1"/>
  <c r="Q30" i="1" s="1"/>
  <c r="V194" i="1"/>
  <c r="J194" i="1"/>
  <c r="L195" i="1"/>
  <c r="H194" i="1"/>
  <c r="I30" i="1"/>
  <c r="F194" i="1"/>
  <c r="N194" i="1"/>
  <c r="Q195" i="1" l="1"/>
  <c r="U195" i="1"/>
  <c r="P195" i="1"/>
  <c r="R195" i="1"/>
  <c r="T195" i="1"/>
  <c r="G195" i="1"/>
  <c r="M195" i="1" s="1"/>
  <c r="S195" i="1"/>
  <c r="X30" i="1"/>
  <c r="K30" i="1"/>
  <c r="W30" i="1"/>
  <c r="O31" i="1" s="1"/>
  <c r="V195" i="1"/>
  <c r="L196" i="1"/>
  <c r="J195" i="1"/>
  <c r="H195" i="1"/>
  <c r="N195" i="1"/>
  <c r="F195" i="1"/>
  <c r="R196" i="1" l="1"/>
  <c r="Q196" i="1"/>
  <c r="U196" i="1"/>
  <c r="P196" i="1"/>
  <c r="S196" i="1"/>
  <c r="T196" i="1"/>
  <c r="G196" i="1"/>
  <c r="M196" i="1" s="1"/>
  <c r="Z31" i="1"/>
  <c r="AA31" i="1" s="1"/>
  <c r="Y31" i="1" s="1"/>
  <c r="R31" i="1" s="1"/>
  <c r="Q31" i="1" s="1"/>
  <c r="V196" i="1"/>
  <c r="L197" i="1"/>
  <c r="J196" i="1"/>
  <c r="H196" i="1"/>
  <c r="F196" i="1"/>
  <c r="N196" i="1"/>
  <c r="Q197" i="1" l="1"/>
  <c r="U197" i="1"/>
  <c r="P197" i="1"/>
  <c r="R197" i="1"/>
  <c r="G197" i="1"/>
  <c r="M197" i="1" s="1"/>
  <c r="S197" i="1"/>
  <c r="T197" i="1"/>
  <c r="I31" i="1"/>
  <c r="V197" i="1"/>
  <c r="J197" i="1"/>
  <c r="L198" i="1"/>
  <c r="S198" i="1" s="1"/>
  <c r="H197" i="1"/>
  <c r="X31" i="1"/>
  <c r="K31" i="1"/>
  <c r="W31" i="1"/>
  <c r="O32" i="1" s="1"/>
  <c r="N197" i="1"/>
  <c r="F197" i="1"/>
  <c r="G198" i="1" l="1"/>
  <c r="M198" i="1" s="1"/>
  <c r="T198" i="1"/>
  <c r="R198" i="1"/>
  <c r="Q198" i="1"/>
  <c r="U198" i="1"/>
  <c r="P198" i="1"/>
  <c r="V198" i="1"/>
  <c r="J198" i="1"/>
  <c r="L199" i="1"/>
  <c r="H198" i="1"/>
  <c r="Z32" i="1"/>
  <c r="AA32" i="1" s="1"/>
  <c r="I32" i="1" s="1"/>
  <c r="N198" i="1"/>
  <c r="F198" i="1"/>
  <c r="R199" i="1" l="1"/>
  <c r="Q199" i="1"/>
  <c r="U199" i="1"/>
  <c r="P199" i="1"/>
  <c r="S199" i="1"/>
  <c r="G199" i="1"/>
  <c r="M199" i="1" s="1"/>
  <c r="T199" i="1"/>
  <c r="V199" i="1"/>
  <c r="L200" i="1"/>
  <c r="T200" i="1" s="1"/>
  <c r="J199" i="1"/>
  <c r="H199" i="1"/>
  <c r="Y32" i="1"/>
  <c r="N199" i="1"/>
  <c r="F199" i="1"/>
  <c r="R200" i="1" l="1"/>
  <c r="Q200" i="1"/>
  <c r="P200" i="1"/>
  <c r="U200" i="1"/>
  <c r="G200" i="1"/>
  <c r="M200" i="1" s="1"/>
  <c r="S200" i="1"/>
  <c r="R32" i="1"/>
  <c r="X32" i="1" s="1"/>
  <c r="V200" i="1"/>
  <c r="L201" i="1"/>
  <c r="G201" i="1" s="1"/>
  <c r="M201" i="1" s="1"/>
  <c r="J200" i="1"/>
  <c r="H200" i="1"/>
  <c r="K32" i="1"/>
  <c r="F200" i="1"/>
  <c r="N200" i="1"/>
  <c r="R201" i="1" l="1"/>
  <c r="P201" i="1"/>
  <c r="Q201" i="1"/>
  <c r="U201" i="1"/>
  <c r="T201" i="1"/>
  <c r="Q32" i="1"/>
  <c r="W32" i="1" s="1"/>
  <c r="O33" i="1" s="1"/>
  <c r="Z33" i="1" s="1"/>
  <c r="AA33" i="1" s="1"/>
  <c r="I33" i="1" s="1"/>
  <c r="S201" i="1"/>
  <c r="V201" i="1"/>
  <c r="J201" i="1"/>
  <c r="L202" i="1"/>
  <c r="H201" i="1"/>
  <c r="F201" i="1"/>
  <c r="N201" i="1"/>
  <c r="U202" i="1" l="1"/>
  <c r="P202" i="1"/>
  <c r="R202" i="1"/>
  <c r="Q202" i="1"/>
  <c r="V202" i="1"/>
  <c r="J202" i="1"/>
  <c r="L203" i="1"/>
  <c r="H202" i="1"/>
  <c r="T202" i="1"/>
  <c r="S202" i="1"/>
  <c r="G202" i="1"/>
  <c r="M202" i="1" s="1"/>
  <c r="Y33" i="1"/>
  <c r="R33" i="1" s="1"/>
  <c r="Q33" i="1" s="1"/>
  <c r="N202" i="1"/>
  <c r="F202" i="1"/>
  <c r="U203" i="1" l="1"/>
  <c r="P203" i="1"/>
  <c r="Q203" i="1"/>
  <c r="R203" i="1"/>
  <c r="G203" i="1"/>
  <c r="M203" i="1" s="1"/>
  <c r="S203" i="1"/>
  <c r="T203" i="1"/>
  <c r="V203" i="1"/>
  <c r="J203" i="1"/>
  <c r="L204" i="1"/>
  <c r="S204" i="1" s="1"/>
  <c r="H203" i="1"/>
  <c r="N203" i="1"/>
  <c r="F203" i="1"/>
  <c r="Q204" i="1" l="1"/>
  <c r="U204" i="1"/>
  <c r="P204" i="1"/>
  <c r="R204" i="1"/>
  <c r="T204" i="1"/>
  <c r="V204" i="1"/>
  <c r="L205" i="1"/>
  <c r="J204" i="1"/>
  <c r="H204" i="1"/>
  <c r="G204" i="1"/>
  <c r="M204" i="1" s="1"/>
  <c r="X33" i="1"/>
  <c r="K33" i="1"/>
  <c r="W33" i="1"/>
  <c r="O34" i="1" s="1"/>
  <c r="F204" i="1"/>
  <c r="N204" i="1"/>
  <c r="R205" i="1" l="1"/>
  <c r="U205" i="1"/>
  <c r="P205" i="1"/>
  <c r="Q205" i="1"/>
  <c r="T205" i="1"/>
  <c r="S205" i="1"/>
  <c r="G205" i="1"/>
  <c r="M205" i="1" s="1"/>
  <c r="V205" i="1"/>
  <c r="L206" i="1"/>
  <c r="J205" i="1"/>
  <c r="H205" i="1"/>
  <c r="Z34" i="1"/>
  <c r="AA34" i="1" s="1"/>
  <c r="Y34" i="1" s="1"/>
  <c r="R34" i="1" s="1"/>
  <c r="Q34" i="1" s="1"/>
  <c r="F205" i="1"/>
  <c r="N205" i="1"/>
  <c r="R206" i="1" l="1"/>
  <c r="U206" i="1"/>
  <c r="P206" i="1"/>
  <c r="Q206" i="1"/>
  <c r="G206" i="1"/>
  <c r="M206" i="1" s="1"/>
  <c r="S206" i="1"/>
  <c r="T206" i="1"/>
  <c r="L207" i="1"/>
  <c r="V206" i="1"/>
  <c r="J206" i="1"/>
  <c r="H206" i="1"/>
  <c r="I34" i="1"/>
  <c r="N206" i="1"/>
  <c r="F206" i="1"/>
  <c r="Q207" i="1" l="1"/>
  <c r="U207" i="1"/>
  <c r="P207" i="1"/>
  <c r="R207" i="1"/>
  <c r="N207" i="1"/>
  <c r="S207" i="1"/>
  <c r="H207" i="1"/>
  <c r="F207" i="1"/>
  <c r="V207" i="1"/>
  <c r="L208" i="1"/>
  <c r="J207" i="1"/>
  <c r="G207" i="1"/>
  <c r="M207" i="1" s="1"/>
  <c r="T207" i="1"/>
  <c r="X34" i="1"/>
  <c r="K34" i="1"/>
  <c r="W34" i="1"/>
  <c r="O35" i="1" s="1"/>
  <c r="R208" i="1" l="1"/>
  <c r="Q208" i="1"/>
  <c r="U208" i="1"/>
  <c r="P208" i="1"/>
  <c r="N208" i="1"/>
  <c r="F208" i="1"/>
  <c r="V208" i="1"/>
  <c r="J208" i="1"/>
  <c r="L209" i="1"/>
  <c r="H208" i="1"/>
  <c r="G208" i="1"/>
  <c r="M208" i="1" s="1"/>
  <c r="S208" i="1"/>
  <c r="T208" i="1"/>
  <c r="Z35" i="1"/>
  <c r="AA35" i="1" s="1"/>
  <c r="I35" i="1" s="1"/>
  <c r="Q209" i="1" l="1"/>
  <c r="U209" i="1"/>
  <c r="P209" i="1"/>
  <c r="R209" i="1"/>
  <c r="N209" i="1"/>
  <c r="F209" i="1"/>
  <c r="V209" i="1"/>
  <c r="L210" i="1"/>
  <c r="F210" i="1" s="1"/>
  <c r="J209" i="1"/>
  <c r="H209" i="1"/>
  <c r="G209" i="1"/>
  <c r="M209" i="1" s="1"/>
  <c r="T209" i="1"/>
  <c r="S209" i="1"/>
  <c r="Y35" i="1"/>
  <c r="R35" i="1" s="1"/>
  <c r="Q35" i="1" s="1"/>
  <c r="R210" i="1" l="1"/>
  <c r="Q210" i="1"/>
  <c r="U210" i="1"/>
  <c r="P210" i="1"/>
  <c r="N210" i="1"/>
  <c r="V210" i="1"/>
  <c r="J210" i="1"/>
  <c r="L211" i="1"/>
  <c r="F211" i="1" s="1"/>
  <c r="H210" i="1"/>
  <c r="G210" i="1"/>
  <c r="M210" i="1" s="1"/>
  <c r="S210" i="1"/>
  <c r="T210" i="1"/>
  <c r="R211" i="1" l="1"/>
  <c r="Q211" i="1"/>
  <c r="U211" i="1"/>
  <c r="P211" i="1"/>
  <c r="V211" i="1"/>
  <c r="L212" i="1"/>
  <c r="N212" i="1" s="1"/>
  <c r="J211" i="1"/>
  <c r="H211" i="1"/>
  <c r="T211" i="1"/>
  <c r="G211" i="1"/>
  <c r="M211" i="1" s="1"/>
  <c r="S211" i="1"/>
  <c r="N211" i="1"/>
  <c r="X35" i="1"/>
  <c r="K35" i="1"/>
  <c r="W35" i="1"/>
  <c r="O36" i="1" s="1"/>
  <c r="R212" i="1" l="1"/>
  <c r="Q212" i="1"/>
  <c r="P212" i="1"/>
  <c r="U212" i="1"/>
  <c r="F212" i="1"/>
  <c r="V212" i="1"/>
  <c r="L213" i="1"/>
  <c r="F213" i="1" s="1"/>
  <c r="J212" i="1"/>
  <c r="H212" i="1"/>
  <c r="G212" i="1"/>
  <c r="M212" i="1" s="1"/>
  <c r="S212" i="1"/>
  <c r="T212" i="1"/>
  <c r="Z36" i="1"/>
  <c r="AA36" i="1" s="1"/>
  <c r="R213" i="1" l="1"/>
  <c r="U213" i="1"/>
  <c r="Q213" i="1"/>
  <c r="P213" i="1"/>
  <c r="N213" i="1"/>
  <c r="V213" i="1"/>
  <c r="L214" i="1"/>
  <c r="J213" i="1"/>
  <c r="H213" i="1"/>
  <c r="S213" i="1"/>
  <c r="G213" i="1"/>
  <c r="M213" i="1" s="1"/>
  <c r="T213" i="1"/>
  <c r="U214" i="1" l="1"/>
  <c r="P214" i="1"/>
  <c r="R214" i="1"/>
  <c r="Q214" i="1"/>
  <c r="F214" i="1"/>
  <c r="N214" i="1"/>
  <c r="V214" i="1"/>
  <c r="L215" i="1"/>
  <c r="J214" i="1"/>
  <c r="H214" i="1"/>
  <c r="S214" i="1"/>
  <c r="G214" i="1"/>
  <c r="M214" i="1" s="1"/>
  <c r="T214" i="1"/>
  <c r="U215" i="1" l="1"/>
  <c r="P215" i="1"/>
  <c r="Q215" i="1"/>
  <c r="R215" i="1"/>
  <c r="F215" i="1"/>
  <c r="N215" i="1"/>
  <c r="V215" i="1"/>
  <c r="L216" i="1"/>
  <c r="J215" i="1"/>
  <c r="H215" i="1"/>
  <c r="G215" i="1"/>
  <c r="M215" i="1" s="1"/>
  <c r="T215" i="1"/>
  <c r="S215" i="1"/>
  <c r="Q216" i="1" l="1"/>
  <c r="U216" i="1"/>
  <c r="P216" i="1"/>
  <c r="R216" i="1"/>
  <c r="V216" i="1"/>
  <c r="L217" i="1"/>
  <c r="J216" i="1"/>
  <c r="H216" i="1"/>
  <c r="S216" i="1"/>
  <c r="G216" i="1"/>
  <c r="M216" i="1" s="1"/>
  <c r="T216" i="1"/>
  <c r="F216" i="1"/>
  <c r="N216" i="1"/>
  <c r="R217" i="1" l="1"/>
  <c r="U217" i="1"/>
  <c r="P217" i="1"/>
  <c r="Q217" i="1"/>
  <c r="N217" i="1"/>
  <c r="V217" i="1"/>
  <c r="J217" i="1"/>
  <c r="L218" i="1"/>
  <c r="H217" i="1"/>
  <c r="G217" i="1"/>
  <c r="M217" i="1" s="1"/>
  <c r="T217" i="1"/>
  <c r="S217" i="1"/>
  <c r="F217" i="1"/>
  <c r="R218" i="1" l="1"/>
  <c r="U218" i="1"/>
  <c r="P218" i="1"/>
  <c r="Q218" i="1"/>
  <c r="F218" i="1"/>
  <c r="V218" i="1"/>
  <c r="L219" i="1"/>
  <c r="J218" i="1"/>
  <c r="H218" i="1"/>
  <c r="G218" i="1"/>
  <c r="M218" i="1" s="1"/>
  <c r="S218" i="1"/>
  <c r="T218" i="1"/>
  <c r="N218" i="1"/>
  <c r="Y36" i="1"/>
  <c r="I36" i="1"/>
  <c r="Q219" i="1" l="1"/>
  <c r="U219" i="1"/>
  <c r="P219" i="1"/>
  <c r="R219" i="1"/>
  <c r="R36" i="1"/>
  <c r="N219" i="1"/>
  <c r="F219" i="1"/>
  <c r="L220" i="1"/>
  <c r="V219" i="1"/>
  <c r="J219" i="1"/>
  <c r="H219" i="1"/>
  <c r="G219" i="1"/>
  <c r="M219" i="1" s="1"/>
  <c r="T219" i="1"/>
  <c r="S219" i="1"/>
  <c r="K36" i="1"/>
  <c r="R220" i="1" l="1"/>
  <c r="Q220" i="1"/>
  <c r="U220" i="1"/>
  <c r="P220" i="1"/>
  <c r="Q36" i="1"/>
  <c r="W36" i="1" s="1"/>
  <c r="O37" i="1" s="1"/>
  <c r="X36" i="1"/>
  <c r="V220" i="1"/>
  <c r="L221" i="1"/>
  <c r="J220" i="1"/>
  <c r="G220" i="1"/>
  <c r="M220" i="1" s="1"/>
  <c r="F220" i="1"/>
  <c r="N220" i="1"/>
  <c r="T220" i="1"/>
  <c r="S220" i="1"/>
  <c r="H220" i="1"/>
  <c r="Q221" i="1" l="1"/>
  <c r="U221" i="1"/>
  <c r="P221" i="1"/>
  <c r="R221" i="1"/>
  <c r="Z37" i="1"/>
  <c r="AA37" i="1" s="1"/>
  <c r="I37" i="1" s="1"/>
  <c r="V221" i="1"/>
  <c r="J221" i="1"/>
  <c r="L222" i="1"/>
  <c r="H221" i="1"/>
  <c r="T221" i="1"/>
  <c r="G221" i="1"/>
  <c r="M221" i="1" s="1"/>
  <c r="S221" i="1"/>
  <c r="F221" i="1"/>
  <c r="N221" i="1"/>
  <c r="R222" i="1" l="1"/>
  <c r="Q222" i="1"/>
  <c r="U222" i="1"/>
  <c r="P222" i="1"/>
  <c r="Y37" i="1"/>
  <c r="R37" i="1" s="1"/>
  <c r="Q37" i="1" s="1"/>
  <c r="V222" i="1"/>
  <c r="J222" i="1"/>
  <c r="L223" i="1"/>
  <c r="H222" i="1"/>
  <c r="S222" i="1"/>
  <c r="G222" i="1"/>
  <c r="M222" i="1" s="1"/>
  <c r="T222" i="1"/>
  <c r="N222" i="1"/>
  <c r="F222" i="1"/>
  <c r="R223" i="1" l="1"/>
  <c r="Q223" i="1"/>
  <c r="U223" i="1"/>
  <c r="P223" i="1"/>
  <c r="V223" i="1"/>
  <c r="J223" i="1"/>
  <c r="L224" i="1"/>
  <c r="H223" i="1"/>
  <c r="G223" i="1"/>
  <c r="M223" i="1" s="1"/>
  <c r="S223" i="1"/>
  <c r="T223" i="1"/>
  <c r="F223" i="1"/>
  <c r="N223" i="1"/>
  <c r="X37" i="1"/>
  <c r="W37" i="1"/>
  <c r="O38" i="1" s="1"/>
  <c r="K37" i="1"/>
  <c r="R224" i="1" l="1"/>
  <c r="Q224" i="1"/>
  <c r="U224" i="1"/>
  <c r="P224" i="1"/>
  <c r="V224" i="1"/>
  <c r="L225" i="1"/>
  <c r="J224" i="1"/>
  <c r="H224" i="1"/>
  <c r="G224" i="1"/>
  <c r="M224" i="1" s="1"/>
  <c r="T224" i="1"/>
  <c r="S224" i="1"/>
  <c r="F224" i="1"/>
  <c r="N224" i="1"/>
  <c r="Z38" i="1"/>
  <c r="R225" i="1" l="1"/>
  <c r="U225" i="1"/>
  <c r="P225" i="1"/>
  <c r="Q225" i="1"/>
  <c r="V225" i="1"/>
  <c r="L226" i="1"/>
  <c r="J225" i="1"/>
  <c r="K225" i="1"/>
  <c r="H225" i="1"/>
  <c r="G225" i="1"/>
  <c r="M225" i="1" s="1"/>
  <c r="T225" i="1"/>
  <c r="S225" i="1"/>
  <c r="F225" i="1"/>
  <c r="N225" i="1"/>
  <c r="AA38" i="1"/>
  <c r="Y38" i="1" s="1"/>
  <c r="R38" i="1" s="1"/>
  <c r="Q38" i="1" s="1"/>
  <c r="U226" i="1" l="1"/>
  <c r="P226" i="1"/>
  <c r="R226" i="1"/>
  <c r="Q226" i="1"/>
  <c r="V226" i="1"/>
  <c r="X226" i="1"/>
  <c r="Z226" i="1"/>
  <c r="N226" i="1"/>
  <c r="J226" i="1"/>
  <c r="W226" i="1"/>
  <c r="K226" i="1"/>
  <c r="Y226" i="1"/>
  <c r="G226" i="1"/>
  <c r="M226" i="1"/>
  <c r="H226" i="1"/>
  <c r="L227" i="1"/>
  <c r="AA226" i="1"/>
  <c r="F226" i="1"/>
  <c r="T226" i="1"/>
  <c r="I226" i="1"/>
  <c r="O226" i="1"/>
  <c r="S226" i="1"/>
  <c r="I38" i="1"/>
  <c r="U227" i="1" l="1"/>
  <c r="P227" i="1"/>
  <c r="Q227" i="1"/>
  <c r="R227" i="1"/>
  <c r="V227" i="1"/>
  <c r="T227" i="1"/>
  <c r="G227" i="1"/>
  <c r="N227" i="1"/>
  <c r="I227" i="1"/>
  <c r="L228" i="1"/>
  <c r="J227" i="1"/>
  <c r="W227" i="1"/>
  <c r="H227" i="1"/>
  <c r="X227" i="1"/>
  <c r="AA227" i="1"/>
  <c r="Z227" i="1"/>
  <c r="K227" i="1"/>
  <c r="O227" i="1"/>
  <c r="Y227" i="1"/>
  <c r="F227" i="1"/>
  <c r="M227" i="1"/>
  <c r="S227" i="1"/>
  <c r="X38" i="1"/>
  <c r="K38" i="1"/>
  <c r="W38" i="1"/>
  <c r="O39" i="1" s="1"/>
  <c r="Q228" i="1" l="1"/>
  <c r="U228" i="1"/>
  <c r="P228" i="1"/>
  <c r="R228" i="1"/>
  <c r="V228" i="1"/>
  <c r="T228" i="1"/>
  <c r="X228" i="1"/>
  <c r="F228" i="1"/>
  <c r="N228" i="1"/>
  <c r="AA228" i="1"/>
  <c r="I228" i="1"/>
  <c r="L229" i="1"/>
  <c r="J228" i="1"/>
  <c r="Y228" i="1"/>
  <c r="M228" i="1"/>
  <c r="Z228" i="1"/>
  <c r="G228" i="1"/>
  <c r="H228" i="1"/>
  <c r="O228" i="1"/>
  <c r="W228" i="1"/>
  <c r="S228" i="1"/>
  <c r="K228" i="1"/>
  <c r="Z39" i="1"/>
  <c r="AA39" i="1" s="1"/>
  <c r="R229" i="1" l="1"/>
  <c r="U229" i="1"/>
  <c r="P229" i="1"/>
  <c r="Q229" i="1"/>
  <c r="V229" i="1"/>
  <c r="S229" i="1"/>
  <c r="X229" i="1"/>
  <c r="Y229" i="1"/>
  <c r="N229" i="1"/>
  <c r="W229" i="1"/>
  <c r="G229" i="1"/>
  <c r="M229" i="1"/>
  <c r="Z229" i="1"/>
  <c r="F229" i="1"/>
  <c r="T229" i="1"/>
  <c r="H229" i="1"/>
  <c r="I229" i="1"/>
  <c r="J229" i="1"/>
  <c r="AA229" i="1"/>
  <c r="K229" i="1"/>
  <c r="L230" i="1"/>
  <c r="O229" i="1"/>
  <c r="R230" i="1" l="1"/>
  <c r="U230" i="1"/>
  <c r="P230" i="1"/>
  <c r="Q230" i="1"/>
  <c r="V230" i="1"/>
  <c r="O230" i="1"/>
  <c r="S230" i="1"/>
  <c r="H230" i="1"/>
  <c r="X230" i="1"/>
  <c r="AA230" i="1"/>
  <c r="G230" i="1"/>
  <c r="F230" i="1"/>
  <c r="M230" i="1"/>
  <c r="T230" i="1"/>
  <c r="Y230" i="1"/>
  <c r="L231" i="1"/>
  <c r="Z230" i="1"/>
  <c r="J230" i="1"/>
  <c r="W230" i="1"/>
  <c r="I230" i="1"/>
  <c r="N230" i="1"/>
  <c r="K230" i="1"/>
  <c r="Q231" i="1" l="1"/>
  <c r="U231" i="1"/>
  <c r="P231" i="1"/>
  <c r="R231" i="1"/>
  <c r="V231" i="1"/>
  <c r="T231" i="1"/>
  <c r="I231" i="1"/>
  <c r="O231" i="1"/>
  <c r="AA231" i="1"/>
  <c r="K231" i="1"/>
  <c r="X231" i="1"/>
  <c r="Y231" i="1"/>
  <c r="N231" i="1"/>
  <c r="Z231" i="1"/>
  <c r="G231" i="1"/>
  <c r="H231" i="1"/>
  <c r="W231" i="1"/>
  <c r="L232" i="1"/>
  <c r="M231" i="1"/>
  <c r="F231" i="1"/>
  <c r="S231" i="1"/>
  <c r="J231" i="1"/>
  <c r="R232" i="1" l="1"/>
  <c r="Q232" i="1"/>
  <c r="U232" i="1"/>
  <c r="P232" i="1"/>
  <c r="V232" i="1"/>
  <c r="T232" i="1"/>
  <c r="M232" i="1"/>
  <c r="S232" i="1"/>
  <c r="J232" i="1"/>
  <c r="F232" i="1"/>
  <c r="W232" i="1"/>
  <c r="K232" i="1"/>
  <c r="N232" i="1"/>
  <c r="Y232" i="1"/>
  <c r="O232" i="1"/>
  <c r="X232" i="1"/>
  <c r="H232" i="1"/>
  <c r="L233" i="1"/>
  <c r="G232" i="1"/>
  <c r="I232" i="1"/>
  <c r="AA232" i="1"/>
  <c r="Z232" i="1"/>
  <c r="Q233" i="1" l="1"/>
  <c r="P233" i="1"/>
  <c r="U233" i="1"/>
  <c r="R233" i="1"/>
  <c r="V233" i="1"/>
  <c r="T233" i="1"/>
  <c r="H233" i="1"/>
  <c r="N233" i="1"/>
  <c r="W233" i="1"/>
  <c r="Y233" i="1"/>
  <c r="Z233" i="1"/>
  <c r="I233" i="1"/>
  <c r="F233" i="1"/>
  <c r="X233" i="1"/>
  <c r="O233" i="1"/>
  <c r="L234" i="1"/>
  <c r="J233" i="1"/>
  <c r="M233" i="1"/>
  <c r="G233" i="1"/>
  <c r="K233" i="1"/>
  <c r="AA233" i="1"/>
  <c r="S233" i="1"/>
  <c r="R234" i="1" l="1"/>
  <c r="Q234" i="1"/>
  <c r="U234" i="1"/>
  <c r="P234" i="1"/>
  <c r="V234" i="1"/>
  <c r="S234" i="1"/>
  <c r="T234" i="1"/>
  <c r="F234" i="1"/>
  <c r="Y234" i="1"/>
  <c r="L235" i="1"/>
  <c r="Z234" i="1"/>
  <c r="H234" i="1"/>
  <c r="K234" i="1"/>
  <c r="M234" i="1"/>
  <c r="I234" i="1"/>
  <c r="J234" i="1"/>
  <c r="W234" i="1"/>
  <c r="G234" i="1"/>
  <c r="AA234" i="1"/>
  <c r="O234" i="1"/>
  <c r="X234" i="1"/>
  <c r="N234" i="1"/>
  <c r="R235" i="1" l="1"/>
  <c r="Q235" i="1"/>
  <c r="U235" i="1"/>
  <c r="P235" i="1"/>
  <c r="V235" i="1"/>
  <c r="O235" i="1"/>
  <c r="AA235" i="1"/>
  <c r="J235" i="1"/>
  <c r="G235" i="1"/>
  <c r="H235" i="1"/>
  <c r="W235" i="1"/>
  <c r="Z235" i="1"/>
  <c r="X235" i="1"/>
  <c r="K235" i="1"/>
  <c r="F235" i="1"/>
  <c r="S235" i="1"/>
  <c r="T235" i="1"/>
  <c r="Y235" i="1"/>
  <c r="M235" i="1"/>
  <c r="N235" i="1"/>
  <c r="L236" i="1"/>
  <c r="I235" i="1"/>
  <c r="K39" i="1"/>
  <c r="R236" i="1" l="1"/>
  <c r="Q236" i="1"/>
  <c r="U236" i="1"/>
  <c r="P236" i="1"/>
  <c r="V236" i="1"/>
  <c r="K236" i="1"/>
  <c r="G236" i="1"/>
  <c r="AA236" i="1"/>
  <c r="N236" i="1"/>
  <c r="Z236" i="1"/>
  <c r="M236" i="1"/>
  <c r="J236" i="1"/>
  <c r="X236" i="1"/>
  <c r="T236" i="1"/>
  <c r="S236" i="1"/>
  <c r="O236" i="1"/>
  <c r="W236" i="1"/>
  <c r="Y236" i="1"/>
  <c r="F236" i="1"/>
  <c r="H236" i="1"/>
  <c r="I236" i="1"/>
  <c r="L237" i="1"/>
  <c r="Y39" i="1"/>
  <c r="R39" i="1" s="1"/>
  <c r="Q39" i="1" s="1"/>
  <c r="I39" i="1"/>
  <c r="R237" i="1" l="1"/>
  <c r="Q237" i="1"/>
  <c r="P237" i="1"/>
  <c r="U237" i="1"/>
  <c r="V237" i="1"/>
  <c r="L238" i="1"/>
  <c r="AA237" i="1"/>
  <c r="J237" i="1"/>
  <c r="W237" i="1"/>
  <c r="N237" i="1"/>
  <c r="O237" i="1"/>
  <c r="G237" i="1"/>
  <c r="I237" i="1"/>
  <c r="M237" i="1"/>
  <c r="X237" i="1"/>
  <c r="H237" i="1"/>
  <c r="Z237" i="1"/>
  <c r="T237" i="1"/>
  <c r="Y237" i="1"/>
  <c r="F237" i="1"/>
  <c r="K237" i="1"/>
  <c r="S237" i="1"/>
  <c r="W39" i="1"/>
  <c r="O40" i="1" s="1"/>
  <c r="U238" i="1" l="1"/>
  <c r="V8" i="1" s="1"/>
  <c r="P238" i="1"/>
  <c r="Q238" i="1"/>
  <c r="R238" i="1"/>
  <c r="V238" i="1"/>
  <c r="Z238" i="1"/>
  <c r="F238" i="1"/>
  <c r="M238" i="1"/>
  <c r="N238" i="1"/>
  <c r="I238" i="1"/>
  <c r="AA238" i="1"/>
  <c r="S238" i="1"/>
  <c r="T238" i="1"/>
  <c r="L239" i="1"/>
  <c r="Y238" i="1"/>
  <c r="H238" i="1"/>
  <c r="O238" i="1"/>
  <c r="J238" i="1"/>
  <c r="K238" i="1"/>
  <c r="W238" i="1"/>
  <c r="G238" i="1"/>
  <c r="X238" i="1"/>
  <c r="AI6" i="1"/>
  <c r="X39" i="1"/>
  <c r="Z40" i="1" s="1"/>
  <c r="AA40" i="1" s="1"/>
  <c r="I40" i="1" s="1"/>
  <c r="S239" i="1" l="1"/>
  <c r="V6" i="1" s="1"/>
  <c r="V239" i="1"/>
  <c r="V9" i="1" s="1"/>
  <c r="M239" i="1"/>
  <c r="AA239" i="1"/>
  <c r="J239" i="1"/>
  <c r="G239" i="1"/>
  <c r="X239" i="1"/>
  <c r="P239" i="1"/>
  <c r="AA5" i="1" s="1"/>
  <c r="Y239" i="1"/>
  <c r="Z239" i="1"/>
  <c r="H239" i="1"/>
  <c r="K239" i="1"/>
  <c r="T239" i="1"/>
  <c r="V7" i="1" s="1"/>
  <c r="W239" i="1"/>
  <c r="O239" i="1"/>
  <c r="Q239" i="1"/>
  <c r="N239" i="1"/>
  <c r="F239" i="1"/>
  <c r="I239" i="1"/>
  <c r="R239" i="1"/>
  <c r="C11" i="1"/>
  <c r="Y40" i="1"/>
  <c r="K40" i="1"/>
  <c r="R40" i="1" l="1"/>
  <c r="X40" i="1" l="1"/>
  <c r="Q40" i="1"/>
  <c r="W40" i="1" s="1"/>
  <c r="O41" i="1" s="1"/>
  <c r="Z41" i="1" l="1"/>
  <c r="AA41" i="1" s="1"/>
  <c r="Y41" i="1" l="1"/>
  <c r="R41" i="1" s="1"/>
  <c r="I41" i="1"/>
  <c r="K41" i="1"/>
  <c r="X41" i="1" l="1"/>
  <c r="Q41" i="1"/>
  <c r="W41" i="1" s="1"/>
  <c r="O42" i="1" s="1"/>
  <c r="Z42" i="1" l="1"/>
  <c r="AA42" i="1" s="1"/>
  <c r="I42" i="1" s="1"/>
  <c r="Y42" i="1" l="1"/>
  <c r="R42" i="1" s="1"/>
  <c r="Q42" i="1" s="1"/>
  <c r="X42" i="1" l="1"/>
  <c r="K42" i="1"/>
  <c r="W42" i="1"/>
  <c r="O43" i="1" s="1"/>
  <c r="Z43" i="1" l="1"/>
  <c r="AA43" i="1" s="1"/>
  <c r="I43" i="1" s="1"/>
  <c r="Y43" i="1" l="1"/>
  <c r="R43" i="1" s="1"/>
  <c r="Q43" i="1" s="1"/>
  <c r="X43" i="1" l="1"/>
  <c r="K43" i="1"/>
  <c r="W43" i="1"/>
  <c r="O44" i="1" s="1"/>
  <c r="Z44" i="1" l="1"/>
  <c r="AA44" i="1" s="1"/>
  <c r="Y44" i="1" s="1"/>
  <c r="R44" i="1" l="1"/>
  <c r="Q44" i="1" s="1"/>
  <c r="I44" i="1"/>
  <c r="X44" i="1" l="1"/>
  <c r="K44" i="1"/>
  <c r="W44" i="1"/>
  <c r="O45" i="1" s="1"/>
  <c r="Z45" i="1" l="1"/>
  <c r="AA45" i="1" s="1"/>
  <c r="Y45" i="1" s="1"/>
  <c r="R45" i="1" s="1"/>
  <c r="Q45" i="1" s="1"/>
  <c r="I45" i="1" l="1"/>
  <c r="X45" i="1"/>
  <c r="W45" i="1"/>
  <c r="O46" i="1" s="1"/>
  <c r="K45" i="1"/>
  <c r="Z46" i="1" l="1"/>
  <c r="AA46" i="1" s="1"/>
  <c r="I46" i="1" s="1"/>
  <c r="Y46" i="1" l="1"/>
  <c r="R46" i="1" s="1"/>
  <c r="Q46" i="1" s="1"/>
  <c r="X46" i="1" l="1"/>
  <c r="K46" i="1"/>
  <c r="W46" i="1"/>
  <c r="O47" i="1" s="1"/>
  <c r="Z47" i="1" l="1"/>
  <c r="AA47" i="1" s="1"/>
  <c r="I47" i="1" s="1"/>
  <c r="Y47" i="1" l="1"/>
  <c r="R47" i="1" s="1"/>
  <c r="Q47" i="1" s="1"/>
  <c r="W47" i="1" l="1"/>
  <c r="O48" i="1" s="1"/>
  <c r="K47" i="1"/>
  <c r="X47" i="1"/>
  <c r="Z48" i="1" l="1"/>
  <c r="AA48" i="1" s="1"/>
  <c r="I48" i="1" s="1"/>
  <c r="Y48" i="1" l="1"/>
  <c r="R48" i="1" l="1"/>
  <c r="K48" i="1"/>
  <c r="X48" i="1" l="1"/>
  <c r="Q48" i="1"/>
  <c r="W48" i="1" s="1"/>
  <c r="O49" i="1" s="1"/>
  <c r="Z49" i="1" l="1"/>
  <c r="AA49" i="1" s="1"/>
  <c r="Y49" i="1" s="1"/>
  <c r="R49" i="1" s="1"/>
  <c r="X49" i="1" s="1"/>
  <c r="I49" i="1" l="1"/>
  <c r="Q49" i="1"/>
  <c r="W49" i="1" s="1"/>
  <c r="O50" i="1" s="1"/>
  <c r="K49" i="1"/>
  <c r="Z50" i="1" l="1"/>
  <c r="AA50" i="1" s="1"/>
  <c r="I50" i="1" s="1"/>
  <c r="Y50" i="1" l="1"/>
  <c r="R50" i="1" l="1"/>
  <c r="Q50" i="1" s="1"/>
  <c r="X50" i="1" l="1"/>
  <c r="K50" i="1"/>
  <c r="W50" i="1"/>
  <c r="O51" i="1" s="1"/>
  <c r="Z51" i="1" l="1"/>
  <c r="AA51" i="1" l="1"/>
  <c r="Y51" i="1" s="1"/>
  <c r="R51" i="1" s="1"/>
  <c r="Q51" i="1" s="1"/>
  <c r="I51" i="1" l="1"/>
  <c r="K51" i="1" l="1"/>
  <c r="W51" i="1"/>
  <c r="O52" i="1" s="1"/>
  <c r="X51" i="1"/>
  <c r="Z52" i="1" l="1"/>
  <c r="AA52" i="1" s="1"/>
  <c r="Y52" i="1" s="1"/>
  <c r="R52" i="1" l="1"/>
  <c r="Q52" i="1" s="1"/>
  <c r="I52" i="1"/>
  <c r="X52" i="1" l="1"/>
  <c r="K52" i="1"/>
  <c r="W52" i="1"/>
  <c r="O53" i="1" s="1"/>
  <c r="Z53" i="1" l="1"/>
  <c r="AA53" i="1" s="1"/>
  <c r="Y53" i="1" s="1"/>
  <c r="R53" i="1" s="1"/>
  <c r="Q53" i="1" s="1"/>
  <c r="I53" i="1" l="1"/>
  <c r="X53" i="1"/>
  <c r="K53" i="1"/>
  <c r="W53" i="1"/>
  <c r="O54" i="1" s="1"/>
  <c r="Z54" i="1" l="1"/>
  <c r="AA54" i="1" s="1"/>
  <c r="I54" i="1" s="1"/>
  <c r="Y54" i="1" l="1"/>
  <c r="R54" i="1" s="1"/>
  <c r="Q54" i="1" s="1"/>
  <c r="X54" i="1" l="1"/>
  <c r="K54" i="1"/>
  <c r="W54" i="1"/>
  <c r="O55" i="1" s="1"/>
  <c r="Z55" i="1" l="1"/>
  <c r="AA55" i="1" l="1"/>
  <c r="Y55" i="1" s="1"/>
  <c r="R55" i="1" s="1"/>
  <c r="Q55" i="1" s="1"/>
  <c r="I55" i="1" l="1"/>
  <c r="K55" i="1" l="1"/>
  <c r="W55" i="1"/>
  <c r="O56" i="1" s="1"/>
  <c r="X55" i="1"/>
  <c r="Z56" i="1" l="1"/>
  <c r="AA56" i="1" s="1"/>
  <c r="Y56" i="1" s="1"/>
  <c r="R56" i="1" s="1"/>
  <c r="Q56" i="1" s="1"/>
  <c r="I56" i="1" l="1"/>
  <c r="X56" i="1" l="1"/>
  <c r="K56" i="1"/>
  <c r="W56" i="1"/>
  <c r="O57" i="1" s="1"/>
  <c r="Z57" i="1" l="1"/>
  <c r="AA57" i="1" s="1"/>
  <c r="I57" i="1" s="1"/>
  <c r="Y57" i="1" l="1"/>
  <c r="R57" i="1" s="1"/>
  <c r="Q57" i="1" s="1"/>
  <c r="X57" i="1" l="1"/>
  <c r="K57" i="1"/>
  <c r="W57" i="1"/>
  <c r="O58" i="1" s="1"/>
  <c r="Z58" i="1" l="1"/>
  <c r="AA58" i="1" s="1"/>
  <c r="I58" i="1" s="1"/>
  <c r="Y58" i="1" l="1"/>
  <c r="R58" i="1" s="1"/>
  <c r="Q58" i="1" s="1"/>
  <c r="K58" i="1" l="1"/>
  <c r="W58" i="1"/>
  <c r="O59" i="1" s="1"/>
  <c r="X58" i="1"/>
  <c r="Z59" i="1" l="1"/>
  <c r="AA59" i="1" l="1"/>
  <c r="Y59" i="1" s="1"/>
  <c r="R59" i="1" s="1"/>
  <c r="Q59" i="1" l="1"/>
  <c r="AB7" i="1"/>
  <c r="AA4" i="1"/>
  <c r="I59" i="1"/>
  <c r="X59" i="1" l="1"/>
  <c r="K59" i="1"/>
  <c r="W59" i="1"/>
  <c r="O60" i="1" l="1"/>
  <c r="AA7" i="1"/>
  <c r="Z60" i="1"/>
  <c r="AA60" i="1" l="1"/>
  <c r="Y60" i="1" s="1"/>
  <c r="I60" i="1" l="1"/>
  <c r="X60" i="1" l="1"/>
  <c r="K60" i="1"/>
  <c r="W60" i="1"/>
  <c r="O61" i="1" s="1"/>
  <c r="Z61" i="1" l="1"/>
  <c r="AA61" i="1" s="1"/>
  <c r="Y61" i="1" l="1"/>
  <c r="I61" i="1"/>
  <c r="X61" i="1" l="1"/>
  <c r="K61" i="1"/>
  <c r="W61" i="1"/>
  <c r="O62" i="1" s="1"/>
  <c r="Z62" i="1" l="1"/>
  <c r="AA62" i="1" s="1"/>
  <c r="I62" i="1" s="1"/>
  <c r="Y62" i="1" l="1"/>
  <c r="X62" i="1" l="1"/>
  <c r="K62" i="1"/>
  <c r="W62" i="1"/>
  <c r="O63" i="1" s="1"/>
  <c r="Z63" i="1" l="1"/>
  <c r="AA63" i="1" l="1"/>
  <c r="Y63" i="1" s="1"/>
  <c r="I63" i="1" l="1"/>
  <c r="X63" i="1" l="1"/>
  <c r="K63" i="1"/>
  <c r="W63" i="1"/>
  <c r="O64" i="1" s="1"/>
  <c r="Z64" i="1" l="1"/>
  <c r="AA64" i="1" l="1"/>
  <c r="Y64" i="1" s="1"/>
  <c r="I64" i="1" l="1"/>
  <c r="X64" i="1" l="1"/>
  <c r="K64" i="1"/>
  <c r="W64" i="1"/>
  <c r="O65" i="1" s="1"/>
  <c r="Z65" i="1" l="1"/>
  <c r="AA65" i="1" s="1"/>
  <c r="Y65" i="1" s="1"/>
  <c r="I65" i="1" l="1"/>
  <c r="X65" i="1" l="1"/>
  <c r="K65" i="1"/>
  <c r="W65" i="1"/>
  <c r="O66" i="1" s="1"/>
  <c r="Z66" i="1" l="1"/>
  <c r="AA66" i="1" s="1"/>
  <c r="I66" i="1" s="1"/>
  <c r="Y66" i="1" l="1"/>
  <c r="X66" i="1" l="1"/>
  <c r="K66" i="1"/>
  <c r="W66" i="1"/>
  <c r="O67" i="1" s="1"/>
  <c r="Z67" i="1" l="1"/>
  <c r="AA67" i="1" l="1"/>
  <c r="I67" i="1" s="1"/>
  <c r="Y67" i="1" l="1"/>
  <c r="X67" i="1" l="1"/>
  <c r="K67" i="1"/>
  <c r="W67" i="1"/>
  <c r="O68" i="1" s="1"/>
  <c r="Z68" i="1" l="1"/>
  <c r="AA68" i="1" l="1"/>
  <c r="Y68" i="1" s="1"/>
  <c r="I68" i="1" l="1"/>
  <c r="X68" i="1" l="1"/>
  <c r="K68" i="1"/>
  <c r="W68" i="1"/>
  <c r="O69" i="1" s="1"/>
  <c r="Z69" i="1" l="1"/>
  <c r="AA69" i="1" s="1"/>
  <c r="Y69" i="1" s="1"/>
  <c r="I69" i="1" l="1"/>
  <c r="X69" i="1" l="1"/>
  <c r="K69" i="1"/>
  <c r="W69" i="1"/>
  <c r="O70" i="1" s="1"/>
  <c r="Z70" i="1" l="1"/>
  <c r="AA70" i="1" s="1"/>
  <c r="I70" i="1" s="1"/>
  <c r="Y70" i="1" l="1"/>
  <c r="X70" i="1" l="1"/>
  <c r="K70" i="1"/>
  <c r="W70" i="1"/>
  <c r="O71" i="1" s="1"/>
  <c r="Z71" i="1" l="1"/>
  <c r="AA71" i="1" l="1"/>
  <c r="I71" i="1" s="1"/>
  <c r="Y71" i="1" l="1"/>
  <c r="W71" i="1" l="1"/>
  <c r="O72" i="1" s="1"/>
  <c r="K71" i="1"/>
  <c r="X71" i="1"/>
  <c r="Z72" i="1" l="1"/>
  <c r="AA72" i="1" l="1"/>
  <c r="Y72" i="1" s="1"/>
  <c r="I72" i="1" l="1"/>
  <c r="W72" i="1" l="1"/>
  <c r="O73" i="1" s="1"/>
  <c r="K72" i="1"/>
  <c r="X72" i="1"/>
  <c r="Z73" i="1" l="1"/>
  <c r="AA73" i="1" s="1"/>
  <c r="Y73" i="1" s="1"/>
  <c r="W73" i="1" s="1"/>
  <c r="O74" i="1" s="1"/>
  <c r="I73" i="1" l="1"/>
  <c r="X73" i="1"/>
  <c r="Z74" i="1" s="1"/>
  <c r="K73" i="1"/>
  <c r="AA74" i="1" l="1"/>
  <c r="I74" i="1" s="1"/>
  <c r="Y74" i="1" l="1"/>
  <c r="W74" i="1" l="1"/>
  <c r="O75" i="1" s="1"/>
  <c r="K74" i="1"/>
  <c r="X74" i="1"/>
  <c r="Z75" i="1" l="1"/>
  <c r="AA75" i="1" s="1"/>
  <c r="Y75" i="1" s="1"/>
  <c r="I75" i="1" l="1"/>
  <c r="W75" i="1" l="1"/>
  <c r="O76" i="1" s="1"/>
  <c r="K75" i="1"/>
  <c r="X75" i="1"/>
  <c r="Z76" i="1" l="1"/>
  <c r="AA76" i="1" s="1"/>
  <c r="Y76" i="1" s="1"/>
  <c r="I76" i="1" l="1"/>
  <c r="W76" i="1" l="1"/>
  <c r="O77" i="1" s="1"/>
  <c r="K76" i="1"/>
  <c r="X76" i="1"/>
  <c r="Z77" i="1" l="1"/>
  <c r="AA77" i="1" s="1"/>
  <c r="Y77" i="1" s="1"/>
  <c r="W77" i="1" l="1"/>
  <c r="O78" i="1" s="1"/>
  <c r="K77" i="1"/>
  <c r="I77" i="1"/>
  <c r="X77" i="1"/>
  <c r="Z78" i="1" l="1"/>
  <c r="AA78" i="1" s="1"/>
  <c r="I78" i="1" s="1"/>
  <c r="Y78" i="1" l="1"/>
  <c r="X78" i="1" l="1"/>
  <c r="K78" i="1"/>
  <c r="W78" i="1"/>
  <c r="O79" i="1" s="1"/>
  <c r="Z79" i="1" l="1"/>
  <c r="AA79" i="1" s="1"/>
  <c r="Y79" i="1" l="1"/>
  <c r="I79" i="1"/>
  <c r="X79" i="1" l="1"/>
  <c r="K79" i="1"/>
  <c r="W79" i="1"/>
  <c r="O80" i="1" s="1"/>
  <c r="Z80" i="1" l="1"/>
  <c r="AA80" i="1" s="1"/>
  <c r="Y80" i="1" l="1"/>
  <c r="I80" i="1"/>
  <c r="X80" i="1" l="1"/>
  <c r="K80" i="1"/>
  <c r="W80" i="1"/>
  <c r="O81" i="1" s="1"/>
  <c r="Z81" i="1" l="1"/>
  <c r="AA81" i="1" l="1"/>
  <c r="Y81" i="1" s="1"/>
  <c r="I81" i="1" l="1"/>
  <c r="X81" i="1" l="1"/>
  <c r="K81" i="1"/>
  <c r="W81" i="1"/>
  <c r="O82" i="1" s="1"/>
  <c r="Z82" i="1" l="1"/>
  <c r="AA82" i="1" l="1"/>
  <c r="I82" i="1" s="1"/>
  <c r="Y82" i="1" l="1"/>
  <c r="X82" i="1" l="1"/>
  <c r="K82" i="1"/>
  <c r="W82" i="1"/>
  <c r="O83" i="1" s="1"/>
  <c r="Z83" i="1" l="1"/>
  <c r="AA83" i="1" s="1"/>
  <c r="Y83" i="1" l="1"/>
  <c r="I83" i="1"/>
  <c r="X83" i="1" l="1"/>
  <c r="K83" i="1"/>
  <c r="W83" i="1"/>
  <c r="O84" i="1" s="1"/>
  <c r="Z84" i="1" l="1"/>
  <c r="AA84" i="1" s="1"/>
  <c r="Y84" i="1" l="1"/>
  <c r="I84" i="1"/>
  <c r="X84" i="1" l="1"/>
  <c r="K84" i="1"/>
  <c r="W84" i="1"/>
  <c r="O85" i="1" s="1"/>
  <c r="Z85" i="1" l="1"/>
  <c r="AA85" i="1" l="1"/>
  <c r="Y85" i="1" s="1"/>
  <c r="I85" i="1" l="1"/>
  <c r="X85" i="1" l="1"/>
  <c r="K85" i="1"/>
  <c r="W85" i="1"/>
  <c r="O86" i="1" s="1"/>
  <c r="Z86" i="1" l="1"/>
  <c r="AA86" i="1" l="1"/>
  <c r="I86" i="1" s="1"/>
  <c r="Y86" i="1" l="1"/>
  <c r="X86" i="1" l="1"/>
  <c r="K86" i="1"/>
  <c r="W86" i="1"/>
  <c r="O87" i="1" s="1"/>
  <c r="Z87" i="1" l="1"/>
  <c r="AA87" i="1" s="1"/>
  <c r="Y87" i="1" l="1"/>
  <c r="I87" i="1"/>
  <c r="X87" i="1" l="1"/>
  <c r="K87" i="1"/>
  <c r="W87" i="1"/>
  <c r="O88" i="1" s="1"/>
  <c r="Z88" i="1" l="1"/>
  <c r="AA88" i="1" s="1"/>
  <c r="Y88" i="1" l="1"/>
  <c r="I88" i="1"/>
  <c r="X88" i="1" l="1"/>
  <c r="K88" i="1"/>
  <c r="W88" i="1"/>
  <c r="O89" i="1" s="1"/>
  <c r="Z89" i="1" l="1"/>
  <c r="AA89" i="1" l="1"/>
  <c r="Y89" i="1" s="1"/>
  <c r="I89" i="1" l="1"/>
  <c r="X89" i="1" l="1"/>
  <c r="K89" i="1"/>
  <c r="W89" i="1"/>
  <c r="O90" i="1" s="1"/>
  <c r="Z90" i="1" l="1"/>
  <c r="AA90" i="1" l="1"/>
  <c r="I90" i="1" s="1"/>
  <c r="Y90" i="1" l="1"/>
  <c r="X90" i="1" l="1"/>
  <c r="K90" i="1"/>
  <c r="W90" i="1"/>
  <c r="O91" i="1" s="1"/>
  <c r="Z91" i="1" l="1"/>
  <c r="AA91" i="1" s="1"/>
  <c r="Y91" i="1" l="1"/>
  <c r="I91" i="1"/>
  <c r="X91" i="1" l="1"/>
  <c r="K91" i="1"/>
  <c r="W91" i="1"/>
  <c r="O92" i="1" s="1"/>
  <c r="Z92" i="1" l="1"/>
  <c r="AA92" i="1" s="1"/>
  <c r="Y92" i="1" l="1"/>
  <c r="I92" i="1"/>
  <c r="X92" i="1" l="1"/>
  <c r="K92" i="1"/>
  <c r="W92" i="1"/>
  <c r="O93" i="1" s="1"/>
  <c r="Z93" i="1" l="1"/>
  <c r="AA93" i="1" l="1"/>
  <c r="Y93" i="1" s="1"/>
  <c r="I93" i="1" l="1"/>
  <c r="X93" i="1" l="1"/>
  <c r="K93" i="1"/>
  <c r="W93" i="1"/>
  <c r="O94" i="1" s="1"/>
  <c r="Z94" i="1" l="1"/>
  <c r="AA94" i="1" l="1"/>
  <c r="I94" i="1" s="1"/>
  <c r="Y94" i="1" l="1"/>
  <c r="X94" i="1" l="1"/>
  <c r="K94" i="1"/>
  <c r="W94" i="1"/>
  <c r="O95" i="1" s="1"/>
  <c r="Z95" i="1" l="1"/>
  <c r="AA95" i="1" s="1"/>
  <c r="Y95" i="1" l="1"/>
  <c r="I95" i="1"/>
  <c r="X95" i="1" l="1"/>
  <c r="K95" i="1"/>
  <c r="W95" i="1"/>
  <c r="O96" i="1" s="1"/>
  <c r="Z96" i="1" l="1"/>
  <c r="AA96" i="1" s="1"/>
  <c r="Y96" i="1" l="1"/>
  <c r="I96" i="1"/>
  <c r="X96" i="1" l="1"/>
  <c r="K96" i="1"/>
  <c r="W96" i="1"/>
  <c r="O97" i="1" s="1"/>
  <c r="Z97" i="1" l="1"/>
  <c r="AA97" i="1" l="1"/>
  <c r="Y97" i="1" s="1"/>
  <c r="I97" i="1" l="1"/>
  <c r="X97" i="1" l="1"/>
  <c r="K97" i="1"/>
  <c r="W97" i="1"/>
  <c r="O98" i="1" s="1"/>
  <c r="Z98" i="1" l="1"/>
  <c r="AA98" i="1" l="1"/>
  <c r="I98" i="1" s="1"/>
  <c r="Y98" i="1" l="1"/>
  <c r="X98" i="1" l="1"/>
  <c r="K98" i="1"/>
  <c r="W98" i="1"/>
  <c r="O99" i="1" s="1"/>
  <c r="Z99" i="1" l="1"/>
  <c r="AA99" i="1" s="1"/>
  <c r="Y99" i="1" l="1"/>
  <c r="I99" i="1"/>
  <c r="X99" i="1" l="1"/>
  <c r="K99" i="1"/>
  <c r="W99" i="1"/>
  <c r="O100" i="1" s="1"/>
  <c r="Z100" i="1" l="1"/>
  <c r="AA100" i="1" s="1"/>
  <c r="Y100" i="1" l="1"/>
  <c r="I100" i="1"/>
  <c r="X100" i="1" l="1"/>
  <c r="K100" i="1"/>
  <c r="W100" i="1"/>
  <c r="O101" i="1" s="1"/>
  <c r="Z101" i="1" l="1"/>
  <c r="AA101" i="1" l="1"/>
  <c r="Y101" i="1" s="1"/>
  <c r="I101" i="1" l="1"/>
  <c r="X101" i="1" l="1"/>
  <c r="K101" i="1"/>
  <c r="W101" i="1"/>
  <c r="O102" i="1" s="1"/>
  <c r="Z102" i="1" l="1"/>
  <c r="AA102" i="1" l="1"/>
  <c r="I102" i="1" s="1"/>
  <c r="Y102" i="1" l="1"/>
  <c r="X102" i="1" l="1"/>
  <c r="K102" i="1"/>
  <c r="W102" i="1"/>
  <c r="O103" i="1" s="1"/>
  <c r="Z103" i="1" l="1"/>
  <c r="AA103" i="1" s="1"/>
  <c r="Y103" i="1" l="1"/>
  <c r="I103" i="1"/>
  <c r="X103" i="1" l="1"/>
  <c r="K103" i="1"/>
  <c r="W103" i="1"/>
  <c r="O104" i="1" s="1"/>
  <c r="Z104" i="1" l="1"/>
  <c r="AA104" i="1" s="1"/>
  <c r="Y104" i="1" l="1"/>
  <c r="I104" i="1"/>
  <c r="X104" i="1" l="1"/>
  <c r="K104" i="1"/>
  <c r="W104" i="1"/>
  <c r="O105" i="1" s="1"/>
  <c r="Z105" i="1" l="1"/>
  <c r="AA105" i="1" l="1"/>
  <c r="Y105" i="1" s="1"/>
  <c r="I105" i="1" l="1"/>
  <c r="X105" i="1" l="1"/>
  <c r="K105" i="1"/>
  <c r="W105" i="1"/>
  <c r="O106" i="1" s="1"/>
  <c r="Z106" i="1" l="1"/>
  <c r="AA106" i="1" l="1"/>
  <c r="I106" i="1" s="1"/>
  <c r="Y106" i="1" l="1"/>
  <c r="X106" i="1" l="1"/>
  <c r="K106" i="1"/>
  <c r="W106" i="1"/>
  <c r="O107" i="1" s="1"/>
  <c r="Z107" i="1" l="1"/>
  <c r="AA107" i="1" s="1"/>
  <c r="Y107" i="1" l="1"/>
  <c r="I107" i="1"/>
  <c r="X107" i="1" l="1"/>
  <c r="K107" i="1"/>
  <c r="W107" i="1"/>
  <c r="O108" i="1" s="1"/>
  <c r="Z108" i="1" l="1"/>
  <c r="AA108" i="1" s="1"/>
  <c r="Y108" i="1" l="1"/>
  <c r="I108" i="1"/>
  <c r="X108" i="1" l="1"/>
  <c r="K108" i="1"/>
  <c r="W108" i="1"/>
  <c r="O109" i="1" s="1"/>
  <c r="Z109" i="1" l="1"/>
  <c r="AA109" i="1" l="1"/>
  <c r="Y109" i="1" s="1"/>
  <c r="I109" i="1" l="1"/>
  <c r="X109" i="1" l="1"/>
  <c r="K109" i="1"/>
  <c r="W109" i="1"/>
  <c r="O110" i="1" s="1"/>
  <c r="Z110" i="1" l="1"/>
  <c r="AA110" i="1" l="1"/>
  <c r="I110" i="1" s="1"/>
  <c r="Y110" i="1" l="1"/>
  <c r="X110" i="1" l="1"/>
  <c r="K110" i="1"/>
  <c r="W110" i="1"/>
  <c r="O111" i="1" s="1"/>
  <c r="Z111" i="1" l="1"/>
  <c r="AA111" i="1" s="1"/>
  <c r="Y111" i="1" l="1"/>
  <c r="I111" i="1"/>
  <c r="X111" i="1" l="1"/>
  <c r="K111" i="1"/>
  <c r="W111" i="1"/>
  <c r="O112" i="1" s="1"/>
  <c r="Z112" i="1" l="1"/>
  <c r="AA112" i="1" s="1"/>
  <c r="Y112" i="1" l="1"/>
  <c r="I112" i="1"/>
  <c r="X112" i="1" l="1"/>
  <c r="K112" i="1"/>
  <c r="W112" i="1"/>
  <c r="O113" i="1" s="1"/>
  <c r="Z113" i="1" l="1"/>
  <c r="AA113" i="1" l="1"/>
  <c r="Y113" i="1" s="1"/>
  <c r="I113" i="1" l="1"/>
  <c r="X113" i="1" l="1"/>
  <c r="K113" i="1"/>
  <c r="W113" i="1"/>
  <c r="O114" i="1" s="1"/>
  <c r="Z114" i="1" l="1"/>
  <c r="AA114" i="1" l="1"/>
  <c r="I114" i="1" s="1"/>
  <c r="Y114" i="1" l="1"/>
  <c r="X114" i="1" l="1"/>
  <c r="K114" i="1"/>
  <c r="W114" i="1"/>
  <c r="O115" i="1" s="1"/>
  <c r="Z115" i="1" l="1"/>
  <c r="AA115" i="1" s="1"/>
  <c r="Y115" i="1" l="1"/>
  <c r="I115" i="1"/>
  <c r="X115" i="1" l="1"/>
  <c r="K115" i="1"/>
  <c r="W115" i="1"/>
  <c r="O116" i="1" s="1"/>
  <c r="Z116" i="1" l="1"/>
  <c r="AA116" i="1" s="1"/>
  <c r="Y116" i="1" l="1"/>
  <c r="I116" i="1"/>
  <c r="X116" i="1" l="1"/>
  <c r="K116" i="1"/>
  <c r="W116" i="1"/>
  <c r="O117" i="1" s="1"/>
  <c r="Z117" i="1" l="1"/>
  <c r="AA117" i="1" l="1"/>
  <c r="Y117" i="1" s="1"/>
  <c r="I117" i="1" l="1"/>
  <c r="X117" i="1" l="1"/>
  <c r="K117" i="1"/>
  <c r="W117" i="1"/>
  <c r="O118" i="1" s="1"/>
  <c r="Z118" i="1" l="1"/>
  <c r="AA118" i="1" l="1"/>
  <c r="I118" i="1" s="1"/>
  <c r="Y118" i="1" l="1"/>
  <c r="X118" i="1" l="1"/>
  <c r="K118" i="1"/>
  <c r="W118" i="1"/>
  <c r="O119" i="1" s="1"/>
  <c r="Z119" i="1" l="1"/>
  <c r="AA119" i="1" s="1"/>
  <c r="Y119" i="1" l="1"/>
  <c r="I119" i="1"/>
  <c r="X119" i="1" l="1"/>
  <c r="K119" i="1"/>
  <c r="W119" i="1"/>
  <c r="O120" i="1" s="1"/>
  <c r="Z120" i="1" l="1"/>
  <c r="AA120" i="1" s="1"/>
  <c r="Y120" i="1" l="1"/>
  <c r="I120" i="1"/>
  <c r="X120" i="1" l="1"/>
  <c r="K120" i="1"/>
  <c r="W120" i="1"/>
  <c r="O121" i="1" s="1"/>
  <c r="Z121" i="1" l="1"/>
  <c r="AA121" i="1" l="1"/>
  <c r="Y121" i="1" s="1"/>
  <c r="I121" i="1" l="1"/>
  <c r="X121" i="1" l="1"/>
  <c r="K121" i="1"/>
  <c r="W121" i="1"/>
  <c r="O122" i="1" s="1"/>
  <c r="Z122" i="1" l="1"/>
  <c r="AA122" i="1" l="1"/>
  <c r="I122" i="1" s="1"/>
  <c r="Y122" i="1" l="1"/>
  <c r="X122" i="1" l="1"/>
  <c r="K122" i="1"/>
  <c r="W122" i="1"/>
  <c r="O123" i="1" s="1"/>
  <c r="Z123" i="1" l="1"/>
  <c r="AA123" i="1" s="1"/>
  <c r="Y123" i="1" l="1"/>
  <c r="I123" i="1"/>
  <c r="X123" i="1" l="1"/>
  <c r="K123" i="1"/>
  <c r="W123" i="1"/>
  <c r="O124" i="1" s="1"/>
  <c r="Z124" i="1" l="1"/>
  <c r="AA124" i="1" s="1"/>
  <c r="Y124" i="1" l="1"/>
  <c r="I124" i="1"/>
  <c r="X124" i="1" l="1"/>
  <c r="K124" i="1"/>
  <c r="W124" i="1"/>
  <c r="O125" i="1" s="1"/>
  <c r="Z125" i="1" l="1"/>
  <c r="AA125" i="1" l="1"/>
  <c r="Y125" i="1" s="1"/>
  <c r="I125" i="1" l="1"/>
  <c r="X125" i="1" l="1"/>
  <c r="K125" i="1"/>
  <c r="W125" i="1"/>
  <c r="O126" i="1" s="1"/>
  <c r="Z126" i="1" l="1"/>
  <c r="AA126" i="1" l="1"/>
  <c r="I126" i="1" s="1"/>
  <c r="Y126" i="1" l="1"/>
  <c r="X126" i="1" l="1"/>
  <c r="K126" i="1"/>
  <c r="W126" i="1"/>
  <c r="O127" i="1" s="1"/>
  <c r="Z127" i="1" l="1"/>
  <c r="AA127" i="1" s="1"/>
  <c r="Y127" i="1" l="1"/>
  <c r="I127" i="1"/>
  <c r="X127" i="1" l="1"/>
  <c r="K127" i="1"/>
  <c r="W127" i="1"/>
  <c r="O128" i="1" s="1"/>
  <c r="Z128" i="1" l="1"/>
  <c r="AA128" i="1" s="1"/>
  <c r="Y128" i="1" l="1"/>
  <c r="I128" i="1"/>
  <c r="X128" i="1" l="1"/>
  <c r="K128" i="1"/>
  <c r="W128" i="1"/>
  <c r="O129" i="1" s="1"/>
  <c r="Z129" i="1" l="1"/>
  <c r="AA129" i="1" l="1"/>
  <c r="Y129" i="1" s="1"/>
  <c r="I129" i="1" l="1"/>
  <c r="X129" i="1" l="1"/>
  <c r="K129" i="1"/>
  <c r="W129" i="1"/>
  <c r="O130" i="1" s="1"/>
  <c r="Z130" i="1" l="1"/>
  <c r="AA130" i="1" l="1"/>
  <c r="I130" i="1" s="1"/>
  <c r="Y130" i="1" l="1"/>
  <c r="X130" i="1" l="1"/>
  <c r="K130" i="1"/>
  <c r="W130" i="1"/>
  <c r="O131" i="1" s="1"/>
  <c r="Z131" i="1" l="1"/>
  <c r="AA131" i="1" s="1"/>
  <c r="Y131" i="1" l="1"/>
  <c r="I131" i="1"/>
  <c r="X131" i="1" l="1"/>
  <c r="K131" i="1"/>
  <c r="W131" i="1"/>
  <c r="O132" i="1" s="1"/>
  <c r="Z132" i="1" l="1"/>
  <c r="AA132" i="1" s="1"/>
  <c r="K132" i="1" l="1"/>
  <c r="I132" i="1" l="1"/>
  <c r="Y132" i="1"/>
  <c r="W132" i="1" l="1"/>
  <c r="O133" i="1" s="1"/>
  <c r="X132" i="1"/>
  <c r="Z133" i="1" l="1"/>
  <c r="AA133" i="1" s="1"/>
  <c r="K133" i="1" l="1"/>
  <c r="K134" i="1"/>
  <c r="I133" i="1" l="1"/>
  <c r="Y133" i="1" l="1"/>
  <c r="W133" i="1" l="1"/>
  <c r="O134" i="1" s="1"/>
  <c r="X133" i="1" l="1"/>
  <c r="Z134" i="1" s="1"/>
  <c r="K135" i="1"/>
  <c r="AA134" i="1" l="1"/>
  <c r="I134" i="1" s="1"/>
  <c r="Y134" i="1" l="1"/>
  <c r="W134" i="1" l="1"/>
  <c r="O135" i="1" s="1"/>
  <c r="X134" i="1" l="1"/>
  <c r="K136" i="1"/>
  <c r="Z135" i="1" l="1"/>
  <c r="AA135" i="1" l="1"/>
  <c r="I135" i="1" s="1"/>
  <c r="Y135" i="1" l="1"/>
  <c r="W135" i="1" l="1"/>
  <c r="O136" i="1" s="1"/>
  <c r="X135" i="1"/>
  <c r="K137" i="1"/>
  <c r="Z136" i="1" l="1"/>
  <c r="AA136" i="1" s="1"/>
  <c r="I136" i="1" s="1"/>
  <c r="Y136" i="1" l="1"/>
  <c r="W136" i="1" l="1"/>
  <c r="O137" i="1" s="1"/>
  <c r="X136" i="1" l="1"/>
  <c r="Z137" i="1" s="1"/>
  <c r="K138" i="1"/>
  <c r="AA137" i="1" l="1"/>
  <c r="I137" i="1" s="1"/>
  <c r="Y137" i="1" l="1"/>
  <c r="W137" i="1" l="1"/>
  <c r="O138" i="1" s="1"/>
  <c r="X137" i="1" l="1"/>
  <c r="K139" i="1"/>
  <c r="Z138" i="1" l="1"/>
  <c r="AA138" i="1" l="1"/>
  <c r="Y138" i="1" s="1"/>
  <c r="W138" i="1" l="1"/>
  <c r="O139" i="1" s="1"/>
  <c r="I138" i="1"/>
  <c r="X138" i="1" l="1"/>
  <c r="Z139" i="1" s="1"/>
  <c r="AA139" i="1" s="1"/>
  <c r="Y139" i="1" s="1"/>
  <c r="K140" i="1"/>
  <c r="W139" i="1" l="1"/>
  <c r="O140" i="1" s="1"/>
  <c r="I139" i="1"/>
  <c r="X139" i="1" l="1"/>
  <c r="Z140" i="1" l="1"/>
  <c r="AA140" i="1" l="1"/>
  <c r="Y140" i="1" s="1"/>
  <c r="K141" i="1"/>
  <c r="W140" i="1" l="1"/>
  <c r="O141" i="1" s="1"/>
  <c r="I140" i="1"/>
  <c r="X140" i="1" l="1"/>
  <c r="Z141" i="1" s="1"/>
  <c r="AA141" i="1" l="1"/>
  <c r="I141" i="1" s="1"/>
  <c r="Y141" i="1" l="1"/>
  <c r="K142" i="1"/>
  <c r="W141" i="1" l="1"/>
  <c r="O142" i="1" s="1"/>
  <c r="X141" i="1" l="1"/>
  <c r="Z142" i="1" s="1"/>
  <c r="AA142" i="1" l="1"/>
  <c r="Y142" i="1" s="1"/>
  <c r="W142" i="1" l="1"/>
  <c r="O143" i="1" s="1"/>
  <c r="I142" i="1"/>
  <c r="K143" i="1"/>
  <c r="X142" i="1" l="1"/>
  <c r="Z143" i="1" s="1"/>
  <c r="AA143" i="1" l="1"/>
  <c r="I143" i="1" s="1"/>
  <c r="Y143" i="1" l="1"/>
  <c r="W143" i="1"/>
  <c r="O144" i="1" s="1"/>
  <c r="X143" i="1" l="1"/>
  <c r="Z144" i="1" s="1"/>
  <c r="K144" i="1"/>
  <c r="AA144" i="1" l="1"/>
  <c r="Y144" i="1" s="1"/>
  <c r="W144" i="1"/>
  <c r="O145" i="1" s="1"/>
  <c r="I144" i="1" l="1"/>
  <c r="X144" i="1"/>
  <c r="Z145" i="1" s="1"/>
  <c r="AA145" i="1" l="1"/>
  <c r="I145" i="1" s="1"/>
  <c r="Y145" i="1" l="1"/>
  <c r="W145" i="1" s="1"/>
  <c r="O146" i="1" s="1"/>
  <c r="K145" i="1"/>
  <c r="X145" i="1" l="1"/>
  <c r="Z146" i="1"/>
  <c r="AA146" i="1" l="1"/>
  <c r="Y146" i="1" s="1"/>
  <c r="I146" i="1" l="1"/>
  <c r="X146" i="1" l="1"/>
  <c r="K146" i="1"/>
  <c r="W146" i="1"/>
  <c r="O147" i="1" s="1"/>
  <c r="Z147" i="1" l="1"/>
  <c r="AA147" i="1" s="1"/>
  <c r="Y147" i="1" l="1"/>
  <c r="I147" i="1"/>
  <c r="X147" i="1" l="1"/>
  <c r="K147" i="1"/>
  <c r="W147" i="1"/>
  <c r="O148" i="1" s="1"/>
  <c r="Z148" i="1" l="1"/>
  <c r="AA148" i="1" s="1"/>
  <c r="Y148" i="1" l="1"/>
  <c r="I148" i="1"/>
  <c r="X148" i="1" l="1"/>
  <c r="K148" i="1"/>
  <c r="W148" i="1"/>
  <c r="O149" i="1" s="1"/>
  <c r="Z149" i="1" l="1"/>
  <c r="AA149" i="1" s="1"/>
  <c r="Y149" i="1" l="1"/>
  <c r="I149" i="1"/>
  <c r="X149" i="1" l="1"/>
  <c r="K149" i="1"/>
  <c r="W149" i="1"/>
  <c r="O150" i="1" s="1"/>
  <c r="Z150" i="1" l="1"/>
  <c r="AA150" i="1" s="1"/>
  <c r="Y150" i="1" l="1"/>
  <c r="I150" i="1"/>
  <c r="X150" i="1" l="1"/>
  <c r="K150" i="1"/>
  <c r="W150" i="1"/>
  <c r="O151" i="1" s="1"/>
  <c r="Z151" i="1" l="1"/>
  <c r="AA151" i="1" s="1"/>
  <c r="Y151" i="1" l="1"/>
  <c r="I151" i="1"/>
  <c r="X151" i="1" l="1"/>
  <c r="K151" i="1"/>
  <c r="W151" i="1"/>
  <c r="O152" i="1" s="1"/>
  <c r="Z152" i="1" l="1"/>
  <c r="AA152" i="1" l="1"/>
  <c r="Y152" i="1" s="1"/>
  <c r="I152" i="1" l="1"/>
  <c r="X152" i="1" l="1"/>
  <c r="K152" i="1"/>
  <c r="W152" i="1"/>
  <c r="O153" i="1" s="1"/>
  <c r="Z153" i="1" l="1"/>
  <c r="AA153" i="1" s="1"/>
  <c r="Y153" i="1" l="1"/>
  <c r="I153" i="1"/>
  <c r="X153" i="1" l="1"/>
  <c r="K153" i="1"/>
  <c r="W153" i="1"/>
  <c r="O154" i="1" s="1"/>
  <c r="Z154" i="1" l="1"/>
  <c r="AA154" i="1" s="1"/>
  <c r="Y154" i="1" l="1"/>
  <c r="I154" i="1"/>
  <c r="X154" i="1" l="1"/>
  <c r="K154" i="1"/>
  <c r="W154" i="1"/>
  <c r="O155" i="1" s="1"/>
  <c r="Z155" i="1" l="1"/>
  <c r="AA155" i="1" s="1"/>
  <c r="Y155" i="1" l="1"/>
  <c r="I155" i="1"/>
  <c r="X155" i="1" l="1"/>
  <c r="K155" i="1"/>
  <c r="W155" i="1"/>
  <c r="O156" i="1" s="1"/>
  <c r="Z156" i="1" l="1"/>
  <c r="AA156" i="1" s="1"/>
  <c r="Y156" i="1" l="1"/>
  <c r="I156" i="1"/>
  <c r="X156" i="1" l="1"/>
  <c r="K156" i="1"/>
  <c r="W156" i="1"/>
  <c r="O157" i="1" s="1"/>
  <c r="Z157" i="1" l="1"/>
  <c r="AA157" i="1" s="1"/>
  <c r="Y157" i="1" l="1"/>
  <c r="I157" i="1"/>
  <c r="X157" i="1" l="1"/>
  <c r="K157" i="1"/>
  <c r="W157" i="1"/>
  <c r="O158" i="1" s="1"/>
  <c r="Z158" i="1" l="1"/>
  <c r="AA158" i="1" s="1"/>
  <c r="Y158" i="1" l="1"/>
  <c r="I158" i="1"/>
  <c r="X158" i="1" l="1"/>
  <c r="K158" i="1"/>
  <c r="W158" i="1"/>
  <c r="O159" i="1" s="1"/>
  <c r="Z159" i="1" l="1"/>
  <c r="AA159" i="1" s="1"/>
  <c r="Y159" i="1" l="1"/>
  <c r="I159" i="1"/>
  <c r="X159" i="1" l="1"/>
  <c r="K159" i="1"/>
  <c r="W159" i="1"/>
  <c r="O160" i="1" s="1"/>
  <c r="Z160" i="1" l="1"/>
  <c r="AA160" i="1" l="1"/>
  <c r="Y160" i="1" s="1"/>
  <c r="I160" i="1" l="1"/>
  <c r="X160" i="1" l="1"/>
  <c r="K160" i="1"/>
  <c r="W160" i="1"/>
  <c r="O161" i="1" s="1"/>
  <c r="Z161" i="1" l="1"/>
  <c r="AA161" i="1" s="1"/>
  <c r="Y161" i="1" l="1"/>
  <c r="I161" i="1"/>
  <c r="X161" i="1" l="1"/>
  <c r="K161" i="1"/>
  <c r="W161" i="1"/>
  <c r="O162" i="1" s="1"/>
  <c r="Z162" i="1" l="1"/>
  <c r="AA162" i="1" s="1"/>
  <c r="Y162" i="1" l="1"/>
  <c r="I162" i="1"/>
  <c r="X162" i="1" l="1"/>
  <c r="K162" i="1"/>
  <c r="W162" i="1"/>
  <c r="O163" i="1" s="1"/>
  <c r="Z163" i="1" l="1"/>
  <c r="AA163" i="1" s="1"/>
  <c r="Y163" i="1" l="1"/>
  <c r="I163" i="1"/>
  <c r="X163" i="1" l="1"/>
  <c r="K163" i="1"/>
  <c r="W163" i="1"/>
  <c r="O164" i="1" s="1"/>
  <c r="Z164" i="1" l="1"/>
  <c r="AA164" i="1" l="1"/>
  <c r="Y164" i="1" s="1"/>
  <c r="I164" i="1" l="1"/>
  <c r="X164" i="1" l="1"/>
  <c r="K164" i="1"/>
  <c r="W164" i="1"/>
  <c r="O165" i="1" s="1"/>
  <c r="Z165" i="1" l="1"/>
  <c r="AA165" i="1" s="1"/>
  <c r="Y165" i="1" l="1"/>
  <c r="I165" i="1"/>
  <c r="X165" i="1" l="1"/>
  <c r="K165" i="1"/>
  <c r="W165" i="1"/>
  <c r="O166" i="1" s="1"/>
  <c r="Z166" i="1" l="1"/>
  <c r="AA166" i="1" s="1"/>
  <c r="Y166" i="1" l="1"/>
  <c r="I166" i="1"/>
  <c r="X166" i="1" l="1"/>
  <c r="K166" i="1"/>
  <c r="W166" i="1"/>
  <c r="O167" i="1" s="1"/>
  <c r="Z167" i="1" l="1"/>
  <c r="AA167" i="1" s="1"/>
  <c r="I167" i="1" l="1"/>
  <c r="Y167" i="1"/>
  <c r="X167" i="1" l="1"/>
  <c r="K167" i="1"/>
  <c r="W167" i="1"/>
  <c r="O168" i="1" s="1"/>
  <c r="Z168" i="1" l="1"/>
  <c r="AA168" i="1" l="1"/>
  <c r="Y168" i="1" s="1"/>
  <c r="I168" i="1" l="1"/>
  <c r="X168" i="1" l="1"/>
  <c r="K168" i="1"/>
  <c r="W168" i="1"/>
  <c r="O169" i="1" s="1"/>
  <c r="Z169" i="1" l="1"/>
  <c r="AA169" i="1" s="1"/>
  <c r="Y169" i="1" l="1"/>
  <c r="I169" i="1"/>
  <c r="X169" i="1" l="1"/>
  <c r="K169" i="1"/>
  <c r="W169" i="1"/>
  <c r="O170" i="1" s="1"/>
  <c r="Z170" i="1" l="1"/>
  <c r="AA170" i="1" s="1"/>
  <c r="Y170" i="1" l="1"/>
  <c r="I170" i="1"/>
  <c r="X170" i="1" l="1"/>
  <c r="K170" i="1"/>
  <c r="W170" i="1"/>
  <c r="O171" i="1" s="1"/>
  <c r="Z171" i="1" l="1"/>
  <c r="AA171" i="1" s="1"/>
  <c r="Y171" i="1" l="1"/>
  <c r="I171" i="1"/>
  <c r="X171" i="1" l="1"/>
  <c r="K171" i="1"/>
  <c r="W171" i="1"/>
  <c r="O172" i="1" s="1"/>
  <c r="Z172" i="1" l="1"/>
  <c r="AA172" i="1" l="1"/>
  <c r="Y172" i="1" s="1"/>
  <c r="I172" i="1" l="1"/>
  <c r="X172" i="1" l="1"/>
  <c r="K172" i="1"/>
  <c r="W172" i="1"/>
  <c r="O173" i="1" s="1"/>
  <c r="Z173" i="1" l="1"/>
  <c r="AA173" i="1" s="1"/>
  <c r="Y173" i="1" l="1"/>
  <c r="I173" i="1"/>
  <c r="X173" i="1" l="1"/>
  <c r="K173" i="1"/>
  <c r="W173" i="1"/>
  <c r="O174" i="1" s="1"/>
  <c r="Z174" i="1" l="1"/>
  <c r="AA174" i="1" s="1"/>
  <c r="Y174" i="1" l="1"/>
  <c r="I174" i="1"/>
  <c r="X174" i="1" l="1"/>
  <c r="K174" i="1"/>
  <c r="W174" i="1"/>
  <c r="O175" i="1" s="1"/>
  <c r="Z175" i="1" l="1"/>
  <c r="AA175" i="1" s="1"/>
  <c r="Y175" i="1" l="1"/>
  <c r="I175" i="1"/>
  <c r="X175" i="1" l="1"/>
  <c r="K175" i="1"/>
  <c r="W175" i="1"/>
  <c r="O176" i="1" s="1"/>
  <c r="Z176" i="1" l="1"/>
  <c r="AA176" i="1" l="1"/>
  <c r="Y176" i="1" s="1"/>
  <c r="I176" i="1" l="1"/>
  <c r="X176" i="1" l="1"/>
  <c r="K176" i="1"/>
  <c r="W176" i="1"/>
  <c r="O177" i="1" s="1"/>
  <c r="Z177" i="1" l="1"/>
  <c r="AA177" i="1" s="1"/>
  <c r="Y177" i="1" l="1"/>
  <c r="I177" i="1"/>
  <c r="X177" i="1" l="1"/>
  <c r="K177" i="1"/>
  <c r="W177" i="1"/>
  <c r="O178" i="1" s="1"/>
  <c r="Z178" i="1" l="1"/>
  <c r="AA178" i="1" s="1"/>
  <c r="Y178" i="1" l="1"/>
  <c r="I178" i="1"/>
  <c r="X178" i="1" l="1"/>
  <c r="K178" i="1"/>
  <c r="W178" i="1"/>
  <c r="O179" i="1" s="1"/>
  <c r="Z179" i="1" l="1"/>
  <c r="AA179" i="1" s="1"/>
  <c r="Y179" i="1" l="1"/>
  <c r="I179" i="1"/>
  <c r="X179" i="1" l="1"/>
  <c r="K179" i="1"/>
  <c r="W179" i="1"/>
  <c r="O180" i="1" s="1"/>
  <c r="Z180" i="1" l="1"/>
  <c r="AA180" i="1" l="1"/>
  <c r="Y180" i="1" s="1"/>
  <c r="I180" i="1" l="1"/>
  <c r="X180" i="1" l="1"/>
  <c r="K180" i="1"/>
  <c r="W180" i="1"/>
  <c r="O181" i="1" s="1"/>
  <c r="Z181" i="1" l="1"/>
  <c r="AA181" i="1" s="1"/>
  <c r="Y181" i="1" l="1"/>
  <c r="I181" i="1"/>
  <c r="X181" i="1" l="1"/>
  <c r="K181" i="1"/>
  <c r="W181" i="1"/>
  <c r="O182" i="1" s="1"/>
  <c r="Z182" i="1" l="1"/>
  <c r="AA182" i="1" s="1"/>
  <c r="Y182" i="1" l="1"/>
  <c r="I182" i="1"/>
  <c r="X182" i="1" l="1"/>
  <c r="K182" i="1"/>
  <c r="W182" i="1"/>
  <c r="O183" i="1" s="1"/>
  <c r="Z183" i="1" l="1"/>
  <c r="AA183" i="1" s="1"/>
  <c r="Y183" i="1" l="1"/>
  <c r="I183" i="1"/>
  <c r="X183" i="1" l="1"/>
  <c r="K183" i="1"/>
  <c r="W183" i="1"/>
  <c r="O184" i="1" s="1"/>
  <c r="Z184" i="1" l="1"/>
  <c r="AA184" i="1" l="1"/>
  <c r="Y184" i="1" s="1"/>
  <c r="I184" i="1" l="1"/>
  <c r="X184" i="1" l="1"/>
  <c r="K184" i="1"/>
  <c r="W184" i="1"/>
  <c r="O185" i="1" s="1"/>
  <c r="Z185" i="1" l="1"/>
  <c r="AA185" i="1" s="1"/>
  <c r="Y185" i="1" l="1"/>
  <c r="I185" i="1"/>
  <c r="X185" i="1" l="1"/>
  <c r="K185" i="1"/>
  <c r="W185" i="1"/>
  <c r="O186" i="1" s="1"/>
  <c r="Z186" i="1" l="1"/>
  <c r="AA186" i="1" s="1"/>
  <c r="Y186" i="1" l="1"/>
  <c r="I186" i="1"/>
  <c r="X186" i="1" l="1"/>
  <c r="K186" i="1"/>
  <c r="W186" i="1"/>
  <c r="O187" i="1" s="1"/>
  <c r="Z187" i="1" l="1"/>
  <c r="AA187" i="1" s="1"/>
  <c r="Y187" i="1" l="1"/>
  <c r="I187" i="1"/>
  <c r="X187" i="1" l="1"/>
  <c r="K187" i="1"/>
  <c r="W187" i="1"/>
  <c r="O188" i="1" s="1"/>
  <c r="Z188" i="1" l="1"/>
  <c r="AA188" i="1" l="1"/>
  <c r="Y188" i="1" s="1"/>
  <c r="I188" i="1" l="1"/>
  <c r="X188" i="1" l="1"/>
  <c r="K188" i="1"/>
  <c r="W188" i="1"/>
  <c r="O189" i="1" s="1"/>
  <c r="Z189" i="1" l="1"/>
  <c r="AA189" i="1" s="1"/>
  <c r="Y189" i="1" l="1"/>
  <c r="I189" i="1"/>
  <c r="X189" i="1" l="1"/>
  <c r="K189" i="1"/>
  <c r="W189" i="1"/>
  <c r="O190" i="1" s="1"/>
  <c r="Z190" i="1" l="1"/>
  <c r="AA190" i="1" s="1"/>
  <c r="Y190" i="1" l="1"/>
  <c r="I190" i="1"/>
  <c r="X190" i="1" l="1"/>
  <c r="K190" i="1"/>
  <c r="W190" i="1"/>
  <c r="O191" i="1" s="1"/>
  <c r="Z191" i="1" l="1"/>
  <c r="AA191" i="1" s="1"/>
  <c r="Y191" i="1" l="1"/>
  <c r="I191" i="1"/>
  <c r="X191" i="1" l="1"/>
  <c r="K191" i="1"/>
  <c r="W191" i="1"/>
  <c r="O192" i="1" s="1"/>
  <c r="Z192" i="1" l="1"/>
  <c r="AA192" i="1" l="1"/>
  <c r="Y192" i="1" s="1"/>
  <c r="I192" i="1" l="1"/>
  <c r="X192" i="1" l="1"/>
  <c r="K192" i="1"/>
  <c r="W192" i="1"/>
  <c r="O193" i="1" s="1"/>
  <c r="Z193" i="1" l="1"/>
  <c r="AA193" i="1" s="1"/>
  <c r="Y193" i="1" l="1"/>
  <c r="I193" i="1"/>
  <c r="X193" i="1" l="1"/>
  <c r="K193" i="1"/>
  <c r="W193" i="1"/>
  <c r="O194" i="1" s="1"/>
  <c r="Z194" i="1" l="1"/>
  <c r="AA194" i="1" s="1"/>
  <c r="Y194" i="1" l="1"/>
  <c r="I194" i="1"/>
  <c r="X194" i="1" l="1"/>
  <c r="K194" i="1"/>
  <c r="W194" i="1"/>
  <c r="O195" i="1" s="1"/>
  <c r="Z195" i="1" l="1"/>
  <c r="AA195" i="1" s="1"/>
  <c r="Y195" i="1" l="1"/>
  <c r="I195" i="1"/>
  <c r="X195" i="1" l="1"/>
  <c r="K195" i="1"/>
  <c r="W195" i="1"/>
  <c r="O196" i="1" s="1"/>
  <c r="Z196" i="1" l="1"/>
  <c r="AA196" i="1" l="1"/>
  <c r="Y196" i="1" s="1"/>
  <c r="I196" i="1" l="1"/>
  <c r="X196" i="1" l="1"/>
  <c r="K196" i="1"/>
  <c r="W196" i="1"/>
  <c r="O197" i="1" s="1"/>
  <c r="Z197" i="1" l="1"/>
  <c r="AA197" i="1" s="1"/>
  <c r="Y197" i="1" l="1"/>
  <c r="I197" i="1"/>
  <c r="X197" i="1" l="1"/>
  <c r="K197" i="1"/>
  <c r="W197" i="1"/>
  <c r="O198" i="1" s="1"/>
  <c r="Z198" i="1" l="1"/>
  <c r="AA198" i="1" s="1"/>
  <c r="Y198" i="1" l="1"/>
  <c r="I198" i="1"/>
  <c r="X198" i="1" l="1"/>
  <c r="K198" i="1"/>
  <c r="W198" i="1"/>
  <c r="O199" i="1" s="1"/>
  <c r="Z199" i="1" l="1"/>
  <c r="AA199" i="1" s="1"/>
  <c r="Y199" i="1" l="1"/>
  <c r="I199" i="1"/>
  <c r="X199" i="1" l="1"/>
  <c r="K199" i="1"/>
  <c r="W199" i="1"/>
  <c r="O200" i="1" s="1"/>
  <c r="Z200" i="1" l="1"/>
  <c r="AA200" i="1" l="1"/>
  <c r="Y200" i="1" s="1"/>
  <c r="I200" i="1" l="1"/>
  <c r="X200" i="1" l="1"/>
  <c r="K200" i="1"/>
  <c r="W200" i="1"/>
  <c r="O201" i="1" s="1"/>
  <c r="Z201" i="1" l="1"/>
  <c r="AA201" i="1"/>
  <c r="Y201" i="1" l="1"/>
  <c r="I201" i="1"/>
  <c r="X201" i="1" l="1"/>
  <c r="K201" i="1"/>
  <c r="W201" i="1"/>
  <c r="O202" i="1" s="1"/>
  <c r="Z202" i="1" l="1"/>
  <c r="AA202" i="1"/>
  <c r="Y202" i="1" l="1"/>
  <c r="I202" i="1"/>
  <c r="X202" i="1" l="1"/>
  <c r="K202" i="1"/>
  <c r="W202" i="1"/>
  <c r="O203" i="1" s="1"/>
  <c r="Z203" i="1" l="1"/>
  <c r="AA203" i="1" s="1"/>
  <c r="Y203" i="1" l="1"/>
  <c r="I203" i="1"/>
  <c r="X203" i="1" l="1"/>
  <c r="K203" i="1"/>
  <c r="W203" i="1"/>
  <c r="O204" i="1" s="1"/>
  <c r="Z204" i="1" l="1"/>
  <c r="AA204" i="1" l="1"/>
  <c r="Y204" i="1" s="1"/>
  <c r="I204" i="1" l="1"/>
  <c r="X204" i="1" l="1"/>
  <c r="K204" i="1"/>
  <c r="W204" i="1"/>
  <c r="O205" i="1" s="1"/>
  <c r="Z205" i="1" l="1"/>
  <c r="AA205" i="1"/>
  <c r="Y205" i="1" l="1"/>
  <c r="I205" i="1"/>
  <c r="X205" i="1" l="1"/>
  <c r="K205" i="1" l="1"/>
  <c r="W205" i="1"/>
  <c r="O206" i="1" s="1"/>
  <c r="Z206" i="1" l="1"/>
  <c r="AA206" i="1" s="1"/>
  <c r="Y206" i="1" l="1"/>
  <c r="I206" i="1"/>
  <c r="X206" i="1" l="1"/>
  <c r="K206" i="1"/>
  <c r="W206" i="1"/>
  <c r="O207" i="1" s="1"/>
  <c r="Z207" i="1" l="1"/>
  <c r="AA207" i="1"/>
  <c r="Y207" i="1" l="1"/>
  <c r="I207" i="1"/>
  <c r="X207" i="1" l="1"/>
  <c r="K207" i="1"/>
  <c r="W207" i="1"/>
  <c r="O208" i="1" s="1"/>
  <c r="Z208" i="1" l="1"/>
  <c r="AA208" i="1" l="1"/>
  <c r="Y208" i="1" s="1"/>
  <c r="I208" i="1" l="1"/>
  <c r="X208" i="1" l="1"/>
  <c r="K208" i="1"/>
  <c r="W208" i="1"/>
  <c r="O209" i="1" s="1"/>
  <c r="Z209" i="1" l="1"/>
  <c r="AA209" i="1" s="1"/>
  <c r="Y209" i="1" l="1"/>
  <c r="I209" i="1"/>
  <c r="X209" i="1" l="1"/>
  <c r="K209" i="1"/>
  <c r="W209" i="1"/>
  <c r="O210" i="1" s="1"/>
  <c r="Z210" i="1" l="1"/>
  <c r="AA210" i="1" s="1"/>
  <c r="Y210" i="1" l="1"/>
  <c r="I210" i="1"/>
  <c r="X210" i="1" l="1"/>
  <c r="K210" i="1"/>
  <c r="W210" i="1"/>
  <c r="O211" i="1" s="1"/>
  <c r="Z211" i="1" l="1"/>
  <c r="AA211" i="1" s="1"/>
  <c r="Y211" i="1" l="1"/>
  <c r="I211" i="1"/>
  <c r="X211" i="1" l="1"/>
  <c r="K211" i="1"/>
  <c r="W211" i="1"/>
  <c r="O212" i="1" s="1"/>
  <c r="Z212" i="1" l="1"/>
  <c r="AA212" i="1" l="1"/>
  <c r="Y212" i="1" s="1"/>
  <c r="I212" i="1" l="1"/>
  <c r="X212" i="1" l="1"/>
  <c r="K212" i="1"/>
  <c r="W212" i="1"/>
  <c r="O213" i="1" s="1"/>
  <c r="Z213" i="1" l="1"/>
  <c r="AA213" i="1" s="1"/>
  <c r="Y213" i="1" l="1"/>
  <c r="I213" i="1"/>
  <c r="X213" i="1" l="1"/>
  <c r="K213" i="1" l="1"/>
  <c r="W213" i="1"/>
  <c r="O214" i="1" s="1"/>
  <c r="Z214" i="1" l="1"/>
  <c r="AA214" i="1" s="1"/>
  <c r="Y214" i="1" l="1"/>
  <c r="I214" i="1"/>
  <c r="X214" i="1" l="1"/>
  <c r="K214" i="1" l="1"/>
  <c r="W214" i="1"/>
  <c r="O215" i="1" s="1"/>
  <c r="Z215" i="1" l="1"/>
  <c r="AA215" i="1" s="1"/>
  <c r="Y215" i="1" l="1"/>
  <c r="I215" i="1"/>
  <c r="X215" i="1" l="1"/>
  <c r="K215" i="1"/>
  <c r="W215" i="1"/>
  <c r="O216" i="1" s="1"/>
  <c r="Z216" i="1" l="1"/>
  <c r="AA216" i="1" l="1"/>
  <c r="Y216" i="1" s="1"/>
  <c r="X216" i="1" l="1"/>
  <c r="I216" i="1"/>
  <c r="K216" i="1" l="1"/>
  <c r="W216" i="1"/>
  <c r="O217" i="1" s="1"/>
  <c r="Z217" i="1" l="1"/>
  <c r="AA217" i="1"/>
  <c r="Y217" i="1" l="1"/>
  <c r="I217" i="1"/>
  <c r="X217" i="1" l="1"/>
  <c r="K217" i="1"/>
  <c r="W217" i="1"/>
  <c r="O218" i="1" s="1"/>
  <c r="Z218" i="1" l="1"/>
  <c r="AA218" i="1" s="1"/>
  <c r="Y218" i="1" l="1"/>
  <c r="I218" i="1"/>
  <c r="X218" i="1" l="1"/>
  <c r="K218" i="1" l="1"/>
  <c r="W218" i="1"/>
  <c r="O219" i="1" s="1"/>
  <c r="Z219" i="1" l="1"/>
  <c r="AA219" i="1" s="1"/>
  <c r="Y219" i="1" l="1"/>
  <c r="I219" i="1"/>
  <c r="X219" i="1" l="1"/>
  <c r="K219" i="1"/>
  <c r="W219" i="1"/>
  <c r="O220" i="1" s="1"/>
  <c r="Z220" i="1" l="1"/>
  <c r="AA220" i="1" l="1"/>
  <c r="Y220" i="1" s="1"/>
  <c r="X220" i="1" l="1"/>
  <c r="I220" i="1"/>
  <c r="K220" i="1" l="1"/>
  <c r="W220" i="1"/>
  <c r="O221" i="1" s="1"/>
  <c r="Z221" i="1" l="1"/>
  <c r="AA221" i="1" s="1"/>
  <c r="Y221" i="1" l="1"/>
  <c r="I221" i="1"/>
  <c r="X221" i="1" l="1"/>
  <c r="K221" i="1"/>
  <c r="W221" i="1"/>
  <c r="O222" i="1" s="1"/>
  <c r="Z222" i="1" l="1"/>
  <c r="AA222" i="1" s="1"/>
  <c r="Y222" i="1" l="1"/>
  <c r="I222" i="1"/>
  <c r="X222" i="1" l="1"/>
  <c r="K222" i="1"/>
  <c r="W222" i="1"/>
  <c r="O223" i="1" s="1"/>
  <c r="Z223" i="1" l="1"/>
  <c r="AA223" i="1"/>
  <c r="Y223" i="1" l="1"/>
  <c r="I223" i="1"/>
  <c r="X223" i="1" l="1"/>
  <c r="K223" i="1"/>
  <c r="W223" i="1"/>
  <c r="O224" i="1" s="1"/>
  <c r="Z224" i="1" l="1"/>
  <c r="AA224" i="1" l="1"/>
  <c r="Y224" i="1" s="1"/>
  <c r="I224" i="1" l="1"/>
  <c r="X224" i="1" l="1"/>
  <c r="K224" i="1"/>
  <c r="K11" i="1" s="1"/>
  <c r="W224" i="1"/>
  <c r="O225" i="1" s="1"/>
  <c r="Z225" i="1" l="1"/>
  <c r="AA225" i="1" l="1"/>
  <c r="I225" i="1" s="1"/>
  <c r="AI7" i="1" s="1"/>
  <c r="Y225" i="1" l="1"/>
  <c r="X225" i="1" l="1"/>
  <c r="W22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Plazo Original</t>
        </r>
      </text>
    </comment>
    <comment ref="Q7" authorId="0" shapeId="0" xr:uid="{923D8E05-8A03-4483-937D-82BCAE513E36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<sst xmlns="http://schemas.openxmlformats.org/spreadsheetml/2006/main" count="126" uniqueCount="124">
  <si>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</si>
  <si>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</si>
  <si>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</si>
  <si>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</si>
  <si>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</si>
  <si>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</si>
  <si>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</si>
  <si>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</si>
  <si>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</si>
  <si>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</si>
  <si>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</si>
  <si>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</si>
  <si>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</si>
  <si>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</si>
  <si>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</si>
  <si>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</si>
  <si>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sb</t>
  </si>
  <si>
    <t>Monto</t>
  </si>
  <si>
    <t>a</t>
  </si>
  <si>
    <t>c</t>
  </si>
  <si>
    <t>f</t>
  </si>
  <si>
    <t>d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</si>
  <si>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</si>
  <si>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</si>
  <si>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</si>
  <si>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</si>
  <si>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</si>
  <si>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</si>
  <si>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</si>
  <si>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</si>
  <si>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</si>
  <si>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</si>
  <si>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</si>
  <si>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</si>
  <si>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</si>
  <si>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</si>
  <si>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</si>
  <si>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</si>
  <si>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</si>
  <si>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</si>
  <si>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</si>
  <si>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</si>
  <si>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</si>
  <si>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</si>
  <si>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</si>
  <si>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</si>
  <si>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</si>
  <si>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</si>
  <si>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</si>
  <si>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</si>
  <si>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</si>
  <si>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</si>
  <si>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</si>
  <si>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</si>
  <si>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</si>
  <si>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</si>
  <si>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</si>
  <si>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</si>
  <si>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</si>
  <si>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</si>
  <si>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</si>
  <si>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</si>
  <si>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</si>
  <si>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</si>
  <si>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</si>
  <si>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</si>
  <si>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</si>
  <si>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</si>
  <si>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</si>
  <si>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</si>
  <si>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</si>
  <si>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</si>
  <si>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</si>
  <si>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</si>
  <si>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</si>
  <si>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</si>
  <si>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</si>
  <si>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</si>
  <si>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</si>
  <si>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</si>
  <si>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</si>
  <si>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</si>
  <si>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</si>
  <si>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</si>
  <si>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</si>
  <si>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</si>
  <si>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</si>
  <si>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</si>
  <si>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</si>
  <si>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</si>
  <si>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</si>
  <si>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</si>
  <si>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</si>
  <si>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</si>
  <si>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</si>
  <si>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</si>
  <si>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</si>
  <si>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</si>
  <si>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</si>
  <si>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</si>
  <si>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</si>
  <si>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</si>
  <si>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</si>
  <si>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</si>
  <si>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</si>
  <si>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</si>
  <si>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</si>
  <si>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</si>
  <si>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</si>
  <si>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</si>
  <si>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</si>
  <si>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</si>
  <si>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</si>
  <si>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</si>
  <si>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</si>
  <si>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</si>
  <si>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</si>
  <si>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</si>
  <si>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</si>
  <si>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https://github.com/Kyouru/Cronograma-de-Pagos</t>
  </si>
  <si>
    <t>Plazo</t>
  </si>
  <si>
    <t>sa</t>
  </si>
  <si>
    <t>Serv. Ad.</t>
  </si>
  <si>
    <t>v7.6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</si>
</sst>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Font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9"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4</xdr:col>
          <xdr:colOff>238125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</xdr:row>
          <xdr:rowOff>142875</xdr:rowOff>
        </xdr:from>
        <xdr:to>
          <xdr:col>2</xdr:col>
          <xdr:colOff>95250</xdr:colOff>
          <xdr:row>5</xdr:row>
          <xdr:rowOff>76200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161925</xdr:rowOff>
        </xdr:from>
        <xdr:to>
          <xdr:col>3</xdr:col>
          <xdr:colOff>209550</xdr:colOff>
          <xdr:row>5</xdr:row>
          <xdr:rowOff>76200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152400</xdr:rowOff>
        </xdr:from>
        <xdr:to>
          <xdr:col>4</xdr:col>
          <xdr:colOff>314325</xdr:colOff>
          <xdr:row>5</xdr:row>
          <xdr:rowOff>57150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4</xdr:row>
          <xdr:rowOff>66675</xdr:rowOff>
        </xdr:from>
        <xdr:to>
          <xdr:col>23</xdr:col>
          <xdr:colOff>685800</xdr:colOff>
          <xdr:row>6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15</xdr:col>
          <xdr:colOff>66675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H239"/>
  <sheetViews>
    <sheetView tabSelected="1" zoomScale="85" zoomScaleNormal="85" workbookViewId="0">
      <pane ySplit="10" topLeftCell="A11" activePane="bottomLeft" state="frozen"/>
      <selection pane="bottomLeft" activeCell="T17" sqref="T17"/>
    </sheetView>
  </sheetViews>
  <sheetFormatPr defaultColWidth="11.42578125" defaultRowHeight="15" x14ac:dyDescent="0.25"/>
  <cols>
    <col min="1" max="1" width="10.7109375" customWidth="1"/>
    <col min="2" max="2" width="4.5703125" customWidth="1"/>
    <col min="3" max="3" width="9.85546875" style="20" customWidth="1"/>
    <col min="4" max="4" width="9.28515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25" width="13.7109375" customWidth="1"/>
    <col min="26" max="86" width="10.7109375" customWidth="1"/>
  </cols>
  <sheetData>
    <row r="1" spans="1:86" ht="20.100000000000001" customHeight="1" x14ac:dyDescent="0.25">
      <c r="A1" s="1">
        <v>1</v>
      </c>
      <c r="B1" s="1" t="b">
        <v>0</v>
      </c>
      <c r="C1" s="19" t="str">
        <f>CONCATENATE($N$1,$N$2,$P$1,$P$2,$R$1,$R$2,$T$1,$T$2,$V$1,$V$2,$X$1,$X$2)</f>
        <v>111111111111</v>
      </c>
      <c r="D1" s="19"/>
      <c r="E1" s="4"/>
      <c r="H1" s="21"/>
      <c r="I1" s="21"/>
      <c r="J1" s="21"/>
      <c r="K1" s="21"/>
      <c r="L1" s="33" t="s">
        <v>116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11">
        <v>1</v>
      </c>
      <c r="AA1" s="14">
        <v>1.388843</v>
      </c>
      <c r="AB1" s="27">
        <f>ROUND(($AA$1/100+1)^12-1,2)</f>
        <v>0.18</v>
      </c>
    </row>
    <row r="2" spans="1:86" ht="20.100000000000001" customHeight="1" x14ac:dyDescent="0.25">
      <c r="A2" t="s">
        <v>123</v>
      </c>
      <c r="L2" s="34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11">
        <v>1</v>
      </c>
    </row>
    <row r="3" spans="1:86" x14ac:dyDescent="0.25">
      <c r="A3" s="31" t="s">
        <v>119</v>
      </c>
      <c r="Z3" s="17" t="s">
        <v>110</v>
      </c>
      <c r="AA3" s="3">
        <f>INDEX($P$12:$P889,+NCUOTAS+CUOTAADICIONAL+NPREPAGO)</f>
        <v>1200.5899999999992</v>
      </c>
    </row>
    <row r="4" spans="1:86" x14ac:dyDescent="0.25">
      <c r="Z4" s="17" t="s">
        <v>34</v>
      </c>
      <c r="AA4" s="3">
        <f>SUM($R$12:$R889)</f>
        <v>7232.7900000000009</v>
      </c>
      <c r="AC4" s="25" t="s">
        <v>103</v>
      </c>
    </row>
    <row r="5" spans="1:86" x14ac:dyDescent="0.25">
      <c r="N5" s="5"/>
      <c r="O5" s="5"/>
      <c r="P5" t="s">
        <v>13</v>
      </c>
      <c r="Q5" s="8">
        <v>1200.9199999999992</v>
      </c>
      <c r="T5" t="s">
        <v>37</v>
      </c>
      <c r="U5" s="16">
        <v>0.13</v>
      </c>
      <c r="V5" s="18">
        <f>ROUND(((1+$U$5)^(1/12)-1)*100,6)</f>
        <v>1.023684</v>
      </c>
      <c r="Z5" s="17" t="s">
        <v>58</v>
      </c>
      <c r="AA5" s="3">
        <f>SUM($P$12:$P889)</f>
        <v>43232.789999999943</v>
      </c>
    </row>
    <row r="6" spans="1:86" x14ac:dyDescent="0.25">
      <c r="G6" s="5"/>
      <c r="M6" t="s">
        <v>12</v>
      </c>
      <c r="N6" s="12">
        <v>44866</v>
      </c>
      <c r="O6" s="23"/>
      <c r="P6" t="s">
        <v>120</v>
      </c>
      <c r="Q6" s="14">
        <v>36</v>
      </c>
      <c r="T6" t="s">
        <v>32</v>
      </c>
      <c r="U6" s="15">
        <v>0</v>
      </c>
      <c r="V6" s="3">
        <f>SUM($S$12:$S889)</f>
        <v>0</v>
      </c>
      <c r="X6" s="3"/>
      <c r="Z6" s="17" t="s">
        <v>36</v>
      </c>
      <c r="AA6">
        <f>DAY($N$7)</f>
        <v>25</v>
      </c>
      <c r="AC6" s="32" t="s">
        <v>104</v>
      </c>
      <c r="AD6" s="32"/>
      <c r="AI6" t="str">
        <f>IF(COUNTA($L$12:$L889)&lt;$Q$6,"Falta Extender la formula hacia abajo","OK")</f>
        <v>OK</v>
      </c>
    </row>
    <row r="7" spans="1:86" x14ac:dyDescent="0.25">
      <c r="M7" t="s">
        <v>36</v>
      </c>
      <c r="N7" s="29">
        <v>25</v>
      </c>
      <c r="P7" s="3" t="s">
        <v>109</v>
      </c>
      <c r="Q7" s="14">
        <v>0</v>
      </c>
      <c r="T7" t="s">
        <v>33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ROUND(INDEX($W$12:$W889,+NCUOTAS+CUOTAADICIONAL+NPREPAGO),2)</f>
        <v>0</v>
      </c>
      <c r="AB7" s="3">
        <f>ROUND(INDEX($V$12:$V889,+NCUOTAS+CUOTAADICIONAL+NPREPAGO),2)+ROUND(INDEX($U$12:$U889,+NCUOTAS+CUOTAADICIONAL+NPREPAGO),2)+ROUND(INDEX($T$12:$T889,+NCUOTAS+CUOTAADICIONAL+NPREPAGO),2)+ROUND(INDEX($S$12:$S889,+NCUOTAS+CUOTAADICIONAL+NPREPAGO),2)+ROUND(INDEX($R$12:$R889,+NCUOTAS+CUOTAADICIONAL+NPREPAGO),2)</f>
        <v>12.3</v>
      </c>
      <c r="AC7" s="26" t="s">
        <v>105</v>
      </c>
      <c r="AD7" s="26"/>
      <c r="AI7" t="str">
        <f>IF(SUM($I$12:$I889)&gt;0,"Falta Extender la formula hacia la derecha","OK")</f>
        <v>OK</v>
      </c>
    </row>
    <row r="8" spans="1:86" x14ac:dyDescent="0.25">
      <c r="M8" t="s">
        <v>17</v>
      </c>
      <c r="N8" s="13">
        <v>36000</v>
      </c>
      <c r="P8" t="s">
        <v>113</v>
      </c>
      <c r="Q8">
        <f>SUM($B$12:$B1048576)</f>
        <v>0</v>
      </c>
      <c r="R8">
        <f>SUM(Q6:Q8)</f>
        <v>36</v>
      </c>
      <c r="T8" t="s">
        <v>122</v>
      </c>
      <c r="U8" s="15">
        <v>0</v>
      </c>
      <c r="V8" s="3">
        <f>SUM($U$12:$U889)</f>
        <v>0</v>
      </c>
      <c r="X8" s="3"/>
      <c r="Z8" s="17" t="s">
        <v>102</v>
      </c>
      <c r="AA8" s="8">
        <v>0.33</v>
      </c>
    </row>
    <row r="9" spans="1:86" x14ac:dyDescent="0.25">
      <c r="M9" s="5"/>
      <c r="N9" s="6"/>
      <c r="P9" s="3" t="s">
        <v>112</v>
      </c>
      <c r="Q9">
        <f>COUNTIF($A$12:$A1048576,"Prepago")</f>
        <v>0</v>
      </c>
      <c r="T9" t="s">
        <v>31</v>
      </c>
      <c r="U9" s="15">
        <v>0</v>
      </c>
      <c r="V9" s="3">
        <f>SUM($V$12:$V889)</f>
        <v>0</v>
      </c>
    </row>
    <row r="10" spans="1:86" x14ac:dyDescent="0.25">
      <c r="A10" t="s">
        <v>97</v>
      </c>
      <c r="B10" t="s">
        <v>108</v>
      </c>
      <c r="C10" s="24" t="s">
        <v>96</v>
      </c>
      <c r="D10" s="24" t="s">
        <v>115</v>
      </c>
      <c r="E10" t="s">
        <v>107</v>
      </c>
      <c r="F10" t="s">
        <v>111</v>
      </c>
      <c r="G10" s="22" t="s">
        <v>114</v>
      </c>
      <c r="H10" s="22" t="s">
        <v>101</v>
      </c>
      <c r="I10" s="22" t="s">
        <v>106</v>
      </c>
      <c r="J10" s="22" t="s">
        <v>117</v>
      </c>
      <c r="K10" s="22" t="s">
        <v>118</v>
      </c>
      <c r="L10" s="30" t="s">
        <v>19</v>
      </c>
      <c r="M10" t="s">
        <v>20</v>
      </c>
      <c r="N10" t="s">
        <v>21</v>
      </c>
      <c r="P10" t="s">
        <v>19</v>
      </c>
      <c r="Q10" t="s">
        <v>22</v>
      </c>
      <c r="R10" t="s">
        <v>23</v>
      </c>
      <c r="S10" t="s">
        <v>14</v>
      </c>
      <c r="T10" t="s">
        <v>16</v>
      </c>
      <c r="U10" t="s">
        <v>121</v>
      </c>
      <c r="V10" t="s">
        <v>18</v>
      </c>
      <c r="W10" t="s">
        <v>24</v>
      </c>
      <c r="X10" t="s">
        <v>25</v>
      </c>
      <c r="Y10" t="s">
        <v>38</v>
      </c>
      <c r="Z10" t="s">
        <v>26</v>
      </c>
      <c r="AA10" t="s">
        <v>27</v>
      </c>
      <c r="AB10" t="s">
        <v>28</v>
      </c>
      <c r="AC10" t="s">
        <v>29</v>
      </c>
      <c r="AD10" t="s">
        <v>30</v>
      </c>
      <c r="AE10" t="s">
        <v>35</v>
      </c>
      <c r="AF10" t="s">
        <v>40</v>
      </c>
      <c r="AG10" t="s">
        <v>41</v>
      </c>
      <c r="AH10" t="s">
        <v>42</v>
      </c>
      <c r="AI10" t="s">
        <v>43</v>
      </c>
      <c r="AJ10" t="s">
        <v>44</v>
      </c>
      <c r="AK10" t="s">
        <v>45</v>
      </c>
      <c r="AL10" t="s">
        <v>46</v>
      </c>
      <c r="AM10" t="s">
        <v>47</v>
      </c>
      <c r="AN10" t="s">
        <v>48</v>
      </c>
      <c r="AO10" t="s">
        <v>49</v>
      </c>
      <c r="AP10" t="s">
        <v>50</v>
      </c>
      <c r="AQ10" t="s">
        <v>51</v>
      </c>
      <c r="AR10" t="s">
        <v>52</v>
      </c>
      <c r="AS10" t="s">
        <v>53</v>
      </c>
      <c r="AT10" t="s">
        <v>54</v>
      </c>
      <c r="AU10" t="s">
        <v>55</v>
      </c>
      <c r="AV10" t="s">
        <v>56</v>
      </c>
      <c r="AW10" t="s">
        <v>57</v>
      </c>
      <c r="AX10" t="s">
        <v>59</v>
      </c>
      <c r="AY10" t="s">
        <v>60</v>
      </c>
      <c r="AZ10" t="s">
        <v>61</v>
      </c>
      <c r="BA10" t="s">
        <v>62</v>
      </c>
      <c r="BB10" t="s">
        <v>63</v>
      </c>
      <c r="BC10" t="s">
        <v>64</v>
      </c>
      <c r="BD10" t="s">
        <v>65</v>
      </c>
      <c r="BE10" t="s">
        <v>66</v>
      </c>
      <c r="BF10" t="s">
        <v>67</v>
      </c>
      <c r="BG10" t="s">
        <v>68</v>
      </c>
      <c r="BH10" t="s">
        <v>69</v>
      </c>
      <c r="BI10" t="s">
        <v>70</v>
      </c>
      <c r="BJ10" t="s">
        <v>71</v>
      </c>
      <c r="BK10" t="s">
        <v>72</v>
      </c>
      <c r="BL10" t="s">
        <v>73</v>
      </c>
      <c r="BM10" t="s">
        <v>74</v>
      </c>
      <c r="BN10" t="s">
        <v>75</v>
      </c>
      <c r="BO10" t="s">
        <v>76</v>
      </c>
      <c r="BP10" t="s">
        <v>77</v>
      </c>
      <c r="BQ10" t="s">
        <v>78</v>
      </c>
      <c r="BR10" t="s">
        <v>79</v>
      </c>
      <c r="BS10" t="s">
        <v>80</v>
      </c>
      <c r="BT10" t="s">
        <v>81</v>
      </c>
      <c r="BU10" t="s">
        <v>82</v>
      </c>
      <c r="BV10" t="s">
        <v>83</v>
      </c>
      <c r="BW10" t="s">
        <v>84</v>
      </c>
      <c r="BX10" t="s">
        <v>85</v>
      </c>
      <c r="BY10" t="s">
        <v>86</v>
      </c>
      <c r="BZ10" t="s">
        <v>87</v>
      </c>
      <c r="CA10" t="s">
        <v>88</v>
      </c>
      <c r="CB10" t="s">
        <v>89</v>
      </c>
      <c r="CC10" t="s">
        <v>90</v>
      </c>
      <c r="CD10" t="s">
        <v>91</v>
      </c>
      <c r="CE10" t="s">
        <v>92</v>
      </c>
      <c r="CF10" t="s">
        <v>93</v>
      </c>
      <c r="CG10" t="s">
        <v>94</v>
      </c>
      <c r="CH10" t="s">
        <v>95</v>
      </c>
    </row>
    <row r="11" spans="1:86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44866</v>
      </c>
      <c r="W11" s="8">
        <f>$N$8</f>
        <v>36000</v>
      </c>
      <c r="Z11">
        <v>30</v>
      </c>
      <c r="AA11">
        <v>60</v>
      </c>
      <c r="AB11">
        <v>90</v>
      </c>
      <c r="AC11">
        <v>120</v>
      </c>
      <c r="AD11">
        <v>150</v>
      </c>
      <c r="AE11">
        <v>180</v>
      </c>
      <c r="AF11">
        <v>210</v>
      </c>
      <c r="AG11">
        <v>240</v>
      </c>
      <c r="AH11">
        <v>270</v>
      </c>
      <c r="AI11">
        <v>300</v>
      </c>
      <c r="AJ11">
        <v>330</v>
      </c>
      <c r="AK11">
        <v>360</v>
      </c>
      <c r="AL11">
        <v>390</v>
      </c>
      <c r="AM11">
        <v>420</v>
      </c>
      <c r="AN11">
        <v>450</v>
      </c>
      <c r="AO11">
        <v>480</v>
      </c>
      <c r="AP11">
        <v>510</v>
      </c>
      <c r="AQ11">
        <v>540</v>
      </c>
      <c r="AR11">
        <v>570</v>
      </c>
      <c r="AS11">
        <v>600</v>
      </c>
      <c r="AT11">
        <v>630</v>
      </c>
      <c r="AU11">
        <v>660</v>
      </c>
      <c r="AV11">
        <v>690</v>
      </c>
      <c r="AW11">
        <v>720</v>
      </c>
      <c r="AX11">
        <v>750</v>
      </c>
      <c r="AY11">
        <v>780</v>
      </c>
      <c r="AZ11">
        <v>810</v>
      </c>
      <c r="BA11">
        <v>840</v>
      </c>
      <c r="BB11">
        <v>870</v>
      </c>
      <c r="BC11">
        <v>900</v>
      </c>
      <c r="BD11">
        <v>930</v>
      </c>
      <c r="BE11">
        <v>960</v>
      </c>
      <c r="BF11">
        <v>990</v>
      </c>
      <c r="BG11">
        <v>1020</v>
      </c>
      <c r="BH11">
        <v>1050</v>
      </c>
      <c r="BI11">
        <v>1080</v>
      </c>
      <c r="BJ11">
        <v>1110</v>
      </c>
      <c r="BK11">
        <v>1140</v>
      </c>
      <c r="BL11">
        <v>1170</v>
      </c>
      <c r="BM11">
        <v>1200</v>
      </c>
      <c r="BN11">
        <v>1230</v>
      </c>
      <c r="BO11">
        <v>1260</v>
      </c>
      <c r="BP11">
        <v>1290</v>
      </c>
      <c r="BQ11">
        <v>1320</v>
      </c>
      <c r="BR11">
        <v>1350</v>
      </c>
      <c r="BS11">
        <v>1380</v>
      </c>
      <c r="BT11">
        <v>1410</v>
      </c>
      <c r="BU11">
        <v>1440</v>
      </c>
      <c r="BV11">
        <v>1470</v>
      </c>
      <c r="BW11">
        <v>1500</v>
      </c>
      <c r="BX11">
        <v>1530</v>
      </c>
      <c r="BY11">
        <v>1560</v>
      </c>
      <c r="BZ11">
        <v>1590</v>
      </c>
      <c r="CA11">
        <v>1620</v>
      </c>
      <c r="CB11">
        <v>1650</v>
      </c>
      <c r="CC11">
        <v>1680</v>
      </c>
      <c r="CD11">
        <v>1710</v>
      </c>
      <c r="CE11">
        <v>1740</v>
      </c>
      <c r="CF11">
        <v>1770</v>
      </c>
      <c r="CG11">
        <v>1800</v>
      </c>
      <c r="CH11">
        <v>1830</v>
      </c>
    </row>
    <row r="12" spans="1:86" x14ac:dyDescent="0.25">
      <c r="E12" s="5"/>
      <c r="F12" t="str">
        <f t="shared" ref="F12:F43" si="0">IF($L12&lt;&gt;"",TEXT(M12,"DDD"),"")</f>
        <v>Fri</v>
      </c>
      <c r="G12" s="5">
        <f t="shared" ref="G12:G43" si="1">IF($L12&lt;&gt;"",EOMONTH(DATE(YEAR($M$11),MONTH($M$11)-IF(DAY($N$6)&lt;$N$7,1,0),DAY($M$11)),($H12*$A$1)+IF(MESADICIONAL=TRUE,1,0)),"")</f>
        <v>44895</v>
      </c>
      <c r="H12" s="22">
        <f t="shared" ref="H12:H43" si="2">IF($L12&lt;&gt;"",IF($A12="Prepago",$H11,$H11+1)+B12,"")</f>
        <v>1</v>
      </c>
      <c r="I12" s="22">
        <f t="shared" ref="I12:I75" si="3">IF(L12&lt;&gt;"",IF(COUNTA($Z12:$XFD12)*30&lt;$N12,1,0),"")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IF($L11&lt;NCUOTAS+CUOTAADICIONAL+NPREPAGO,$L11+1,"")</f>
        <v>1</v>
      </c>
      <c r="M12" s="5">
        <f>IF($L12&lt;&gt;"",IF($E12="",IF(DAY($G12)&lt;$N$7,$G12,DATE(YEAR($G12),MONTH($G12),$N$7)),$E12),"")</f>
        <v>44890</v>
      </c>
      <c r="N12" s="9">
        <f t="shared" ref="N12:N43" si="6">IF($L12&lt;&gt;"",$M12-$M11,"")</f>
        <v>24</v>
      </c>
      <c r="O12" s="3">
        <f t="shared" ref="O12:O75" si="7">IF($L12&lt;&gt;"",$W11,"")</f>
        <v>36000</v>
      </c>
      <c r="P12" s="3">
        <f t="shared" ref="P12:P75" si="8">IF($L12&lt;&gt;"",IF($A12="Gracia Parcial",IF(AND($C12&lt;$Y12+$S12+$T12+$U12+$V12+$X11,$C12&gt;0),$C12,$Y12+$S12+$T12+$U12+$V12+$X11),IF($A12="Gracia Total",0,IF($A12="Prepago",$C12,IF(ISNUMBER($C12),$C12*VALUE(MID($C$1,MONTH($M12),1)),$Q$5*VALUE(MID($C$1,MONTH($M12),1))))))-IF($L13="",ARREGLO,0),"")</f>
        <v>1200.9199999999992</v>
      </c>
      <c r="Q12" s="3">
        <f>IF($L12&lt;&gt;"",IF($P12-$R12&gt;0,IF($P12&gt;=$R12+$S12+$T12+$U12+$V12,$P12-$R12-$S12-$T12-$U12-$V12,P12),0),"")</f>
        <v>906.19999999999914</v>
      </c>
      <c r="R12" s="3">
        <f>IF($L12&lt;&gt;"",IF($P12&gt;IF($D12="",$Y12,$D12)+$X11+$S12+$T12+$U12+$V12,IF($D12="",$Y12,$D12)+$X11,IF($P12&gt;=$S12+$T12+$U12+$V12,$P12-$S12-$T12-$U12-$V12,IF($D12="",$Y12,$D12)+$X11)),"")</f>
        <v>294.71999999999997</v>
      </c>
      <c r="S12" s="3">
        <f>IF($L12&lt;&gt;"",IF($A12="Prepago",0,IF(ROUND($H12*$U$6,2)&gt;ROUND(SUM($S$11:$S11)+$U$6,2),$U$6*2,$U$6)),"")</f>
        <v>0</v>
      </c>
      <c r="T12" s="3">
        <f>IF($L12&lt;&gt;"",IF($A12="Prepago",0,IF(ROUND($H12*$U$7,2)&gt;ROUND(SUM($T$11:$T11)+$U$7,2),$U$7*2,$U$7)),"")</f>
        <v>0</v>
      </c>
      <c r="U12" s="3">
        <f>IF($L12&lt;&gt;"",IF($A12="Prepago",0,IF(ROUND($H12*$U$8,2)&gt;ROUND(SUM($U$11:$U11)+$U$8,2),$U$8*2,$U$8)),"")</f>
        <v>0</v>
      </c>
      <c r="V12" s="3">
        <f>IF($L12&lt;&gt;"",IF($A12="Prepago",0,IF(ROUND($H12*$U$9,2)&gt;ROUND(SUM($V$11:$V11)+$U$9,2),$U$9*2,$U$9)),"")</f>
        <v>0</v>
      </c>
      <c r="W12" s="3">
        <f t="shared" ref="W12:W43" si="9">IF($L12&lt;&gt;"",$O12-$Q12,"")</f>
        <v>35093.800000000003</v>
      </c>
      <c r="X12" s="3">
        <f t="shared" ref="X12:X75" si="10">IF($L12&lt;&gt;"",+$X11+IF($D12="",$Y12,$D12)-$R12,"")</f>
        <v>0</v>
      </c>
      <c r="Y12" s="3">
        <f t="shared" ref="Y12:Y75" si="11">IF($L12&lt;&gt;"",SUM($Z12:$XFD12),"")</f>
        <v>294.71999999999997</v>
      </c>
      <c r="Z12" s="3">
        <f t="shared" ref="Z12:Z75" si="12">IF($L12&lt;&gt;"",IF($N12&gt;Z$11,30,$N12)*ROUND(($O12+$X11)*$V$5/3000,2),"")</f>
        <v>294.71999999999997</v>
      </c>
      <c r="AA12" s="3">
        <f>IF($L12&lt;&gt;"",IF($N12&gt;Z$11,IF($N12&lt;AA$11,$N12-Z$11,30),0)*ROUND(($O12+$X11+SUM($Z12:Z12))*$V$5/3000,2),"")</f>
        <v>0</v>
      </c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</row>
    <row r="13" spans="1:86" x14ac:dyDescent="0.25">
      <c r="E13" s="5"/>
      <c r="F13" t="str">
        <f t="shared" si="0"/>
        <v>Sun</v>
      </c>
      <c r="G13" s="5">
        <f t="shared" si="1"/>
        <v>44926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3">IF($L13&lt;&gt;"",IF(J13=1,Q13,0),"")</f>
        <v>0</v>
      </c>
      <c r="L13">
        <f t="shared" si="5"/>
        <v>2</v>
      </c>
      <c r="M13" s="5">
        <f t="shared" ref="M13:M76" si="14">IF($L13&lt;&gt;"",IF($E13="",IF(DAY($G13)&lt;$N$7,$G13,DATE(YEAR($G13),MONTH($G13),$N$7)),$E13),"")</f>
        <v>44920</v>
      </c>
      <c r="N13" s="9">
        <f t="shared" si="6"/>
        <v>30</v>
      </c>
      <c r="O13" s="3">
        <f t="shared" si="7"/>
        <v>35093.800000000003</v>
      </c>
      <c r="P13" s="3">
        <f t="shared" si="8"/>
        <v>1200.9199999999992</v>
      </c>
      <c r="Q13" s="3">
        <f t="shared" ref="Q13:Q76" si="15">IF($L13&lt;&gt;"",IF($P13-$R13&gt;0,IF($P13&gt;=$R13+$S13+$T13+$U13+$V13,$P13-$R13-$S13-$T13-$U13-$V13,P13),0),"")</f>
        <v>841.81999999999914</v>
      </c>
      <c r="R13" s="3">
        <f t="shared" ref="R13:R76" si="16">IF($L13&lt;&gt;"",IF($P13&gt;IF($D13="",$Y13,$D13)+$X12+$S13+$T13+$U13+$V13,IF($D13="",$Y13,$D13)+$X12,IF($P13&gt;=$S13+$T13+$U13+$V13,$P13-$S13-$T13-$U13-$V13,IF($D13="",$Y13,$D13)+$X12)),"")</f>
        <v>359.1</v>
      </c>
      <c r="S13" s="3">
        <f>IF($L13&lt;&gt;"",IF($A13="Prepago",0,IF(ROUND($H13*$U$6,2)&gt;ROUND(SUM($S$11:$S12)+$U$6,2),$U$6*2,$U$6)),"")</f>
        <v>0</v>
      </c>
      <c r="T13" s="3">
        <f>IF($L13&lt;&gt;"",IF($A13="Prepago",0,IF(ROUND($H13*$U$7,2)&gt;ROUND(SUM($T$11:$T12)+$U$7,2),$U$7*2,$U$7)),"")</f>
        <v>0</v>
      </c>
      <c r="U13" s="3">
        <f>IF($L13&lt;&gt;"",IF($A13="Prepago",0,IF(ROUND($H13*$U$8,2)&gt;ROUND(SUM($U$11:$U12)+$U$8,2),$U$8*2,$U$8)),"")</f>
        <v>0</v>
      </c>
      <c r="V13" s="3">
        <f>IF($L13&lt;&gt;"",IF($A13="Prepago",0,IF(ROUND($H13*$U$9,2)&gt;ROUND(SUM($V$11:$V12)+$U$9,2),$U$9*2,$U$9)),"")</f>
        <v>0</v>
      </c>
      <c r="W13" s="3">
        <f>IF($L13&lt;&gt;"",$O13-$Q13,"")</f>
        <v>34251.980000000003</v>
      </c>
      <c r="X13" s="3">
        <f t="shared" si="10"/>
        <v>0</v>
      </c>
      <c r="Y13" s="3">
        <f t="shared" si="11"/>
        <v>359.1</v>
      </c>
      <c r="Z13" s="3">
        <f t="shared" si="12"/>
        <v>359.1</v>
      </c>
      <c r="AA13" s="3">
        <f>IF($L13&lt;&gt;"",IF($N13&gt;Z$11,IF($N13&lt;AA$11,$N13-Z$11,30),0)*ROUND(($O13+$X12+SUM($Z13:Z13))*$V$5/3000,2),"")</f>
        <v>0</v>
      </c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</row>
    <row r="14" spans="1:86" x14ac:dyDescent="0.25">
      <c r="E14" s="5"/>
      <c r="F14" t="str">
        <f t="shared" si="0"/>
        <v>Wed</v>
      </c>
      <c r="G14" s="5">
        <f t="shared" si="1"/>
        <v>44957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3"/>
        <v>0</v>
      </c>
      <c r="L14">
        <f t="shared" si="5"/>
        <v>3</v>
      </c>
      <c r="M14" s="5">
        <f t="shared" si="14"/>
        <v>44951</v>
      </c>
      <c r="N14" s="9">
        <f t="shared" si="6"/>
        <v>31</v>
      </c>
      <c r="O14" s="3">
        <f t="shared" si="7"/>
        <v>34251.980000000003</v>
      </c>
      <c r="P14" s="3">
        <f t="shared" si="8"/>
        <v>1200.9199999999992</v>
      </c>
      <c r="Q14" s="3">
        <f t="shared" si="15"/>
        <v>838.40999999999917</v>
      </c>
      <c r="R14" s="3">
        <f t="shared" si="16"/>
        <v>362.51</v>
      </c>
      <c r="S14" s="3">
        <f>IF($L14&lt;&gt;"",IF($A14="Prepago",0,IF(ROUND($H14*$U$6,2)&gt;ROUND(SUM($S$11:$S13)+$U$6,2),$U$6*2,$U$6)),"")</f>
        <v>0</v>
      </c>
      <c r="T14" s="3">
        <f>IF($L14&lt;&gt;"",IF($A14="Prepago",0,IF(ROUND($H14*$U$7,2)&gt;ROUND(SUM($T$11:$T13)+$U$7,2),$U$7*2,$U$7)),"")</f>
        <v>0</v>
      </c>
      <c r="U14" s="3">
        <f>IF($L14&lt;&gt;"",IF($A14="Prepago",0,IF(ROUND($H14*$U$8,2)&gt;ROUND(SUM($U$11:$U13)+$U$8,2),$U$8*2,$U$8)),"")</f>
        <v>0</v>
      </c>
      <c r="V14" s="3">
        <f>IF($L14&lt;&gt;"",IF($A14="Prepago",0,IF(ROUND($H14*$U$9,2)&gt;ROUND(SUM($V$11:$V13)+$U$9,2),$U$9*2,$U$9)),"")</f>
        <v>0</v>
      </c>
      <c r="W14" s="3">
        <f t="shared" si="9"/>
        <v>33413.570000000007</v>
      </c>
      <c r="X14" s="3">
        <f t="shared" si="10"/>
        <v>0</v>
      </c>
      <c r="Y14" s="3">
        <f t="shared" si="11"/>
        <v>362.51</v>
      </c>
      <c r="Z14" s="3">
        <f t="shared" si="12"/>
        <v>350.7</v>
      </c>
      <c r="AA14" s="3">
        <f>IF($L14&lt;&gt;"",IF($N14&gt;Z$11,IF($N14&lt;AA$11,$N14-Z$11,30),0)*ROUND(($O14+$X13+SUM($Z14:Z14))*$V$5/3000,2),"")</f>
        <v>11.81</v>
      </c>
      <c r="AB14" s="3"/>
      <c r="AC14" s="3"/>
      <c r="AD14" s="3"/>
      <c r="AE14" s="3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</row>
    <row r="15" spans="1:86" x14ac:dyDescent="0.25">
      <c r="E15" s="5"/>
      <c r="F15" t="str">
        <f t="shared" si="0"/>
        <v>Sat</v>
      </c>
      <c r="G15" s="5">
        <f t="shared" si="1"/>
        <v>44985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3"/>
        <v>0</v>
      </c>
      <c r="L15">
        <f t="shared" si="5"/>
        <v>4</v>
      </c>
      <c r="M15" s="5">
        <f t="shared" si="14"/>
        <v>44982</v>
      </c>
      <c r="N15" s="9">
        <f t="shared" si="6"/>
        <v>31</v>
      </c>
      <c r="O15" s="3">
        <f t="shared" si="7"/>
        <v>33413.570000000007</v>
      </c>
      <c r="P15" s="3">
        <f t="shared" si="8"/>
        <v>1200.9199999999992</v>
      </c>
      <c r="Q15" s="3">
        <f t="shared" si="15"/>
        <v>847.39999999999918</v>
      </c>
      <c r="R15" s="3">
        <f t="shared" si="16"/>
        <v>353.52</v>
      </c>
      <c r="S15" s="3">
        <f>IF($L15&lt;&gt;"",IF($A15="Prepago",0,IF(ROUND($H15*$U$6,2)&gt;ROUND(SUM($S$11:$S14)+$U$6,2),$U$6*2,$U$6)),"")</f>
        <v>0</v>
      </c>
      <c r="T15" s="3">
        <f>IF($L15&lt;&gt;"",IF($A15="Prepago",0,IF(ROUND($H15*$U$7,2)&gt;ROUND(SUM($T$11:$T14)+$U$7,2),$U$7*2,$U$7)),"")</f>
        <v>0</v>
      </c>
      <c r="U15" s="3">
        <f>IF($L15&lt;&gt;"",IF($A15="Prepago",0,IF(ROUND($H15*$U$8,2)&gt;ROUND(SUM($U$11:$U14)+$U$8,2),$U$8*2,$U$8)),"")</f>
        <v>0</v>
      </c>
      <c r="V15" s="3">
        <f>IF($L15&lt;&gt;"",IF($A15="Prepago",0,IF(ROUND($H15*$U$9,2)&gt;ROUND(SUM($V$11:$V14)+$U$9,2),$U$9*2,$U$9)),"")</f>
        <v>0</v>
      </c>
      <c r="W15" s="3">
        <f t="shared" si="9"/>
        <v>32566.170000000009</v>
      </c>
      <c r="X15" s="3">
        <f t="shared" si="10"/>
        <v>0</v>
      </c>
      <c r="Y15" s="3">
        <f t="shared" si="11"/>
        <v>353.52</v>
      </c>
      <c r="Z15" s="3">
        <f t="shared" si="12"/>
        <v>342</v>
      </c>
      <c r="AA15" s="3">
        <f>IF($L15&lt;&gt;"",IF($N15&gt;Z$11,IF($N15&lt;AA$11,$N15-Z$11,30),0)*ROUND(($O15+$X14+SUM($Z15:Z15))*$V$5/3000,2),"")</f>
        <v>11.52</v>
      </c>
      <c r="AB15" s="3"/>
      <c r="AC15" s="3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</row>
    <row r="16" spans="1:86" x14ac:dyDescent="0.25">
      <c r="E16" s="5"/>
      <c r="F16" t="str">
        <f t="shared" si="0"/>
        <v>Sat</v>
      </c>
      <c r="G16" s="5">
        <f t="shared" si="1"/>
        <v>45016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3"/>
        <v>0</v>
      </c>
      <c r="L16">
        <f t="shared" si="5"/>
        <v>5</v>
      </c>
      <c r="M16" s="5">
        <f t="shared" si="14"/>
        <v>45010</v>
      </c>
      <c r="N16" s="9">
        <f t="shared" si="6"/>
        <v>28</v>
      </c>
      <c r="O16" s="3">
        <f t="shared" si="7"/>
        <v>32566.170000000009</v>
      </c>
      <c r="P16" s="3">
        <f t="shared" si="8"/>
        <v>1200.9199999999992</v>
      </c>
      <c r="Q16" s="3">
        <f t="shared" si="15"/>
        <v>889.83999999999924</v>
      </c>
      <c r="R16" s="3">
        <f t="shared" si="16"/>
        <v>311.08</v>
      </c>
      <c r="S16" s="3">
        <f>IF($L16&lt;&gt;"",IF($A16="Prepago",0,IF(ROUND($H16*$U$6,2)&gt;ROUND(SUM($S$11:$S15)+$U$6,2),$U$6*2,$U$6)),"")</f>
        <v>0</v>
      </c>
      <c r="T16" s="3">
        <f>IF($L16&lt;&gt;"",IF($A16="Prepago",0,IF(ROUND($H16*$U$7,2)&gt;ROUND(SUM($T$11:$T15)+$U$7,2),$U$7*2,$U$7)),"")</f>
        <v>0</v>
      </c>
      <c r="U16" s="3">
        <f>IF($L16&lt;&gt;"",IF($A16="Prepago",0,IF(ROUND($H16*$U$8,2)&gt;ROUND(SUM($U$11:$U15)+$U$8,2),$U$8*2,$U$8)),"")</f>
        <v>0</v>
      </c>
      <c r="V16" s="3">
        <f>IF($L16&lt;&gt;"",IF($A16="Prepago",0,IF(ROUND($H16*$U$9,2)&gt;ROUND(SUM($V$11:$V15)+$U$9,2),$U$9*2,$U$9)),"")</f>
        <v>0</v>
      </c>
      <c r="W16" s="3">
        <f t="shared" si="9"/>
        <v>31676.330000000009</v>
      </c>
      <c r="X16" s="3">
        <f t="shared" si="10"/>
        <v>0</v>
      </c>
      <c r="Y16" s="3">
        <f t="shared" si="11"/>
        <v>311.08</v>
      </c>
      <c r="Z16" s="3">
        <f t="shared" si="12"/>
        <v>311.08</v>
      </c>
      <c r="AA16" s="3">
        <f>IF($L16&lt;&gt;"",IF($N16&gt;Z$11,IF($N16&lt;AA$11,$N16-Z$11,30),0)*ROUND(($O16+$X15+SUM($Z16:Z16))*$V$5/3000,2),"")</f>
        <v>0</v>
      </c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</row>
    <row r="17" spans="1:86" x14ac:dyDescent="0.25">
      <c r="E17" s="5"/>
      <c r="F17" t="str">
        <f t="shared" si="0"/>
        <v>Tue</v>
      </c>
      <c r="G17" s="5">
        <f t="shared" si="1"/>
        <v>45046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3"/>
        <v>0</v>
      </c>
      <c r="L17">
        <f t="shared" si="5"/>
        <v>6</v>
      </c>
      <c r="M17" s="5">
        <f t="shared" si="14"/>
        <v>45041</v>
      </c>
      <c r="N17" s="9">
        <f t="shared" si="6"/>
        <v>31</v>
      </c>
      <c r="O17" s="3">
        <f t="shared" si="7"/>
        <v>31676.330000000009</v>
      </c>
      <c r="P17" s="3">
        <f t="shared" si="8"/>
        <v>1200.9199999999992</v>
      </c>
      <c r="Q17" s="3">
        <f t="shared" si="15"/>
        <v>865.69999999999914</v>
      </c>
      <c r="R17" s="3">
        <f t="shared" si="16"/>
        <v>335.22</v>
      </c>
      <c r="S17" s="3">
        <f>IF($L17&lt;&gt;"",IF($A17="Prepago",0,IF(ROUND($H17*$U$6,2)&gt;ROUND(SUM($S$11:$S16)+$U$6,2),$U$6*2,$U$6)),"")</f>
        <v>0</v>
      </c>
      <c r="T17" s="3">
        <f>IF($L17&lt;&gt;"",IF($A17="Prepago",0,IF(ROUND($H17*$U$7,2)&gt;ROUND(SUM($T$11:$T16)+$U$7,2),$U$7*2,$U$7)),"")</f>
        <v>0</v>
      </c>
      <c r="U17" s="3">
        <f>IF($L17&lt;&gt;"",IF($A17="Prepago",0,IF(ROUND($H17*$U$8,2)&gt;ROUND(SUM($U$11:$U16)+$U$8,2),$U$8*2,$U$8)),"")</f>
        <v>0</v>
      </c>
      <c r="V17" s="3">
        <f>IF($L17&lt;&gt;"",IF($A17="Prepago",0,IF(ROUND($H17*$U$9,2)&gt;ROUND(SUM($V$11:$V16)+$U$9,2),$U$9*2,$U$9)),"")</f>
        <v>0</v>
      </c>
      <c r="W17" s="3">
        <f t="shared" si="9"/>
        <v>30810.630000000008</v>
      </c>
      <c r="X17" s="3">
        <f t="shared" si="10"/>
        <v>0</v>
      </c>
      <c r="Y17" s="3">
        <f t="shared" si="11"/>
        <v>335.22</v>
      </c>
      <c r="Z17" s="3">
        <f t="shared" si="12"/>
        <v>324.3</v>
      </c>
      <c r="AA17" s="3">
        <f>IF($L17&lt;&gt;"",IF($N17&gt;Z$11,IF($N17&lt;AA$11,$N17-Z$11,30),0)*ROUND(($O17+$X16+SUM($Z17:Z17))*$V$5/3000,2),"")</f>
        <v>10.92</v>
      </c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</row>
    <row r="18" spans="1:86" x14ac:dyDescent="0.25">
      <c r="E18" s="5"/>
      <c r="F18" t="str">
        <f t="shared" si="0"/>
        <v>Thu</v>
      </c>
      <c r="G18" s="5">
        <f t="shared" si="1"/>
        <v>45077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3"/>
        <v>0</v>
      </c>
      <c r="L18">
        <f t="shared" si="5"/>
        <v>7</v>
      </c>
      <c r="M18" s="5">
        <f t="shared" si="14"/>
        <v>45071</v>
      </c>
      <c r="N18" s="9">
        <f t="shared" si="6"/>
        <v>30</v>
      </c>
      <c r="O18" s="3">
        <f t="shared" si="7"/>
        <v>30810.630000000008</v>
      </c>
      <c r="P18" s="3">
        <f t="shared" si="8"/>
        <v>1200.9199999999992</v>
      </c>
      <c r="Q18" s="3">
        <f t="shared" si="15"/>
        <v>885.61999999999921</v>
      </c>
      <c r="R18" s="3">
        <f t="shared" si="16"/>
        <v>315.3</v>
      </c>
      <c r="S18" s="3">
        <f>IF($L18&lt;&gt;"",IF($A18="Prepago",0,IF(ROUND($H18*$U$6,2)&gt;ROUND(SUM($S$11:$S17)+$U$6,2),$U$6*2,$U$6)),"")</f>
        <v>0</v>
      </c>
      <c r="T18" s="3">
        <f>IF($L18&lt;&gt;"",IF($A18="Prepago",0,IF(ROUND($H18*$U$7,2)&gt;ROUND(SUM($T$11:$T17)+$U$7,2),$U$7*2,$U$7)),"")</f>
        <v>0</v>
      </c>
      <c r="U18" s="3">
        <f>IF($L18&lt;&gt;"",IF($A18="Prepago",0,IF(ROUND($H18*$U$8,2)&gt;ROUND(SUM($U$11:$U17)+$U$8,2),$U$8*2,$U$8)),"")</f>
        <v>0</v>
      </c>
      <c r="V18" s="3">
        <f>IF($L18&lt;&gt;"",IF($A18="Prepago",0,IF(ROUND($H18*$U$9,2)&gt;ROUND(SUM($V$11:$V17)+$U$9,2),$U$9*2,$U$9)),"")</f>
        <v>0</v>
      </c>
      <c r="W18" s="3">
        <f t="shared" si="9"/>
        <v>29925.010000000009</v>
      </c>
      <c r="X18" s="3">
        <f t="shared" si="10"/>
        <v>0</v>
      </c>
      <c r="Y18" s="3">
        <f t="shared" si="11"/>
        <v>315.3</v>
      </c>
      <c r="Z18" s="3">
        <f t="shared" si="12"/>
        <v>315.3</v>
      </c>
      <c r="AA18" s="3">
        <f>IF($L18&lt;&gt;"",IF($N18&gt;Z$11,IF($N18&lt;AA$11,$N18-Z$11,30),0)*ROUND(($O18+$X17+SUM($Z18:Z18))*$V$5/3000,2),"")</f>
        <v>0</v>
      </c>
      <c r="AB18" s="3"/>
      <c r="AC18" s="3"/>
      <c r="AD18" s="3"/>
      <c r="AE18" s="3"/>
      <c r="AF18" s="3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</row>
    <row r="19" spans="1:86" x14ac:dyDescent="0.25">
      <c r="E19" s="5"/>
      <c r="F19" t="str">
        <f t="shared" si="0"/>
        <v>Sun</v>
      </c>
      <c r="G19" s="5">
        <f t="shared" si="1"/>
        <v>45107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3"/>
        <v>0</v>
      </c>
      <c r="L19">
        <f t="shared" si="5"/>
        <v>8</v>
      </c>
      <c r="M19" s="5">
        <f t="shared" si="14"/>
        <v>45102</v>
      </c>
      <c r="N19" s="9">
        <f t="shared" si="6"/>
        <v>31</v>
      </c>
      <c r="O19" s="3">
        <f t="shared" si="7"/>
        <v>29925.010000000009</v>
      </c>
      <c r="P19" s="3">
        <f t="shared" si="8"/>
        <v>1200.9199999999992</v>
      </c>
      <c r="Q19" s="3">
        <f t="shared" si="15"/>
        <v>884.29999999999916</v>
      </c>
      <c r="R19" s="3">
        <f t="shared" si="16"/>
        <v>316.62</v>
      </c>
      <c r="S19" s="3">
        <f>IF($L19&lt;&gt;"",IF($A19="Prepago",0,IF(ROUND($H19*$U$6,2)&gt;ROUND(SUM($S$11:$S18)+$U$6,2),$U$6*2,$U$6)),"")</f>
        <v>0</v>
      </c>
      <c r="T19" s="3">
        <f>IF($L19&lt;&gt;"",IF($A19="Prepago",0,IF(ROUND($H19*$U$7,2)&gt;ROUND(SUM($T$11:$T18)+$U$7,2),$U$7*2,$U$7)),"")</f>
        <v>0</v>
      </c>
      <c r="U19" s="3">
        <f>IF($L19&lt;&gt;"",IF($A19="Prepago",0,IF(ROUND($H19*$U$8,2)&gt;ROUND(SUM($U$11:$U18)+$U$8,2),$U$8*2,$U$8)),"")</f>
        <v>0</v>
      </c>
      <c r="V19" s="3">
        <f>IF($L19&lt;&gt;"",IF($A19="Prepago",0,IF(ROUND($H19*$U$9,2)&gt;ROUND(SUM($V$11:$V18)+$U$9,2),$U$9*2,$U$9)),"")</f>
        <v>0</v>
      </c>
      <c r="W19" s="3">
        <f t="shared" si="9"/>
        <v>29040.71000000001</v>
      </c>
      <c r="X19" s="3">
        <f t="shared" si="10"/>
        <v>0</v>
      </c>
      <c r="Y19" s="3">
        <f t="shared" si="11"/>
        <v>316.62</v>
      </c>
      <c r="Z19" s="3">
        <f t="shared" si="12"/>
        <v>306.3</v>
      </c>
      <c r="AA19" s="3">
        <f>IF($L19&lt;&gt;"",IF($N19&gt;Z$11,IF($N19&lt;AA$11,$N19-Z$11,30),0)*ROUND(($O19+$X18+SUM($Z19:Z19))*$V$5/3000,2),"")</f>
        <v>10.32</v>
      </c>
      <c r="AB19" s="3"/>
      <c r="AC19" s="3"/>
      <c r="AD19" s="3"/>
      <c r="AE19" s="3"/>
      <c r="AF19" s="3"/>
      <c r="AG19" s="3"/>
      <c r="AH19" s="3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</row>
    <row r="20" spans="1:86" s="10" customFormat="1" x14ac:dyDescent="0.25">
      <c r="A20"/>
      <c r="B20"/>
      <c r="C20" s="20"/>
      <c r="D20" s="20"/>
      <c r="E20" s="5"/>
      <c r="F20" t="str">
        <f t="shared" si="0"/>
        <v>Tue</v>
      </c>
      <c r="G20" s="5">
        <f t="shared" si="1"/>
        <v>45138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3"/>
        <v>0</v>
      </c>
      <c r="L20">
        <f t="shared" si="5"/>
        <v>9</v>
      </c>
      <c r="M20" s="5">
        <f t="shared" si="14"/>
        <v>45132</v>
      </c>
      <c r="N20" s="9">
        <f t="shared" si="6"/>
        <v>30</v>
      </c>
      <c r="O20" s="3">
        <f t="shared" si="7"/>
        <v>29040.71000000001</v>
      </c>
      <c r="P20" s="3">
        <f t="shared" si="8"/>
        <v>1200.9199999999992</v>
      </c>
      <c r="Q20" s="3">
        <f t="shared" si="15"/>
        <v>903.61999999999921</v>
      </c>
      <c r="R20" s="3">
        <f t="shared" si="16"/>
        <v>297.3</v>
      </c>
      <c r="S20" s="3">
        <f>IF($L20&lt;&gt;"",IF($A20="Prepago",0,IF(ROUND($H20*$U$6,2)&gt;ROUND(SUM($S$11:$S19)+$U$6,2),$U$6*2,$U$6)),"")</f>
        <v>0</v>
      </c>
      <c r="T20" s="3">
        <f>IF($L20&lt;&gt;"",IF($A20="Prepago",0,IF(ROUND($H20*$U$7,2)&gt;ROUND(SUM($T$11:$T19)+$U$7,2),$U$7*2,$U$7)),"")</f>
        <v>0</v>
      </c>
      <c r="U20" s="3">
        <f>IF($L20&lt;&gt;"",IF($A20="Prepago",0,IF(ROUND($H20*$U$8,2)&gt;ROUND(SUM($U$11:$U19)+$U$8,2),$U$8*2,$U$8)),"")</f>
        <v>0</v>
      </c>
      <c r="V20" s="3">
        <f>IF($L20&lt;&gt;"",IF($A20="Prepago",0,IF(ROUND($H20*$U$9,2)&gt;ROUND(SUM($V$11:$V19)+$U$9,2),$U$9*2,$U$9)),"")</f>
        <v>0</v>
      </c>
      <c r="W20" s="3">
        <f t="shared" si="9"/>
        <v>28137.090000000011</v>
      </c>
      <c r="X20" s="3">
        <f t="shared" si="10"/>
        <v>0</v>
      </c>
      <c r="Y20" s="3">
        <f t="shared" si="11"/>
        <v>297.3</v>
      </c>
      <c r="Z20" s="3">
        <f t="shared" si="12"/>
        <v>297.3</v>
      </c>
      <c r="AA20" s="3">
        <f>IF($L20&lt;&gt;"",IF($N20&gt;Z$11,IF($N20&lt;AA$11,$N20-Z$11,30),0)*ROUND(($O20+$X19+SUM($Z20:Z20))*$V$5/3000,2),"")</f>
        <v>0</v>
      </c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</row>
    <row r="21" spans="1:86" x14ac:dyDescent="0.25">
      <c r="E21" s="5"/>
      <c r="F21" t="str">
        <f t="shared" si="0"/>
        <v>Fri</v>
      </c>
      <c r="G21" s="5">
        <f t="shared" si="1"/>
        <v>45169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3"/>
        <v>0</v>
      </c>
      <c r="L21">
        <f t="shared" si="5"/>
        <v>10</v>
      </c>
      <c r="M21" s="5">
        <f t="shared" si="14"/>
        <v>45163</v>
      </c>
      <c r="N21" s="9">
        <f t="shared" si="6"/>
        <v>31</v>
      </c>
      <c r="O21" s="3">
        <f t="shared" si="7"/>
        <v>28137.090000000011</v>
      </c>
      <c r="P21" s="3">
        <f t="shared" si="8"/>
        <v>1200.9199999999992</v>
      </c>
      <c r="Q21" s="3">
        <f t="shared" si="15"/>
        <v>903.21999999999912</v>
      </c>
      <c r="R21" s="3">
        <f t="shared" si="16"/>
        <v>297.7</v>
      </c>
      <c r="S21" s="3">
        <f>IF($L21&lt;&gt;"",IF($A21="Prepago",0,IF(ROUND($H21*$U$6,2)&gt;ROUND(SUM($S$11:$S20)+$U$6,2),$U$6*2,$U$6)),"")</f>
        <v>0</v>
      </c>
      <c r="T21" s="3">
        <f>IF($L21&lt;&gt;"",IF($A21="Prepago",0,IF(ROUND($H21*$U$7,2)&gt;ROUND(SUM($T$11:$T20)+$U$7,2),$U$7*2,$U$7)),"")</f>
        <v>0</v>
      </c>
      <c r="U21" s="3">
        <f>IF($L21&lt;&gt;"",IF($A21="Prepago",0,IF(ROUND($H21*$U$8,2)&gt;ROUND(SUM($U$11:$U20)+$U$8,2),$U$8*2,$U$8)),"")</f>
        <v>0</v>
      </c>
      <c r="V21" s="3">
        <f>IF($L21&lt;&gt;"",IF($A21="Prepago",0,IF(ROUND($H21*$U$9,2)&gt;ROUND(SUM($V$11:$V20)+$U$9,2),$U$9*2,$U$9)),"")</f>
        <v>0</v>
      </c>
      <c r="W21" s="3">
        <f t="shared" si="9"/>
        <v>27233.870000000014</v>
      </c>
      <c r="X21" s="3">
        <f t="shared" si="10"/>
        <v>0</v>
      </c>
      <c r="Y21" s="3">
        <f t="shared" si="11"/>
        <v>297.7</v>
      </c>
      <c r="Z21" s="3">
        <f t="shared" si="12"/>
        <v>288</v>
      </c>
      <c r="AA21" s="3">
        <f>IF($L21&lt;&gt;"",IF($N21&gt;Z$11,IF($N21&lt;AA$11,$N21-Z$11,30),0)*ROUND(($O21+$X20+SUM($Z21:Z21))*$V$5/3000,2),"")</f>
        <v>9.6999999999999993</v>
      </c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</row>
    <row r="22" spans="1:86" x14ac:dyDescent="0.25">
      <c r="E22" s="5"/>
      <c r="F22" t="str">
        <f t="shared" si="0"/>
        <v>Mon</v>
      </c>
      <c r="G22" s="5">
        <f t="shared" si="1"/>
        <v>45199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3"/>
        <v>0</v>
      </c>
      <c r="L22">
        <f t="shared" si="5"/>
        <v>11</v>
      </c>
      <c r="M22" s="5">
        <f t="shared" si="14"/>
        <v>45194</v>
      </c>
      <c r="N22" s="9">
        <f t="shared" si="6"/>
        <v>31</v>
      </c>
      <c r="O22" s="3">
        <f t="shared" si="7"/>
        <v>27233.870000000014</v>
      </c>
      <c r="P22" s="3">
        <f t="shared" si="8"/>
        <v>1200.9199999999992</v>
      </c>
      <c r="Q22" s="3">
        <f t="shared" si="15"/>
        <v>912.82999999999925</v>
      </c>
      <c r="R22" s="3">
        <f t="shared" si="16"/>
        <v>288.08999999999997</v>
      </c>
      <c r="S22" s="3">
        <f>IF($L22&lt;&gt;"",IF($A22="Prepago",0,IF(ROUND($H22*$U$6,2)&gt;ROUND(SUM($S$11:$S21)+$U$6,2),$U$6*2,$U$6)),"")</f>
        <v>0</v>
      </c>
      <c r="T22" s="3">
        <f>IF($L22&lt;&gt;"",IF($A22="Prepago",0,IF(ROUND($H22*$U$7,2)&gt;ROUND(SUM($T$11:$T21)+$U$7,2),$U$7*2,$U$7)),"")</f>
        <v>0</v>
      </c>
      <c r="U22" s="3">
        <f>IF($L22&lt;&gt;"",IF($A22="Prepago",0,IF(ROUND($H22*$U$8,2)&gt;ROUND(SUM($U$11:$U21)+$U$8,2),$U$8*2,$U$8)),"")</f>
        <v>0</v>
      </c>
      <c r="V22" s="3">
        <f>IF($L22&lt;&gt;"",IF($A22="Prepago",0,IF(ROUND($H22*$U$9,2)&gt;ROUND(SUM($V$11:$V21)+$U$9,2),$U$9*2,$U$9)),"")</f>
        <v>0</v>
      </c>
      <c r="W22" s="3">
        <f t="shared" si="9"/>
        <v>26321.040000000015</v>
      </c>
      <c r="X22" s="3">
        <f t="shared" si="10"/>
        <v>0</v>
      </c>
      <c r="Y22" s="3">
        <f t="shared" si="11"/>
        <v>288.08999999999997</v>
      </c>
      <c r="Z22" s="3">
        <f t="shared" si="12"/>
        <v>278.7</v>
      </c>
      <c r="AA22" s="3">
        <f>IF($L22&lt;&gt;"",IF($N22&gt;Z$11,IF($N22&lt;AA$11,$N22-Z$11,30),0)*ROUND(($O22+$X21+SUM($Z22:Z22))*$V$5/3000,2),"")</f>
        <v>9.39</v>
      </c>
      <c r="AB22" s="3"/>
      <c r="AC22" s="3"/>
      <c r="AD22" s="3"/>
      <c r="AE22" s="3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</row>
    <row r="23" spans="1:86" x14ac:dyDescent="0.25">
      <c r="E23" s="5"/>
      <c r="F23" t="str">
        <f t="shared" si="0"/>
        <v>Wed</v>
      </c>
      <c r="G23" s="5">
        <f t="shared" si="1"/>
        <v>45230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3"/>
        <v>0</v>
      </c>
      <c r="L23">
        <f t="shared" si="5"/>
        <v>12</v>
      </c>
      <c r="M23" s="5">
        <f t="shared" si="14"/>
        <v>45224</v>
      </c>
      <c r="N23" s="9">
        <f t="shared" si="6"/>
        <v>30</v>
      </c>
      <c r="O23" s="3">
        <f t="shared" si="7"/>
        <v>26321.040000000015</v>
      </c>
      <c r="P23" s="3">
        <f t="shared" si="8"/>
        <v>1200.9199999999992</v>
      </c>
      <c r="Q23" s="3">
        <f t="shared" si="15"/>
        <v>931.51999999999907</v>
      </c>
      <c r="R23" s="3">
        <f t="shared" si="16"/>
        <v>269.40000000000003</v>
      </c>
      <c r="S23" s="3">
        <f>IF($L23&lt;&gt;"",IF($A23="Prepago",0,IF(ROUND($H23*$U$6,2)&gt;ROUND(SUM($S$11:$S22)+$U$6,2),$U$6*2,$U$6)),"")</f>
        <v>0</v>
      </c>
      <c r="T23" s="3">
        <f>IF($L23&lt;&gt;"",IF($A23="Prepago",0,IF(ROUND($H23*$U$7,2)&gt;ROUND(SUM($T$11:$T22)+$U$7,2),$U$7*2,$U$7)),"")</f>
        <v>0</v>
      </c>
      <c r="U23" s="3">
        <f>IF($L23&lt;&gt;"",IF($A23="Prepago",0,IF(ROUND($H23*$U$8,2)&gt;ROUND(SUM($U$11:$U22)+$U$8,2),$U$8*2,$U$8)),"")</f>
        <v>0</v>
      </c>
      <c r="V23" s="3">
        <f>IF($L23&lt;&gt;"",IF($A23="Prepago",0,IF(ROUND($H23*$U$9,2)&gt;ROUND(SUM($V$11:$V22)+$U$9,2),$U$9*2,$U$9)),"")</f>
        <v>0</v>
      </c>
      <c r="W23" s="3">
        <f t="shared" si="9"/>
        <v>25389.520000000015</v>
      </c>
      <c r="X23" s="3">
        <f t="shared" si="10"/>
        <v>0</v>
      </c>
      <c r="Y23" s="3">
        <f t="shared" si="11"/>
        <v>269.40000000000003</v>
      </c>
      <c r="Z23" s="3">
        <f t="shared" si="12"/>
        <v>269.40000000000003</v>
      </c>
      <c r="AA23" s="3">
        <f>IF($L23&lt;&gt;"",IF($N23&gt;Z$11,IF($N23&lt;AA$11,$N23-Z$11,30),0)*ROUND(($O23+$X22+SUM($Z23:Z23))*$V$5/3000,2),"")</f>
        <v>0</v>
      </c>
      <c r="AB23" s="3"/>
      <c r="AC23" s="3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</row>
    <row r="24" spans="1:86" x14ac:dyDescent="0.25">
      <c r="E24" s="5"/>
      <c r="F24" t="str">
        <f t="shared" si="0"/>
        <v>Sat</v>
      </c>
      <c r="G24" s="5">
        <f t="shared" si="1"/>
        <v>45260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3"/>
        <v>0</v>
      </c>
      <c r="L24">
        <f t="shared" si="5"/>
        <v>13</v>
      </c>
      <c r="M24" s="5">
        <f t="shared" si="14"/>
        <v>45255</v>
      </c>
      <c r="N24" s="9">
        <f t="shared" si="6"/>
        <v>31</v>
      </c>
      <c r="O24" s="3">
        <f t="shared" si="7"/>
        <v>25389.520000000015</v>
      </c>
      <c r="P24" s="3">
        <f t="shared" si="8"/>
        <v>1200.9199999999992</v>
      </c>
      <c r="Q24" s="3">
        <f t="shared" si="15"/>
        <v>932.36999999999921</v>
      </c>
      <c r="R24" s="3">
        <f t="shared" si="16"/>
        <v>268.55</v>
      </c>
      <c r="S24" s="3">
        <f>IF($L24&lt;&gt;"",IF($A24="Prepago",0,IF(ROUND($H24*$U$6,2)&gt;ROUND(SUM($S$11:$S23)+$U$6,2),$U$6*2,$U$6)),"")</f>
        <v>0</v>
      </c>
      <c r="T24" s="3">
        <f>IF($L24&lt;&gt;"",IF($A24="Prepago",0,IF(ROUND($H24*$U$7,2)&gt;ROUND(SUM($T$11:$T23)+$U$7,2),$U$7*2,$U$7)),"")</f>
        <v>0</v>
      </c>
      <c r="U24" s="3">
        <f>IF($L24&lt;&gt;"",IF($A24="Prepago",0,IF(ROUND($H24*$U$8,2)&gt;ROUND(SUM($U$11:$U23)+$U$8,2),$U$8*2,$U$8)),"")</f>
        <v>0</v>
      </c>
      <c r="V24" s="3">
        <f>IF($L24&lt;&gt;"",IF($A24="Prepago",0,IF(ROUND($H24*$U$9,2)&gt;ROUND(SUM($V$11:$V23)+$U$9,2),$U$9*2,$U$9)),"")</f>
        <v>0</v>
      </c>
      <c r="W24" s="3">
        <f t="shared" si="9"/>
        <v>24457.150000000016</v>
      </c>
      <c r="X24" s="3">
        <f t="shared" si="10"/>
        <v>0</v>
      </c>
      <c r="Y24" s="3">
        <f t="shared" si="11"/>
        <v>268.55</v>
      </c>
      <c r="Z24" s="3">
        <f t="shared" si="12"/>
        <v>259.8</v>
      </c>
      <c r="AA24" s="3">
        <f>IF($L24&lt;&gt;"",IF($N24&gt;Z$11,IF($N24&lt;AA$11,$N24-Z$11,30),0)*ROUND(($O24+$X23+SUM($Z24:Z24))*$V$5/3000,2),"")</f>
        <v>8.75</v>
      </c>
      <c r="AB24" s="3"/>
      <c r="AC24" s="3"/>
      <c r="AD24" s="3"/>
      <c r="AE24" s="3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</row>
    <row r="25" spans="1:86" x14ac:dyDescent="0.25">
      <c r="E25" s="5"/>
      <c r="F25" t="str">
        <f t="shared" si="0"/>
        <v>Mon</v>
      </c>
      <c r="G25" s="5">
        <f t="shared" si="1"/>
        <v>45291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3"/>
        <v>0</v>
      </c>
      <c r="L25">
        <f t="shared" si="5"/>
        <v>14</v>
      </c>
      <c r="M25" s="5">
        <f t="shared" si="14"/>
        <v>45285</v>
      </c>
      <c r="N25" s="9">
        <f t="shared" si="6"/>
        <v>30</v>
      </c>
      <c r="O25" s="3">
        <f t="shared" si="7"/>
        <v>24457.150000000016</v>
      </c>
      <c r="P25" s="3">
        <f t="shared" si="8"/>
        <v>1200.9199999999992</v>
      </c>
      <c r="Q25" s="3">
        <f t="shared" si="15"/>
        <v>950.41999999999916</v>
      </c>
      <c r="R25" s="3">
        <f t="shared" si="16"/>
        <v>250.5</v>
      </c>
      <c r="S25" s="3">
        <f>IF($L25&lt;&gt;"",IF($A25="Prepago",0,IF(ROUND($H25*$U$6,2)&gt;ROUND(SUM($S$11:$S24)+$U$6,2),$U$6*2,$U$6)),"")</f>
        <v>0</v>
      </c>
      <c r="T25" s="3">
        <f>IF($L25&lt;&gt;"",IF($A25="Prepago",0,IF(ROUND($H25*$U$7,2)&gt;ROUND(SUM($T$11:$T24)+$U$7,2),$U$7*2,$U$7)),"")</f>
        <v>0</v>
      </c>
      <c r="U25" s="3">
        <f>IF($L25&lt;&gt;"",IF($A25="Prepago",0,IF(ROUND($H25*$U$8,2)&gt;ROUND(SUM($U$11:$U24)+$U$8,2),$U$8*2,$U$8)),"")</f>
        <v>0</v>
      </c>
      <c r="V25" s="3">
        <f>IF($L25&lt;&gt;"",IF($A25="Prepago",0,IF(ROUND($H25*$U$9,2)&gt;ROUND(SUM($V$11:$V24)+$U$9,2),$U$9*2,$U$9)),"")</f>
        <v>0</v>
      </c>
      <c r="W25" s="3">
        <f t="shared" si="9"/>
        <v>23506.730000000018</v>
      </c>
      <c r="X25" s="3">
        <f t="shared" si="10"/>
        <v>0</v>
      </c>
      <c r="Y25" s="3">
        <f t="shared" si="11"/>
        <v>250.5</v>
      </c>
      <c r="Z25" s="3">
        <f t="shared" si="12"/>
        <v>250.5</v>
      </c>
      <c r="AA25" s="3">
        <f>IF($L25&lt;&gt;"",IF($N25&gt;Z$11,IF($N25&lt;AA$11,$N25-Z$11,30),0)*ROUND(($O25+$X24+SUM($Z25:Z25))*$V$5/3000,2),"")</f>
        <v>0</v>
      </c>
      <c r="AB25" s="3"/>
      <c r="AC25" s="3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</row>
    <row r="26" spans="1:86" x14ac:dyDescent="0.25">
      <c r="E26" s="5"/>
      <c r="F26" t="str">
        <f t="shared" si="0"/>
        <v>Thu</v>
      </c>
      <c r="G26" s="5">
        <f t="shared" si="1"/>
        <v>45322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3"/>
        <v>0</v>
      </c>
      <c r="L26">
        <f t="shared" si="5"/>
        <v>15</v>
      </c>
      <c r="M26" s="5">
        <f t="shared" si="14"/>
        <v>45316</v>
      </c>
      <c r="N26" s="9">
        <f t="shared" si="6"/>
        <v>31</v>
      </c>
      <c r="O26" s="3">
        <f t="shared" si="7"/>
        <v>23506.730000000018</v>
      </c>
      <c r="P26" s="3">
        <f t="shared" si="8"/>
        <v>1200.9199999999992</v>
      </c>
      <c r="Q26" s="3">
        <f t="shared" si="15"/>
        <v>952.21999999999912</v>
      </c>
      <c r="R26" s="3">
        <f t="shared" si="16"/>
        <v>248.7</v>
      </c>
      <c r="S26" s="3">
        <f>IF($L26&lt;&gt;"",IF($A26="Prepago",0,IF(ROUND($H26*$U$6,2)&gt;ROUND(SUM($S$11:$S25)+$U$6,2),$U$6*2,$U$6)),"")</f>
        <v>0</v>
      </c>
      <c r="T26" s="3">
        <f>IF($L26&lt;&gt;"",IF($A26="Prepago",0,IF(ROUND($H26*$U$7,2)&gt;ROUND(SUM($T$11:$T25)+$U$7,2),$U$7*2,$U$7)),"")</f>
        <v>0</v>
      </c>
      <c r="U26" s="3">
        <f>IF($L26&lt;&gt;"",IF($A26="Prepago",0,IF(ROUND($H26*$U$8,2)&gt;ROUND(SUM($U$11:$U25)+$U$8,2),$U$8*2,$U$8)),"")</f>
        <v>0</v>
      </c>
      <c r="V26" s="3">
        <f>IF($L26&lt;&gt;"",IF($A26="Prepago",0,IF(ROUND($H26*$U$9,2)&gt;ROUND(SUM($V$11:$V25)+$U$9,2),$U$9*2,$U$9)),"")</f>
        <v>0</v>
      </c>
      <c r="W26" s="3">
        <f t="shared" si="9"/>
        <v>22554.51000000002</v>
      </c>
      <c r="X26" s="3">
        <f t="shared" si="10"/>
        <v>0</v>
      </c>
      <c r="Y26" s="3">
        <f t="shared" si="11"/>
        <v>248.7</v>
      </c>
      <c r="Z26" s="3">
        <f t="shared" si="12"/>
        <v>240.6</v>
      </c>
      <c r="AA26" s="3">
        <f>IF($L26&lt;&gt;"",IF($N26&gt;Z$11,IF($N26&lt;AA$11,$N26-Z$11,30),0)*ROUND(($O26+$X25+SUM($Z26:Z26))*$V$5/3000,2),"")</f>
        <v>8.1</v>
      </c>
      <c r="AB26" s="3"/>
      <c r="AC26" s="3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</row>
    <row r="27" spans="1:86" x14ac:dyDescent="0.25">
      <c r="E27" s="5"/>
      <c r="F27" t="str">
        <f t="shared" si="0"/>
        <v>Sun</v>
      </c>
      <c r="G27" s="5">
        <f t="shared" si="1"/>
        <v>45351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3"/>
        <v>0</v>
      </c>
      <c r="L27">
        <f t="shared" si="5"/>
        <v>16</v>
      </c>
      <c r="M27" s="5">
        <f t="shared" si="14"/>
        <v>45347</v>
      </c>
      <c r="N27" s="9">
        <f t="shared" si="6"/>
        <v>31</v>
      </c>
      <c r="O27" s="3">
        <f t="shared" si="7"/>
        <v>22554.51000000002</v>
      </c>
      <c r="P27" s="3">
        <f t="shared" si="8"/>
        <v>1200.9199999999992</v>
      </c>
      <c r="Q27" s="3">
        <f t="shared" si="15"/>
        <v>962.13999999999919</v>
      </c>
      <c r="R27" s="3">
        <f t="shared" si="16"/>
        <v>238.78</v>
      </c>
      <c r="S27" s="3">
        <f>IF($L27&lt;&gt;"",IF($A27="Prepago",0,IF(ROUND($H27*$U$6,2)&gt;ROUND(SUM($S$11:$S26)+$U$6,2),$U$6*2,$U$6)),"")</f>
        <v>0</v>
      </c>
      <c r="T27" s="3">
        <f>IF($L27&lt;&gt;"",IF($A27="Prepago",0,IF(ROUND($H27*$U$7,2)&gt;ROUND(SUM($T$11:$T26)+$U$7,2),$U$7*2,$U$7)),"")</f>
        <v>0</v>
      </c>
      <c r="U27" s="3">
        <f>IF($L27&lt;&gt;"",IF($A27="Prepago",0,IF(ROUND($H27*$U$8,2)&gt;ROUND(SUM($U$11:$U26)+$U$8,2),$U$8*2,$U$8)),"")</f>
        <v>0</v>
      </c>
      <c r="V27" s="3">
        <f>IF($L27&lt;&gt;"",IF($A27="Prepago",0,IF(ROUND($H27*$U$9,2)&gt;ROUND(SUM($V$11:$V26)+$U$9,2),$U$9*2,$U$9)),"")</f>
        <v>0</v>
      </c>
      <c r="W27" s="3">
        <f t="shared" si="9"/>
        <v>21592.370000000021</v>
      </c>
      <c r="X27" s="3">
        <f t="shared" si="10"/>
        <v>0</v>
      </c>
      <c r="Y27" s="3">
        <f t="shared" si="11"/>
        <v>238.78</v>
      </c>
      <c r="Z27" s="3">
        <f t="shared" si="12"/>
        <v>231</v>
      </c>
      <c r="AA27" s="3">
        <f>IF($L27&lt;&gt;"",IF($N27&gt;Z$11,IF($N27&lt;AA$11,$N27-Z$11,30),0)*ROUND(($O27+$X26+SUM($Z27:Z27))*$V$5/3000,2),"")</f>
        <v>7.78</v>
      </c>
      <c r="AB27" s="3"/>
      <c r="AC27" s="3"/>
      <c r="AD27" s="3"/>
      <c r="AE27" s="3"/>
      <c r="AF27" s="3"/>
      <c r="AG27" s="3"/>
      <c r="AH27" s="3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</row>
    <row r="28" spans="1:86" x14ac:dyDescent="0.25">
      <c r="E28" s="5"/>
      <c r="F28" t="str">
        <f t="shared" si="0"/>
        <v>Mon</v>
      </c>
      <c r="G28" s="5">
        <f t="shared" si="1"/>
        <v>45382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3"/>
        <v>0</v>
      </c>
      <c r="L28">
        <f t="shared" si="5"/>
        <v>17</v>
      </c>
      <c r="M28" s="5">
        <f t="shared" si="14"/>
        <v>45376</v>
      </c>
      <c r="N28" s="9">
        <f t="shared" si="6"/>
        <v>29</v>
      </c>
      <c r="O28" s="3">
        <f t="shared" si="7"/>
        <v>21592.370000000021</v>
      </c>
      <c r="P28" s="3">
        <f t="shared" si="8"/>
        <v>1200.9199999999992</v>
      </c>
      <c r="Q28" s="3">
        <f t="shared" si="15"/>
        <v>987.18999999999915</v>
      </c>
      <c r="R28" s="3">
        <f t="shared" si="16"/>
        <v>213.73</v>
      </c>
      <c r="S28" s="3">
        <f>IF($L28&lt;&gt;"",IF($A28="Prepago",0,IF(ROUND($H28*$U$6,2)&gt;ROUND(SUM($S$11:$S27)+$U$6,2),$U$6*2,$U$6)),"")</f>
        <v>0</v>
      </c>
      <c r="T28" s="3">
        <f>IF($L28&lt;&gt;"",IF($A28="Prepago",0,IF(ROUND($H28*$U$7,2)&gt;ROUND(SUM($T$11:$T27)+$U$7,2),$U$7*2,$U$7)),"")</f>
        <v>0</v>
      </c>
      <c r="U28" s="3">
        <f>IF($L28&lt;&gt;"",IF($A28="Prepago",0,IF(ROUND($H28*$U$8,2)&gt;ROUND(SUM($U$11:$U27)+$U$8,2),$U$8*2,$U$8)),"")</f>
        <v>0</v>
      </c>
      <c r="V28" s="3">
        <f>IF($L28&lt;&gt;"",IF($A28="Prepago",0,IF(ROUND($H28*$U$9,2)&gt;ROUND(SUM($V$11:$V27)+$U$9,2),$U$9*2,$U$9)),"")</f>
        <v>0</v>
      </c>
      <c r="W28" s="3">
        <f t="shared" si="9"/>
        <v>20605.180000000022</v>
      </c>
      <c r="X28" s="3">
        <f t="shared" si="10"/>
        <v>0</v>
      </c>
      <c r="Y28" s="3">
        <f t="shared" si="11"/>
        <v>213.73</v>
      </c>
      <c r="Z28" s="3">
        <f t="shared" si="12"/>
        <v>213.73</v>
      </c>
      <c r="AA28" s="3">
        <f>IF($L28&lt;&gt;"",IF($N28&gt;Z$11,IF($N28&lt;AA$11,$N28-Z$11,30),0)*ROUND(($O28+$X27+SUM($Z28:Z28))*$V$5/3000,2),"")</f>
        <v>0</v>
      </c>
      <c r="AB28" s="3"/>
      <c r="AC28" s="3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</row>
    <row r="29" spans="1:86" x14ac:dyDescent="0.25">
      <c r="E29" s="5"/>
      <c r="F29" t="str">
        <f t="shared" si="0"/>
        <v>Thu</v>
      </c>
      <c r="G29" s="5">
        <f t="shared" si="1"/>
        <v>45412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3"/>
        <v>0</v>
      </c>
      <c r="L29">
        <f t="shared" si="5"/>
        <v>18</v>
      </c>
      <c r="M29" s="5">
        <f t="shared" si="14"/>
        <v>45407</v>
      </c>
      <c r="N29" s="9">
        <f t="shared" si="6"/>
        <v>31</v>
      </c>
      <c r="O29" s="3">
        <f t="shared" si="7"/>
        <v>20605.180000000022</v>
      </c>
      <c r="P29" s="3">
        <f t="shared" si="8"/>
        <v>1200.9199999999992</v>
      </c>
      <c r="Q29" s="3">
        <f t="shared" si="15"/>
        <v>982.91999999999916</v>
      </c>
      <c r="R29" s="3">
        <f t="shared" si="16"/>
        <v>218</v>
      </c>
      <c r="S29" s="3">
        <f>IF($L29&lt;&gt;"",IF($A29="Prepago",0,IF(ROUND($H29*$U$6,2)&gt;ROUND(SUM($S$11:$S28)+$U$6,2),$U$6*2,$U$6)),"")</f>
        <v>0</v>
      </c>
      <c r="T29" s="3">
        <f>IF($L29&lt;&gt;"",IF($A29="Prepago",0,IF(ROUND($H29*$U$7,2)&gt;ROUND(SUM($T$11:$T28)+$U$7,2),$U$7*2,$U$7)),"")</f>
        <v>0</v>
      </c>
      <c r="U29" s="3">
        <f>IF($L29&lt;&gt;"",IF($A29="Prepago",0,IF(ROUND($H29*$U$8,2)&gt;ROUND(SUM($U$11:$U28)+$U$8,2),$U$8*2,$U$8)),"")</f>
        <v>0</v>
      </c>
      <c r="V29" s="3">
        <f>IF($L29&lt;&gt;"",IF($A29="Prepago",0,IF(ROUND($H29*$U$9,2)&gt;ROUND(SUM($V$11:$V28)+$U$9,2),$U$9*2,$U$9)),"")</f>
        <v>0</v>
      </c>
      <c r="W29" s="3">
        <f t="shared" si="9"/>
        <v>19622.260000000024</v>
      </c>
      <c r="X29" s="3">
        <f t="shared" si="10"/>
        <v>0</v>
      </c>
      <c r="Y29" s="3">
        <f t="shared" si="11"/>
        <v>218</v>
      </c>
      <c r="Z29" s="3">
        <f t="shared" si="12"/>
        <v>210.9</v>
      </c>
      <c r="AA29" s="3">
        <f>IF($L29&lt;&gt;"",IF($N29&gt;Z$11,IF($N29&lt;AA$11,$N29-Z$11,30),0)*ROUND(($O29+$X28+SUM($Z29:Z29))*$V$5/3000,2),"")</f>
        <v>7.1</v>
      </c>
      <c r="AB29" s="3"/>
      <c r="AC29" s="3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</row>
    <row r="30" spans="1:86" x14ac:dyDescent="0.25">
      <c r="E30" s="5"/>
      <c r="F30" t="str">
        <f t="shared" si="0"/>
        <v>Sat</v>
      </c>
      <c r="G30" s="5">
        <f t="shared" si="1"/>
        <v>45443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3"/>
        <v>0</v>
      </c>
      <c r="L30">
        <f t="shared" si="5"/>
        <v>19</v>
      </c>
      <c r="M30" s="5">
        <f t="shared" si="14"/>
        <v>45437</v>
      </c>
      <c r="N30" s="9">
        <f t="shared" si="6"/>
        <v>30</v>
      </c>
      <c r="O30" s="3">
        <f t="shared" si="7"/>
        <v>19622.260000000024</v>
      </c>
      <c r="P30" s="3">
        <f t="shared" si="8"/>
        <v>1200.9199999999992</v>
      </c>
      <c r="Q30" s="3">
        <f t="shared" si="15"/>
        <v>999.91999999999916</v>
      </c>
      <c r="R30" s="3">
        <f t="shared" si="16"/>
        <v>201</v>
      </c>
      <c r="S30" s="3">
        <f>IF($L30&lt;&gt;"",IF($A30="Prepago",0,IF(ROUND($H30*$U$6,2)&gt;ROUND(SUM($S$11:$S29)+$U$6,2),$U$6*2,$U$6)),"")</f>
        <v>0</v>
      </c>
      <c r="T30" s="3">
        <f>IF($L30&lt;&gt;"",IF($A30="Prepago",0,IF(ROUND($H30*$U$7,2)&gt;ROUND(SUM($T$11:$T29)+$U$7,2),$U$7*2,$U$7)),"")</f>
        <v>0</v>
      </c>
      <c r="U30" s="3">
        <f>IF($L30&lt;&gt;"",IF($A30="Prepago",0,IF(ROUND($H30*$U$8,2)&gt;ROUND(SUM($U$11:$U29)+$U$8,2),$U$8*2,$U$8)),"")</f>
        <v>0</v>
      </c>
      <c r="V30" s="3">
        <f>IF($L30&lt;&gt;"",IF($A30="Prepago",0,IF(ROUND($H30*$U$9,2)&gt;ROUND(SUM($V$11:$V29)+$U$9,2),$U$9*2,$U$9)),"")</f>
        <v>0</v>
      </c>
      <c r="W30" s="3">
        <f t="shared" si="9"/>
        <v>18622.340000000026</v>
      </c>
      <c r="X30" s="3">
        <f t="shared" si="10"/>
        <v>0</v>
      </c>
      <c r="Y30" s="3">
        <f t="shared" si="11"/>
        <v>201</v>
      </c>
      <c r="Z30" s="3">
        <f t="shared" si="12"/>
        <v>201</v>
      </c>
      <c r="AA30" s="3">
        <f>IF($L30&lt;&gt;"",IF($N30&gt;Z$11,IF($N30&lt;AA$11,$N30-Z$11,30),0)*ROUND(($O30+$X29+SUM($Z30:Z30))*$V$5/3000,2),"")</f>
        <v>0</v>
      </c>
      <c r="AB30" s="3"/>
      <c r="AC30" s="3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</row>
    <row r="31" spans="1:86" x14ac:dyDescent="0.25">
      <c r="E31" s="5"/>
      <c r="F31" t="str">
        <f t="shared" si="0"/>
        <v>Tue</v>
      </c>
      <c r="G31" s="5">
        <f t="shared" si="1"/>
        <v>45473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3"/>
        <v>0</v>
      </c>
      <c r="L31">
        <f t="shared" si="5"/>
        <v>20</v>
      </c>
      <c r="M31" s="5">
        <f t="shared" si="14"/>
        <v>45468</v>
      </c>
      <c r="N31" s="9">
        <f t="shared" si="6"/>
        <v>31</v>
      </c>
      <c r="O31" s="3">
        <f t="shared" si="7"/>
        <v>18622.340000000026</v>
      </c>
      <c r="P31" s="3">
        <f t="shared" si="8"/>
        <v>1200.9199999999992</v>
      </c>
      <c r="Q31" s="3">
        <f t="shared" si="15"/>
        <v>1003.9999999999992</v>
      </c>
      <c r="R31" s="3">
        <f t="shared" si="16"/>
        <v>196.92</v>
      </c>
      <c r="S31" s="3">
        <f>IF($L31&lt;&gt;"",IF($A31="Prepago",0,IF(ROUND($H31*$U$6,2)&gt;ROUND(SUM($S$11:$S30)+$U$6,2),$U$6*2,$U$6)),"")</f>
        <v>0</v>
      </c>
      <c r="T31" s="3">
        <f>IF($L31&lt;&gt;"",IF($A31="Prepago",0,IF(ROUND($H31*$U$7,2)&gt;ROUND(SUM($T$11:$T30)+$U$7,2),$U$7*2,$U$7)),"")</f>
        <v>0</v>
      </c>
      <c r="U31" s="3">
        <f>IF($L31&lt;&gt;"",IF($A31="Prepago",0,IF(ROUND($H31*$U$8,2)&gt;ROUND(SUM($U$11:$U30)+$U$8,2),$U$8*2,$U$8)),"")</f>
        <v>0</v>
      </c>
      <c r="V31" s="3">
        <f>IF($L31&lt;&gt;"",IF($A31="Prepago",0,IF(ROUND($H31*$U$9,2)&gt;ROUND(SUM($V$11:$V30)+$U$9,2),$U$9*2,$U$9)),"")</f>
        <v>0</v>
      </c>
      <c r="W31" s="3">
        <f t="shared" si="9"/>
        <v>17618.340000000026</v>
      </c>
      <c r="X31" s="3">
        <f t="shared" si="10"/>
        <v>0</v>
      </c>
      <c r="Y31" s="3">
        <f t="shared" si="11"/>
        <v>196.92</v>
      </c>
      <c r="Z31" s="3">
        <f t="shared" si="12"/>
        <v>190.5</v>
      </c>
      <c r="AA31" s="3">
        <f>IF($L31&lt;&gt;"",IF($N31&gt;Z$11,IF($N31&lt;AA$11,$N31-Z$11,30),0)*ROUND(($O31+$X30+SUM($Z31:Z31))*$V$5/3000,2),"")</f>
        <v>6.42</v>
      </c>
      <c r="AB31" s="3"/>
      <c r="AC31" s="3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</row>
    <row r="32" spans="1:86" x14ac:dyDescent="0.25">
      <c r="E32" s="5"/>
      <c r="F32" t="str">
        <f t="shared" si="0"/>
        <v>Thu</v>
      </c>
      <c r="G32" s="5">
        <f t="shared" si="1"/>
        <v>45504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3"/>
        <v>0</v>
      </c>
      <c r="L32">
        <f t="shared" si="5"/>
        <v>21</v>
      </c>
      <c r="M32" s="5">
        <f t="shared" si="14"/>
        <v>45498</v>
      </c>
      <c r="N32" s="9">
        <f t="shared" si="6"/>
        <v>30</v>
      </c>
      <c r="O32" s="3">
        <f t="shared" si="7"/>
        <v>17618.340000000026</v>
      </c>
      <c r="P32" s="3">
        <f t="shared" si="8"/>
        <v>1200.9199999999992</v>
      </c>
      <c r="Q32" s="3">
        <f t="shared" si="15"/>
        <v>1020.6199999999992</v>
      </c>
      <c r="R32" s="3">
        <f t="shared" si="16"/>
        <v>180.29999999999998</v>
      </c>
      <c r="S32" s="3">
        <f>IF($L32&lt;&gt;"",IF($A32="Prepago",0,IF(ROUND($H32*$U$6,2)&gt;ROUND(SUM($S$11:$S31)+$U$6,2),$U$6*2,$U$6)),"")</f>
        <v>0</v>
      </c>
      <c r="T32" s="3">
        <f>IF($L32&lt;&gt;"",IF($A32="Prepago",0,IF(ROUND($H32*$U$7,2)&gt;ROUND(SUM($T$11:$T31)+$U$7,2),$U$7*2,$U$7)),"")</f>
        <v>0</v>
      </c>
      <c r="U32" s="3">
        <f>IF($L32&lt;&gt;"",IF($A32="Prepago",0,IF(ROUND($H32*$U$8,2)&gt;ROUND(SUM($U$11:$U31)+$U$8,2),$U$8*2,$U$8)),"")</f>
        <v>0</v>
      </c>
      <c r="V32" s="3">
        <f>IF($L32&lt;&gt;"",IF($A32="Prepago",0,IF(ROUND($H32*$U$9,2)&gt;ROUND(SUM($V$11:$V31)+$U$9,2),$U$9*2,$U$9)),"")</f>
        <v>0</v>
      </c>
      <c r="W32" s="3">
        <f t="shared" si="9"/>
        <v>16597.720000000027</v>
      </c>
      <c r="X32" s="3">
        <f t="shared" si="10"/>
        <v>0</v>
      </c>
      <c r="Y32" s="3">
        <f t="shared" si="11"/>
        <v>180.29999999999998</v>
      </c>
      <c r="Z32" s="3">
        <f t="shared" si="12"/>
        <v>180.29999999999998</v>
      </c>
      <c r="AA32" s="3">
        <f>IF($L32&lt;&gt;"",IF($N32&gt;Z$11,IF($N32&lt;AA$11,$N32-Z$11,30),0)*ROUND(($O32+$X31+SUM($Z32:Z32))*$V$5/3000,2),"")</f>
        <v>0</v>
      </c>
      <c r="AB32" s="3"/>
      <c r="AC32" s="3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</row>
    <row r="33" spans="5:86" x14ac:dyDescent="0.25">
      <c r="E33" s="5"/>
      <c r="F33" t="str">
        <f t="shared" si="0"/>
        <v>Sun</v>
      </c>
      <c r="G33" s="5">
        <f t="shared" si="1"/>
        <v>45535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3"/>
        <v>0</v>
      </c>
      <c r="L33">
        <f t="shared" si="5"/>
        <v>22</v>
      </c>
      <c r="M33" s="5">
        <f t="shared" si="14"/>
        <v>45529</v>
      </c>
      <c r="N33" s="9">
        <f t="shared" si="6"/>
        <v>31</v>
      </c>
      <c r="O33" s="3">
        <f t="shared" si="7"/>
        <v>16597.720000000027</v>
      </c>
      <c r="P33" s="3">
        <f t="shared" si="8"/>
        <v>1200.9199999999992</v>
      </c>
      <c r="Q33" s="3">
        <f t="shared" si="15"/>
        <v>1025.3999999999992</v>
      </c>
      <c r="R33" s="3">
        <f t="shared" si="16"/>
        <v>175.52</v>
      </c>
      <c r="S33" s="3">
        <f>IF($L33&lt;&gt;"",IF($A33="Prepago",0,IF(ROUND($H33*$U$6,2)&gt;ROUND(SUM($S$11:$S32)+$U$6,2),$U$6*2,$U$6)),"")</f>
        <v>0</v>
      </c>
      <c r="T33" s="3">
        <f>IF($L33&lt;&gt;"",IF($A33="Prepago",0,IF(ROUND($H33*$U$7,2)&gt;ROUND(SUM($T$11:$T32)+$U$7,2),$U$7*2,$U$7)),"")</f>
        <v>0</v>
      </c>
      <c r="U33" s="3">
        <f>IF($L33&lt;&gt;"",IF($A33="Prepago",0,IF(ROUND($H33*$U$8,2)&gt;ROUND(SUM($U$11:$U32)+$U$8,2),$U$8*2,$U$8)),"")</f>
        <v>0</v>
      </c>
      <c r="V33" s="3">
        <f>IF($L33&lt;&gt;"",IF($A33="Prepago",0,IF(ROUND($H33*$U$9,2)&gt;ROUND(SUM($V$11:$V32)+$U$9,2),$U$9*2,$U$9)),"")</f>
        <v>0</v>
      </c>
      <c r="W33" s="3">
        <f t="shared" si="9"/>
        <v>15572.320000000027</v>
      </c>
      <c r="X33" s="3">
        <f t="shared" si="10"/>
        <v>0</v>
      </c>
      <c r="Y33" s="3">
        <f t="shared" si="11"/>
        <v>175.52</v>
      </c>
      <c r="Z33" s="3">
        <f t="shared" si="12"/>
        <v>169.8</v>
      </c>
      <c r="AA33" s="3">
        <f>IF($L33&lt;&gt;"",IF($N33&gt;Z$11,IF($N33&lt;AA$11,$N33-Z$11,30),0)*ROUND(($O33+$X32+SUM($Z33:Z33))*$V$5/3000,2),"")</f>
        <v>5.72</v>
      </c>
      <c r="AB33" s="3"/>
      <c r="AC33" s="3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</row>
    <row r="34" spans="5:86" x14ac:dyDescent="0.25">
      <c r="E34" s="5"/>
      <c r="F34" t="str">
        <f t="shared" si="0"/>
        <v>Wed</v>
      </c>
      <c r="G34" s="5">
        <f t="shared" si="1"/>
        <v>45565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3"/>
        <v>0</v>
      </c>
      <c r="L34">
        <f t="shared" si="5"/>
        <v>23</v>
      </c>
      <c r="M34" s="5">
        <f t="shared" si="14"/>
        <v>45560</v>
      </c>
      <c r="N34" s="9">
        <f t="shared" si="6"/>
        <v>31</v>
      </c>
      <c r="O34" s="3">
        <f t="shared" si="7"/>
        <v>15572.320000000027</v>
      </c>
      <c r="P34" s="3">
        <f t="shared" si="8"/>
        <v>1200.9199999999992</v>
      </c>
      <c r="Q34" s="3">
        <f t="shared" si="15"/>
        <v>1036.2499999999991</v>
      </c>
      <c r="R34" s="3">
        <f t="shared" si="16"/>
        <v>164.67</v>
      </c>
      <c r="S34" s="3">
        <f>IF($L34&lt;&gt;"",IF($A34="Prepago",0,IF(ROUND($H34*$U$6,2)&gt;ROUND(SUM($S$11:$S33)+$U$6,2),$U$6*2,$U$6)),"")</f>
        <v>0</v>
      </c>
      <c r="T34" s="3">
        <f>IF($L34&lt;&gt;"",IF($A34="Prepago",0,IF(ROUND($H34*$U$7,2)&gt;ROUND(SUM($T$11:$T33)+$U$7,2),$U$7*2,$U$7)),"")</f>
        <v>0</v>
      </c>
      <c r="U34" s="3">
        <f>IF($L34&lt;&gt;"",IF($A34="Prepago",0,IF(ROUND($H34*$U$8,2)&gt;ROUND(SUM($U$11:$U33)+$U$8,2),$U$8*2,$U$8)),"")</f>
        <v>0</v>
      </c>
      <c r="V34" s="3">
        <f>IF($L34&lt;&gt;"",IF($A34="Prepago",0,IF(ROUND($H34*$U$9,2)&gt;ROUND(SUM($V$11:$V33)+$U$9,2),$U$9*2,$U$9)),"")</f>
        <v>0</v>
      </c>
      <c r="W34" s="3">
        <f t="shared" si="9"/>
        <v>14536.070000000029</v>
      </c>
      <c r="X34" s="3">
        <f t="shared" si="10"/>
        <v>0</v>
      </c>
      <c r="Y34" s="3">
        <f t="shared" si="11"/>
        <v>164.67</v>
      </c>
      <c r="Z34" s="3">
        <f t="shared" si="12"/>
        <v>159.29999999999998</v>
      </c>
      <c r="AA34" s="3">
        <f>IF($L34&lt;&gt;"",IF($N34&gt;Z$11,IF($N34&lt;AA$11,$N34-Z$11,30),0)*ROUND(($O34+$X33+SUM($Z34:Z34))*$V$5/3000,2),"")</f>
        <v>5.37</v>
      </c>
      <c r="AB34" s="3"/>
      <c r="AC34" s="3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</row>
    <row r="35" spans="5:86" x14ac:dyDescent="0.25">
      <c r="E35" s="5"/>
      <c r="F35" t="str">
        <f t="shared" si="0"/>
        <v>Fri</v>
      </c>
      <c r="G35" s="5">
        <f t="shared" si="1"/>
        <v>45596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3"/>
        <v>0</v>
      </c>
      <c r="L35">
        <f t="shared" si="5"/>
        <v>24</v>
      </c>
      <c r="M35" s="5">
        <f t="shared" si="14"/>
        <v>45590</v>
      </c>
      <c r="N35" s="9">
        <f t="shared" si="6"/>
        <v>30</v>
      </c>
      <c r="O35" s="3">
        <f t="shared" si="7"/>
        <v>14536.070000000029</v>
      </c>
      <c r="P35" s="3">
        <f t="shared" si="8"/>
        <v>1200.9199999999992</v>
      </c>
      <c r="Q35" s="3">
        <f t="shared" si="15"/>
        <v>1052.1199999999992</v>
      </c>
      <c r="R35" s="3">
        <f t="shared" si="16"/>
        <v>148.80000000000001</v>
      </c>
      <c r="S35" s="3">
        <f>IF($L35&lt;&gt;"",IF($A35="Prepago",0,IF(ROUND($H35*$U$6,2)&gt;ROUND(SUM($S$11:$S34)+$U$6,2),$U$6*2,$U$6)),"")</f>
        <v>0</v>
      </c>
      <c r="T35" s="3">
        <f>IF($L35&lt;&gt;"",IF($A35="Prepago",0,IF(ROUND($H35*$U$7,2)&gt;ROUND(SUM($T$11:$T34)+$U$7,2),$U$7*2,$U$7)),"")</f>
        <v>0</v>
      </c>
      <c r="U35" s="3">
        <f>IF($L35&lt;&gt;"",IF($A35="Prepago",0,IF(ROUND($H35*$U$8,2)&gt;ROUND(SUM($U$11:$U34)+$U$8,2),$U$8*2,$U$8)),"")</f>
        <v>0</v>
      </c>
      <c r="V35" s="3">
        <f>IF($L35&lt;&gt;"",IF($A35="Prepago",0,IF(ROUND($H35*$U$9,2)&gt;ROUND(SUM($V$11:$V34)+$U$9,2),$U$9*2,$U$9)),"")</f>
        <v>0</v>
      </c>
      <c r="W35" s="3">
        <f t="shared" si="9"/>
        <v>13483.95000000003</v>
      </c>
      <c r="X35" s="3">
        <f t="shared" si="10"/>
        <v>0</v>
      </c>
      <c r="Y35" s="3">
        <f t="shared" si="11"/>
        <v>148.80000000000001</v>
      </c>
      <c r="Z35" s="3">
        <f t="shared" si="12"/>
        <v>148.80000000000001</v>
      </c>
      <c r="AA35" s="3">
        <f>IF($L35&lt;&gt;"",IF($N35&gt;Z$11,IF($N35&lt;AA$11,$N35-Z$11,30),0)*ROUND(($O35+$X34+SUM($Z35:Z35))*$V$5/3000,2),"")</f>
        <v>0</v>
      </c>
      <c r="AB35" s="3"/>
      <c r="AC35" s="3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</row>
    <row r="36" spans="5:86" x14ac:dyDescent="0.25">
      <c r="E36" s="5"/>
      <c r="F36" t="str">
        <f t="shared" si="0"/>
        <v>Mon</v>
      </c>
      <c r="G36" s="5">
        <f t="shared" si="1"/>
        <v>45626</v>
      </c>
      <c r="H36" s="22">
        <f t="shared" si="2"/>
        <v>25</v>
      </c>
      <c r="I36" s="22">
        <f t="shared" si="3"/>
        <v>0</v>
      </c>
      <c r="J36" s="22">
        <f t="shared" si="4"/>
        <v>0</v>
      </c>
      <c r="K36" s="22">
        <f t="shared" si="13"/>
        <v>0</v>
      </c>
      <c r="L36">
        <f t="shared" si="5"/>
        <v>25</v>
      </c>
      <c r="M36" s="5">
        <f t="shared" si="14"/>
        <v>45621</v>
      </c>
      <c r="N36" s="9">
        <f t="shared" si="6"/>
        <v>31</v>
      </c>
      <c r="O36" s="3">
        <f t="shared" si="7"/>
        <v>13483.95000000003</v>
      </c>
      <c r="P36" s="3">
        <f t="shared" si="8"/>
        <v>1200.9199999999992</v>
      </c>
      <c r="Q36" s="3">
        <f t="shared" si="15"/>
        <v>1058.2699999999991</v>
      </c>
      <c r="R36" s="3">
        <f t="shared" si="16"/>
        <v>142.65</v>
      </c>
      <c r="S36" s="3">
        <f>IF($L36&lt;&gt;"",IF($A36="Prepago",0,IF(ROUND($H36*$U$6,2)&gt;ROUND(SUM($S$11:$S35)+$U$6,2),$U$6*2,$U$6)),"")</f>
        <v>0</v>
      </c>
      <c r="T36" s="3">
        <f>IF($L36&lt;&gt;"",IF($A36="Prepago",0,IF(ROUND($H36*$U$7,2)&gt;ROUND(SUM($T$11:$T35)+$U$7,2),$U$7*2,$U$7)),"")</f>
        <v>0</v>
      </c>
      <c r="U36" s="3">
        <f>IF($L36&lt;&gt;"",IF($A36="Prepago",0,IF(ROUND($H36*$U$8,2)&gt;ROUND(SUM($U$11:$U35)+$U$8,2),$U$8*2,$U$8)),"")</f>
        <v>0</v>
      </c>
      <c r="V36" s="3">
        <f>IF($L36&lt;&gt;"",IF($A36="Prepago",0,IF(ROUND($H36*$U$9,2)&gt;ROUND(SUM($V$11:$V35)+$U$9,2),$U$9*2,$U$9)),"")</f>
        <v>0</v>
      </c>
      <c r="W36" s="3">
        <f t="shared" si="9"/>
        <v>12425.680000000031</v>
      </c>
      <c r="X36" s="3">
        <f t="shared" si="10"/>
        <v>0</v>
      </c>
      <c r="Y36" s="3">
        <f t="shared" si="11"/>
        <v>142.65</v>
      </c>
      <c r="Z36" s="3">
        <f t="shared" si="12"/>
        <v>138</v>
      </c>
      <c r="AA36" s="3">
        <f>IF($L36&lt;&gt;"",IF($N36&gt;Z$11,IF($N36&lt;AA$11,$N36-Z$11,30),0)*ROUND(($O36+$X35+SUM($Z36:Z36))*$V$5/3000,2),"")</f>
        <v>4.6500000000000004</v>
      </c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</row>
    <row r="37" spans="5:86" x14ac:dyDescent="0.25">
      <c r="E37" s="5"/>
      <c r="F37" t="str">
        <f t="shared" si="0"/>
        <v>Wed</v>
      </c>
      <c r="G37" s="5">
        <f t="shared" si="1"/>
        <v>45657</v>
      </c>
      <c r="H37" s="22">
        <f t="shared" si="2"/>
        <v>26</v>
      </c>
      <c r="I37" s="22">
        <f t="shared" si="3"/>
        <v>0</v>
      </c>
      <c r="J37" s="22">
        <f t="shared" si="4"/>
        <v>0</v>
      </c>
      <c r="K37" s="22">
        <f t="shared" si="13"/>
        <v>0</v>
      </c>
      <c r="L37">
        <f t="shared" si="5"/>
        <v>26</v>
      </c>
      <c r="M37" s="5">
        <f t="shared" si="14"/>
        <v>45651</v>
      </c>
      <c r="N37" s="9">
        <f t="shared" si="6"/>
        <v>30</v>
      </c>
      <c r="O37" s="3">
        <f t="shared" si="7"/>
        <v>12425.680000000031</v>
      </c>
      <c r="P37" s="3">
        <f t="shared" si="8"/>
        <v>1200.9199999999992</v>
      </c>
      <c r="Q37" s="3">
        <f t="shared" si="15"/>
        <v>1073.7199999999991</v>
      </c>
      <c r="R37" s="3">
        <f t="shared" si="16"/>
        <v>127.2</v>
      </c>
      <c r="S37" s="3">
        <f>IF($L37&lt;&gt;"",IF($A37="Prepago",0,IF(ROUND($H37*$U$6,2)&gt;ROUND(SUM($S$11:$S36)+$U$6,2),$U$6*2,$U$6)),"")</f>
        <v>0</v>
      </c>
      <c r="T37" s="3">
        <f>IF($L37&lt;&gt;"",IF($A37="Prepago",0,IF(ROUND($H37*$U$7,2)&gt;ROUND(SUM($T$11:$T36)+$U$7,2),$U$7*2,$U$7)),"")</f>
        <v>0</v>
      </c>
      <c r="U37" s="3">
        <f>IF($L37&lt;&gt;"",IF($A37="Prepago",0,IF(ROUND($H37*$U$8,2)&gt;ROUND(SUM($U$11:$U36)+$U$8,2),$U$8*2,$U$8)),"")</f>
        <v>0</v>
      </c>
      <c r="V37" s="3">
        <f>IF($L37&lt;&gt;"",IF($A37="Prepago",0,IF(ROUND($H37*$U$9,2)&gt;ROUND(SUM($V$11:$V36)+$U$9,2),$U$9*2,$U$9)),"")</f>
        <v>0</v>
      </c>
      <c r="W37" s="3">
        <f>IF($L37&lt;&gt;"",$O37-$Q37,"")</f>
        <v>11351.960000000032</v>
      </c>
      <c r="X37" s="3">
        <f t="shared" si="10"/>
        <v>0</v>
      </c>
      <c r="Y37" s="3">
        <f t="shared" si="11"/>
        <v>127.2</v>
      </c>
      <c r="Z37" s="3">
        <f t="shared" si="12"/>
        <v>127.2</v>
      </c>
      <c r="AA37" s="3">
        <f>IF($L37&lt;&gt;"",IF($N37&gt;Z$11,IF($N37&lt;AA$11,$N37-Z$11,30),0)*ROUND(($O37+$X36+SUM($Z37:Z37))*$V$5/3000,2),"")</f>
        <v>0</v>
      </c>
      <c r="AB37" s="3"/>
      <c r="AC37" s="3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</row>
    <row r="38" spans="5:86" x14ac:dyDescent="0.25">
      <c r="E38" s="5"/>
      <c r="F38" t="str">
        <f t="shared" si="0"/>
        <v>Sat</v>
      </c>
      <c r="G38" s="5">
        <f t="shared" si="1"/>
        <v>45688</v>
      </c>
      <c r="H38" s="22">
        <f t="shared" si="2"/>
        <v>27</v>
      </c>
      <c r="I38" s="22">
        <f t="shared" si="3"/>
        <v>0</v>
      </c>
      <c r="J38" s="22">
        <f t="shared" si="4"/>
        <v>0</v>
      </c>
      <c r="K38" s="22">
        <f t="shared" si="13"/>
        <v>0</v>
      </c>
      <c r="L38">
        <f t="shared" si="5"/>
        <v>27</v>
      </c>
      <c r="M38" s="5">
        <f t="shared" si="14"/>
        <v>45682</v>
      </c>
      <c r="N38" s="9">
        <f t="shared" si="6"/>
        <v>31</v>
      </c>
      <c r="O38" s="3">
        <f t="shared" si="7"/>
        <v>11351.960000000032</v>
      </c>
      <c r="P38" s="3">
        <f t="shared" si="8"/>
        <v>1200.9199999999992</v>
      </c>
      <c r="Q38" s="3">
        <f t="shared" si="15"/>
        <v>1080.9099999999992</v>
      </c>
      <c r="R38" s="3">
        <f t="shared" si="16"/>
        <v>120.01</v>
      </c>
      <c r="S38" s="3">
        <f>IF($L38&lt;&gt;"",IF($A38="Prepago",0,IF(ROUND($H38*$U$6,2)&gt;ROUND(SUM($S$11:$S37)+$U$6,2),$U$6*2,$U$6)),"")</f>
        <v>0</v>
      </c>
      <c r="T38" s="3">
        <f>IF($L38&lt;&gt;"",IF($A38="Prepago",0,IF(ROUND($H38*$U$7,2)&gt;ROUND(SUM($T$11:$T37)+$U$7,2),$U$7*2,$U$7)),"")</f>
        <v>0</v>
      </c>
      <c r="U38" s="3">
        <f>IF($L38&lt;&gt;"",IF($A38="Prepago",0,IF(ROUND($H38*$U$8,2)&gt;ROUND(SUM($U$11:$U37)+$U$8,2),$U$8*2,$U$8)),"")</f>
        <v>0</v>
      </c>
      <c r="V38" s="3">
        <f>IF($L38&lt;&gt;"",IF($A38="Prepago",0,IF(ROUND($H38*$U$9,2)&gt;ROUND(SUM($V$11:$V37)+$U$9,2),$U$9*2,$U$9)),"")</f>
        <v>0</v>
      </c>
      <c r="W38" s="3">
        <f t="shared" si="9"/>
        <v>10271.050000000032</v>
      </c>
      <c r="X38" s="3">
        <f t="shared" si="10"/>
        <v>0</v>
      </c>
      <c r="Y38" s="3">
        <f t="shared" si="11"/>
        <v>120.01</v>
      </c>
      <c r="Z38" s="3">
        <f t="shared" si="12"/>
        <v>116.10000000000001</v>
      </c>
      <c r="AA38" s="3">
        <f>IF($L38&lt;&gt;"",IF($N38&gt;Z$11,IF($N38&lt;AA$11,$N38-Z$11,30),0)*ROUND(($O38+$X37+SUM($Z38:Z38))*$V$5/3000,2),"")</f>
        <v>3.91</v>
      </c>
      <c r="AB38" s="3"/>
      <c r="AC38" s="3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</row>
    <row r="39" spans="5:86" x14ac:dyDescent="0.25">
      <c r="E39" s="5"/>
      <c r="F39" t="str">
        <f t="shared" si="0"/>
        <v>Tue</v>
      </c>
      <c r="G39" s="5">
        <f t="shared" si="1"/>
        <v>45716</v>
      </c>
      <c r="H39" s="22">
        <f t="shared" si="2"/>
        <v>28</v>
      </c>
      <c r="I39" s="22">
        <f t="shared" si="3"/>
        <v>0</v>
      </c>
      <c r="J39" s="22">
        <f t="shared" si="4"/>
        <v>0</v>
      </c>
      <c r="K39" s="22">
        <f t="shared" si="13"/>
        <v>0</v>
      </c>
      <c r="L39">
        <f t="shared" si="5"/>
        <v>28</v>
      </c>
      <c r="M39" s="5">
        <f t="shared" si="14"/>
        <v>45713</v>
      </c>
      <c r="N39" s="9">
        <f t="shared" si="6"/>
        <v>31</v>
      </c>
      <c r="O39" s="3">
        <f t="shared" si="7"/>
        <v>10271.050000000032</v>
      </c>
      <c r="P39" s="3">
        <f t="shared" si="8"/>
        <v>1200.9199999999992</v>
      </c>
      <c r="Q39" s="3">
        <f t="shared" si="15"/>
        <v>1092.3799999999992</v>
      </c>
      <c r="R39" s="3">
        <f t="shared" si="16"/>
        <v>108.54</v>
      </c>
      <c r="S39" s="3">
        <f>IF($L39&lt;&gt;"",IF($A39="Prepago",0,IF(ROUND($H39*$U$6,2)&gt;ROUND(SUM($S$11:$S38)+$U$6,2),$U$6*2,$U$6)),"")</f>
        <v>0</v>
      </c>
      <c r="T39" s="3">
        <f>IF($L39&lt;&gt;"",IF($A39="Prepago",0,IF(ROUND($H39*$U$7,2)&gt;ROUND(SUM($T$11:$T38)+$U$7,2),$U$7*2,$U$7)),"")</f>
        <v>0</v>
      </c>
      <c r="U39" s="3">
        <f>IF($L39&lt;&gt;"",IF($A39="Prepago",0,IF(ROUND($H39*$U$8,2)&gt;ROUND(SUM($U$11:$U38)+$U$8,2),$U$8*2,$U$8)),"")</f>
        <v>0</v>
      </c>
      <c r="V39" s="3">
        <f>IF($L39&lt;&gt;"",IF($A39="Prepago",0,IF(ROUND($H39*$U$9,2)&gt;ROUND(SUM($V$11:$V38)+$U$9,2),$U$9*2,$U$9)),"")</f>
        <v>0</v>
      </c>
      <c r="W39" s="3">
        <f t="shared" si="9"/>
        <v>9178.6700000000328</v>
      </c>
      <c r="X39" s="3">
        <f t="shared" si="10"/>
        <v>0</v>
      </c>
      <c r="Y39" s="3">
        <f t="shared" si="11"/>
        <v>108.54</v>
      </c>
      <c r="Z39" s="3">
        <f t="shared" si="12"/>
        <v>105</v>
      </c>
      <c r="AA39" s="3">
        <f>IF($L39&lt;&gt;"",IF($N39&gt;Z$11,IF($N39&lt;AA$11,$N39-Z$11,30),0)*ROUND(($O39+$X38+SUM($Z39:Z39))*$V$5/3000,2),"")</f>
        <v>3.54</v>
      </c>
      <c r="AB39" s="3"/>
      <c r="AC39" s="3"/>
      <c r="AD39" s="3"/>
      <c r="AE39" s="3"/>
      <c r="AF39" s="3"/>
      <c r="AG39" s="3"/>
      <c r="AH39" s="3"/>
      <c r="AI39" s="3"/>
      <c r="AJ39" s="3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</row>
    <row r="40" spans="5:86" x14ac:dyDescent="0.25">
      <c r="E40" s="5"/>
      <c r="F40" t="str">
        <f t="shared" si="0"/>
        <v>Tue</v>
      </c>
      <c r="G40" s="5">
        <f t="shared" si="1"/>
        <v>45747</v>
      </c>
      <c r="H40" s="22">
        <f t="shared" si="2"/>
        <v>29</v>
      </c>
      <c r="I40" s="22">
        <f t="shared" si="3"/>
        <v>0</v>
      </c>
      <c r="J40" s="22">
        <f t="shared" si="4"/>
        <v>0</v>
      </c>
      <c r="K40" s="22">
        <f t="shared" si="13"/>
        <v>0</v>
      </c>
      <c r="L40">
        <f t="shared" si="5"/>
        <v>29</v>
      </c>
      <c r="M40" s="5">
        <f t="shared" si="14"/>
        <v>45741</v>
      </c>
      <c r="N40" s="9">
        <f t="shared" si="6"/>
        <v>28</v>
      </c>
      <c r="O40" s="3">
        <f t="shared" si="7"/>
        <v>9178.6700000000328</v>
      </c>
      <c r="P40" s="3">
        <f t="shared" si="8"/>
        <v>1200.9199999999992</v>
      </c>
      <c r="Q40" s="3">
        <f t="shared" si="15"/>
        <v>1113.2799999999991</v>
      </c>
      <c r="R40" s="3">
        <f t="shared" si="16"/>
        <v>87.64</v>
      </c>
      <c r="S40" s="3">
        <f>IF($L40&lt;&gt;"",IF($A40="Prepago",0,IF(ROUND($H40*$U$6,2)&gt;ROUND(SUM($S$11:$S39)+$U$6,2),$U$6*2,$U$6)),"")</f>
        <v>0</v>
      </c>
      <c r="T40" s="3">
        <f>IF($L40&lt;&gt;"",IF($A40="Prepago",0,IF(ROUND($H40*$U$7,2)&gt;ROUND(SUM($T$11:$T39)+$U$7,2),$U$7*2,$U$7)),"")</f>
        <v>0</v>
      </c>
      <c r="U40" s="3">
        <f>IF($L40&lt;&gt;"",IF($A40="Prepago",0,IF(ROUND($H40*$U$8,2)&gt;ROUND(SUM($U$11:$U39)+$U$8,2),$U$8*2,$U$8)),"")</f>
        <v>0</v>
      </c>
      <c r="V40" s="3">
        <f>IF($L40&lt;&gt;"",IF($A40="Prepago",0,IF(ROUND($H40*$U$9,2)&gt;ROUND(SUM($V$11:$V39)+$U$9,2),$U$9*2,$U$9)),"")</f>
        <v>0</v>
      </c>
      <c r="W40" s="3">
        <f t="shared" si="9"/>
        <v>8065.390000000034</v>
      </c>
      <c r="X40" s="3">
        <f t="shared" si="10"/>
        <v>0</v>
      </c>
      <c r="Y40" s="3">
        <f t="shared" si="11"/>
        <v>87.64</v>
      </c>
      <c r="Z40" s="3">
        <f t="shared" si="12"/>
        <v>87.64</v>
      </c>
      <c r="AA40" s="3">
        <f>IF($L40&lt;&gt;"",IF($N40&gt;Z$11,IF($N40&lt;AA$11,$N40-Z$11,30),0)*ROUND(($O40+$X39+SUM($Z40:Z40))*$V$5/3000,2),"")</f>
        <v>0</v>
      </c>
      <c r="AB40" s="3"/>
      <c r="AC40" s="3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</row>
    <row r="41" spans="5:86" x14ac:dyDescent="0.25">
      <c r="E41" s="5"/>
      <c r="F41" t="str">
        <f t="shared" si="0"/>
        <v>Fri</v>
      </c>
      <c r="G41" s="5">
        <f t="shared" si="1"/>
        <v>45777</v>
      </c>
      <c r="H41" s="22">
        <f t="shared" si="2"/>
        <v>30</v>
      </c>
      <c r="I41" s="22">
        <f t="shared" si="3"/>
        <v>0</v>
      </c>
      <c r="J41" s="22">
        <f t="shared" si="4"/>
        <v>0</v>
      </c>
      <c r="K41" s="22">
        <f t="shared" si="13"/>
        <v>0</v>
      </c>
      <c r="L41">
        <f t="shared" si="5"/>
        <v>30</v>
      </c>
      <c r="M41" s="5">
        <f t="shared" si="14"/>
        <v>45772</v>
      </c>
      <c r="N41" s="9">
        <f t="shared" si="6"/>
        <v>31</v>
      </c>
      <c r="O41" s="3">
        <f t="shared" si="7"/>
        <v>8065.390000000034</v>
      </c>
      <c r="P41" s="3">
        <f t="shared" si="8"/>
        <v>1200.9199999999992</v>
      </c>
      <c r="Q41" s="3">
        <f t="shared" si="15"/>
        <v>1115.6399999999992</v>
      </c>
      <c r="R41" s="3">
        <f t="shared" si="16"/>
        <v>85.28</v>
      </c>
      <c r="S41" s="3">
        <f>IF($L41&lt;&gt;"",IF($A41="Prepago",0,IF(ROUND($H41*$U$6,2)&gt;ROUND(SUM($S$11:$S40)+$U$6,2),$U$6*2,$U$6)),"")</f>
        <v>0</v>
      </c>
      <c r="T41" s="3">
        <f>IF($L41&lt;&gt;"",IF($A41="Prepago",0,IF(ROUND($H41*$U$7,2)&gt;ROUND(SUM($T$11:$T40)+$U$7,2),$U$7*2,$U$7)),"")</f>
        <v>0</v>
      </c>
      <c r="U41" s="3">
        <f>IF($L41&lt;&gt;"",IF($A41="Prepago",0,IF(ROUND($H41*$U$8,2)&gt;ROUND(SUM($U$11:$U40)+$U$8,2),$U$8*2,$U$8)),"")</f>
        <v>0</v>
      </c>
      <c r="V41" s="3">
        <f>IF($L41&lt;&gt;"",IF($A41="Prepago",0,IF(ROUND($H41*$U$9,2)&gt;ROUND(SUM($V$11:$V40)+$U$9,2),$U$9*2,$U$9)),"")</f>
        <v>0</v>
      </c>
      <c r="W41" s="3">
        <f t="shared" si="9"/>
        <v>6949.7500000000346</v>
      </c>
      <c r="X41" s="3">
        <f t="shared" si="10"/>
        <v>0</v>
      </c>
      <c r="Y41" s="3">
        <f t="shared" si="11"/>
        <v>85.28</v>
      </c>
      <c r="Z41" s="3">
        <f t="shared" si="12"/>
        <v>82.5</v>
      </c>
      <c r="AA41" s="3">
        <f>IF($L41&lt;&gt;"",IF($N41&gt;Z$11,IF($N41&lt;AA$11,$N41-Z$11,30),0)*ROUND(($O41+$X40+SUM($Z41:Z41))*$V$5/3000,2),"")</f>
        <v>2.78</v>
      </c>
      <c r="AB41" s="3"/>
      <c r="AC41" s="3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</row>
    <row r="42" spans="5:86" x14ac:dyDescent="0.25">
      <c r="E42" s="5"/>
      <c r="F42" t="str">
        <f t="shared" si="0"/>
        <v>Sun</v>
      </c>
      <c r="G42" s="5">
        <f t="shared" si="1"/>
        <v>45808</v>
      </c>
      <c r="H42" s="22">
        <f t="shared" si="2"/>
        <v>31</v>
      </c>
      <c r="I42" s="22">
        <f t="shared" si="3"/>
        <v>0</v>
      </c>
      <c r="J42" s="22">
        <f t="shared" si="4"/>
        <v>0</v>
      </c>
      <c r="K42" s="22">
        <f t="shared" si="13"/>
        <v>0</v>
      </c>
      <c r="L42">
        <f t="shared" si="5"/>
        <v>31</v>
      </c>
      <c r="M42" s="5">
        <f t="shared" si="14"/>
        <v>45802</v>
      </c>
      <c r="N42" s="9">
        <f t="shared" si="6"/>
        <v>30</v>
      </c>
      <c r="O42" s="3">
        <f t="shared" si="7"/>
        <v>6949.7500000000346</v>
      </c>
      <c r="P42" s="3">
        <f t="shared" si="8"/>
        <v>1200.9199999999992</v>
      </c>
      <c r="Q42" s="3">
        <f t="shared" si="15"/>
        <v>1129.8199999999993</v>
      </c>
      <c r="R42" s="3">
        <f t="shared" si="16"/>
        <v>71.100000000000009</v>
      </c>
      <c r="S42" s="3">
        <f>IF($L42&lt;&gt;"",IF($A42="Prepago",0,IF(ROUND($H42*$U$6,2)&gt;ROUND(SUM($S$11:$S41)+$U$6,2),$U$6*2,$U$6)),"")</f>
        <v>0</v>
      </c>
      <c r="T42" s="3">
        <f>IF($L42&lt;&gt;"",IF($A42="Prepago",0,IF(ROUND($H42*$U$7,2)&gt;ROUND(SUM($T$11:$T41)+$U$7,2),$U$7*2,$U$7)),"")</f>
        <v>0</v>
      </c>
      <c r="U42" s="3">
        <f>IF($L42&lt;&gt;"",IF($A42="Prepago",0,IF(ROUND($H42*$U$8,2)&gt;ROUND(SUM($U$11:$U41)+$U$8,2),$U$8*2,$U$8)),"")</f>
        <v>0</v>
      </c>
      <c r="V42" s="3">
        <f>IF($L42&lt;&gt;"",IF($A42="Prepago",0,IF(ROUND($H42*$U$9,2)&gt;ROUND(SUM($V$11:$V41)+$U$9,2),$U$9*2,$U$9)),"")</f>
        <v>0</v>
      </c>
      <c r="W42" s="3">
        <f t="shared" si="9"/>
        <v>5819.9300000000349</v>
      </c>
      <c r="X42" s="3">
        <f t="shared" si="10"/>
        <v>0</v>
      </c>
      <c r="Y42" s="3">
        <f t="shared" si="11"/>
        <v>71.100000000000009</v>
      </c>
      <c r="Z42" s="3">
        <f t="shared" si="12"/>
        <v>71.100000000000009</v>
      </c>
      <c r="AA42" s="3">
        <f>IF($L42&lt;&gt;"",IF($N42&gt;Z$11,IF($N42&lt;AA$11,$N42-Z$11,30),0)*ROUND(($O42+$X41+SUM($Z42:Z42))*$V$5/3000,2),"")</f>
        <v>0</v>
      </c>
      <c r="AB42" s="3"/>
      <c r="AC42" s="3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</row>
    <row r="43" spans="5:86" x14ac:dyDescent="0.25">
      <c r="E43" s="5"/>
      <c r="F43" t="str">
        <f t="shared" si="0"/>
        <v>Wed</v>
      </c>
      <c r="G43" s="5">
        <f t="shared" si="1"/>
        <v>45838</v>
      </c>
      <c r="H43" s="22">
        <f t="shared" si="2"/>
        <v>32</v>
      </c>
      <c r="I43" s="22">
        <f t="shared" si="3"/>
        <v>0</v>
      </c>
      <c r="J43" s="22">
        <f t="shared" si="4"/>
        <v>0</v>
      </c>
      <c r="K43" s="22">
        <f t="shared" si="13"/>
        <v>0</v>
      </c>
      <c r="L43">
        <f t="shared" si="5"/>
        <v>32</v>
      </c>
      <c r="M43" s="5">
        <f t="shared" si="14"/>
        <v>45833</v>
      </c>
      <c r="N43" s="9">
        <f t="shared" si="6"/>
        <v>31</v>
      </c>
      <c r="O43" s="3">
        <f t="shared" si="7"/>
        <v>5819.9300000000349</v>
      </c>
      <c r="P43" s="3">
        <f t="shared" si="8"/>
        <v>1200.9199999999992</v>
      </c>
      <c r="Q43" s="3">
        <f t="shared" si="15"/>
        <v>1139.2099999999991</v>
      </c>
      <c r="R43" s="3">
        <f t="shared" si="16"/>
        <v>61.71</v>
      </c>
      <c r="S43" s="3">
        <f>IF($L43&lt;&gt;"",IF($A43="Prepago",0,IF(ROUND($H43*$U$6,2)&gt;ROUND(SUM($S$11:$S42)+$U$6,2),$U$6*2,$U$6)),"")</f>
        <v>0</v>
      </c>
      <c r="T43" s="3">
        <f>IF($L43&lt;&gt;"",IF($A43="Prepago",0,IF(ROUND($H43*$U$7,2)&gt;ROUND(SUM($T$11:$T42)+$U$7,2),$U$7*2,$U$7)),"")</f>
        <v>0</v>
      </c>
      <c r="U43" s="3">
        <f>IF($L43&lt;&gt;"",IF($A43="Prepago",0,IF(ROUND($H43*$U$8,2)&gt;ROUND(SUM($U$11:$U42)+$U$8,2),$U$8*2,$U$8)),"")</f>
        <v>0</v>
      </c>
      <c r="V43" s="3">
        <f>IF($L43&lt;&gt;"",IF($A43="Prepago",0,IF(ROUND($H43*$U$9,2)&gt;ROUND(SUM($V$11:$V42)+$U$9,2),$U$9*2,$U$9)),"")</f>
        <v>0</v>
      </c>
      <c r="W43" s="3">
        <f t="shared" si="9"/>
        <v>4680.7200000000357</v>
      </c>
      <c r="X43" s="3">
        <f t="shared" si="10"/>
        <v>0</v>
      </c>
      <c r="Y43" s="3">
        <f t="shared" si="11"/>
        <v>61.71</v>
      </c>
      <c r="Z43" s="3">
        <f t="shared" si="12"/>
        <v>59.7</v>
      </c>
      <c r="AA43" s="3">
        <f>IF($L43&lt;&gt;"",IF($N43&gt;Z$11,IF($N43&lt;AA$11,$N43-Z$11,30),0)*ROUND(($O43+$X42+SUM($Z43:Z43))*$V$5/3000,2),"")</f>
        <v>2.0099999999999998</v>
      </c>
      <c r="AB43" s="3"/>
      <c r="AC43" s="3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</row>
    <row r="44" spans="5:86" x14ac:dyDescent="0.25">
      <c r="E44" s="5"/>
      <c r="F44" t="str">
        <f t="shared" ref="F44:F75" si="17">IF($L44&lt;&gt;"",TEXT(M44,"DDD"),"")</f>
        <v>Fri</v>
      </c>
      <c r="G44" s="5">
        <f t="shared" ref="G44:G75" si="18">IF($L44&lt;&gt;"",EOMONTH(DATE(YEAR($M$11),MONTH($M$11)-IF(DAY($N$6)&lt;$N$7,1,0),DAY($M$11)),($H44*$A$1)+IF(MESADICIONAL=TRUE,1,0)),"")</f>
        <v>45869</v>
      </c>
      <c r="H44" s="22">
        <f t="shared" ref="H44:H75" si="19">IF($L44&lt;&gt;"",IF($A44="Prepago",$H43,$H43+1)+B44,"")</f>
        <v>33</v>
      </c>
      <c r="I44" s="22">
        <f t="shared" si="3"/>
        <v>0</v>
      </c>
      <c r="J44" s="22">
        <f t="shared" ref="J44:J76" si="20">IF($L44&lt;&gt;"",IF(OR(A44&lt;&gt;"",C44&lt;&gt;""),1,0),"")</f>
        <v>0</v>
      </c>
      <c r="K44" s="22">
        <f t="shared" si="13"/>
        <v>0</v>
      </c>
      <c r="L44">
        <f t="shared" ref="L44:L107" si="21">IF($L43&lt;NCUOTAS+CUOTAADICIONAL+NPREPAGO,$L43+1,"")</f>
        <v>33</v>
      </c>
      <c r="M44" s="5">
        <f t="shared" si="14"/>
        <v>45863</v>
      </c>
      <c r="N44" s="9">
        <f t="shared" ref="N44:N107" si="22">IF($L44&lt;&gt;"",$M44-$M43,"")</f>
        <v>30</v>
      </c>
      <c r="O44" s="3">
        <f t="shared" si="7"/>
        <v>4680.7200000000357</v>
      </c>
      <c r="P44" s="3">
        <f t="shared" si="8"/>
        <v>1200.9199999999992</v>
      </c>
      <c r="Q44" s="3">
        <f t="shared" si="15"/>
        <v>1152.9199999999992</v>
      </c>
      <c r="R44" s="3">
        <f t="shared" si="16"/>
        <v>48</v>
      </c>
      <c r="S44" s="3">
        <f>IF($L44&lt;&gt;"",IF($A44="Prepago",0,IF(ROUND($H44*$U$6,2)&gt;ROUND(SUM($S$11:$S43)+$U$6,2),$U$6*2,$U$6)),"")</f>
        <v>0</v>
      </c>
      <c r="T44" s="3">
        <f>IF($L44&lt;&gt;"",IF($A44="Prepago",0,IF(ROUND($H44*$U$7,2)&gt;ROUND(SUM($T$11:$T43)+$U$7,2),$U$7*2,$U$7)),"")</f>
        <v>0</v>
      </c>
      <c r="U44" s="3">
        <f>IF($L44&lt;&gt;"",IF($A44="Prepago",0,IF(ROUND($H44*$U$8,2)&gt;ROUND(SUM($U$11:$U43)+$U$8,2),$U$8*2,$U$8)),"")</f>
        <v>0</v>
      </c>
      <c r="V44" s="3">
        <f>IF($L44&lt;&gt;"",IF($A44="Prepago",0,IF(ROUND($H44*$U$9,2)&gt;ROUND(SUM($V$11:$V43)+$U$9,2),$U$9*2,$U$9)),"")</f>
        <v>0</v>
      </c>
      <c r="W44" s="3">
        <f t="shared" ref="W44:W107" si="23">IF($L44&lt;&gt;"",$O44-$Q44,"")</f>
        <v>3527.8000000000366</v>
      </c>
      <c r="X44" s="3">
        <f t="shared" si="10"/>
        <v>0</v>
      </c>
      <c r="Y44" s="3">
        <f t="shared" si="11"/>
        <v>48</v>
      </c>
      <c r="Z44" s="3">
        <f t="shared" si="12"/>
        <v>48</v>
      </c>
      <c r="AA44" s="3">
        <f>IF($L44&lt;&gt;"",IF($N44&gt;Z$11,IF($N44&lt;AA$11,$N44-Z$11,30),0)*ROUND(($O44+$X43+SUM($Z44:Z44))*$V$5/3000,2),"")</f>
        <v>0</v>
      </c>
      <c r="AB44" s="3"/>
      <c r="AC44" s="3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</row>
    <row r="45" spans="5:86" x14ac:dyDescent="0.25">
      <c r="E45" s="5"/>
      <c r="F45" t="str">
        <f t="shared" si="17"/>
        <v>Mon</v>
      </c>
      <c r="G45" s="5">
        <f t="shared" si="18"/>
        <v>45900</v>
      </c>
      <c r="H45" s="22">
        <f t="shared" si="19"/>
        <v>34</v>
      </c>
      <c r="I45" s="22">
        <f t="shared" si="3"/>
        <v>0</v>
      </c>
      <c r="J45" s="22">
        <f t="shared" si="20"/>
        <v>0</v>
      </c>
      <c r="K45" s="22">
        <f t="shared" si="13"/>
        <v>0</v>
      </c>
      <c r="L45">
        <f t="shared" si="21"/>
        <v>34</v>
      </c>
      <c r="M45" s="5">
        <f t="shared" si="14"/>
        <v>45894</v>
      </c>
      <c r="N45" s="9">
        <f t="shared" si="22"/>
        <v>31</v>
      </c>
      <c r="O45" s="3">
        <f t="shared" si="7"/>
        <v>3527.8000000000366</v>
      </c>
      <c r="P45" s="3">
        <f t="shared" si="8"/>
        <v>1200.9199999999992</v>
      </c>
      <c r="Q45" s="3">
        <f t="shared" si="15"/>
        <v>1163.6999999999991</v>
      </c>
      <c r="R45" s="3">
        <f t="shared" si="16"/>
        <v>37.22</v>
      </c>
      <c r="S45" s="3">
        <f>IF($L45&lt;&gt;"",IF($A45="Prepago",0,IF(ROUND($H45*$U$6,2)&gt;ROUND(SUM($S$11:$S44)+$U$6,2),$U$6*2,$U$6)),"")</f>
        <v>0</v>
      </c>
      <c r="T45" s="3">
        <f>IF($L45&lt;&gt;"",IF($A45="Prepago",0,IF(ROUND($H45*$U$7,2)&gt;ROUND(SUM($T$11:$T44)+$U$7,2),$U$7*2,$U$7)),"")</f>
        <v>0</v>
      </c>
      <c r="U45" s="3">
        <f>IF($L45&lt;&gt;"",IF($A45="Prepago",0,IF(ROUND($H45*$U$8,2)&gt;ROUND(SUM($U$11:$U44)+$U$8,2),$U$8*2,$U$8)),"")</f>
        <v>0</v>
      </c>
      <c r="V45" s="3">
        <f>IF($L45&lt;&gt;"",IF($A45="Prepago",0,IF(ROUND($H45*$U$9,2)&gt;ROUND(SUM($V$11:$V44)+$U$9,2),$U$9*2,$U$9)),"")</f>
        <v>0</v>
      </c>
      <c r="W45" s="3">
        <f t="shared" si="23"/>
        <v>2364.1000000000377</v>
      </c>
      <c r="X45" s="3">
        <f t="shared" si="10"/>
        <v>0</v>
      </c>
      <c r="Y45" s="3">
        <f t="shared" si="11"/>
        <v>37.22</v>
      </c>
      <c r="Z45" s="3">
        <f t="shared" si="12"/>
        <v>36</v>
      </c>
      <c r="AA45" s="3">
        <f>IF($L45&lt;&gt;"",IF($N45&gt;Z$11,IF($N45&lt;AA$11,$N45-Z$11,30),0)*ROUND(($O45+$X44+SUM($Z45:Z45))*$V$5/3000,2),"")</f>
        <v>1.22</v>
      </c>
      <c r="AB45" s="3"/>
      <c r="AC45" s="3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</row>
    <row r="46" spans="5:86" x14ac:dyDescent="0.25">
      <c r="E46" s="5"/>
      <c r="F46" t="str">
        <f t="shared" si="17"/>
        <v>Thu</v>
      </c>
      <c r="G46" s="5">
        <f t="shared" si="18"/>
        <v>45930</v>
      </c>
      <c r="H46" s="22">
        <f t="shared" si="19"/>
        <v>35</v>
      </c>
      <c r="I46" s="22">
        <f t="shared" si="3"/>
        <v>0</v>
      </c>
      <c r="J46" s="22">
        <f t="shared" si="20"/>
        <v>0</v>
      </c>
      <c r="K46" s="22">
        <f t="shared" si="13"/>
        <v>0</v>
      </c>
      <c r="L46">
        <f t="shared" si="21"/>
        <v>35</v>
      </c>
      <c r="M46" s="5">
        <f t="shared" si="14"/>
        <v>45925</v>
      </c>
      <c r="N46" s="9">
        <f t="shared" si="22"/>
        <v>31</v>
      </c>
      <c r="O46" s="3">
        <f t="shared" si="7"/>
        <v>2364.1000000000377</v>
      </c>
      <c r="P46" s="3">
        <f t="shared" si="8"/>
        <v>1200.9199999999992</v>
      </c>
      <c r="Q46" s="3">
        <f t="shared" si="15"/>
        <v>1175.8099999999993</v>
      </c>
      <c r="R46" s="3">
        <f t="shared" si="16"/>
        <v>25.11</v>
      </c>
      <c r="S46" s="3">
        <f>IF($L46&lt;&gt;"",IF($A46="Prepago",0,IF(ROUND($H46*$U$6,2)&gt;ROUND(SUM($S$11:$S45)+$U$6,2),$U$6*2,$U$6)),"")</f>
        <v>0</v>
      </c>
      <c r="T46" s="3">
        <f>IF($L46&lt;&gt;"",IF($A46="Prepago",0,IF(ROUND($H46*$U$7,2)&gt;ROUND(SUM($T$11:$T45)+$U$7,2),$U$7*2,$U$7)),"")</f>
        <v>0</v>
      </c>
      <c r="U46" s="3">
        <f>IF($L46&lt;&gt;"",IF($A46="Prepago",0,IF(ROUND($H46*$U$8,2)&gt;ROUND(SUM($U$11:$U45)+$U$8,2),$U$8*2,$U$8)),"")</f>
        <v>0</v>
      </c>
      <c r="V46" s="3">
        <f>IF($L46&lt;&gt;"",IF($A46="Prepago",0,IF(ROUND($H46*$U$9,2)&gt;ROUND(SUM($V$11:$V45)+$U$9,2),$U$9*2,$U$9)),"")</f>
        <v>0</v>
      </c>
      <c r="W46" s="3">
        <f t="shared" si="23"/>
        <v>1188.2900000000384</v>
      </c>
      <c r="X46" s="3">
        <f t="shared" si="10"/>
        <v>0</v>
      </c>
      <c r="Y46" s="3">
        <f t="shared" si="11"/>
        <v>25.11</v>
      </c>
      <c r="Z46" s="3">
        <f t="shared" si="12"/>
        <v>24.3</v>
      </c>
      <c r="AA46" s="3">
        <f>IF($L46&lt;&gt;"",IF($N46&gt;Z$11,IF($N46&lt;AA$11,$N46-Z$11,30),0)*ROUND(($O46+$X45+SUM($Z46:Z46))*$V$5/3000,2),"")</f>
        <v>0.81</v>
      </c>
      <c r="AB46" s="3"/>
      <c r="AC46" s="3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</row>
    <row r="47" spans="5:86" x14ac:dyDescent="0.25">
      <c r="E47" s="5"/>
      <c r="F47" t="str">
        <f t="shared" si="17"/>
        <v>Sat</v>
      </c>
      <c r="G47" s="5">
        <f t="shared" si="18"/>
        <v>45961</v>
      </c>
      <c r="H47" s="22">
        <f t="shared" si="19"/>
        <v>36</v>
      </c>
      <c r="I47" s="22">
        <f t="shared" si="3"/>
        <v>0</v>
      </c>
      <c r="J47" s="22">
        <f t="shared" si="20"/>
        <v>0</v>
      </c>
      <c r="K47" s="22">
        <f t="shared" si="13"/>
        <v>0</v>
      </c>
      <c r="L47">
        <f t="shared" si="21"/>
        <v>36</v>
      </c>
      <c r="M47" s="5">
        <f t="shared" si="14"/>
        <v>45955</v>
      </c>
      <c r="N47" s="9">
        <f t="shared" si="22"/>
        <v>30</v>
      </c>
      <c r="O47" s="3">
        <f t="shared" si="7"/>
        <v>1188.2900000000384</v>
      </c>
      <c r="P47" s="3">
        <f t="shared" si="8"/>
        <v>1200.5899999999992</v>
      </c>
      <c r="Q47" s="3">
        <f t="shared" si="15"/>
        <v>1188.2899999999993</v>
      </c>
      <c r="R47" s="3">
        <f t="shared" si="16"/>
        <v>12.299999999999999</v>
      </c>
      <c r="S47" s="3">
        <f>IF($L47&lt;&gt;"",IF($A47="Prepago",0,IF(ROUND($H47*$U$6,2)&gt;ROUND(SUM($S$11:$S46)+$U$6,2),$U$6*2,$U$6)),"")</f>
        <v>0</v>
      </c>
      <c r="T47" s="3">
        <f>IF($L47&lt;&gt;"",IF($A47="Prepago",0,IF(ROUND($H47*$U$7,2)&gt;ROUND(SUM($T$11:$T46)+$U$7,2),$U$7*2,$U$7)),"")</f>
        <v>0</v>
      </c>
      <c r="U47" s="3">
        <f>IF($L47&lt;&gt;"",IF($A47="Prepago",0,IF(ROUND($H47*$U$8,2)&gt;ROUND(SUM($U$11:$U46)+$U$8,2),$U$8*2,$U$8)),"")</f>
        <v>0</v>
      </c>
      <c r="V47" s="3">
        <f>IF($L47&lt;&gt;"",IF($A47="Prepago",0,IF(ROUND($H47*$U$9,2)&gt;ROUND(SUM($V$11:$V46)+$U$9,2),$U$9*2,$U$9)),"")</f>
        <v>0</v>
      </c>
      <c r="W47" s="3">
        <f>IF($L47&lt;&gt;"",$O47-$Q47,"")</f>
        <v>3.9108272176235914E-11</v>
      </c>
      <c r="X47" s="3">
        <f t="shared" si="10"/>
        <v>0</v>
      </c>
      <c r="Y47" s="3">
        <f t="shared" si="11"/>
        <v>12.299999999999999</v>
      </c>
      <c r="Z47" s="3">
        <f t="shared" si="12"/>
        <v>12.299999999999999</v>
      </c>
      <c r="AA47" s="3">
        <f>IF($L47&lt;&gt;"",IF($N47&gt;Z$11,IF($N47&lt;AA$11,$N47-Z$11,30),0)*ROUND(($O47+$X46+SUM($Z47:Z47))*$V$5/3000,2),"")</f>
        <v>0</v>
      </c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</row>
    <row r="48" spans="5:86" x14ac:dyDescent="0.25">
      <c r="E48" s="5"/>
      <c r="F48" t="str">
        <f t="shared" si="17"/>
        <v/>
      </c>
      <c r="G48" s="5" t="str">
        <f t="shared" si="18"/>
        <v/>
      </c>
      <c r="H48" s="22" t="str">
        <f t="shared" si="19"/>
        <v/>
      </c>
      <c r="I48" s="22" t="str">
        <f t="shared" si="3"/>
        <v/>
      </c>
      <c r="J48" s="22" t="str">
        <f t="shared" si="20"/>
        <v/>
      </c>
      <c r="K48" s="22" t="str">
        <f t="shared" si="13"/>
        <v/>
      </c>
      <c r="L48" t="str">
        <f t="shared" si="21"/>
        <v/>
      </c>
      <c r="M48" s="5" t="str">
        <f t="shared" si="14"/>
        <v/>
      </c>
      <c r="N48" s="9" t="str">
        <f t="shared" si="22"/>
        <v/>
      </c>
      <c r="O48" s="3" t="str">
        <f t="shared" si="7"/>
        <v/>
      </c>
      <c r="P48" s="3" t="str">
        <f t="shared" si="8"/>
        <v/>
      </c>
      <c r="Q48" s="3" t="str">
        <f t="shared" si="15"/>
        <v/>
      </c>
      <c r="R48" s="3" t="str">
        <f t="shared" si="16"/>
        <v/>
      </c>
      <c r="S48" s="3" t="str">
        <f>IF($L48&lt;&gt;"",IF($A48="Prepago",0,IF(ROUND($H48*$U$6,2)&gt;ROUND(SUM($S$11:$S47)+$U$6,2),$U$6*2,$U$6)),"")</f>
        <v/>
      </c>
      <c r="T48" s="3" t="str">
        <f>IF($L48&lt;&gt;"",IF($A48="Prepago",0,IF(ROUND($H48*$U$7,2)&gt;ROUND(SUM($T$11:$T47)+$U$7,2),$U$7*2,$U$7)),"")</f>
        <v/>
      </c>
      <c r="U48" s="3" t="str">
        <f>IF($L48&lt;&gt;"",IF($A48="Prepago",0,IF(ROUND($H48*$U$8,2)&gt;ROUND(SUM($U$11:$U47)+$U$8,2),$U$8*2,$U$8)),"")</f>
        <v/>
      </c>
      <c r="V48" s="3" t="str">
        <f>IF($L48&lt;&gt;"",IF($A48="Prepago",0,IF(ROUND($H48*$U$9,2)&gt;ROUND(SUM($V$11:$V47)+$U$9,2),$U$9*2,$U$9)),"")</f>
        <v/>
      </c>
      <c r="W48" s="3" t="str">
        <f t="shared" si="23"/>
        <v/>
      </c>
      <c r="X48" s="3" t="str">
        <f t="shared" si="10"/>
        <v/>
      </c>
      <c r="Y48" s="3" t="str">
        <f t="shared" si="11"/>
        <v/>
      </c>
      <c r="Z48" s="3" t="str">
        <f t="shared" si="12"/>
        <v/>
      </c>
      <c r="AA48" s="3" t="str">
        <f>IF($L48&lt;&gt;"",IF($N48&gt;Z$11,IF($N48&lt;AA$11,$N48-Z$11,30),0)*ROUND(($O48+$X47+SUM($Z48:Z48))*$V$5/3000,2),"")</f>
        <v/>
      </c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</row>
    <row r="49" spans="5:86" x14ac:dyDescent="0.25">
      <c r="E49" s="5"/>
      <c r="F49" t="str">
        <f t="shared" si="17"/>
        <v/>
      </c>
      <c r="G49" s="5" t="str">
        <f t="shared" si="18"/>
        <v/>
      </c>
      <c r="H49" s="22" t="str">
        <f t="shared" si="19"/>
        <v/>
      </c>
      <c r="I49" s="22" t="str">
        <f t="shared" si="3"/>
        <v/>
      </c>
      <c r="J49" s="22" t="str">
        <f t="shared" si="20"/>
        <v/>
      </c>
      <c r="K49" s="22" t="str">
        <f t="shared" si="13"/>
        <v/>
      </c>
      <c r="L49" t="str">
        <f t="shared" si="21"/>
        <v/>
      </c>
      <c r="M49" s="5" t="str">
        <f t="shared" si="14"/>
        <v/>
      </c>
      <c r="N49" s="9" t="str">
        <f t="shared" si="22"/>
        <v/>
      </c>
      <c r="O49" s="3" t="str">
        <f t="shared" si="7"/>
        <v/>
      </c>
      <c r="P49" s="3" t="str">
        <f t="shared" si="8"/>
        <v/>
      </c>
      <c r="Q49" s="3" t="str">
        <f t="shared" si="15"/>
        <v/>
      </c>
      <c r="R49" s="3" t="str">
        <f t="shared" si="16"/>
        <v/>
      </c>
      <c r="S49" s="3" t="str">
        <f>IF($L49&lt;&gt;"",IF($A49="Prepago",0,IF(ROUND($H49*$U$6,2)&gt;ROUND(SUM($S$11:$S48)+$U$6,2),$U$6*2,$U$6)),"")</f>
        <v/>
      </c>
      <c r="T49" s="3" t="str">
        <f>IF($L49&lt;&gt;"",IF($A49="Prepago",0,IF(ROUND($H49*$U$7,2)&gt;ROUND(SUM($T$11:$T48)+$U$7,2),$U$7*2,$U$7)),"")</f>
        <v/>
      </c>
      <c r="U49" s="3" t="str">
        <f>IF($L49&lt;&gt;"",IF($A49="Prepago",0,IF(ROUND($H49*$U$8,2)&gt;ROUND(SUM($U$11:$U48)+$U$8,2),$U$8*2,$U$8)),"")</f>
        <v/>
      </c>
      <c r="V49" s="3" t="str">
        <f>IF($L49&lt;&gt;"",IF($A49="Prepago",0,IF(ROUND($H49*$U$9,2)&gt;ROUND(SUM($V$11:$V48)+$U$9,2),$U$9*2,$U$9)),"")</f>
        <v/>
      </c>
      <c r="W49" s="3" t="str">
        <f t="shared" si="23"/>
        <v/>
      </c>
      <c r="X49" s="3" t="str">
        <f t="shared" si="10"/>
        <v/>
      </c>
      <c r="Y49" s="3" t="str">
        <f t="shared" si="11"/>
        <v/>
      </c>
      <c r="Z49" s="3" t="str">
        <f t="shared" si="12"/>
        <v/>
      </c>
      <c r="AA49" s="3" t="str">
        <f>IF($L49&lt;&gt;"",IF($N49&gt;Z$11,IF($N49&lt;AA$11,$N49-Z$11,30),0)*ROUND(($O49+$X48+SUM($Z49:Z49))*$V$5/3000,2),"")</f>
        <v/>
      </c>
      <c r="AB49" s="3"/>
      <c r="AC49" s="3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</row>
    <row r="50" spans="5:86" x14ac:dyDescent="0.25">
      <c r="E50" s="5"/>
      <c r="F50" t="str">
        <f t="shared" si="17"/>
        <v/>
      </c>
      <c r="G50" s="5" t="str">
        <f t="shared" si="18"/>
        <v/>
      </c>
      <c r="H50" s="22" t="str">
        <f t="shared" si="19"/>
        <v/>
      </c>
      <c r="I50" s="22" t="str">
        <f t="shared" si="3"/>
        <v/>
      </c>
      <c r="J50" s="22" t="str">
        <f t="shared" si="20"/>
        <v/>
      </c>
      <c r="K50" s="22" t="str">
        <f t="shared" si="13"/>
        <v/>
      </c>
      <c r="L50" t="str">
        <f t="shared" si="21"/>
        <v/>
      </c>
      <c r="M50" s="5" t="str">
        <f t="shared" si="14"/>
        <v/>
      </c>
      <c r="N50" s="9" t="str">
        <f t="shared" si="22"/>
        <v/>
      </c>
      <c r="O50" s="3" t="str">
        <f t="shared" si="7"/>
        <v/>
      </c>
      <c r="P50" s="3" t="str">
        <f t="shared" si="8"/>
        <v/>
      </c>
      <c r="Q50" s="3" t="str">
        <f t="shared" si="15"/>
        <v/>
      </c>
      <c r="R50" s="3" t="str">
        <f t="shared" si="16"/>
        <v/>
      </c>
      <c r="S50" s="3" t="str">
        <f>IF($L50&lt;&gt;"",IF($A50="Prepago",0,IF(ROUND($H50*$U$6,2)&gt;ROUND(SUM($S$11:$S49)+$U$6,2),$U$6*2,$U$6)),"")</f>
        <v/>
      </c>
      <c r="T50" s="3" t="str">
        <f>IF($L50&lt;&gt;"",IF($A50="Prepago",0,IF(ROUND($H50*$U$7,2)&gt;ROUND(SUM($T$11:$T49)+$U$7,2),$U$7*2,$U$7)),"")</f>
        <v/>
      </c>
      <c r="U50" s="3" t="str">
        <f>IF($L50&lt;&gt;"",IF($A50="Prepago",0,IF(ROUND($H50*$U$8,2)&gt;ROUND(SUM($U$11:$U49)+$U$8,2),$U$8*2,$U$8)),"")</f>
        <v/>
      </c>
      <c r="V50" s="3" t="str">
        <f>IF($L50&lt;&gt;"",IF($A50="Prepago",0,IF(ROUND($H50*$U$9,2)&gt;ROUND(SUM($V$11:$V49)+$U$9,2),$U$9*2,$U$9)),"")</f>
        <v/>
      </c>
      <c r="W50" s="3" t="str">
        <f t="shared" si="23"/>
        <v/>
      </c>
      <c r="X50" s="3" t="str">
        <f t="shared" si="10"/>
        <v/>
      </c>
      <c r="Y50" s="3" t="str">
        <f t="shared" si="11"/>
        <v/>
      </c>
      <c r="Z50" s="3" t="str">
        <f t="shared" si="12"/>
        <v/>
      </c>
      <c r="AA50" s="3" t="str">
        <f>IF($L50&lt;&gt;"",IF($N50&gt;Z$11,IF($N50&lt;AA$11,$N50-Z$11,30),0)*ROUND(($O50+$X49+SUM($Z50:Z50))*$V$5/3000,2),"")</f>
        <v/>
      </c>
      <c r="AB50" s="3"/>
      <c r="AC50" s="3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</row>
    <row r="51" spans="5:86" x14ac:dyDescent="0.25">
      <c r="E51" s="5"/>
      <c r="F51" t="str">
        <f t="shared" si="17"/>
        <v/>
      </c>
      <c r="G51" s="5" t="str">
        <f t="shared" si="18"/>
        <v/>
      </c>
      <c r="H51" s="22" t="str">
        <f t="shared" si="19"/>
        <v/>
      </c>
      <c r="I51" s="22" t="str">
        <f t="shared" si="3"/>
        <v/>
      </c>
      <c r="J51" s="22" t="str">
        <f t="shared" si="20"/>
        <v/>
      </c>
      <c r="K51" s="22" t="str">
        <f t="shared" si="13"/>
        <v/>
      </c>
      <c r="L51" t="str">
        <f t="shared" si="21"/>
        <v/>
      </c>
      <c r="M51" s="5" t="str">
        <f t="shared" si="14"/>
        <v/>
      </c>
      <c r="N51" s="9" t="str">
        <f t="shared" si="22"/>
        <v/>
      </c>
      <c r="O51" s="3" t="str">
        <f t="shared" si="7"/>
        <v/>
      </c>
      <c r="P51" s="3" t="str">
        <f t="shared" si="8"/>
        <v/>
      </c>
      <c r="Q51" s="3" t="str">
        <f t="shared" si="15"/>
        <v/>
      </c>
      <c r="R51" s="3" t="str">
        <f t="shared" si="16"/>
        <v/>
      </c>
      <c r="S51" s="3" t="str">
        <f>IF($L51&lt;&gt;"",IF($A51="Prepago",0,IF(ROUND($H51*$U$6,2)&gt;ROUND(SUM($S$11:$S50)+$U$6,2),$U$6*2,$U$6)),"")</f>
        <v/>
      </c>
      <c r="T51" s="3" t="str">
        <f>IF($L51&lt;&gt;"",IF($A51="Prepago",0,IF(ROUND($H51*$U$7,2)&gt;ROUND(SUM($T$11:$T50)+$U$7,2),$U$7*2,$U$7)),"")</f>
        <v/>
      </c>
      <c r="U51" s="3" t="str">
        <f>IF($L51&lt;&gt;"",IF($A51="Prepago",0,IF(ROUND($H51*$U$8,2)&gt;ROUND(SUM($U$11:$U50)+$U$8,2),$U$8*2,$U$8)),"")</f>
        <v/>
      </c>
      <c r="V51" s="3" t="str">
        <f>IF($L51&lt;&gt;"",IF($A51="Prepago",0,IF(ROUND($H51*$U$9,2)&gt;ROUND(SUM($V$11:$V50)+$U$9,2),$U$9*2,$U$9)),"")</f>
        <v/>
      </c>
      <c r="W51" s="3" t="str">
        <f t="shared" si="23"/>
        <v/>
      </c>
      <c r="X51" s="3" t="str">
        <f t="shared" si="10"/>
        <v/>
      </c>
      <c r="Y51" s="3" t="str">
        <f t="shared" si="11"/>
        <v/>
      </c>
      <c r="Z51" s="3" t="str">
        <f t="shared" si="12"/>
        <v/>
      </c>
      <c r="AA51" s="3" t="str">
        <f>IF($L51&lt;&gt;"",IF($N51&gt;Z$11,IF($N51&lt;AA$11,$N51-Z$11,30),0)*ROUND(($O51+$X50+SUM($Z51:Z51))*$V$5/3000,2),"")</f>
        <v/>
      </c>
      <c r="AB51" s="3"/>
      <c r="AC51" s="3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</row>
    <row r="52" spans="5:86" x14ac:dyDescent="0.25">
      <c r="E52" s="5"/>
      <c r="F52" t="str">
        <f t="shared" si="17"/>
        <v/>
      </c>
      <c r="G52" s="5" t="str">
        <f t="shared" si="18"/>
        <v/>
      </c>
      <c r="H52" s="22" t="str">
        <f t="shared" si="19"/>
        <v/>
      </c>
      <c r="I52" s="22" t="str">
        <f t="shared" si="3"/>
        <v/>
      </c>
      <c r="J52" s="22" t="str">
        <f t="shared" si="20"/>
        <v/>
      </c>
      <c r="K52" s="22" t="str">
        <f t="shared" si="13"/>
        <v/>
      </c>
      <c r="L52" t="str">
        <f t="shared" si="21"/>
        <v/>
      </c>
      <c r="M52" s="5" t="str">
        <f t="shared" si="14"/>
        <v/>
      </c>
      <c r="N52" s="9" t="str">
        <f t="shared" si="22"/>
        <v/>
      </c>
      <c r="O52" s="3" t="str">
        <f t="shared" si="7"/>
        <v/>
      </c>
      <c r="P52" s="3" t="str">
        <f t="shared" si="8"/>
        <v/>
      </c>
      <c r="Q52" s="3" t="str">
        <f t="shared" si="15"/>
        <v/>
      </c>
      <c r="R52" s="3" t="str">
        <f t="shared" si="16"/>
        <v/>
      </c>
      <c r="S52" s="3" t="str">
        <f>IF($L52&lt;&gt;"",IF($A52="Prepago",0,IF(ROUND($H52*$U$6,2)&gt;ROUND(SUM($S$11:$S51)+$U$6,2),$U$6*2,$U$6)),"")</f>
        <v/>
      </c>
      <c r="T52" s="3" t="str">
        <f>IF($L52&lt;&gt;"",IF($A52="Prepago",0,IF(ROUND($H52*$U$7,2)&gt;ROUND(SUM($T$11:$T51)+$U$7,2),$U$7*2,$U$7)),"")</f>
        <v/>
      </c>
      <c r="U52" s="3" t="str">
        <f>IF($L52&lt;&gt;"",IF($A52="Prepago",0,IF(ROUND($H52*$U$8,2)&gt;ROUND(SUM($U$11:$U51)+$U$8,2),$U$8*2,$U$8)),"")</f>
        <v/>
      </c>
      <c r="V52" s="3" t="str">
        <f>IF($L52&lt;&gt;"",IF($A52="Prepago",0,IF(ROUND($H52*$U$9,2)&gt;ROUND(SUM($V$11:$V51)+$U$9,2),$U$9*2,$U$9)),"")</f>
        <v/>
      </c>
      <c r="W52" s="3" t="str">
        <f t="shared" si="23"/>
        <v/>
      </c>
      <c r="X52" s="3" t="str">
        <f t="shared" si="10"/>
        <v/>
      </c>
      <c r="Y52" s="3" t="str">
        <f t="shared" si="11"/>
        <v/>
      </c>
      <c r="Z52" s="3" t="str">
        <f t="shared" si="12"/>
        <v/>
      </c>
      <c r="AA52" s="3" t="str">
        <f>IF($L52&lt;&gt;"",IF($N52&gt;Z$11,IF($N52&lt;AA$11,$N52-Z$11,30),0)*ROUND(($O52+$X51+SUM($Z52:Z52))*$V$5/3000,2),"")</f>
        <v/>
      </c>
      <c r="AB52" s="3"/>
      <c r="AC52" s="3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</row>
    <row r="53" spans="5:86" x14ac:dyDescent="0.25">
      <c r="E53" s="5"/>
      <c r="F53" t="str">
        <f t="shared" si="17"/>
        <v/>
      </c>
      <c r="G53" s="5" t="str">
        <f t="shared" si="18"/>
        <v/>
      </c>
      <c r="H53" s="22" t="str">
        <f t="shared" si="19"/>
        <v/>
      </c>
      <c r="I53" s="22" t="str">
        <f t="shared" si="3"/>
        <v/>
      </c>
      <c r="J53" s="22" t="str">
        <f t="shared" si="20"/>
        <v/>
      </c>
      <c r="K53" s="22" t="str">
        <f t="shared" si="13"/>
        <v/>
      </c>
      <c r="L53" t="str">
        <f t="shared" si="21"/>
        <v/>
      </c>
      <c r="M53" s="5" t="str">
        <f t="shared" si="14"/>
        <v/>
      </c>
      <c r="N53" s="9" t="str">
        <f t="shared" si="22"/>
        <v/>
      </c>
      <c r="O53" s="3" t="str">
        <f t="shared" si="7"/>
        <v/>
      </c>
      <c r="P53" s="3" t="str">
        <f t="shared" si="8"/>
        <v/>
      </c>
      <c r="Q53" s="3" t="str">
        <f t="shared" si="15"/>
        <v/>
      </c>
      <c r="R53" s="3" t="str">
        <f t="shared" si="16"/>
        <v/>
      </c>
      <c r="S53" s="3" t="str">
        <f>IF($L53&lt;&gt;"",IF($A53="Prepago",0,IF(ROUND($H53*$U$6,2)&gt;ROUND(SUM($S$11:$S52)+$U$6,2),$U$6*2,$U$6)),"")</f>
        <v/>
      </c>
      <c r="T53" s="3" t="str">
        <f>IF($L53&lt;&gt;"",IF($A53="Prepago",0,IF(ROUND($H53*$U$7,2)&gt;ROUND(SUM($T$11:$T52)+$U$7,2),$U$7*2,$U$7)),"")</f>
        <v/>
      </c>
      <c r="U53" s="3" t="str">
        <f>IF($L53&lt;&gt;"",IF($A53="Prepago",0,IF(ROUND($H53*$U$8,2)&gt;ROUND(SUM($U$11:$U52)+$U$8,2),$U$8*2,$U$8)),"")</f>
        <v/>
      </c>
      <c r="V53" s="3" t="str">
        <f>IF($L53&lt;&gt;"",IF($A53="Prepago",0,IF(ROUND($H53*$U$9,2)&gt;ROUND(SUM($V$11:$V52)+$U$9,2),$U$9*2,$U$9)),"")</f>
        <v/>
      </c>
      <c r="W53" s="3" t="str">
        <f t="shared" si="23"/>
        <v/>
      </c>
      <c r="X53" s="3" t="str">
        <f t="shared" si="10"/>
        <v/>
      </c>
      <c r="Y53" s="3" t="str">
        <f t="shared" si="11"/>
        <v/>
      </c>
      <c r="Z53" s="3" t="str">
        <f t="shared" si="12"/>
        <v/>
      </c>
      <c r="AA53" s="3" t="str">
        <f>IF($L53&lt;&gt;"",IF($N53&gt;Z$11,IF($N53&lt;AA$11,$N53-Z$11,30),0)*ROUND(($O53+$X52+SUM($Z53:Z53))*$V$5/3000,2),"")</f>
        <v/>
      </c>
      <c r="AB53" s="3"/>
      <c r="AC53" s="3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</row>
    <row r="54" spans="5:86" x14ac:dyDescent="0.25">
      <c r="E54" s="5"/>
      <c r="F54" t="str">
        <f t="shared" si="17"/>
        <v/>
      </c>
      <c r="G54" s="5" t="str">
        <f t="shared" si="18"/>
        <v/>
      </c>
      <c r="H54" s="22" t="str">
        <f t="shared" si="19"/>
        <v/>
      </c>
      <c r="I54" s="22" t="str">
        <f t="shared" si="3"/>
        <v/>
      </c>
      <c r="J54" s="22" t="str">
        <f t="shared" si="20"/>
        <v/>
      </c>
      <c r="K54" s="22" t="str">
        <f t="shared" si="13"/>
        <v/>
      </c>
      <c r="L54" t="str">
        <f t="shared" si="21"/>
        <v/>
      </c>
      <c r="M54" s="5" t="str">
        <f t="shared" si="14"/>
        <v/>
      </c>
      <c r="N54" s="9" t="str">
        <f t="shared" si="22"/>
        <v/>
      </c>
      <c r="O54" s="3" t="str">
        <f t="shared" si="7"/>
        <v/>
      </c>
      <c r="P54" s="3" t="str">
        <f t="shared" si="8"/>
        <v/>
      </c>
      <c r="Q54" s="3" t="str">
        <f t="shared" si="15"/>
        <v/>
      </c>
      <c r="R54" s="3" t="str">
        <f t="shared" si="16"/>
        <v/>
      </c>
      <c r="S54" s="3" t="str">
        <f>IF($L54&lt;&gt;"",IF($A54="Prepago",0,IF(ROUND($H54*$U$6,2)&gt;ROUND(SUM($S$11:$S53)+$U$6,2),$U$6*2,$U$6)),"")</f>
        <v/>
      </c>
      <c r="T54" s="3" t="str">
        <f>IF($L54&lt;&gt;"",IF($A54="Prepago",0,IF(ROUND($H54*$U$7,2)&gt;ROUND(SUM($T$11:$T53)+$U$7,2),$U$7*2,$U$7)),"")</f>
        <v/>
      </c>
      <c r="U54" s="3" t="str">
        <f>IF($L54&lt;&gt;"",IF($A54="Prepago",0,IF(ROUND($H54*$U$8,2)&gt;ROUND(SUM($U$11:$U53)+$U$8,2),$U$8*2,$U$8)),"")</f>
        <v/>
      </c>
      <c r="V54" s="3" t="str">
        <f>IF($L54&lt;&gt;"",IF($A54="Prepago",0,IF(ROUND($H54*$U$9,2)&gt;ROUND(SUM($V$11:$V53)+$U$9,2),$U$9*2,$U$9)),"")</f>
        <v/>
      </c>
      <c r="W54" s="3" t="str">
        <f t="shared" si="23"/>
        <v/>
      </c>
      <c r="X54" s="3" t="str">
        <f t="shared" si="10"/>
        <v/>
      </c>
      <c r="Y54" s="3" t="str">
        <f t="shared" si="11"/>
        <v/>
      </c>
      <c r="Z54" s="3" t="str">
        <f t="shared" si="12"/>
        <v/>
      </c>
      <c r="AA54" s="3" t="str">
        <f>IF($L54&lt;&gt;"",IF($N54&gt;Z$11,IF($N54&lt;AA$11,$N54-Z$11,30),0)*ROUND(($O54+$X53+SUM($Z54:Z54))*$V$5/3000,2),"")</f>
        <v/>
      </c>
      <c r="AB54" s="3"/>
      <c r="AC54" s="3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</row>
    <row r="55" spans="5:86" x14ac:dyDescent="0.25">
      <c r="E55" s="5"/>
      <c r="F55" t="str">
        <f t="shared" si="17"/>
        <v/>
      </c>
      <c r="G55" s="5" t="str">
        <f t="shared" si="18"/>
        <v/>
      </c>
      <c r="H55" s="22" t="str">
        <f t="shared" si="19"/>
        <v/>
      </c>
      <c r="I55" s="22" t="str">
        <f t="shared" si="3"/>
        <v/>
      </c>
      <c r="J55" s="22" t="str">
        <f t="shared" si="20"/>
        <v/>
      </c>
      <c r="K55" s="22" t="str">
        <f t="shared" si="13"/>
        <v/>
      </c>
      <c r="L55" t="str">
        <f t="shared" si="21"/>
        <v/>
      </c>
      <c r="M55" s="5" t="str">
        <f t="shared" si="14"/>
        <v/>
      </c>
      <c r="N55" s="9" t="str">
        <f t="shared" si="22"/>
        <v/>
      </c>
      <c r="O55" s="3" t="str">
        <f t="shared" si="7"/>
        <v/>
      </c>
      <c r="P55" s="3" t="str">
        <f t="shared" si="8"/>
        <v/>
      </c>
      <c r="Q55" s="3" t="str">
        <f t="shared" si="15"/>
        <v/>
      </c>
      <c r="R55" s="3" t="str">
        <f t="shared" si="16"/>
        <v/>
      </c>
      <c r="S55" s="3" t="str">
        <f>IF($L55&lt;&gt;"",IF($A55="Prepago",0,IF(ROUND($H55*$U$6,2)&gt;ROUND(SUM($S$11:$S54)+$U$6,2),$U$6*2,$U$6)),"")</f>
        <v/>
      </c>
      <c r="T55" s="3" t="str">
        <f>IF($L55&lt;&gt;"",IF($A55="Prepago",0,IF(ROUND($H55*$U$7,2)&gt;ROUND(SUM($T$11:$T54)+$U$7,2),$U$7*2,$U$7)),"")</f>
        <v/>
      </c>
      <c r="U55" s="3" t="str">
        <f>IF($L55&lt;&gt;"",IF($A55="Prepago",0,IF(ROUND($H55*$U$8,2)&gt;ROUND(SUM($U$11:$U54)+$U$8,2),$U$8*2,$U$8)),"")</f>
        <v/>
      </c>
      <c r="V55" s="3" t="str">
        <f>IF($L55&lt;&gt;"",IF($A55="Prepago",0,IF(ROUND($H55*$U$9,2)&gt;ROUND(SUM($V$11:$V54)+$U$9,2),$U$9*2,$U$9)),"")</f>
        <v/>
      </c>
      <c r="W55" s="3" t="str">
        <f t="shared" si="23"/>
        <v/>
      </c>
      <c r="X55" s="3" t="str">
        <f t="shared" si="10"/>
        <v/>
      </c>
      <c r="Y55" s="3" t="str">
        <f t="shared" si="11"/>
        <v/>
      </c>
      <c r="Z55" s="3" t="str">
        <f t="shared" si="12"/>
        <v/>
      </c>
      <c r="AA55" s="3" t="str">
        <f>IF($L55&lt;&gt;"",IF($N55&gt;Z$11,IF($N55&lt;AA$11,$N55-Z$11,30),0)*ROUND(($O55+$X54+SUM($Z55:Z55))*$V$5/3000,2),"")</f>
        <v/>
      </c>
      <c r="AB55" s="3"/>
      <c r="AC55" s="3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</row>
    <row r="56" spans="5:86" x14ac:dyDescent="0.25">
      <c r="E56" s="5"/>
      <c r="F56" t="str">
        <f t="shared" si="17"/>
        <v/>
      </c>
      <c r="G56" s="5" t="str">
        <f t="shared" si="18"/>
        <v/>
      </c>
      <c r="H56" s="22" t="str">
        <f t="shared" si="19"/>
        <v/>
      </c>
      <c r="I56" s="22" t="str">
        <f t="shared" si="3"/>
        <v/>
      </c>
      <c r="J56" s="22" t="str">
        <f t="shared" si="20"/>
        <v/>
      </c>
      <c r="K56" s="22" t="str">
        <f t="shared" si="13"/>
        <v/>
      </c>
      <c r="L56" t="str">
        <f t="shared" si="21"/>
        <v/>
      </c>
      <c r="M56" s="5" t="str">
        <f t="shared" si="14"/>
        <v/>
      </c>
      <c r="N56" s="9" t="str">
        <f t="shared" si="22"/>
        <v/>
      </c>
      <c r="O56" s="3" t="str">
        <f t="shared" si="7"/>
        <v/>
      </c>
      <c r="P56" s="3" t="str">
        <f t="shared" si="8"/>
        <v/>
      </c>
      <c r="Q56" s="3" t="str">
        <f t="shared" si="15"/>
        <v/>
      </c>
      <c r="R56" s="3" t="str">
        <f t="shared" si="16"/>
        <v/>
      </c>
      <c r="S56" s="3" t="str">
        <f>IF($L56&lt;&gt;"",IF($A56="Prepago",0,IF(ROUND($H56*$U$6,2)&gt;ROUND(SUM($S$11:$S55)+$U$6,2),$U$6*2,$U$6)),"")</f>
        <v/>
      </c>
      <c r="T56" s="3" t="str">
        <f>IF($L56&lt;&gt;"",IF($A56="Prepago",0,IF(ROUND($H56*$U$7,2)&gt;ROUND(SUM($T$11:$T55)+$U$7,2),$U$7*2,$U$7)),"")</f>
        <v/>
      </c>
      <c r="U56" s="3" t="str">
        <f>IF($L56&lt;&gt;"",IF($A56="Prepago",0,IF(ROUND($H56*$U$8,2)&gt;ROUND(SUM($U$11:$U55)+$U$8,2),$U$8*2,$U$8)),"")</f>
        <v/>
      </c>
      <c r="V56" s="3" t="str">
        <f>IF($L56&lt;&gt;"",IF($A56="Prepago",0,IF(ROUND($H56*$U$9,2)&gt;ROUND(SUM($V$11:$V55)+$U$9,2),$U$9*2,$U$9)),"")</f>
        <v/>
      </c>
      <c r="W56" s="3" t="str">
        <f t="shared" si="23"/>
        <v/>
      </c>
      <c r="X56" s="3" t="str">
        <f t="shared" si="10"/>
        <v/>
      </c>
      <c r="Y56" s="3" t="str">
        <f t="shared" si="11"/>
        <v/>
      </c>
      <c r="Z56" s="3" t="str">
        <f t="shared" si="12"/>
        <v/>
      </c>
      <c r="AA56" s="3" t="str">
        <f>IF($L56&lt;&gt;"",IF($N56&gt;Z$11,IF($N56&lt;AA$11,$N56-Z$11,30),0)*ROUND(($O56+$X55+SUM($Z56:Z56))*$V$5/3000,2),"")</f>
        <v/>
      </c>
      <c r="AB56" s="3"/>
      <c r="AC56" s="3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</row>
    <row r="57" spans="5:86" x14ac:dyDescent="0.25">
      <c r="E57" s="5"/>
      <c r="F57" t="str">
        <f t="shared" si="17"/>
        <v/>
      </c>
      <c r="G57" s="5" t="str">
        <f t="shared" si="18"/>
        <v/>
      </c>
      <c r="H57" s="22" t="str">
        <f t="shared" si="19"/>
        <v/>
      </c>
      <c r="I57" s="22" t="str">
        <f t="shared" si="3"/>
        <v/>
      </c>
      <c r="J57" s="22" t="str">
        <f t="shared" si="20"/>
        <v/>
      </c>
      <c r="K57" s="22" t="str">
        <f t="shared" si="13"/>
        <v/>
      </c>
      <c r="L57" t="str">
        <f t="shared" si="21"/>
        <v/>
      </c>
      <c r="M57" s="5" t="str">
        <f t="shared" si="14"/>
        <v/>
      </c>
      <c r="N57" s="9" t="str">
        <f t="shared" si="22"/>
        <v/>
      </c>
      <c r="O57" s="3" t="str">
        <f t="shared" si="7"/>
        <v/>
      </c>
      <c r="P57" s="3" t="str">
        <f t="shared" si="8"/>
        <v/>
      </c>
      <c r="Q57" s="3" t="str">
        <f t="shared" si="15"/>
        <v/>
      </c>
      <c r="R57" s="3" t="str">
        <f t="shared" si="16"/>
        <v/>
      </c>
      <c r="S57" s="3" t="str">
        <f>IF($L57&lt;&gt;"",IF($A57="Prepago",0,IF(ROUND($H57*$U$6,2)&gt;ROUND(SUM($S$11:$S56)+$U$6,2),$U$6*2,$U$6)),"")</f>
        <v/>
      </c>
      <c r="T57" s="3" t="str">
        <f>IF($L57&lt;&gt;"",IF($A57="Prepago",0,IF(ROUND($H57*$U$7,2)&gt;ROUND(SUM($T$11:$T56)+$U$7,2),$U$7*2,$U$7)),"")</f>
        <v/>
      </c>
      <c r="U57" s="3" t="str">
        <f>IF($L57&lt;&gt;"",IF($A57="Prepago",0,IF(ROUND($H57*$U$8,2)&gt;ROUND(SUM($U$11:$U56)+$U$8,2),$U$8*2,$U$8)),"")</f>
        <v/>
      </c>
      <c r="V57" s="3" t="str">
        <f>IF($L57&lt;&gt;"",IF($A57="Prepago",0,IF(ROUND($H57*$U$9,2)&gt;ROUND(SUM($V$11:$V56)+$U$9,2),$U$9*2,$U$9)),"")</f>
        <v/>
      </c>
      <c r="W57" s="3" t="str">
        <f t="shared" si="23"/>
        <v/>
      </c>
      <c r="X57" s="3" t="str">
        <f t="shared" si="10"/>
        <v/>
      </c>
      <c r="Y57" s="3" t="str">
        <f t="shared" si="11"/>
        <v/>
      </c>
      <c r="Z57" s="3" t="str">
        <f t="shared" si="12"/>
        <v/>
      </c>
      <c r="AA57" s="3" t="str">
        <f>IF($L57&lt;&gt;"",IF($N57&gt;Z$11,IF($N57&lt;AA$11,$N57-Z$11,30),0)*ROUND(($O57+$X56+SUM($Z57:Z57))*$V$5/3000,2),"")</f>
        <v/>
      </c>
      <c r="AB57" s="3"/>
      <c r="AC57" s="3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</row>
    <row r="58" spans="5:86" x14ac:dyDescent="0.25">
      <c r="E58" s="5"/>
      <c r="F58" t="str">
        <f t="shared" si="17"/>
        <v/>
      </c>
      <c r="G58" s="5" t="str">
        <f t="shared" si="18"/>
        <v/>
      </c>
      <c r="H58" s="22" t="str">
        <f t="shared" si="19"/>
        <v/>
      </c>
      <c r="I58" s="22" t="str">
        <f t="shared" si="3"/>
        <v/>
      </c>
      <c r="J58" s="22" t="str">
        <f t="shared" si="20"/>
        <v/>
      </c>
      <c r="K58" s="22" t="str">
        <f t="shared" si="13"/>
        <v/>
      </c>
      <c r="L58" t="str">
        <f t="shared" si="21"/>
        <v/>
      </c>
      <c r="M58" s="5" t="str">
        <f t="shared" si="14"/>
        <v/>
      </c>
      <c r="N58" s="9" t="str">
        <f t="shared" si="22"/>
        <v/>
      </c>
      <c r="O58" s="3" t="str">
        <f t="shared" si="7"/>
        <v/>
      </c>
      <c r="P58" s="3" t="str">
        <f t="shared" si="8"/>
        <v/>
      </c>
      <c r="Q58" s="3" t="str">
        <f t="shared" si="15"/>
        <v/>
      </c>
      <c r="R58" s="3" t="str">
        <f t="shared" si="16"/>
        <v/>
      </c>
      <c r="S58" s="3" t="str">
        <f>IF($L58&lt;&gt;"",IF($A58="Prepago",0,IF(ROUND($H58*$U$6,2)&gt;ROUND(SUM($S$11:$S57)+$U$6,2),$U$6*2,$U$6)),"")</f>
        <v/>
      </c>
      <c r="T58" s="3" t="str">
        <f>IF($L58&lt;&gt;"",IF($A58="Prepago",0,IF(ROUND($H58*$U$7,2)&gt;ROUND(SUM($T$11:$T57)+$U$7,2),$U$7*2,$U$7)),"")</f>
        <v/>
      </c>
      <c r="U58" s="3" t="str">
        <f>IF($L58&lt;&gt;"",IF($A58="Prepago",0,IF(ROUND($H58*$U$8,2)&gt;ROUND(SUM($U$11:$U57)+$U$8,2),$U$8*2,$U$8)),"")</f>
        <v/>
      </c>
      <c r="V58" s="3" t="str">
        <f>IF($L58&lt;&gt;"",IF($A58="Prepago",0,IF(ROUND($H58*$U$9,2)&gt;ROUND(SUM($V$11:$V57)+$U$9,2),$U$9*2,$U$9)),"")</f>
        <v/>
      </c>
      <c r="W58" s="3" t="str">
        <f t="shared" si="23"/>
        <v/>
      </c>
      <c r="X58" s="3" t="str">
        <f t="shared" si="10"/>
        <v/>
      </c>
      <c r="Y58" s="3" t="str">
        <f t="shared" si="11"/>
        <v/>
      </c>
      <c r="Z58" s="3" t="str">
        <f t="shared" si="12"/>
        <v/>
      </c>
      <c r="AA58" s="3" t="str">
        <f>IF($L58&lt;&gt;"",IF($N58&gt;Z$11,IF($N58&lt;AA$11,$N58-Z$11,30),0)*ROUND(($O58+$X57+SUM($Z58:Z58))*$V$5/3000,2),"")</f>
        <v/>
      </c>
      <c r="AB58" s="3"/>
      <c r="AC58" s="3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</row>
    <row r="59" spans="5:86" x14ac:dyDescent="0.25">
      <c r="E59" s="5"/>
      <c r="F59" t="str">
        <f t="shared" si="17"/>
        <v/>
      </c>
      <c r="G59" s="5" t="str">
        <f t="shared" si="18"/>
        <v/>
      </c>
      <c r="H59" s="22" t="str">
        <f t="shared" si="19"/>
        <v/>
      </c>
      <c r="I59" s="22" t="str">
        <f t="shared" si="3"/>
        <v/>
      </c>
      <c r="J59" s="22" t="str">
        <f t="shared" si="20"/>
        <v/>
      </c>
      <c r="K59" s="22" t="str">
        <f t="shared" si="13"/>
        <v/>
      </c>
      <c r="L59" t="str">
        <f t="shared" si="21"/>
        <v/>
      </c>
      <c r="M59" s="5" t="str">
        <f t="shared" si="14"/>
        <v/>
      </c>
      <c r="N59" s="9" t="str">
        <f t="shared" si="22"/>
        <v/>
      </c>
      <c r="O59" s="3" t="str">
        <f t="shared" si="7"/>
        <v/>
      </c>
      <c r="P59" s="3" t="str">
        <f t="shared" si="8"/>
        <v/>
      </c>
      <c r="Q59" s="3" t="str">
        <f t="shared" si="15"/>
        <v/>
      </c>
      <c r="R59" s="3" t="str">
        <f t="shared" si="16"/>
        <v/>
      </c>
      <c r="S59" s="3" t="str">
        <f>IF($L59&lt;&gt;"",IF($A59="Prepago",0,IF(ROUND($H59*$U$6,2)&gt;ROUND(SUM($S$11:$S58)+$U$6,2),$U$6*2,$U$6)),"")</f>
        <v/>
      </c>
      <c r="T59" s="3" t="str">
        <f>IF($L59&lt;&gt;"",IF($A59="Prepago",0,IF(ROUND($H59*$U$7,2)&gt;ROUND(SUM($T$11:$T58)+$U$7,2),$U$7*2,$U$7)),"")</f>
        <v/>
      </c>
      <c r="U59" s="3" t="str">
        <f>IF($L59&lt;&gt;"",IF($A59="Prepago",0,IF(ROUND($H59*$U$8,2)&gt;ROUND(SUM($U$11:$U58)+$U$8,2),$U$8*2,$U$8)),"")</f>
        <v/>
      </c>
      <c r="V59" s="3" t="str">
        <f>IF($L59&lt;&gt;"",IF($A59="Prepago",0,IF(ROUND($H59*$U$9,2)&gt;ROUND(SUM($V$11:$V58)+$U$9,2),$U$9*2,$U$9)),"")</f>
        <v/>
      </c>
      <c r="W59" s="3" t="str">
        <f t="shared" si="23"/>
        <v/>
      </c>
      <c r="X59" s="3" t="str">
        <f t="shared" si="10"/>
        <v/>
      </c>
      <c r="Y59" s="3" t="str">
        <f t="shared" si="11"/>
        <v/>
      </c>
      <c r="Z59" s="3" t="str">
        <f t="shared" si="12"/>
        <v/>
      </c>
      <c r="AA59" s="3" t="str">
        <f>IF($L59&lt;&gt;"",IF($N59&gt;Z$11,IF($N59&lt;AA$11,$N59-Z$11,30),0)*ROUND(($O59+$X58+SUM($Z59:Z59))*$V$5/3000,2),"")</f>
        <v/>
      </c>
      <c r="AB59" s="3"/>
      <c r="AC59" s="3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</row>
    <row r="60" spans="5:86" x14ac:dyDescent="0.25">
      <c r="E60" s="5"/>
      <c r="F60" t="str">
        <f t="shared" si="17"/>
        <v/>
      </c>
      <c r="G60" s="5" t="str">
        <f t="shared" si="18"/>
        <v/>
      </c>
      <c r="H60" s="22" t="str">
        <f t="shared" si="19"/>
        <v/>
      </c>
      <c r="I60" s="22" t="str">
        <f t="shared" si="3"/>
        <v/>
      </c>
      <c r="J60" s="22" t="str">
        <f t="shared" si="20"/>
        <v/>
      </c>
      <c r="K60" s="22" t="str">
        <f t="shared" si="13"/>
        <v/>
      </c>
      <c r="L60" t="str">
        <f t="shared" si="21"/>
        <v/>
      </c>
      <c r="M60" s="5" t="str">
        <f t="shared" si="14"/>
        <v/>
      </c>
      <c r="N60" s="9" t="str">
        <f t="shared" si="22"/>
        <v/>
      </c>
      <c r="O60" s="3" t="str">
        <f t="shared" si="7"/>
        <v/>
      </c>
      <c r="P60" s="3" t="str">
        <f t="shared" si="8"/>
        <v/>
      </c>
      <c r="Q60" s="3" t="str">
        <f t="shared" si="15"/>
        <v/>
      </c>
      <c r="R60" s="3" t="str">
        <f t="shared" si="16"/>
        <v/>
      </c>
      <c r="S60" s="3" t="str">
        <f>IF($L60&lt;&gt;"",IF($A60="Prepago",0,IF(ROUND($H60*$U$6,2)&gt;ROUND(SUM($S$11:$S59)+$U$6,2),$U$6*2,$U$6)),"")</f>
        <v/>
      </c>
      <c r="T60" s="3" t="str">
        <f>IF($L60&lt;&gt;"",IF($A60="Prepago",0,IF(ROUND($H60*$U$7,2)&gt;ROUND(SUM($T$11:$T59)+$U$7,2),$U$7*2,$U$7)),"")</f>
        <v/>
      </c>
      <c r="U60" s="3" t="str">
        <f>IF($L60&lt;&gt;"",IF($A60="Prepago",0,IF(ROUND($H60*$U$8,2)&gt;ROUND(SUM($U$11:$U59)+$U$8,2),$U$8*2,$U$8)),"")</f>
        <v/>
      </c>
      <c r="V60" s="3" t="str">
        <f>IF($L60&lt;&gt;"",IF($A60="Prepago",0,IF(ROUND($H60*$U$9,2)&gt;ROUND(SUM($V$11:$V59)+$U$9,2),$U$9*2,$U$9)),"")</f>
        <v/>
      </c>
      <c r="W60" s="3" t="str">
        <f t="shared" si="23"/>
        <v/>
      </c>
      <c r="X60" s="3" t="str">
        <f t="shared" si="10"/>
        <v/>
      </c>
      <c r="Y60" s="3" t="str">
        <f t="shared" si="11"/>
        <v/>
      </c>
      <c r="Z60" s="3" t="str">
        <f t="shared" si="12"/>
        <v/>
      </c>
      <c r="AA60" s="3" t="str">
        <f>IF($L60&lt;&gt;"",IF($N60&gt;Z$11,IF($N60&lt;AA$11,$N60-Z$11,30),0)*ROUND(($O60+$X59+SUM($Z60:Z60))*$V$5/3000,2),"")</f>
        <v/>
      </c>
      <c r="AB60" s="3"/>
      <c r="AC60" s="3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</row>
    <row r="61" spans="5:86" x14ac:dyDescent="0.25">
      <c r="E61" s="5"/>
      <c r="F61" t="str">
        <f t="shared" si="17"/>
        <v/>
      </c>
      <c r="G61" s="5" t="str">
        <f t="shared" si="18"/>
        <v/>
      </c>
      <c r="H61" s="22" t="str">
        <f t="shared" si="19"/>
        <v/>
      </c>
      <c r="I61" s="22" t="str">
        <f t="shared" si="3"/>
        <v/>
      </c>
      <c r="J61" s="22" t="str">
        <f t="shared" si="20"/>
        <v/>
      </c>
      <c r="K61" s="22" t="str">
        <f t="shared" si="13"/>
        <v/>
      </c>
      <c r="L61" t="str">
        <f t="shared" si="21"/>
        <v/>
      </c>
      <c r="M61" s="5" t="str">
        <f t="shared" si="14"/>
        <v/>
      </c>
      <c r="N61" s="9" t="str">
        <f t="shared" si="22"/>
        <v/>
      </c>
      <c r="O61" s="3" t="str">
        <f t="shared" si="7"/>
        <v/>
      </c>
      <c r="P61" s="3" t="str">
        <f t="shared" si="8"/>
        <v/>
      </c>
      <c r="Q61" s="3" t="str">
        <f t="shared" si="15"/>
        <v/>
      </c>
      <c r="R61" s="3" t="str">
        <f t="shared" si="16"/>
        <v/>
      </c>
      <c r="S61" s="3" t="str">
        <f>IF($L61&lt;&gt;"",IF($A61="Prepago",0,IF(ROUND($H61*$U$6,2)&gt;ROUND(SUM($S$11:$S60)+$U$6,2),$U$6*2,$U$6)),"")</f>
        <v/>
      </c>
      <c r="T61" s="3" t="str">
        <f>IF($L61&lt;&gt;"",IF($A61="Prepago",0,IF(ROUND($H61*$U$7,2)&gt;ROUND(SUM($T$11:$T60)+$U$7,2),$U$7*2,$U$7)),"")</f>
        <v/>
      </c>
      <c r="U61" s="3" t="str">
        <f>IF($L61&lt;&gt;"",IF($A61="Prepago",0,IF(ROUND($H61*$U$8,2)&gt;ROUND(SUM($U$11:$U60)+$U$8,2),$U$8*2,$U$8)),"")</f>
        <v/>
      </c>
      <c r="V61" s="3" t="str">
        <f>IF($L61&lt;&gt;"",IF($A61="Prepago",0,IF(ROUND($H61*$U$9,2)&gt;ROUND(SUM($V$11:$V60)+$U$9,2),$U$9*2,$U$9)),"")</f>
        <v/>
      </c>
      <c r="W61" s="3" t="str">
        <f t="shared" si="23"/>
        <v/>
      </c>
      <c r="X61" s="3" t="str">
        <f t="shared" si="10"/>
        <v/>
      </c>
      <c r="Y61" s="3" t="str">
        <f t="shared" si="11"/>
        <v/>
      </c>
      <c r="Z61" s="3" t="str">
        <f t="shared" si="12"/>
        <v/>
      </c>
      <c r="AA61" s="3" t="str">
        <f>IF($L61&lt;&gt;"",IF($N61&gt;Z$11,IF($N61&lt;AA$11,$N61-Z$11,30),0)*ROUND(($O61+$X60+SUM($Z61:Z61))*$V$5/3000,2),"")</f>
        <v/>
      </c>
      <c r="AB61" s="3"/>
      <c r="AC61" s="3"/>
    </row>
    <row r="62" spans="5:86" x14ac:dyDescent="0.25">
      <c r="E62" s="5"/>
      <c r="F62" t="str">
        <f t="shared" si="17"/>
        <v/>
      </c>
      <c r="G62" s="5" t="str">
        <f t="shared" si="18"/>
        <v/>
      </c>
      <c r="H62" s="22" t="str">
        <f t="shared" si="19"/>
        <v/>
      </c>
      <c r="I62" s="22" t="str">
        <f t="shared" si="3"/>
        <v/>
      </c>
      <c r="J62" s="22" t="str">
        <f t="shared" si="20"/>
        <v/>
      </c>
      <c r="K62" s="22" t="str">
        <f t="shared" si="13"/>
        <v/>
      </c>
      <c r="L62" t="str">
        <f t="shared" si="21"/>
        <v/>
      </c>
      <c r="M62" s="5" t="str">
        <f t="shared" si="14"/>
        <v/>
      </c>
      <c r="N62" s="9" t="str">
        <f t="shared" si="22"/>
        <v/>
      </c>
      <c r="O62" s="3" t="str">
        <f t="shared" si="7"/>
        <v/>
      </c>
      <c r="P62" s="3" t="str">
        <f t="shared" si="8"/>
        <v/>
      </c>
      <c r="Q62" s="3" t="str">
        <f t="shared" si="15"/>
        <v/>
      </c>
      <c r="R62" s="3" t="str">
        <f t="shared" si="16"/>
        <v/>
      </c>
      <c r="S62" s="3" t="str">
        <f>IF($L62&lt;&gt;"",IF($A62="Prepago",0,IF(ROUND($H62*$U$6,2)&gt;ROUND(SUM($S$11:$S61)+$U$6,2),$U$6*2,$U$6)),"")</f>
        <v/>
      </c>
      <c r="T62" s="3" t="str">
        <f>IF($L62&lt;&gt;"",IF($A62="Prepago",0,IF(ROUND($H62*$U$7,2)&gt;ROUND(SUM($T$11:$T61)+$U$7,2),$U$7*2,$U$7)),"")</f>
        <v/>
      </c>
      <c r="U62" s="3" t="str">
        <f>IF($L62&lt;&gt;"",IF($A62="Prepago",0,IF(ROUND($H62*$U$8,2)&gt;ROUND(SUM($U$11:$U61)+$U$8,2),$U$8*2,$U$8)),"")</f>
        <v/>
      </c>
      <c r="V62" s="3" t="str">
        <f>IF($L62&lt;&gt;"",IF($A62="Prepago",0,IF(ROUND($H62*$U$9,2)&gt;ROUND(SUM($V$11:$V61)+$U$9,2),$U$9*2,$U$9)),"")</f>
        <v/>
      </c>
      <c r="W62" s="3" t="str">
        <f t="shared" si="23"/>
        <v/>
      </c>
      <c r="X62" s="3" t="str">
        <f t="shared" si="10"/>
        <v/>
      </c>
      <c r="Y62" s="3" t="str">
        <f t="shared" si="11"/>
        <v/>
      </c>
      <c r="Z62" s="3" t="str">
        <f t="shared" si="12"/>
        <v/>
      </c>
      <c r="AA62" s="3" t="str">
        <f>IF($L62&lt;&gt;"",IF($N62&gt;Z$11,IF($N62&lt;AA$11,$N62-Z$11,30),0)*ROUND(($O62+$X61+SUM($Z62:Z62))*$V$5/3000,2),"")</f>
        <v/>
      </c>
      <c r="AB62" s="3"/>
      <c r="AC62" s="3"/>
    </row>
    <row r="63" spans="5:86" x14ac:dyDescent="0.25">
      <c r="E63" s="5"/>
      <c r="F63" t="str">
        <f t="shared" si="17"/>
        <v/>
      </c>
      <c r="G63" s="5" t="str">
        <f t="shared" si="18"/>
        <v/>
      </c>
      <c r="H63" s="22" t="str">
        <f t="shared" si="19"/>
        <v/>
      </c>
      <c r="I63" s="22" t="str">
        <f t="shared" si="3"/>
        <v/>
      </c>
      <c r="J63" s="22" t="str">
        <f t="shared" si="20"/>
        <v/>
      </c>
      <c r="K63" s="22" t="str">
        <f t="shared" si="13"/>
        <v/>
      </c>
      <c r="L63" t="str">
        <f t="shared" si="21"/>
        <v/>
      </c>
      <c r="M63" s="5" t="str">
        <f t="shared" si="14"/>
        <v/>
      </c>
      <c r="N63" s="9" t="str">
        <f t="shared" si="22"/>
        <v/>
      </c>
      <c r="O63" s="3" t="str">
        <f t="shared" si="7"/>
        <v/>
      </c>
      <c r="P63" s="3" t="str">
        <f t="shared" si="8"/>
        <v/>
      </c>
      <c r="Q63" s="3" t="str">
        <f t="shared" si="15"/>
        <v/>
      </c>
      <c r="R63" s="3" t="str">
        <f t="shared" si="16"/>
        <v/>
      </c>
      <c r="S63" s="3" t="str">
        <f>IF($L63&lt;&gt;"",IF($A63="Prepago",0,IF(ROUND($H63*$U$6,2)&gt;ROUND(SUM($S$11:$S62)+$U$6,2),$U$6*2,$U$6)),"")</f>
        <v/>
      </c>
      <c r="T63" s="3" t="str">
        <f>IF($L63&lt;&gt;"",IF($A63="Prepago",0,IF(ROUND($H63*$U$7,2)&gt;ROUND(SUM($T$11:$T62)+$U$7,2),$U$7*2,$U$7)),"")</f>
        <v/>
      </c>
      <c r="U63" s="3" t="str">
        <f>IF($L63&lt;&gt;"",IF($A63="Prepago",0,IF(ROUND($H63*$U$8,2)&gt;ROUND(SUM($U$11:$U62)+$U$8,2),$U$8*2,$U$8)),"")</f>
        <v/>
      </c>
      <c r="V63" s="3" t="str">
        <f>IF($L63&lt;&gt;"",IF($A63="Prepago",0,IF(ROUND($H63*$U$9,2)&gt;ROUND(SUM($V$11:$V62)+$U$9,2),$U$9*2,$U$9)),"")</f>
        <v/>
      </c>
      <c r="W63" s="3" t="str">
        <f t="shared" si="23"/>
        <v/>
      </c>
      <c r="X63" s="3" t="str">
        <f t="shared" si="10"/>
        <v/>
      </c>
      <c r="Y63" s="3" t="str">
        <f t="shared" si="11"/>
        <v/>
      </c>
      <c r="Z63" s="3" t="str">
        <f t="shared" si="12"/>
        <v/>
      </c>
      <c r="AA63" s="3" t="str">
        <f>IF($L63&lt;&gt;"",IF($N63&gt;Z$11,IF($N63&lt;AA$11,$N63-Z$11,30),0)*ROUND(($O63+$X62+SUM($Z63:Z63))*$V$5/3000,2),"")</f>
        <v/>
      </c>
      <c r="AB63" s="3"/>
      <c r="AC63" s="3"/>
    </row>
    <row r="64" spans="5:86" x14ac:dyDescent="0.25">
      <c r="E64" s="5"/>
      <c r="F64" t="str">
        <f t="shared" si="17"/>
        <v/>
      </c>
      <c r="G64" s="5" t="str">
        <f t="shared" si="18"/>
        <v/>
      </c>
      <c r="H64" s="22" t="str">
        <f t="shared" si="19"/>
        <v/>
      </c>
      <c r="I64" s="22" t="str">
        <f t="shared" si="3"/>
        <v/>
      </c>
      <c r="J64" s="22" t="str">
        <f t="shared" si="20"/>
        <v/>
      </c>
      <c r="K64" s="22" t="str">
        <f t="shared" si="13"/>
        <v/>
      </c>
      <c r="L64" t="str">
        <f t="shared" si="21"/>
        <v/>
      </c>
      <c r="M64" s="5" t="str">
        <f t="shared" si="14"/>
        <v/>
      </c>
      <c r="N64" s="9" t="str">
        <f t="shared" si="22"/>
        <v/>
      </c>
      <c r="O64" s="3" t="str">
        <f t="shared" si="7"/>
        <v/>
      </c>
      <c r="P64" s="3" t="str">
        <f t="shared" si="8"/>
        <v/>
      </c>
      <c r="Q64" s="3" t="str">
        <f t="shared" si="15"/>
        <v/>
      </c>
      <c r="R64" s="3" t="str">
        <f t="shared" si="16"/>
        <v/>
      </c>
      <c r="S64" s="3" t="str">
        <f>IF($L64&lt;&gt;"",IF($A64="Prepago",0,IF(ROUND($H64*$U$6,2)&gt;ROUND(SUM($S$11:$S63)+$U$6,2),$U$6*2,$U$6)),"")</f>
        <v/>
      </c>
      <c r="T64" s="3" t="str">
        <f>IF($L64&lt;&gt;"",IF($A64="Prepago",0,IF(ROUND($H64*$U$7,2)&gt;ROUND(SUM($T$11:$T63)+$U$7,2),$U$7*2,$U$7)),"")</f>
        <v/>
      </c>
      <c r="U64" s="3" t="str">
        <f>IF($L64&lt;&gt;"",IF($A64="Prepago",0,IF(ROUND($H64*$U$8,2)&gt;ROUND(SUM($U$11:$U63)+$U$8,2),$U$8*2,$U$8)),"")</f>
        <v/>
      </c>
      <c r="V64" s="3" t="str">
        <f>IF($L64&lt;&gt;"",IF($A64="Prepago",0,IF(ROUND($H64*$U$9,2)&gt;ROUND(SUM($V$11:$V63)+$U$9,2),$U$9*2,$U$9)),"")</f>
        <v/>
      </c>
      <c r="W64" s="3" t="str">
        <f t="shared" si="23"/>
        <v/>
      </c>
      <c r="X64" s="3" t="str">
        <f t="shared" si="10"/>
        <v/>
      </c>
      <c r="Y64" s="3" t="str">
        <f t="shared" si="11"/>
        <v/>
      </c>
      <c r="Z64" s="3" t="str">
        <f t="shared" si="12"/>
        <v/>
      </c>
      <c r="AA64" s="3" t="str">
        <f>IF($L64&lt;&gt;"",IF($N64&gt;Z$11,IF($N64&lt;AA$11,$N64-Z$11,30),0)*ROUND(($O64+$X63+SUM($Z64:Z64))*$V$5/3000,2),"")</f>
        <v/>
      </c>
      <c r="AB64" s="3"/>
      <c r="AC64" s="3"/>
    </row>
    <row r="65" spans="5:29" x14ac:dyDescent="0.25">
      <c r="E65" s="5"/>
      <c r="F65" t="str">
        <f t="shared" si="17"/>
        <v/>
      </c>
      <c r="G65" s="5" t="str">
        <f t="shared" si="18"/>
        <v/>
      </c>
      <c r="H65" s="22" t="str">
        <f t="shared" si="19"/>
        <v/>
      </c>
      <c r="I65" s="22" t="str">
        <f t="shared" si="3"/>
        <v/>
      </c>
      <c r="J65" s="22" t="str">
        <f t="shared" si="20"/>
        <v/>
      </c>
      <c r="K65" s="22" t="str">
        <f t="shared" si="13"/>
        <v/>
      </c>
      <c r="L65" t="str">
        <f t="shared" si="21"/>
        <v/>
      </c>
      <c r="M65" s="5" t="str">
        <f t="shared" si="14"/>
        <v/>
      </c>
      <c r="N65" s="9" t="str">
        <f t="shared" si="22"/>
        <v/>
      </c>
      <c r="O65" s="3" t="str">
        <f t="shared" si="7"/>
        <v/>
      </c>
      <c r="P65" s="3" t="str">
        <f t="shared" si="8"/>
        <v/>
      </c>
      <c r="Q65" s="3" t="str">
        <f t="shared" si="15"/>
        <v/>
      </c>
      <c r="R65" s="3" t="str">
        <f t="shared" si="16"/>
        <v/>
      </c>
      <c r="S65" s="3" t="str">
        <f>IF($L65&lt;&gt;"",IF($A65="Prepago",0,IF(ROUND($H65*$U$6,2)&gt;ROUND(SUM($S$11:$S64)+$U$6,2),$U$6*2,$U$6)),"")</f>
        <v/>
      </c>
      <c r="T65" s="3" t="str">
        <f>IF($L65&lt;&gt;"",IF($A65="Prepago",0,IF(ROUND($H65*$U$7,2)&gt;ROUND(SUM($T$11:$T64)+$U$7,2),$U$7*2,$U$7)),"")</f>
        <v/>
      </c>
      <c r="U65" s="3" t="str">
        <f>IF($L65&lt;&gt;"",IF($A65="Prepago",0,IF(ROUND($H65*$U$8,2)&gt;ROUND(SUM($U$11:$U64)+$U$8,2),$U$8*2,$U$8)),"")</f>
        <v/>
      </c>
      <c r="V65" s="3" t="str">
        <f>IF($L65&lt;&gt;"",IF($A65="Prepago",0,IF(ROUND($H65*$U$9,2)&gt;ROUND(SUM($V$11:$V64)+$U$9,2),$U$9*2,$U$9)),"")</f>
        <v/>
      </c>
      <c r="W65" s="3" t="str">
        <f t="shared" si="23"/>
        <v/>
      </c>
      <c r="X65" s="3" t="str">
        <f t="shared" si="10"/>
        <v/>
      </c>
      <c r="Y65" s="3" t="str">
        <f t="shared" si="11"/>
        <v/>
      </c>
      <c r="Z65" s="3" t="str">
        <f t="shared" si="12"/>
        <v/>
      </c>
      <c r="AA65" s="3" t="str">
        <f>IF($L65&lt;&gt;"",IF($N65&gt;Z$11,IF($N65&lt;AA$11,$N65-Z$11,30),0)*ROUND(($O65+$X64+SUM($Z65:Z65))*$V$5/3000,2),"")</f>
        <v/>
      </c>
      <c r="AB65" s="3"/>
      <c r="AC65" s="3"/>
    </row>
    <row r="66" spans="5:29" x14ac:dyDescent="0.25">
      <c r="E66" s="5"/>
      <c r="F66" t="str">
        <f t="shared" si="17"/>
        <v/>
      </c>
      <c r="G66" s="5" t="str">
        <f t="shared" si="18"/>
        <v/>
      </c>
      <c r="H66" s="22" t="str">
        <f t="shared" si="19"/>
        <v/>
      </c>
      <c r="I66" s="22" t="str">
        <f t="shared" si="3"/>
        <v/>
      </c>
      <c r="J66" s="22" t="str">
        <f t="shared" si="20"/>
        <v/>
      </c>
      <c r="K66" s="22" t="str">
        <f t="shared" si="13"/>
        <v/>
      </c>
      <c r="L66" t="str">
        <f t="shared" si="21"/>
        <v/>
      </c>
      <c r="M66" s="5" t="str">
        <f t="shared" si="14"/>
        <v/>
      </c>
      <c r="N66" s="9" t="str">
        <f t="shared" si="22"/>
        <v/>
      </c>
      <c r="O66" s="3" t="str">
        <f t="shared" si="7"/>
        <v/>
      </c>
      <c r="P66" s="3" t="str">
        <f t="shared" si="8"/>
        <v/>
      </c>
      <c r="Q66" s="3" t="str">
        <f t="shared" si="15"/>
        <v/>
      </c>
      <c r="R66" s="3" t="str">
        <f t="shared" si="16"/>
        <v/>
      </c>
      <c r="S66" s="3" t="str">
        <f>IF($L66&lt;&gt;"",IF($A66="Prepago",0,IF(ROUND($H66*$U$6,2)&gt;ROUND(SUM($S$11:$S65)+$U$6,2),$U$6*2,$U$6)),"")</f>
        <v/>
      </c>
      <c r="T66" s="3" t="str">
        <f>IF($L66&lt;&gt;"",IF($A66="Prepago",0,IF(ROUND($H66*$U$7,2)&gt;ROUND(SUM($T$11:$T65)+$U$7,2),$U$7*2,$U$7)),"")</f>
        <v/>
      </c>
      <c r="U66" s="3" t="str">
        <f>IF($L66&lt;&gt;"",IF($A66="Prepago",0,IF(ROUND($H66*$U$8,2)&gt;ROUND(SUM($U$11:$U65)+$U$8,2),$U$8*2,$U$8)),"")</f>
        <v/>
      </c>
      <c r="V66" s="3" t="str">
        <f>IF($L66&lt;&gt;"",IF($A66="Prepago",0,IF(ROUND($H66*$U$9,2)&gt;ROUND(SUM($V$11:$V65)+$U$9,2),$U$9*2,$U$9)),"")</f>
        <v/>
      </c>
      <c r="W66" s="3" t="str">
        <f t="shared" si="23"/>
        <v/>
      </c>
      <c r="X66" s="3" t="str">
        <f t="shared" si="10"/>
        <v/>
      </c>
      <c r="Y66" s="3" t="str">
        <f t="shared" si="11"/>
        <v/>
      </c>
      <c r="Z66" s="3" t="str">
        <f t="shared" si="12"/>
        <v/>
      </c>
      <c r="AA66" s="3" t="str">
        <f>IF($L66&lt;&gt;"",IF($N66&gt;Z$11,IF($N66&lt;AA$11,$N66-Z$11,30),0)*ROUND(($O66+$X65+SUM($Z66:Z66))*$V$5/3000,2),"")</f>
        <v/>
      </c>
      <c r="AB66" s="3"/>
      <c r="AC66" s="3"/>
    </row>
    <row r="67" spans="5:29" x14ac:dyDescent="0.25">
      <c r="E67" s="5"/>
      <c r="F67" t="str">
        <f t="shared" si="17"/>
        <v/>
      </c>
      <c r="G67" s="5" t="str">
        <f t="shared" si="18"/>
        <v/>
      </c>
      <c r="H67" s="22" t="str">
        <f t="shared" si="19"/>
        <v/>
      </c>
      <c r="I67" s="22" t="str">
        <f t="shared" si="3"/>
        <v/>
      </c>
      <c r="J67" s="22" t="str">
        <f t="shared" si="20"/>
        <v/>
      </c>
      <c r="K67" s="22" t="str">
        <f t="shared" si="13"/>
        <v/>
      </c>
      <c r="L67" t="str">
        <f t="shared" si="21"/>
        <v/>
      </c>
      <c r="M67" s="5" t="str">
        <f t="shared" si="14"/>
        <v/>
      </c>
      <c r="N67" s="9" t="str">
        <f t="shared" si="22"/>
        <v/>
      </c>
      <c r="O67" s="3" t="str">
        <f t="shared" si="7"/>
        <v/>
      </c>
      <c r="P67" s="3" t="str">
        <f t="shared" si="8"/>
        <v/>
      </c>
      <c r="Q67" s="3" t="str">
        <f t="shared" si="15"/>
        <v/>
      </c>
      <c r="R67" s="3" t="str">
        <f t="shared" si="16"/>
        <v/>
      </c>
      <c r="S67" s="3" t="str">
        <f>IF($L67&lt;&gt;"",IF($A67="Prepago",0,IF(ROUND($H67*$U$6,2)&gt;ROUND(SUM($S$11:$S66)+$U$6,2),$U$6*2,$U$6)),"")</f>
        <v/>
      </c>
      <c r="T67" s="3" t="str">
        <f>IF($L67&lt;&gt;"",IF($A67="Prepago",0,IF(ROUND($H67*$U$7,2)&gt;ROUND(SUM($T$11:$T66)+$U$7,2),$U$7*2,$U$7)),"")</f>
        <v/>
      </c>
      <c r="U67" s="3" t="str">
        <f>IF($L67&lt;&gt;"",IF($A67="Prepago",0,IF(ROUND($H67*$U$8,2)&gt;ROUND(SUM($U$11:$U66)+$U$8,2),$U$8*2,$U$8)),"")</f>
        <v/>
      </c>
      <c r="V67" s="3" t="str">
        <f>IF($L67&lt;&gt;"",IF($A67="Prepago",0,IF(ROUND($H67*$U$9,2)&gt;ROUND(SUM($V$11:$V66)+$U$9,2),$U$9*2,$U$9)),"")</f>
        <v/>
      </c>
      <c r="W67" s="3" t="str">
        <f t="shared" si="23"/>
        <v/>
      </c>
      <c r="X67" s="3" t="str">
        <f t="shared" si="10"/>
        <v/>
      </c>
      <c r="Y67" s="3" t="str">
        <f t="shared" si="11"/>
        <v/>
      </c>
      <c r="Z67" s="3" t="str">
        <f t="shared" si="12"/>
        <v/>
      </c>
      <c r="AA67" s="3" t="str">
        <f>IF($L67&lt;&gt;"",IF($N67&gt;Z$11,IF($N67&lt;AA$11,$N67-Z$11,30),0)*ROUND(($O67+$X66+SUM($Z67:Z67))*$V$5/3000,2),"")</f>
        <v/>
      </c>
      <c r="AB67" s="3"/>
      <c r="AC67" s="3"/>
    </row>
    <row r="68" spans="5:29" x14ac:dyDescent="0.25">
      <c r="E68" s="5"/>
      <c r="F68" t="str">
        <f t="shared" si="17"/>
        <v/>
      </c>
      <c r="G68" s="5" t="str">
        <f t="shared" si="18"/>
        <v/>
      </c>
      <c r="H68" s="22" t="str">
        <f t="shared" si="19"/>
        <v/>
      </c>
      <c r="I68" s="22" t="str">
        <f t="shared" si="3"/>
        <v/>
      </c>
      <c r="J68" s="22" t="str">
        <f t="shared" si="20"/>
        <v/>
      </c>
      <c r="K68" s="22" t="str">
        <f t="shared" si="13"/>
        <v/>
      </c>
      <c r="L68" t="str">
        <f t="shared" si="21"/>
        <v/>
      </c>
      <c r="M68" s="5" t="str">
        <f t="shared" si="14"/>
        <v/>
      </c>
      <c r="N68" s="9" t="str">
        <f t="shared" si="22"/>
        <v/>
      </c>
      <c r="O68" s="3" t="str">
        <f t="shared" si="7"/>
        <v/>
      </c>
      <c r="P68" s="3" t="str">
        <f t="shared" si="8"/>
        <v/>
      </c>
      <c r="Q68" s="3" t="str">
        <f t="shared" si="15"/>
        <v/>
      </c>
      <c r="R68" s="3" t="str">
        <f t="shared" si="16"/>
        <v/>
      </c>
      <c r="S68" s="3" t="str">
        <f>IF($L68&lt;&gt;"",IF($A68="Prepago",0,IF(ROUND($H68*$U$6,2)&gt;ROUND(SUM($S$11:$S67)+$U$6,2),$U$6*2,$U$6)),"")</f>
        <v/>
      </c>
      <c r="T68" s="3" t="str">
        <f>IF($L68&lt;&gt;"",IF($A68="Prepago",0,IF(ROUND($H68*$U$7,2)&gt;ROUND(SUM($T$11:$T67)+$U$7,2),$U$7*2,$U$7)),"")</f>
        <v/>
      </c>
      <c r="U68" s="3" t="str">
        <f>IF($L68&lt;&gt;"",IF($A68="Prepago",0,IF(ROUND($H68*$U$8,2)&gt;ROUND(SUM($U$11:$U67)+$U$8,2),$U$8*2,$U$8)),"")</f>
        <v/>
      </c>
      <c r="V68" s="3" t="str">
        <f>IF($L68&lt;&gt;"",IF($A68="Prepago",0,IF(ROUND($H68*$U$9,2)&gt;ROUND(SUM($V$11:$V67)+$U$9,2),$U$9*2,$U$9)),"")</f>
        <v/>
      </c>
      <c r="W68" s="3" t="str">
        <f t="shared" si="23"/>
        <v/>
      </c>
      <c r="X68" s="3" t="str">
        <f t="shared" si="10"/>
        <v/>
      </c>
      <c r="Y68" s="3" t="str">
        <f t="shared" si="11"/>
        <v/>
      </c>
      <c r="Z68" s="3" t="str">
        <f t="shared" si="12"/>
        <v/>
      </c>
      <c r="AA68" s="3" t="str">
        <f>IF($L68&lt;&gt;"",IF($N68&gt;Z$11,IF($N68&lt;AA$11,$N68-Z$11,30),0)*ROUND(($O68+$X67+SUM($Z68:Z68))*$V$5/3000,2),"")</f>
        <v/>
      </c>
      <c r="AB68" s="3"/>
      <c r="AC68" s="3"/>
    </row>
    <row r="69" spans="5:29" x14ac:dyDescent="0.25">
      <c r="E69" s="5"/>
      <c r="F69" t="str">
        <f t="shared" si="17"/>
        <v/>
      </c>
      <c r="G69" s="5" t="str">
        <f t="shared" si="18"/>
        <v/>
      </c>
      <c r="H69" s="22" t="str">
        <f t="shared" si="19"/>
        <v/>
      </c>
      <c r="I69" s="22" t="str">
        <f t="shared" si="3"/>
        <v/>
      </c>
      <c r="J69" s="22" t="str">
        <f t="shared" si="20"/>
        <v/>
      </c>
      <c r="K69" s="22" t="str">
        <f t="shared" si="13"/>
        <v/>
      </c>
      <c r="L69" t="str">
        <f t="shared" si="21"/>
        <v/>
      </c>
      <c r="M69" s="5" t="str">
        <f t="shared" si="14"/>
        <v/>
      </c>
      <c r="N69" s="9" t="str">
        <f t="shared" si="22"/>
        <v/>
      </c>
      <c r="O69" s="3" t="str">
        <f t="shared" si="7"/>
        <v/>
      </c>
      <c r="P69" s="3" t="str">
        <f t="shared" si="8"/>
        <v/>
      </c>
      <c r="Q69" s="3" t="str">
        <f t="shared" si="15"/>
        <v/>
      </c>
      <c r="R69" s="3" t="str">
        <f t="shared" si="16"/>
        <v/>
      </c>
      <c r="S69" s="3" t="str">
        <f>IF($L69&lt;&gt;"",IF($A69="Prepago",0,IF(ROUND($H69*$U$6,2)&gt;ROUND(SUM($S$11:$S68)+$U$6,2),$U$6*2,$U$6)),"")</f>
        <v/>
      </c>
      <c r="T69" s="3" t="str">
        <f>IF($L69&lt;&gt;"",IF($A69="Prepago",0,IF(ROUND($H69*$U$7,2)&gt;ROUND(SUM($T$11:$T68)+$U$7,2),$U$7*2,$U$7)),"")</f>
        <v/>
      </c>
      <c r="U69" s="3" t="str">
        <f>IF($L69&lt;&gt;"",IF($A69="Prepago",0,IF(ROUND($H69*$U$8,2)&gt;ROUND(SUM($U$11:$U68)+$U$8,2),$U$8*2,$U$8)),"")</f>
        <v/>
      </c>
      <c r="V69" s="3" t="str">
        <f>IF($L69&lt;&gt;"",IF($A69="Prepago",0,IF(ROUND($H69*$U$9,2)&gt;ROUND(SUM($V$11:$V68)+$U$9,2),$U$9*2,$U$9)),"")</f>
        <v/>
      </c>
      <c r="W69" s="3" t="str">
        <f t="shared" si="23"/>
        <v/>
      </c>
      <c r="X69" s="3" t="str">
        <f t="shared" si="10"/>
        <v/>
      </c>
      <c r="Y69" s="3" t="str">
        <f t="shared" si="11"/>
        <v/>
      </c>
      <c r="Z69" s="3" t="str">
        <f t="shared" si="12"/>
        <v/>
      </c>
      <c r="AA69" s="3" t="str">
        <f>IF($L69&lt;&gt;"",IF($N69&gt;Z$11,IF($N69&lt;AA$11,$N69-Z$11,30),0)*ROUND(($O69+$X68+SUM($Z69:Z69))*$V$5/3000,2),"")</f>
        <v/>
      </c>
      <c r="AB69" s="3"/>
      <c r="AC69" s="3"/>
    </row>
    <row r="70" spans="5:29" x14ac:dyDescent="0.25">
      <c r="E70" s="5"/>
      <c r="F70" t="str">
        <f t="shared" si="17"/>
        <v/>
      </c>
      <c r="G70" s="5" t="str">
        <f t="shared" si="18"/>
        <v/>
      </c>
      <c r="H70" s="22" t="str">
        <f t="shared" si="19"/>
        <v/>
      </c>
      <c r="I70" s="22" t="str">
        <f t="shared" si="3"/>
        <v/>
      </c>
      <c r="J70" s="22" t="str">
        <f t="shared" si="20"/>
        <v/>
      </c>
      <c r="K70" s="22" t="str">
        <f t="shared" si="13"/>
        <v/>
      </c>
      <c r="L70" t="str">
        <f t="shared" si="21"/>
        <v/>
      </c>
      <c r="M70" s="5" t="str">
        <f t="shared" si="14"/>
        <v/>
      </c>
      <c r="N70" s="9" t="str">
        <f t="shared" si="22"/>
        <v/>
      </c>
      <c r="O70" s="3" t="str">
        <f t="shared" si="7"/>
        <v/>
      </c>
      <c r="P70" s="3" t="str">
        <f t="shared" si="8"/>
        <v/>
      </c>
      <c r="Q70" s="3" t="str">
        <f t="shared" si="15"/>
        <v/>
      </c>
      <c r="R70" s="3" t="str">
        <f t="shared" si="16"/>
        <v/>
      </c>
      <c r="S70" s="3" t="str">
        <f>IF($L70&lt;&gt;"",IF($A70="Prepago",0,IF(ROUND($H70*$U$6,2)&gt;ROUND(SUM($S$11:$S69)+$U$6,2),$U$6*2,$U$6)),"")</f>
        <v/>
      </c>
      <c r="T70" s="3" t="str">
        <f>IF($L70&lt;&gt;"",IF($A70="Prepago",0,IF(ROUND($H70*$U$7,2)&gt;ROUND(SUM($T$11:$T69)+$U$7,2),$U$7*2,$U$7)),"")</f>
        <v/>
      </c>
      <c r="U70" s="3" t="str">
        <f>IF($L70&lt;&gt;"",IF($A70="Prepago",0,IF(ROUND($H70*$U$8,2)&gt;ROUND(SUM($U$11:$U69)+$U$8,2),$U$8*2,$U$8)),"")</f>
        <v/>
      </c>
      <c r="V70" s="3" t="str">
        <f>IF($L70&lt;&gt;"",IF($A70="Prepago",0,IF(ROUND($H70*$U$9,2)&gt;ROUND(SUM($V$11:$V69)+$U$9,2),$U$9*2,$U$9)),"")</f>
        <v/>
      </c>
      <c r="W70" s="3" t="str">
        <f t="shared" si="23"/>
        <v/>
      </c>
      <c r="X70" s="3" t="str">
        <f t="shared" si="10"/>
        <v/>
      </c>
      <c r="Y70" s="3" t="str">
        <f t="shared" si="11"/>
        <v/>
      </c>
      <c r="Z70" s="3" t="str">
        <f t="shared" si="12"/>
        <v/>
      </c>
      <c r="AA70" s="3" t="str">
        <f>IF($L70&lt;&gt;"",IF($N70&gt;Z$11,IF($N70&lt;AA$11,$N70-Z$11,30),0)*ROUND(($O70+$X69+SUM($Z70:Z70))*$V$5/3000,2),"")</f>
        <v/>
      </c>
      <c r="AB70" s="3"/>
      <c r="AC70" s="3"/>
    </row>
    <row r="71" spans="5:29" x14ac:dyDescent="0.25">
      <c r="E71" s="5"/>
      <c r="F71" t="str">
        <f t="shared" si="17"/>
        <v/>
      </c>
      <c r="G71" s="5" t="str">
        <f t="shared" si="18"/>
        <v/>
      </c>
      <c r="H71" s="22" t="str">
        <f t="shared" si="19"/>
        <v/>
      </c>
      <c r="I71" s="22" t="str">
        <f t="shared" si="3"/>
        <v/>
      </c>
      <c r="J71" s="22" t="str">
        <f t="shared" si="20"/>
        <v/>
      </c>
      <c r="K71" s="22" t="str">
        <f t="shared" si="13"/>
        <v/>
      </c>
      <c r="L71" t="str">
        <f t="shared" si="21"/>
        <v/>
      </c>
      <c r="M71" s="5" t="str">
        <f t="shared" si="14"/>
        <v/>
      </c>
      <c r="N71" s="9" t="str">
        <f t="shared" si="22"/>
        <v/>
      </c>
      <c r="O71" s="3" t="str">
        <f t="shared" si="7"/>
        <v/>
      </c>
      <c r="P71" s="3" t="str">
        <f t="shared" si="8"/>
        <v/>
      </c>
      <c r="Q71" s="3" t="str">
        <f t="shared" si="15"/>
        <v/>
      </c>
      <c r="R71" s="3" t="str">
        <f t="shared" si="16"/>
        <v/>
      </c>
      <c r="S71" s="3" t="str">
        <f>IF($L71&lt;&gt;"",IF($A71="Prepago",0,IF(ROUND($H71*$U$6,2)&gt;ROUND(SUM($S$11:$S70)+$U$6,2),$U$6*2,$U$6)),"")</f>
        <v/>
      </c>
      <c r="T71" s="3" t="str">
        <f>IF($L71&lt;&gt;"",IF($A71="Prepago",0,IF(ROUND($H71*$U$7,2)&gt;ROUND(SUM($T$11:$T70)+$U$7,2),$U$7*2,$U$7)),"")</f>
        <v/>
      </c>
      <c r="U71" s="3" t="str">
        <f>IF($L71&lt;&gt;"",IF($A71="Prepago",0,IF(ROUND($H71*$U$8,2)&gt;ROUND(SUM($U$11:$U70)+$U$8,2),$U$8*2,$U$8)),"")</f>
        <v/>
      </c>
      <c r="V71" s="3" t="str">
        <f>IF($L71&lt;&gt;"",IF($A71="Prepago",0,IF(ROUND($H71*$U$9,2)&gt;ROUND(SUM($V$11:$V70)+$U$9,2),$U$9*2,$U$9)),"")</f>
        <v/>
      </c>
      <c r="W71" s="3" t="str">
        <f t="shared" si="23"/>
        <v/>
      </c>
      <c r="X71" s="3" t="str">
        <f t="shared" si="10"/>
        <v/>
      </c>
      <c r="Y71" s="3" t="str">
        <f t="shared" si="11"/>
        <v/>
      </c>
      <c r="Z71" s="3" t="str">
        <f t="shared" si="12"/>
        <v/>
      </c>
      <c r="AA71" s="3" t="str">
        <f>IF($L71&lt;&gt;"",IF($N71&gt;Z$11,IF($N71&lt;AA$11,$N71-Z$11,30),0)*ROUND(($O71+$X70+SUM($Z71:Z71))*$V$5/3000,2),"")</f>
        <v/>
      </c>
      <c r="AB71" s="3"/>
      <c r="AC71" s="3"/>
    </row>
    <row r="72" spans="5:29" x14ac:dyDescent="0.25">
      <c r="E72" s="5"/>
      <c r="F72" t="str">
        <f t="shared" si="17"/>
        <v/>
      </c>
      <c r="G72" s="5" t="str">
        <f t="shared" si="18"/>
        <v/>
      </c>
      <c r="H72" s="22" t="str">
        <f t="shared" si="19"/>
        <v/>
      </c>
      <c r="I72" s="22" t="str">
        <f t="shared" si="3"/>
        <v/>
      </c>
      <c r="J72" s="22" t="str">
        <f t="shared" si="20"/>
        <v/>
      </c>
      <c r="K72" s="22" t="str">
        <f t="shared" si="13"/>
        <v/>
      </c>
      <c r="L72" t="str">
        <f t="shared" si="21"/>
        <v/>
      </c>
      <c r="M72" s="5" t="str">
        <f t="shared" si="14"/>
        <v/>
      </c>
      <c r="N72" s="9" t="str">
        <f t="shared" si="22"/>
        <v/>
      </c>
      <c r="O72" s="3" t="str">
        <f t="shared" si="7"/>
        <v/>
      </c>
      <c r="P72" s="3" t="str">
        <f t="shared" si="8"/>
        <v/>
      </c>
      <c r="Q72" s="3" t="str">
        <f t="shared" si="15"/>
        <v/>
      </c>
      <c r="R72" s="3" t="str">
        <f t="shared" si="16"/>
        <v/>
      </c>
      <c r="S72" s="3" t="str">
        <f>IF($L72&lt;&gt;"",IF($A72="Prepago",0,IF(ROUND($H72*$U$6,2)&gt;ROUND(SUM($S$11:$S71)+$U$6,2),$U$6*2,$U$6)),"")</f>
        <v/>
      </c>
      <c r="T72" s="3" t="str">
        <f>IF($L72&lt;&gt;"",IF($A72="Prepago",0,IF(ROUND($H72*$U$7,2)&gt;ROUND(SUM($T$11:$T71)+$U$7,2),$U$7*2,$U$7)),"")</f>
        <v/>
      </c>
      <c r="U72" s="3" t="str">
        <f>IF($L72&lt;&gt;"",IF($A72="Prepago",0,IF(ROUND($H72*$U$8,2)&gt;ROUND(SUM($U$11:$U71)+$U$8,2),$U$8*2,$U$8)),"")</f>
        <v/>
      </c>
      <c r="V72" s="3" t="str">
        <f>IF($L72&lt;&gt;"",IF($A72="Prepago",0,IF(ROUND($H72*$U$9,2)&gt;ROUND(SUM($V$11:$V71)+$U$9,2),$U$9*2,$U$9)),"")</f>
        <v/>
      </c>
      <c r="W72" s="3" t="str">
        <f t="shared" si="23"/>
        <v/>
      </c>
      <c r="X72" s="3" t="str">
        <f t="shared" si="10"/>
        <v/>
      </c>
      <c r="Y72" s="3" t="str">
        <f t="shared" si="11"/>
        <v/>
      </c>
      <c r="Z72" s="3" t="str">
        <f t="shared" si="12"/>
        <v/>
      </c>
      <c r="AA72" s="3" t="str">
        <f>IF($L72&lt;&gt;"",IF($N72&gt;Z$11,IF($N72&lt;AA$11,$N72-Z$11,30),0)*ROUND(($O72+$X71+SUM($Z72:Z72))*$V$5/3000,2),"")</f>
        <v/>
      </c>
      <c r="AB72" s="3"/>
      <c r="AC72" s="3"/>
    </row>
    <row r="73" spans="5:29" x14ac:dyDescent="0.25">
      <c r="E73" s="5"/>
      <c r="F73" t="str">
        <f t="shared" si="17"/>
        <v/>
      </c>
      <c r="G73" s="5" t="str">
        <f t="shared" si="18"/>
        <v/>
      </c>
      <c r="H73" s="22" t="str">
        <f t="shared" si="19"/>
        <v/>
      </c>
      <c r="I73" s="22" t="str">
        <f t="shared" si="3"/>
        <v/>
      </c>
      <c r="J73" s="22" t="str">
        <f t="shared" si="20"/>
        <v/>
      </c>
      <c r="K73" s="22" t="str">
        <f t="shared" si="13"/>
        <v/>
      </c>
      <c r="L73" t="str">
        <f t="shared" si="21"/>
        <v/>
      </c>
      <c r="M73" s="5" t="str">
        <f t="shared" si="14"/>
        <v/>
      </c>
      <c r="N73" s="9" t="str">
        <f t="shared" si="22"/>
        <v/>
      </c>
      <c r="O73" s="3" t="str">
        <f t="shared" si="7"/>
        <v/>
      </c>
      <c r="P73" s="3" t="str">
        <f t="shared" si="8"/>
        <v/>
      </c>
      <c r="Q73" s="3" t="str">
        <f t="shared" si="15"/>
        <v/>
      </c>
      <c r="R73" s="3" t="str">
        <f t="shared" si="16"/>
        <v/>
      </c>
      <c r="S73" s="3" t="str">
        <f>IF($L73&lt;&gt;"",IF($A73="Prepago",0,IF(ROUND($H73*$U$6,2)&gt;ROUND(SUM($S$11:$S72)+$U$6,2),$U$6*2,$U$6)),"")</f>
        <v/>
      </c>
      <c r="T73" s="3" t="str">
        <f>IF($L73&lt;&gt;"",IF($A73="Prepago",0,IF(ROUND($H73*$U$7,2)&gt;ROUND(SUM($T$11:$T72)+$U$7,2),$U$7*2,$U$7)),"")</f>
        <v/>
      </c>
      <c r="U73" s="3" t="str">
        <f>IF($L73&lt;&gt;"",IF($A73="Prepago",0,IF(ROUND($H73*$U$8,2)&gt;ROUND(SUM($U$11:$U72)+$U$8,2),$U$8*2,$U$8)),"")</f>
        <v/>
      </c>
      <c r="V73" s="3" t="str">
        <f>IF($L73&lt;&gt;"",IF($A73="Prepago",0,IF(ROUND($H73*$U$9,2)&gt;ROUND(SUM($V$11:$V72)+$U$9,2),$U$9*2,$U$9)),"")</f>
        <v/>
      </c>
      <c r="W73" s="3" t="str">
        <f t="shared" si="23"/>
        <v/>
      </c>
      <c r="X73" s="3" t="str">
        <f t="shared" si="10"/>
        <v/>
      </c>
      <c r="Y73" s="3" t="str">
        <f t="shared" si="11"/>
        <v/>
      </c>
      <c r="Z73" s="3" t="str">
        <f t="shared" si="12"/>
        <v/>
      </c>
      <c r="AA73" s="3" t="str">
        <f>IF($L73&lt;&gt;"",IF($N73&gt;Z$11,IF($N73&lt;AA$11,$N73-Z$11,30),0)*ROUND(($O73+$X72+SUM($Z73:Z73))*$V$5/3000,2),"")</f>
        <v/>
      </c>
      <c r="AB73" s="3"/>
      <c r="AC73" s="3"/>
    </row>
    <row r="74" spans="5:29" x14ac:dyDescent="0.25">
      <c r="E74" s="5"/>
      <c r="F74" t="str">
        <f t="shared" si="17"/>
        <v/>
      </c>
      <c r="G74" s="5" t="str">
        <f t="shared" si="18"/>
        <v/>
      </c>
      <c r="H74" s="22" t="str">
        <f t="shared" si="19"/>
        <v/>
      </c>
      <c r="I74" s="22" t="str">
        <f t="shared" si="3"/>
        <v/>
      </c>
      <c r="J74" s="22" t="str">
        <f t="shared" si="20"/>
        <v/>
      </c>
      <c r="K74" s="22" t="str">
        <f t="shared" si="13"/>
        <v/>
      </c>
      <c r="L74" t="str">
        <f t="shared" si="21"/>
        <v/>
      </c>
      <c r="M74" s="5" t="str">
        <f t="shared" si="14"/>
        <v/>
      </c>
      <c r="N74" s="9" t="str">
        <f t="shared" si="22"/>
        <v/>
      </c>
      <c r="O74" s="3" t="str">
        <f t="shared" si="7"/>
        <v/>
      </c>
      <c r="P74" s="3" t="str">
        <f t="shared" si="8"/>
        <v/>
      </c>
      <c r="Q74" s="3" t="str">
        <f t="shared" si="15"/>
        <v/>
      </c>
      <c r="R74" s="3" t="str">
        <f t="shared" si="16"/>
        <v/>
      </c>
      <c r="S74" s="3" t="str">
        <f>IF($L74&lt;&gt;"",IF($A74="Prepago",0,IF(ROUND($H74*$U$6,2)&gt;ROUND(SUM($S$11:$S73)+$U$6,2),$U$6*2,$U$6)),"")</f>
        <v/>
      </c>
      <c r="T74" s="3" t="str">
        <f>IF($L74&lt;&gt;"",IF($A74="Prepago",0,IF(ROUND($H74*$U$7,2)&gt;ROUND(SUM($T$11:$T73)+$U$7,2),$U$7*2,$U$7)),"")</f>
        <v/>
      </c>
      <c r="U74" s="3" t="str">
        <f>IF($L74&lt;&gt;"",IF($A74="Prepago",0,IF(ROUND($H74*$U$8,2)&gt;ROUND(SUM($U$11:$U73)+$U$8,2),$U$8*2,$U$8)),"")</f>
        <v/>
      </c>
      <c r="V74" s="3" t="str">
        <f>IF($L74&lt;&gt;"",IF($A74="Prepago",0,IF(ROUND($H74*$U$9,2)&gt;ROUND(SUM($V$11:$V73)+$U$9,2),$U$9*2,$U$9)),"")</f>
        <v/>
      </c>
      <c r="W74" s="3" t="str">
        <f t="shared" si="23"/>
        <v/>
      </c>
      <c r="X74" s="3" t="str">
        <f t="shared" si="10"/>
        <v/>
      </c>
      <c r="Y74" s="3" t="str">
        <f t="shared" si="11"/>
        <v/>
      </c>
      <c r="Z74" s="3" t="str">
        <f t="shared" si="12"/>
        <v/>
      </c>
      <c r="AA74" s="3" t="str">
        <f>IF($L74&lt;&gt;"",IF($N74&gt;Z$11,IF($N74&lt;AA$11,$N74-Z$11,30),0)*ROUND(($O74+$X73+SUM($Z74:Z74))*$V$5/3000,2),"")</f>
        <v/>
      </c>
      <c r="AB74" s="3"/>
      <c r="AC74" s="3"/>
    </row>
    <row r="75" spans="5:29" x14ac:dyDescent="0.25">
      <c r="E75" s="5"/>
      <c r="F75" t="str">
        <f t="shared" si="17"/>
        <v/>
      </c>
      <c r="G75" s="5" t="str">
        <f t="shared" si="18"/>
        <v/>
      </c>
      <c r="H75" s="22" t="str">
        <f t="shared" si="19"/>
        <v/>
      </c>
      <c r="I75" s="22" t="str">
        <f t="shared" si="3"/>
        <v/>
      </c>
      <c r="J75" s="22" t="str">
        <f t="shared" si="20"/>
        <v/>
      </c>
      <c r="K75" s="22" t="str">
        <f t="shared" si="13"/>
        <v/>
      </c>
      <c r="L75" t="str">
        <f t="shared" si="21"/>
        <v/>
      </c>
      <c r="M75" s="5" t="str">
        <f t="shared" si="14"/>
        <v/>
      </c>
      <c r="N75" s="9" t="str">
        <f t="shared" si="22"/>
        <v/>
      </c>
      <c r="O75" s="3" t="str">
        <f t="shared" si="7"/>
        <v/>
      </c>
      <c r="P75" s="3" t="str">
        <f t="shared" si="8"/>
        <v/>
      </c>
      <c r="Q75" s="3" t="str">
        <f t="shared" si="15"/>
        <v/>
      </c>
      <c r="R75" s="3" t="str">
        <f t="shared" si="16"/>
        <v/>
      </c>
      <c r="S75" s="3" t="str">
        <f>IF($L75&lt;&gt;"",IF($A75="Prepago",0,IF(ROUND($H75*$U$6,2)&gt;ROUND(SUM($S$11:$S74)+$U$6,2),$U$6*2,$U$6)),"")</f>
        <v/>
      </c>
      <c r="T75" s="3" t="str">
        <f>IF($L75&lt;&gt;"",IF($A75="Prepago",0,IF(ROUND($H75*$U$7,2)&gt;ROUND(SUM($T$11:$T74)+$U$7,2),$U$7*2,$U$7)),"")</f>
        <v/>
      </c>
      <c r="U75" s="3" t="str">
        <f>IF($L75&lt;&gt;"",IF($A75="Prepago",0,IF(ROUND($H75*$U$8,2)&gt;ROUND(SUM($U$11:$U74)+$U$8,2),$U$8*2,$U$8)),"")</f>
        <v/>
      </c>
      <c r="V75" s="3" t="str">
        <f>IF($L75&lt;&gt;"",IF($A75="Prepago",0,IF(ROUND($H75*$U$9,2)&gt;ROUND(SUM($V$11:$V74)+$U$9,2),$U$9*2,$U$9)),"")</f>
        <v/>
      </c>
      <c r="W75" s="3" t="str">
        <f t="shared" si="23"/>
        <v/>
      </c>
      <c r="X75" s="3" t="str">
        <f t="shared" si="10"/>
        <v/>
      </c>
      <c r="Y75" s="3" t="str">
        <f t="shared" si="11"/>
        <v/>
      </c>
      <c r="Z75" s="3" t="str">
        <f t="shared" si="12"/>
        <v/>
      </c>
      <c r="AA75" s="3" t="str">
        <f>IF($L75&lt;&gt;"",IF($N75&gt;Z$11,IF($N75&lt;AA$11,$N75-Z$11,30),0)*ROUND(($O75+$X74+SUM($Z75:Z75))*$V$5/3000,2),"")</f>
        <v/>
      </c>
      <c r="AB75" s="3"/>
      <c r="AC75" s="3"/>
    </row>
    <row r="76" spans="5:29" x14ac:dyDescent="0.25">
      <c r="E76" s="5"/>
      <c r="F76" t="str">
        <f t="shared" ref="F76:F95" si="24">IF($L76&lt;&gt;"",TEXT(M76,"DDD"),"")</f>
        <v/>
      </c>
      <c r="G76" s="5" t="str">
        <f t="shared" ref="G76:G139" si="25">IF($L76&lt;&gt;"",EOMONTH(DATE(YEAR($M$11),MONTH($M$11)-IF(DAY($N$6)&lt;$N$7,1,0),DAY($M$11)),($H76*$A$1)+IF(MESADICIONAL=TRUE,1,0)),"")</f>
        <v/>
      </c>
      <c r="H76" s="22" t="str">
        <f t="shared" ref="H76:H95" si="26">IF($L76&lt;&gt;"",IF($A76="Prepago",$H75,$H75+1)+B76,"")</f>
        <v/>
      </c>
      <c r="I76" s="22" t="str">
        <f t="shared" ref="I76:I139" si="27">IF(L76&lt;&gt;"",IF(COUNTA($Z76:$XFD76)*30&lt;$N76,1,0),"")</f>
        <v/>
      </c>
      <c r="J76" s="22" t="str">
        <f t="shared" si="20"/>
        <v/>
      </c>
      <c r="K76" s="22" t="str">
        <f t="shared" si="13"/>
        <v/>
      </c>
      <c r="L76" t="str">
        <f t="shared" si="21"/>
        <v/>
      </c>
      <c r="M76" s="5" t="str">
        <f t="shared" si="14"/>
        <v/>
      </c>
      <c r="N76" s="9" t="str">
        <f t="shared" si="22"/>
        <v/>
      </c>
      <c r="O76" s="3" t="str">
        <f t="shared" ref="O76:O139" si="28">IF($L76&lt;&gt;"",$W75,"")</f>
        <v/>
      </c>
      <c r="P76" s="3" t="str">
        <f t="shared" ref="P76:P139" si="29">IF($L76&lt;&gt;"",IF($A76="Gracia Parcial",IF(AND($C76&lt;$Y76+$S76+$T76+$U76+$V76+$X75,$C76&gt;0),$C76,$Y76+$S76+$T76+$U76+$V76+$X75),IF($A76="Gracia Total",0,IF($A76="Prepago",$C76,IF(ISNUMBER($C76),$C76*VALUE(MID($C$1,MONTH($M76),1)),$Q$5*VALUE(MID($C$1,MONTH($M76),1))))))-IF($L77="",ARREGLO,0),"")</f>
        <v/>
      </c>
      <c r="Q76" s="3" t="str">
        <f t="shared" si="15"/>
        <v/>
      </c>
      <c r="R76" s="3" t="str">
        <f t="shared" si="16"/>
        <v/>
      </c>
      <c r="S76" s="3" t="str">
        <f>IF($L76&lt;&gt;"",IF($A76="Prepago",0,IF(ROUND($H76*$U$6,2)&gt;ROUND(SUM($S$11:$S75)+$U$6,2),$U$6*2,$U$6)),"")</f>
        <v/>
      </c>
      <c r="T76" s="3" t="str">
        <f>IF($L76&lt;&gt;"",IF($A76="Prepago",0,IF(ROUND($H76*$U$7,2)&gt;ROUND(SUM($T$11:$T75)+$U$7,2),$U$7*2,$U$7)),"")</f>
        <v/>
      </c>
      <c r="U76" s="3" t="str">
        <f>IF($L76&lt;&gt;"",IF($A76="Prepago",0,IF(ROUND($H76*$U$8,2)&gt;ROUND(SUM($U$11:$U75)+$U$8,2),$U$8*2,$U$8)),"")</f>
        <v/>
      </c>
      <c r="V76" s="3" t="str">
        <f>IF($L76&lt;&gt;"",IF($A76="Prepago",0,IF(ROUND($H76*$U$9,2)&gt;ROUND(SUM($V$11:$V75)+$U$9,2),$U$9*2,$U$9)),"")</f>
        <v/>
      </c>
      <c r="W76" s="3" t="str">
        <f t="shared" si="23"/>
        <v/>
      </c>
      <c r="X76" s="3" t="str">
        <f t="shared" ref="X76:X139" si="30">IF($L76&lt;&gt;"",+$X75+IF($D76="",$Y76,$D76)-$R76,"")</f>
        <v/>
      </c>
      <c r="Y76" s="3" t="str">
        <f t="shared" ref="Y76:Y139" si="31">IF($L76&lt;&gt;"",SUM($Z76:$XFD76),"")</f>
        <v/>
      </c>
      <c r="Z76" s="3" t="str">
        <f t="shared" ref="Z76:Z139" si="32">IF($L76&lt;&gt;"",IF($N76&gt;Z$11,30,$N76)*ROUND(($O76+$X75)*$V$5/3000,2),"")</f>
        <v/>
      </c>
      <c r="AA76" s="3" t="str">
        <f>IF($L76&lt;&gt;"",IF($N76&gt;Z$11,IF($N76&lt;AA$11,$N76-Z$11,30),0)*ROUND(($O76+$X75+SUM($Z76:Z76))*$V$5/3000,2),"")</f>
        <v/>
      </c>
      <c r="AB76" s="3"/>
      <c r="AC76" s="3"/>
    </row>
    <row r="77" spans="5:29" x14ac:dyDescent="0.25">
      <c r="E77" s="5"/>
      <c r="F77" t="str">
        <f t="shared" si="24"/>
        <v/>
      </c>
      <c r="G77" s="5" t="str">
        <f t="shared" si="25"/>
        <v/>
      </c>
      <c r="H77" s="22" t="str">
        <f t="shared" si="26"/>
        <v/>
      </c>
      <c r="I77" s="22" t="str">
        <f t="shared" si="27"/>
        <v/>
      </c>
      <c r="J77" s="22" t="str">
        <f t="shared" ref="J77:J95" si="33">IF($L77&lt;&gt;"",IF(OR(A77&lt;&gt;"",C77&lt;&gt;""),1,0),"")</f>
        <v/>
      </c>
      <c r="K77" s="22" t="str">
        <f t="shared" ref="K77:K95" si="34">IF($L77&lt;&gt;"",IF(J77=1,Q77,0),"")</f>
        <v/>
      </c>
      <c r="L77" t="str">
        <f t="shared" si="21"/>
        <v/>
      </c>
      <c r="M77" s="5" t="str">
        <f t="shared" ref="M77:M140" si="35">IF($L77&lt;&gt;"",IF($E77="",IF(DAY($G77)&lt;$N$7,$G77,DATE(YEAR($G77),MONTH($G77),$N$7)),$E77),"")</f>
        <v/>
      </c>
      <c r="N77" s="9" t="str">
        <f t="shared" si="22"/>
        <v/>
      </c>
      <c r="O77" s="3" t="str">
        <f t="shared" si="28"/>
        <v/>
      </c>
      <c r="P77" s="3" t="str">
        <f t="shared" si="29"/>
        <v/>
      </c>
      <c r="Q77" s="3" t="str">
        <f t="shared" ref="Q77:Q140" si="36">IF($L77&lt;&gt;"",IF($P77-$R77&gt;0,IF($P77&gt;=$R77+$S77+$T77+$U77+$V77,$P77-$R77-$S77-$T77-$U77-$V77,P77),0),"")</f>
        <v/>
      </c>
      <c r="R77" s="3" t="str">
        <f t="shared" ref="R77:R140" si="37">IF($L77&lt;&gt;"",IF($P77&gt;IF($D77="",$Y77,$D77)+$X76+$S77+$T77+$U77+$V77,IF($D77="",$Y77,$D77)+$X76,IF($P77&gt;=$S77+$T77+$U77+$V77,$P77-$S77-$T77-$U77-$V77,IF($D77="",$Y77,$D77)+$X76)),"")</f>
        <v/>
      </c>
      <c r="S77" s="3" t="str">
        <f>IF($L77&lt;&gt;"",IF($A77="Prepago",0,IF(ROUND($H77*$U$6,2)&gt;ROUND(SUM($S$11:$S76)+$U$6,2),$U$6*2,$U$6)),"")</f>
        <v/>
      </c>
      <c r="T77" s="3" t="str">
        <f>IF($L77&lt;&gt;"",IF($A77="Prepago",0,IF(ROUND($H77*$U$7,2)&gt;ROUND(SUM($T$11:$T76)+$U$7,2),$U$7*2,$U$7)),"")</f>
        <v/>
      </c>
      <c r="U77" s="3" t="str">
        <f>IF($L77&lt;&gt;"",IF($A77="Prepago",0,IF(ROUND($H77*$U$8,2)&gt;ROUND(SUM($U$11:$U76)+$U$8,2),$U$8*2,$U$8)),"")</f>
        <v/>
      </c>
      <c r="V77" s="3" t="str">
        <f>IF($L77&lt;&gt;"",IF($A77="Prepago",0,IF(ROUND($H77*$U$9,2)&gt;ROUND(SUM($V$11:$V76)+$U$9,2),$U$9*2,$U$9)),"")</f>
        <v/>
      </c>
      <c r="W77" s="3" t="str">
        <f t="shared" si="23"/>
        <v/>
      </c>
      <c r="X77" s="3" t="str">
        <f t="shared" si="30"/>
        <v/>
      </c>
      <c r="Y77" s="3" t="str">
        <f t="shared" si="31"/>
        <v/>
      </c>
      <c r="Z77" s="3" t="str">
        <f t="shared" si="32"/>
        <v/>
      </c>
      <c r="AA77" s="3" t="str">
        <f>IF($L77&lt;&gt;"",IF($N77&gt;Z$11,IF($N77&lt;AA$11,$N77-Z$11,30),0)*ROUND(($O77+$X76+SUM($Z77:Z77))*$V$5/3000,2),"")</f>
        <v/>
      </c>
      <c r="AB77" s="3"/>
      <c r="AC77" s="3"/>
    </row>
    <row r="78" spans="5:29" x14ac:dyDescent="0.25">
      <c r="E78" s="5"/>
      <c r="F78" t="str">
        <f t="shared" si="24"/>
        <v/>
      </c>
      <c r="G78" s="5" t="str">
        <f t="shared" si="25"/>
        <v/>
      </c>
      <c r="H78" s="22" t="str">
        <f t="shared" si="26"/>
        <v/>
      </c>
      <c r="I78" s="22" t="str">
        <f t="shared" si="27"/>
        <v/>
      </c>
      <c r="J78" s="22" t="str">
        <f t="shared" si="33"/>
        <v/>
      </c>
      <c r="K78" s="22" t="str">
        <f t="shared" si="34"/>
        <v/>
      </c>
      <c r="L78" t="str">
        <f t="shared" si="21"/>
        <v/>
      </c>
      <c r="M78" s="5" t="str">
        <f t="shared" si="35"/>
        <v/>
      </c>
      <c r="N78" s="9" t="str">
        <f t="shared" si="22"/>
        <v/>
      </c>
      <c r="O78" s="3" t="str">
        <f t="shared" si="28"/>
        <v/>
      </c>
      <c r="P78" s="3" t="str">
        <f t="shared" si="29"/>
        <v/>
      </c>
      <c r="Q78" s="3" t="str">
        <f t="shared" si="36"/>
        <v/>
      </c>
      <c r="R78" s="3" t="str">
        <f t="shared" si="37"/>
        <v/>
      </c>
      <c r="S78" s="3" t="str">
        <f>IF($L78&lt;&gt;"",IF($A78="Prepago",0,IF(ROUND($H78*$U$6,2)&gt;ROUND(SUM($S$11:$S77)+$U$6,2),$U$6*2,$U$6)),"")</f>
        <v/>
      </c>
      <c r="T78" s="3" t="str">
        <f>IF($L78&lt;&gt;"",IF($A78="Prepago",0,IF(ROUND($H78*$U$7,2)&gt;ROUND(SUM($T$11:$T77)+$U$7,2),$U$7*2,$U$7)),"")</f>
        <v/>
      </c>
      <c r="U78" s="3" t="str">
        <f>IF($L78&lt;&gt;"",IF($A78="Prepago",0,IF(ROUND($H78*$U$8,2)&gt;ROUND(SUM($U$11:$U77)+$U$8,2),$U$8*2,$U$8)),"")</f>
        <v/>
      </c>
      <c r="V78" s="3" t="str">
        <f>IF($L78&lt;&gt;"",IF($A78="Prepago",0,IF(ROUND($H78*$U$9,2)&gt;ROUND(SUM($V$11:$V77)+$U$9,2),$U$9*2,$U$9)),"")</f>
        <v/>
      </c>
      <c r="W78" s="3" t="str">
        <f t="shared" si="23"/>
        <v/>
      </c>
      <c r="X78" s="3" t="str">
        <f t="shared" si="30"/>
        <v/>
      </c>
      <c r="Y78" s="3" t="str">
        <f t="shared" si="31"/>
        <v/>
      </c>
      <c r="Z78" s="3" t="str">
        <f t="shared" si="32"/>
        <v/>
      </c>
      <c r="AA78" s="3" t="str">
        <f>IF($L78&lt;&gt;"",IF($N78&gt;Z$11,IF($N78&lt;AA$11,$N78-Z$11,30),0)*ROUND(($O78+$X77+SUM($Z78:Z78))*$V$5/3000,2),"")</f>
        <v/>
      </c>
      <c r="AB78" s="3"/>
      <c r="AC78" s="3"/>
    </row>
    <row r="79" spans="5:29" x14ac:dyDescent="0.25">
      <c r="E79" s="5"/>
      <c r="F79" t="str">
        <f t="shared" si="24"/>
        <v/>
      </c>
      <c r="G79" s="5" t="str">
        <f t="shared" si="25"/>
        <v/>
      </c>
      <c r="H79" s="22" t="str">
        <f t="shared" si="26"/>
        <v/>
      </c>
      <c r="I79" s="22" t="str">
        <f t="shared" si="27"/>
        <v/>
      </c>
      <c r="J79" s="22" t="str">
        <f t="shared" si="33"/>
        <v/>
      </c>
      <c r="K79" s="22" t="str">
        <f t="shared" si="34"/>
        <v/>
      </c>
      <c r="L79" t="str">
        <f t="shared" si="21"/>
        <v/>
      </c>
      <c r="M79" s="5" t="str">
        <f t="shared" si="35"/>
        <v/>
      </c>
      <c r="N79" s="9" t="str">
        <f t="shared" si="22"/>
        <v/>
      </c>
      <c r="O79" s="3" t="str">
        <f t="shared" si="28"/>
        <v/>
      </c>
      <c r="P79" s="3" t="str">
        <f t="shared" si="29"/>
        <v/>
      </c>
      <c r="Q79" s="3" t="str">
        <f t="shared" si="36"/>
        <v/>
      </c>
      <c r="R79" s="3" t="str">
        <f t="shared" si="37"/>
        <v/>
      </c>
      <c r="S79" s="3" t="str">
        <f>IF($L79&lt;&gt;"",IF($A79="Prepago",0,IF(ROUND($H79*$U$6,2)&gt;ROUND(SUM($S$11:$S78)+$U$6,2),$U$6*2,$U$6)),"")</f>
        <v/>
      </c>
      <c r="T79" s="3" t="str">
        <f>IF($L79&lt;&gt;"",IF($A79="Prepago",0,IF(ROUND($H79*$U$7,2)&gt;ROUND(SUM($T$11:$T78)+$U$7,2),$U$7*2,$U$7)),"")</f>
        <v/>
      </c>
      <c r="U79" s="3" t="str">
        <f>IF($L79&lt;&gt;"",IF($A79="Prepago",0,IF(ROUND($H79*$U$8,2)&gt;ROUND(SUM($U$11:$U78)+$U$8,2),$U$8*2,$U$8)),"")</f>
        <v/>
      </c>
      <c r="V79" s="3" t="str">
        <f>IF($L79&lt;&gt;"",IF($A79="Prepago",0,IF(ROUND($H79*$U$9,2)&gt;ROUND(SUM($V$11:$V78)+$U$9,2),$U$9*2,$U$9)),"")</f>
        <v/>
      </c>
      <c r="W79" s="3" t="str">
        <f t="shared" si="23"/>
        <v/>
      </c>
      <c r="X79" s="3" t="str">
        <f t="shared" si="30"/>
        <v/>
      </c>
      <c r="Y79" s="3" t="str">
        <f t="shared" si="31"/>
        <v/>
      </c>
      <c r="Z79" s="3" t="str">
        <f t="shared" si="32"/>
        <v/>
      </c>
      <c r="AA79" s="3" t="str">
        <f>IF($L79&lt;&gt;"",IF($N79&gt;Z$11,IF($N79&lt;AA$11,$N79-Z$11,30),0)*ROUND(($O79+$X78+SUM($Z79:Z79))*$V$5/3000,2),"")</f>
        <v/>
      </c>
      <c r="AB79" s="3"/>
      <c r="AC79" s="3"/>
    </row>
    <row r="80" spans="5:29" x14ac:dyDescent="0.25">
      <c r="E80" s="5"/>
      <c r="F80" t="str">
        <f t="shared" si="24"/>
        <v/>
      </c>
      <c r="G80" s="5" t="str">
        <f t="shared" si="25"/>
        <v/>
      </c>
      <c r="H80" s="22" t="str">
        <f t="shared" si="26"/>
        <v/>
      </c>
      <c r="I80" s="22" t="str">
        <f t="shared" si="27"/>
        <v/>
      </c>
      <c r="J80" s="22" t="str">
        <f t="shared" si="33"/>
        <v/>
      </c>
      <c r="K80" s="22" t="str">
        <f t="shared" si="34"/>
        <v/>
      </c>
      <c r="L80" t="str">
        <f t="shared" si="21"/>
        <v/>
      </c>
      <c r="M80" s="5" t="str">
        <f t="shared" si="35"/>
        <v/>
      </c>
      <c r="N80" s="9" t="str">
        <f t="shared" si="22"/>
        <v/>
      </c>
      <c r="O80" s="3" t="str">
        <f t="shared" si="28"/>
        <v/>
      </c>
      <c r="P80" s="3" t="str">
        <f t="shared" si="29"/>
        <v/>
      </c>
      <c r="Q80" s="3" t="str">
        <f t="shared" si="36"/>
        <v/>
      </c>
      <c r="R80" s="3" t="str">
        <f t="shared" si="37"/>
        <v/>
      </c>
      <c r="S80" s="3" t="str">
        <f>IF($L80&lt;&gt;"",IF($A80="Prepago",0,IF(ROUND($H80*$U$6,2)&gt;ROUND(SUM($S$11:$S79)+$U$6,2),$U$6*2,$U$6)),"")</f>
        <v/>
      </c>
      <c r="T80" s="3" t="str">
        <f>IF($L80&lt;&gt;"",IF($A80="Prepago",0,IF(ROUND($H80*$U$7,2)&gt;ROUND(SUM($T$11:$T79)+$U$7,2),$U$7*2,$U$7)),"")</f>
        <v/>
      </c>
      <c r="U80" s="3" t="str">
        <f>IF($L80&lt;&gt;"",IF($A80="Prepago",0,IF(ROUND($H80*$U$8,2)&gt;ROUND(SUM($U$11:$U79)+$U$8,2),$U$8*2,$U$8)),"")</f>
        <v/>
      </c>
      <c r="V80" s="3" t="str">
        <f>IF($L80&lt;&gt;"",IF($A80="Prepago",0,IF(ROUND($H80*$U$9,2)&gt;ROUND(SUM($V$11:$V79)+$U$9,2),$U$9*2,$U$9)),"")</f>
        <v/>
      </c>
      <c r="W80" s="3" t="str">
        <f t="shared" si="23"/>
        <v/>
      </c>
      <c r="X80" s="3" t="str">
        <f t="shared" si="30"/>
        <v/>
      </c>
      <c r="Y80" s="3" t="str">
        <f t="shared" si="31"/>
        <v/>
      </c>
      <c r="Z80" s="3" t="str">
        <f t="shared" si="32"/>
        <v/>
      </c>
      <c r="AA80" s="3" t="str">
        <f>IF($L80&lt;&gt;"",IF($N80&gt;Z$11,IF($N80&lt;AA$11,$N80-Z$11,30),0)*ROUND(($O80+$X79+SUM($Z80:Z80))*$V$5/3000,2),"")</f>
        <v/>
      </c>
      <c r="AB80" s="3"/>
      <c r="AC80" s="3"/>
    </row>
    <row r="81" spans="5:29" x14ac:dyDescent="0.25">
      <c r="E81" s="5"/>
      <c r="F81" t="str">
        <f t="shared" si="24"/>
        <v/>
      </c>
      <c r="G81" s="5" t="str">
        <f t="shared" si="25"/>
        <v/>
      </c>
      <c r="H81" s="22" t="str">
        <f t="shared" si="26"/>
        <v/>
      </c>
      <c r="I81" s="22" t="str">
        <f t="shared" si="27"/>
        <v/>
      </c>
      <c r="J81" s="22" t="str">
        <f t="shared" si="33"/>
        <v/>
      </c>
      <c r="K81" s="22" t="str">
        <f t="shared" si="34"/>
        <v/>
      </c>
      <c r="L81" t="str">
        <f t="shared" si="21"/>
        <v/>
      </c>
      <c r="M81" s="5" t="str">
        <f t="shared" si="35"/>
        <v/>
      </c>
      <c r="N81" s="9" t="str">
        <f t="shared" si="22"/>
        <v/>
      </c>
      <c r="O81" s="3" t="str">
        <f t="shared" si="28"/>
        <v/>
      </c>
      <c r="P81" s="3" t="str">
        <f t="shared" si="29"/>
        <v/>
      </c>
      <c r="Q81" s="3" t="str">
        <f t="shared" si="36"/>
        <v/>
      </c>
      <c r="R81" s="3" t="str">
        <f t="shared" si="37"/>
        <v/>
      </c>
      <c r="S81" s="3" t="str">
        <f>IF($L81&lt;&gt;"",IF($A81="Prepago",0,IF(ROUND($H81*$U$6,2)&gt;ROUND(SUM($S$11:$S80)+$U$6,2),$U$6*2,$U$6)),"")</f>
        <v/>
      </c>
      <c r="T81" s="3" t="str">
        <f>IF($L81&lt;&gt;"",IF($A81="Prepago",0,IF(ROUND($H81*$U$7,2)&gt;ROUND(SUM($T$11:$T80)+$U$7,2),$U$7*2,$U$7)),"")</f>
        <v/>
      </c>
      <c r="U81" s="3" t="str">
        <f>IF($L81&lt;&gt;"",IF($A81="Prepago",0,IF(ROUND($H81*$U$8,2)&gt;ROUND(SUM($U$11:$U80)+$U$8,2),$U$8*2,$U$8)),"")</f>
        <v/>
      </c>
      <c r="V81" s="3" t="str">
        <f>IF($L81&lt;&gt;"",IF($A81="Prepago",0,IF(ROUND($H81*$U$9,2)&gt;ROUND(SUM($V$11:$V80)+$U$9,2),$U$9*2,$U$9)),"")</f>
        <v/>
      </c>
      <c r="W81" s="3" t="str">
        <f t="shared" si="23"/>
        <v/>
      </c>
      <c r="X81" s="3" t="str">
        <f t="shared" si="30"/>
        <v/>
      </c>
      <c r="Y81" s="3" t="str">
        <f t="shared" si="31"/>
        <v/>
      </c>
      <c r="Z81" s="3" t="str">
        <f t="shared" si="32"/>
        <v/>
      </c>
      <c r="AA81" s="3" t="str">
        <f>IF($L81&lt;&gt;"",IF($N81&gt;Z$11,IF($N81&lt;AA$11,$N81-Z$11,30),0)*ROUND(($O81+$X80+SUM($Z81:Z81))*$V$5/3000,2),"")</f>
        <v/>
      </c>
      <c r="AB81" s="3"/>
      <c r="AC81" s="3"/>
    </row>
    <row r="82" spans="5:29" x14ac:dyDescent="0.25">
      <c r="E82" s="5"/>
      <c r="F82" t="str">
        <f t="shared" si="24"/>
        <v/>
      </c>
      <c r="G82" s="5" t="str">
        <f t="shared" si="25"/>
        <v/>
      </c>
      <c r="H82" s="22" t="str">
        <f t="shared" si="26"/>
        <v/>
      </c>
      <c r="I82" s="22" t="str">
        <f t="shared" si="27"/>
        <v/>
      </c>
      <c r="J82" s="22" t="str">
        <f t="shared" si="33"/>
        <v/>
      </c>
      <c r="K82" s="22" t="str">
        <f t="shared" si="34"/>
        <v/>
      </c>
      <c r="L82" t="str">
        <f t="shared" si="21"/>
        <v/>
      </c>
      <c r="M82" s="5" t="str">
        <f t="shared" si="35"/>
        <v/>
      </c>
      <c r="N82" s="9" t="str">
        <f t="shared" si="22"/>
        <v/>
      </c>
      <c r="O82" s="3" t="str">
        <f t="shared" si="28"/>
        <v/>
      </c>
      <c r="P82" s="3" t="str">
        <f t="shared" si="29"/>
        <v/>
      </c>
      <c r="Q82" s="3" t="str">
        <f t="shared" si="36"/>
        <v/>
      </c>
      <c r="R82" s="3" t="str">
        <f t="shared" si="37"/>
        <v/>
      </c>
      <c r="S82" s="3" t="str">
        <f>IF($L82&lt;&gt;"",IF($A82="Prepago",0,IF(ROUND($H82*$U$6,2)&gt;ROUND(SUM($S$11:$S81)+$U$6,2),$U$6*2,$U$6)),"")</f>
        <v/>
      </c>
      <c r="T82" s="3" t="str">
        <f>IF($L82&lt;&gt;"",IF($A82="Prepago",0,IF(ROUND($H82*$U$7,2)&gt;ROUND(SUM($T$11:$T81)+$U$7,2),$U$7*2,$U$7)),"")</f>
        <v/>
      </c>
      <c r="U82" s="3" t="str">
        <f>IF($L82&lt;&gt;"",IF($A82="Prepago",0,IF(ROUND($H82*$U$8,2)&gt;ROUND(SUM($U$11:$U81)+$U$8,2),$U$8*2,$U$8)),"")</f>
        <v/>
      </c>
      <c r="V82" s="3" t="str">
        <f>IF($L82&lt;&gt;"",IF($A82="Prepago",0,IF(ROUND($H82*$U$9,2)&gt;ROUND(SUM($V$11:$V81)+$U$9,2),$U$9*2,$U$9)),"")</f>
        <v/>
      </c>
      <c r="W82" s="3" t="str">
        <f t="shared" si="23"/>
        <v/>
      </c>
      <c r="X82" s="3" t="str">
        <f t="shared" si="30"/>
        <v/>
      </c>
      <c r="Y82" s="3" t="str">
        <f t="shared" si="31"/>
        <v/>
      </c>
      <c r="Z82" s="3" t="str">
        <f t="shared" si="32"/>
        <v/>
      </c>
      <c r="AA82" s="3" t="str">
        <f>IF($L82&lt;&gt;"",IF($N82&gt;Z$11,IF($N82&lt;AA$11,$N82-Z$11,30),0)*ROUND(($O82+$X81+SUM($Z82:Z82))*$V$5/3000,2),"")</f>
        <v/>
      </c>
      <c r="AB82" s="3"/>
      <c r="AC82" s="3"/>
    </row>
    <row r="83" spans="5:29" x14ac:dyDescent="0.25">
      <c r="E83" s="5"/>
      <c r="F83" t="str">
        <f t="shared" si="24"/>
        <v/>
      </c>
      <c r="G83" s="5" t="str">
        <f t="shared" si="25"/>
        <v/>
      </c>
      <c r="H83" s="22" t="str">
        <f t="shared" si="26"/>
        <v/>
      </c>
      <c r="I83" s="22" t="str">
        <f t="shared" si="27"/>
        <v/>
      </c>
      <c r="J83" s="22" t="str">
        <f t="shared" si="33"/>
        <v/>
      </c>
      <c r="K83" s="22" t="str">
        <f t="shared" si="34"/>
        <v/>
      </c>
      <c r="L83" t="str">
        <f t="shared" si="21"/>
        <v/>
      </c>
      <c r="M83" s="5" t="str">
        <f t="shared" si="35"/>
        <v/>
      </c>
      <c r="N83" s="9" t="str">
        <f t="shared" si="22"/>
        <v/>
      </c>
      <c r="O83" s="3" t="str">
        <f t="shared" si="28"/>
        <v/>
      </c>
      <c r="P83" s="3" t="str">
        <f t="shared" si="29"/>
        <v/>
      </c>
      <c r="Q83" s="3" t="str">
        <f t="shared" si="36"/>
        <v/>
      </c>
      <c r="R83" s="3" t="str">
        <f t="shared" si="37"/>
        <v/>
      </c>
      <c r="S83" s="3" t="str">
        <f>IF($L83&lt;&gt;"",IF($A83="Prepago",0,IF(ROUND($H83*$U$6,2)&gt;ROUND(SUM($S$11:$S82)+$U$6,2),$U$6*2,$U$6)),"")</f>
        <v/>
      </c>
      <c r="T83" s="3" t="str">
        <f>IF($L83&lt;&gt;"",IF($A83="Prepago",0,IF(ROUND($H83*$U$7,2)&gt;ROUND(SUM($T$11:$T82)+$U$7,2),$U$7*2,$U$7)),"")</f>
        <v/>
      </c>
      <c r="U83" s="3" t="str">
        <f>IF($L83&lt;&gt;"",IF($A83="Prepago",0,IF(ROUND($H83*$U$8,2)&gt;ROUND(SUM($U$11:$U82)+$U$8,2),$U$8*2,$U$8)),"")</f>
        <v/>
      </c>
      <c r="V83" s="3" t="str">
        <f>IF($L83&lt;&gt;"",IF($A83="Prepago",0,IF(ROUND($H83*$U$9,2)&gt;ROUND(SUM($V$11:$V82)+$U$9,2),$U$9*2,$U$9)),"")</f>
        <v/>
      </c>
      <c r="W83" s="3" t="str">
        <f t="shared" si="23"/>
        <v/>
      </c>
      <c r="X83" s="3" t="str">
        <f t="shared" si="30"/>
        <v/>
      </c>
      <c r="Y83" s="3" t="str">
        <f t="shared" si="31"/>
        <v/>
      </c>
      <c r="Z83" s="3" t="str">
        <f t="shared" si="32"/>
        <v/>
      </c>
      <c r="AA83" s="3" t="str">
        <f>IF($L83&lt;&gt;"",IF($N83&gt;Z$11,IF($N83&lt;AA$11,$N83-Z$11,30),0)*ROUND(($O83+$X82+SUM($Z83:Z83))*$V$5/3000,2),"")</f>
        <v/>
      </c>
      <c r="AB83" s="3"/>
      <c r="AC83" s="3"/>
    </row>
    <row r="84" spans="5:29" x14ac:dyDescent="0.25">
      <c r="E84" s="5"/>
      <c r="F84" t="str">
        <f t="shared" si="24"/>
        <v/>
      </c>
      <c r="G84" s="5" t="str">
        <f t="shared" si="25"/>
        <v/>
      </c>
      <c r="H84" s="22" t="str">
        <f t="shared" si="26"/>
        <v/>
      </c>
      <c r="I84" s="22" t="str">
        <f t="shared" si="27"/>
        <v/>
      </c>
      <c r="J84" s="22" t="str">
        <f t="shared" si="33"/>
        <v/>
      </c>
      <c r="K84" s="22" t="str">
        <f t="shared" si="34"/>
        <v/>
      </c>
      <c r="L84" t="str">
        <f t="shared" si="21"/>
        <v/>
      </c>
      <c r="M84" s="5" t="str">
        <f t="shared" si="35"/>
        <v/>
      </c>
      <c r="N84" s="9" t="str">
        <f t="shared" si="22"/>
        <v/>
      </c>
      <c r="O84" s="3" t="str">
        <f t="shared" si="28"/>
        <v/>
      </c>
      <c r="P84" s="3" t="str">
        <f t="shared" si="29"/>
        <v/>
      </c>
      <c r="Q84" s="3" t="str">
        <f t="shared" si="36"/>
        <v/>
      </c>
      <c r="R84" s="3" t="str">
        <f t="shared" si="37"/>
        <v/>
      </c>
      <c r="S84" s="3" t="str">
        <f>IF($L84&lt;&gt;"",IF($A84="Prepago",0,IF(ROUND($H84*$U$6,2)&gt;ROUND(SUM($S$11:$S83)+$U$6,2),$U$6*2,$U$6)),"")</f>
        <v/>
      </c>
      <c r="T84" s="3" t="str">
        <f>IF($L84&lt;&gt;"",IF($A84="Prepago",0,IF(ROUND($H84*$U$7,2)&gt;ROUND(SUM($T$11:$T83)+$U$7,2),$U$7*2,$U$7)),"")</f>
        <v/>
      </c>
      <c r="U84" s="3" t="str">
        <f>IF($L84&lt;&gt;"",IF($A84="Prepago",0,IF(ROUND($H84*$U$8,2)&gt;ROUND(SUM($U$11:$U83)+$U$8,2),$U$8*2,$U$8)),"")</f>
        <v/>
      </c>
      <c r="V84" s="3" t="str">
        <f>IF($L84&lt;&gt;"",IF($A84="Prepago",0,IF(ROUND($H84*$U$9,2)&gt;ROUND(SUM($V$11:$V83)+$U$9,2),$U$9*2,$U$9)),"")</f>
        <v/>
      </c>
      <c r="W84" s="3" t="str">
        <f t="shared" si="23"/>
        <v/>
      </c>
      <c r="X84" s="3" t="str">
        <f t="shared" si="30"/>
        <v/>
      </c>
      <c r="Y84" s="3" t="str">
        <f t="shared" si="31"/>
        <v/>
      </c>
      <c r="Z84" s="3" t="str">
        <f t="shared" si="32"/>
        <v/>
      </c>
      <c r="AA84" s="3" t="str">
        <f>IF($L84&lt;&gt;"",IF($N84&gt;Z$11,IF($N84&lt;AA$11,$N84-Z$11,30),0)*ROUND(($O84+$X83+SUM($Z84:Z84))*$V$5/3000,2),"")</f>
        <v/>
      </c>
      <c r="AB84" s="3"/>
      <c r="AC84" s="3"/>
    </row>
    <row r="85" spans="5:29" x14ac:dyDescent="0.25">
      <c r="E85" s="5"/>
      <c r="F85" t="str">
        <f t="shared" si="24"/>
        <v/>
      </c>
      <c r="G85" s="5" t="str">
        <f t="shared" si="25"/>
        <v/>
      </c>
      <c r="H85" s="22" t="str">
        <f t="shared" si="26"/>
        <v/>
      </c>
      <c r="I85" s="22" t="str">
        <f t="shared" si="27"/>
        <v/>
      </c>
      <c r="J85" s="22" t="str">
        <f t="shared" si="33"/>
        <v/>
      </c>
      <c r="K85" s="22" t="str">
        <f t="shared" si="34"/>
        <v/>
      </c>
      <c r="L85" t="str">
        <f t="shared" si="21"/>
        <v/>
      </c>
      <c r="M85" s="5" t="str">
        <f t="shared" si="35"/>
        <v/>
      </c>
      <c r="N85" s="9" t="str">
        <f t="shared" si="22"/>
        <v/>
      </c>
      <c r="O85" s="3" t="str">
        <f t="shared" si="28"/>
        <v/>
      </c>
      <c r="P85" s="3" t="str">
        <f t="shared" si="29"/>
        <v/>
      </c>
      <c r="Q85" s="3" t="str">
        <f t="shared" si="36"/>
        <v/>
      </c>
      <c r="R85" s="3" t="str">
        <f t="shared" si="37"/>
        <v/>
      </c>
      <c r="S85" s="3" t="str">
        <f>IF($L85&lt;&gt;"",IF($A85="Prepago",0,IF(ROUND($H85*$U$6,2)&gt;ROUND(SUM($S$11:$S84)+$U$6,2),$U$6*2,$U$6)),"")</f>
        <v/>
      </c>
      <c r="T85" s="3" t="str">
        <f>IF($L85&lt;&gt;"",IF($A85="Prepago",0,IF(ROUND($H85*$U$7,2)&gt;ROUND(SUM($T$11:$T84)+$U$7,2),$U$7*2,$U$7)),"")</f>
        <v/>
      </c>
      <c r="U85" s="3" t="str">
        <f>IF($L85&lt;&gt;"",IF($A85="Prepago",0,IF(ROUND($H85*$U$8,2)&gt;ROUND(SUM($U$11:$U84)+$U$8,2),$U$8*2,$U$8)),"")</f>
        <v/>
      </c>
      <c r="V85" s="3" t="str">
        <f>IF($L85&lt;&gt;"",IF($A85="Prepago",0,IF(ROUND($H85*$U$9,2)&gt;ROUND(SUM($V$11:$V84)+$U$9,2),$U$9*2,$U$9)),"")</f>
        <v/>
      </c>
      <c r="W85" s="3" t="str">
        <f t="shared" si="23"/>
        <v/>
      </c>
      <c r="X85" s="3" t="str">
        <f t="shared" si="30"/>
        <v/>
      </c>
      <c r="Y85" s="3" t="str">
        <f t="shared" si="31"/>
        <v/>
      </c>
      <c r="Z85" s="3" t="str">
        <f t="shared" si="32"/>
        <v/>
      </c>
      <c r="AA85" s="3" t="str">
        <f>IF($L85&lt;&gt;"",IF($N85&gt;Z$11,IF($N85&lt;AA$11,$N85-Z$11,30),0)*ROUND(($O85+$X84+SUM($Z85:Z85))*$V$5/3000,2),"")</f>
        <v/>
      </c>
      <c r="AB85" s="3"/>
      <c r="AC85" s="3"/>
    </row>
    <row r="86" spans="5:29" x14ac:dyDescent="0.25">
      <c r="E86" s="5"/>
      <c r="F86" t="str">
        <f t="shared" si="24"/>
        <v/>
      </c>
      <c r="G86" s="5" t="str">
        <f t="shared" si="25"/>
        <v/>
      </c>
      <c r="H86" s="22" t="str">
        <f t="shared" si="26"/>
        <v/>
      </c>
      <c r="I86" s="22" t="str">
        <f t="shared" si="27"/>
        <v/>
      </c>
      <c r="J86" s="22" t="str">
        <f t="shared" si="33"/>
        <v/>
      </c>
      <c r="K86" s="22" t="str">
        <f t="shared" si="34"/>
        <v/>
      </c>
      <c r="L86" t="str">
        <f t="shared" si="21"/>
        <v/>
      </c>
      <c r="M86" s="5" t="str">
        <f t="shared" si="35"/>
        <v/>
      </c>
      <c r="N86" s="9" t="str">
        <f t="shared" si="22"/>
        <v/>
      </c>
      <c r="O86" s="3" t="str">
        <f t="shared" si="28"/>
        <v/>
      </c>
      <c r="P86" s="3" t="str">
        <f t="shared" si="29"/>
        <v/>
      </c>
      <c r="Q86" s="3" t="str">
        <f t="shared" si="36"/>
        <v/>
      </c>
      <c r="R86" s="3" t="str">
        <f t="shared" si="37"/>
        <v/>
      </c>
      <c r="S86" s="3" t="str">
        <f>IF($L86&lt;&gt;"",IF($A86="Prepago",0,IF(ROUND($H86*$U$6,2)&gt;ROUND(SUM($S$11:$S85)+$U$6,2),$U$6*2,$U$6)),"")</f>
        <v/>
      </c>
      <c r="T86" s="3" t="str">
        <f>IF($L86&lt;&gt;"",IF($A86="Prepago",0,IF(ROUND($H86*$U$7,2)&gt;ROUND(SUM($T$11:$T85)+$U$7,2),$U$7*2,$U$7)),"")</f>
        <v/>
      </c>
      <c r="U86" s="3" t="str">
        <f>IF($L86&lt;&gt;"",IF($A86="Prepago",0,IF(ROUND($H86*$U$8,2)&gt;ROUND(SUM($U$11:$U85)+$U$8,2),$U$8*2,$U$8)),"")</f>
        <v/>
      </c>
      <c r="V86" s="3" t="str">
        <f>IF($L86&lt;&gt;"",IF($A86="Prepago",0,IF(ROUND($H86*$U$9,2)&gt;ROUND(SUM($V$11:$V85)+$U$9,2),$U$9*2,$U$9)),"")</f>
        <v/>
      </c>
      <c r="W86" s="3" t="str">
        <f t="shared" si="23"/>
        <v/>
      </c>
      <c r="X86" s="3" t="str">
        <f t="shared" si="30"/>
        <v/>
      </c>
      <c r="Y86" s="3" t="str">
        <f t="shared" si="31"/>
        <v/>
      </c>
      <c r="Z86" s="3" t="str">
        <f t="shared" si="32"/>
        <v/>
      </c>
      <c r="AA86" s="3" t="str">
        <f>IF($L86&lt;&gt;"",IF($N86&gt;Z$11,IF($N86&lt;AA$11,$N86-Z$11,30),0)*ROUND(($O86+$X85+SUM($Z86:Z86))*$V$5/3000,2),"")</f>
        <v/>
      </c>
      <c r="AB86" s="3"/>
      <c r="AC86" s="3"/>
    </row>
    <row r="87" spans="5:29" x14ac:dyDescent="0.25">
      <c r="E87" s="5"/>
      <c r="F87" t="str">
        <f t="shared" si="24"/>
        <v/>
      </c>
      <c r="G87" s="5" t="str">
        <f t="shared" si="25"/>
        <v/>
      </c>
      <c r="H87" s="22" t="str">
        <f t="shared" si="26"/>
        <v/>
      </c>
      <c r="I87" s="22" t="str">
        <f t="shared" si="27"/>
        <v/>
      </c>
      <c r="J87" s="22" t="str">
        <f t="shared" si="33"/>
        <v/>
      </c>
      <c r="K87" s="22" t="str">
        <f t="shared" si="34"/>
        <v/>
      </c>
      <c r="L87" t="str">
        <f t="shared" si="21"/>
        <v/>
      </c>
      <c r="M87" s="5" t="str">
        <f t="shared" si="35"/>
        <v/>
      </c>
      <c r="N87" s="9" t="str">
        <f t="shared" si="22"/>
        <v/>
      </c>
      <c r="O87" s="3" t="str">
        <f t="shared" si="28"/>
        <v/>
      </c>
      <c r="P87" s="3" t="str">
        <f t="shared" si="29"/>
        <v/>
      </c>
      <c r="Q87" s="3" t="str">
        <f t="shared" si="36"/>
        <v/>
      </c>
      <c r="R87" s="3" t="str">
        <f t="shared" si="37"/>
        <v/>
      </c>
      <c r="S87" s="3" t="str">
        <f>IF($L87&lt;&gt;"",IF($A87="Prepago",0,IF(ROUND($H87*$U$6,2)&gt;ROUND(SUM($S$11:$S86)+$U$6,2),$U$6*2,$U$6)),"")</f>
        <v/>
      </c>
      <c r="T87" s="3" t="str">
        <f>IF($L87&lt;&gt;"",IF($A87="Prepago",0,IF(ROUND($H87*$U$7,2)&gt;ROUND(SUM($T$11:$T86)+$U$7,2),$U$7*2,$U$7)),"")</f>
        <v/>
      </c>
      <c r="U87" s="3" t="str">
        <f>IF($L87&lt;&gt;"",IF($A87="Prepago",0,IF(ROUND($H87*$U$8,2)&gt;ROUND(SUM($U$11:$U86)+$U$8,2),$U$8*2,$U$8)),"")</f>
        <v/>
      </c>
      <c r="V87" s="3" t="str">
        <f>IF($L87&lt;&gt;"",IF($A87="Prepago",0,IF(ROUND($H87*$U$9,2)&gt;ROUND(SUM($V$11:$V86)+$U$9,2),$U$9*2,$U$9)),"")</f>
        <v/>
      </c>
      <c r="W87" s="3" t="str">
        <f t="shared" si="23"/>
        <v/>
      </c>
      <c r="X87" s="3" t="str">
        <f t="shared" si="30"/>
        <v/>
      </c>
      <c r="Y87" s="3" t="str">
        <f t="shared" si="31"/>
        <v/>
      </c>
      <c r="Z87" s="3" t="str">
        <f t="shared" si="32"/>
        <v/>
      </c>
      <c r="AA87" s="3" t="str">
        <f>IF($L87&lt;&gt;"",IF($N87&gt;Z$11,IF($N87&lt;AA$11,$N87-Z$11,30),0)*ROUND(($O87+$X86+SUM($Z87:Z87))*$V$5/3000,2),"")</f>
        <v/>
      </c>
      <c r="AB87" s="3"/>
      <c r="AC87" s="3"/>
    </row>
    <row r="88" spans="5:29" x14ac:dyDescent="0.25">
      <c r="E88" s="5"/>
      <c r="F88" t="str">
        <f t="shared" si="24"/>
        <v/>
      </c>
      <c r="G88" s="5" t="str">
        <f t="shared" si="25"/>
        <v/>
      </c>
      <c r="H88" s="22" t="str">
        <f t="shared" si="26"/>
        <v/>
      </c>
      <c r="I88" s="22" t="str">
        <f t="shared" si="27"/>
        <v/>
      </c>
      <c r="J88" s="22" t="str">
        <f t="shared" si="33"/>
        <v/>
      </c>
      <c r="K88" s="22" t="str">
        <f t="shared" si="34"/>
        <v/>
      </c>
      <c r="L88" t="str">
        <f t="shared" si="21"/>
        <v/>
      </c>
      <c r="M88" s="5" t="str">
        <f t="shared" si="35"/>
        <v/>
      </c>
      <c r="N88" s="9" t="str">
        <f t="shared" si="22"/>
        <v/>
      </c>
      <c r="O88" s="3" t="str">
        <f t="shared" si="28"/>
        <v/>
      </c>
      <c r="P88" s="3" t="str">
        <f t="shared" si="29"/>
        <v/>
      </c>
      <c r="Q88" s="3" t="str">
        <f t="shared" si="36"/>
        <v/>
      </c>
      <c r="R88" s="3" t="str">
        <f t="shared" si="37"/>
        <v/>
      </c>
      <c r="S88" s="3" t="str">
        <f>IF($L88&lt;&gt;"",IF($A88="Prepago",0,IF(ROUND($H88*$U$6,2)&gt;ROUND(SUM($S$11:$S87)+$U$6,2),$U$6*2,$U$6)),"")</f>
        <v/>
      </c>
      <c r="T88" s="3" t="str">
        <f>IF($L88&lt;&gt;"",IF($A88="Prepago",0,IF(ROUND($H88*$U$7,2)&gt;ROUND(SUM($T$11:$T87)+$U$7,2),$U$7*2,$U$7)),"")</f>
        <v/>
      </c>
      <c r="U88" s="3" t="str">
        <f>IF($L88&lt;&gt;"",IF($A88="Prepago",0,IF(ROUND($H88*$U$8,2)&gt;ROUND(SUM($U$11:$U87)+$U$8,2),$U$8*2,$U$8)),"")</f>
        <v/>
      </c>
      <c r="V88" s="3" t="str">
        <f>IF($L88&lt;&gt;"",IF($A88="Prepago",0,IF(ROUND($H88*$U$9,2)&gt;ROUND(SUM($V$11:$V87)+$U$9,2),$U$9*2,$U$9)),"")</f>
        <v/>
      </c>
      <c r="W88" s="3" t="str">
        <f t="shared" si="23"/>
        <v/>
      </c>
      <c r="X88" s="3" t="str">
        <f t="shared" si="30"/>
        <v/>
      </c>
      <c r="Y88" s="3" t="str">
        <f t="shared" si="31"/>
        <v/>
      </c>
      <c r="Z88" s="3" t="str">
        <f t="shared" si="32"/>
        <v/>
      </c>
      <c r="AA88" s="3" t="str">
        <f>IF($L88&lt;&gt;"",IF($N88&gt;Z$11,IF($N88&lt;AA$11,$N88-Z$11,30),0)*ROUND(($O88+$X87+SUM($Z88:Z88))*$V$5/3000,2),"")</f>
        <v/>
      </c>
      <c r="AB88" s="3"/>
      <c r="AC88" s="3"/>
    </row>
    <row r="89" spans="5:29" x14ac:dyDescent="0.25">
      <c r="E89" s="5"/>
      <c r="F89" t="str">
        <f t="shared" si="24"/>
        <v/>
      </c>
      <c r="G89" s="5" t="str">
        <f t="shared" si="25"/>
        <v/>
      </c>
      <c r="H89" s="22" t="str">
        <f t="shared" si="26"/>
        <v/>
      </c>
      <c r="I89" s="22" t="str">
        <f t="shared" si="27"/>
        <v/>
      </c>
      <c r="J89" s="22" t="str">
        <f t="shared" si="33"/>
        <v/>
      </c>
      <c r="K89" s="22" t="str">
        <f t="shared" si="34"/>
        <v/>
      </c>
      <c r="L89" t="str">
        <f t="shared" si="21"/>
        <v/>
      </c>
      <c r="M89" s="5" t="str">
        <f t="shared" si="35"/>
        <v/>
      </c>
      <c r="N89" s="9" t="str">
        <f t="shared" si="22"/>
        <v/>
      </c>
      <c r="O89" s="3" t="str">
        <f t="shared" si="28"/>
        <v/>
      </c>
      <c r="P89" s="3" t="str">
        <f t="shared" si="29"/>
        <v/>
      </c>
      <c r="Q89" s="3" t="str">
        <f t="shared" si="36"/>
        <v/>
      </c>
      <c r="R89" s="3" t="str">
        <f t="shared" si="37"/>
        <v/>
      </c>
      <c r="S89" s="3" t="str">
        <f>IF($L89&lt;&gt;"",IF($A89="Prepago",0,IF(ROUND($H89*$U$6,2)&gt;ROUND(SUM($S$11:$S88)+$U$6,2),$U$6*2,$U$6)),"")</f>
        <v/>
      </c>
      <c r="T89" s="3" t="str">
        <f>IF($L89&lt;&gt;"",IF($A89="Prepago",0,IF(ROUND($H89*$U$7,2)&gt;ROUND(SUM($T$11:$T88)+$U$7,2),$U$7*2,$U$7)),"")</f>
        <v/>
      </c>
      <c r="U89" s="3" t="str">
        <f>IF($L89&lt;&gt;"",IF($A89="Prepago",0,IF(ROUND($H89*$U$8,2)&gt;ROUND(SUM($U$11:$U88)+$U$8,2),$U$8*2,$U$8)),"")</f>
        <v/>
      </c>
      <c r="V89" s="3" t="str">
        <f>IF($L89&lt;&gt;"",IF($A89="Prepago",0,IF(ROUND($H89*$U$9,2)&gt;ROUND(SUM($V$11:$V88)+$U$9,2),$U$9*2,$U$9)),"")</f>
        <v/>
      </c>
      <c r="W89" s="3" t="str">
        <f t="shared" si="23"/>
        <v/>
      </c>
      <c r="X89" s="3" t="str">
        <f t="shared" si="30"/>
        <v/>
      </c>
      <c r="Y89" s="3" t="str">
        <f t="shared" si="31"/>
        <v/>
      </c>
      <c r="Z89" s="3" t="str">
        <f t="shared" si="32"/>
        <v/>
      </c>
      <c r="AA89" s="3" t="str">
        <f>IF($L89&lt;&gt;"",IF($N89&gt;Z$11,IF($N89&lt;AA$11,$N89-Z$11,30),0)*ROUND(($O89+$X88+SUM($Z89:Z89))*$V$5/3000,2),"")</f>
        <v/>
      </c>
      <c r="AB89" s="3"/>
      <c r="AC89" s="3"/>
    </row>
    <row r="90" spans="5:29" x14ac:dyDescent="0.25">
      <c r="E90" s="5"/>
      <c r="F90" t="str">
        <f t="shared" si="24"/>
        <v/>
      </c>
      <c r="G90" s="5" t="str">
        <f t="shared" si="25"/>
        <v/>
      </c>
      <c r="H90" s="22" t="str">
        <f t="shared" si="26"/>
        <v/>
      </c>
      <c r="I90" s="22" t="str">
        <f t="shared" si="27"/>
        <v/>
      </c>
      <c r="J90" s="22" t="str">
        <f t="shared" si="33"/>
        <v/>
      </c>
      <c r="K90" s="22" t="str">
        <f t="shared" si="34"/>
        <v/>
      </c>
      <c r="L90" t="str">
        <f t="shared" si="21"/>
        <v/>
      </c>
      <c r="M90" s="5" t="str">
        <f t="shared" si="35"/>
        <v/>
      </c>
      <c r="N90" s="9" t="str">
        <f t="shared" si="22"/>
        <v/>
      </c>
      <c r="O90" s="3" t="str">
        <f t="shared" si="28"/>
        <v/>
      </c>
      <c r="P90" s="3" t="str">
        <f t="shared" si="29"/>
        <v/>
      </c>
      <c r="Q90" s="3" t="str">
        <f t="shared" si="36"/>
        <v/>
      </c>
      <c r="R90" s="3" t="str">
        <f t="shared" si="37"/>
        <v/>
      </c>
      <c r="S90" s="3" t="str">
        <f>IF($L90&lt;&gt;"",IF($A90="Prepago",0,IF(ROUND($H90*$U$6,2)&gt;ROUND(SUM($S$11:$S89)+$U$6,2),$U$6*2,$U$6)),"")</f>
        <v/>
      </c>
      <c r="T90" s="3" t="str">
        <f>IF($L90&lt;&gt;"",IF($A90="Prepago",0,IF(ROUND($H90*$U$7,2)&gt;ROUND(SUM($T$11:$T89)+$U$7,2),$U$7*2,$U$7)),"")</f>
        <v/>
      </c>
      <c r="U90" s="3" t="str">
        <f>IF($L90&lt;&gt;"",IF($A90="Prepago",0,IF(ROUND($H90*$U$8,2)&gt;ROUND(SUM($U$11:$U89)+$U$8,2),$U$8*2,$U$8)),"")</f>
        <v/>
      </c>
      <c r="V90" s="3" t="str">
        <f>IF($L90&lt;&gt;"",IF($A90="Prepago",0,IF(ROUND($H90*$U$9,2)&gt;ROUND(SUM($V$11:$V89)+$U$9,2),$U$9*2,$U$9)),"")</f>
        <v/>
      </c>
      <c r="W90" s="3" t="str">
        <f t="shared" si="23"/>
        <v/>
      </c>
      <c r="X90" s="3" t="str">
        <f t="shared" si="30"/>
        <v/>
      </c>
      <c r="Y90" s="3" t="str">
        <f t="shared" si="31"/>
        <v/>
      </c>
      <c r="Z90" s="3" t="str">
        <f t="shared" si="32"/>
        <v/>
      </c>
      <c r="AA90" s="3" t="str">
        <f>IF($L90&lt;&gt;"",IF($N90&gt;Z$11,IF($N90&lt;AA$11,$N90-Z$11,30),0)*ROUND(($O90+$X89+SUM($Z90:Z90))*$V$5/3000,2),"")</f>
        <v/>
      </c>
      <c r="AB90" s="3"/>
      <c r="AC90" s="3"/>
    </row>
    <row r="91" spans="5:29" x14ac:dyDescent="0.25">
      <c r="E91" s="5"/>
      <c r="F91" t="str">
        <f t="shared" si="24"/>
        <v/>
      </c>
      <c r="G91" s="5" t="str">
        <f t="shared" si="25"/>
        <v/>
      </c>
      <c r="H91" s="22" t="str">
        <f t="shared" si="26"/>
        <v/>
      </c>
      <c r="I91" s="22" t="str">
        <f t="shared" si="27"/>
        <v/>
      </c>
      <c r="J91" s="22" t="str">
        <f t="shared" si="33"/>
        <v/>
      </c>
      <c r="K91" s="22" t="str">
        <f t="shared" si="34"/>
        <v/>
      </c>
      <c r="L91" t="str">
        <f t="shared" si="21"/>
        <v/>
      </c>
      <c r="M91" s="5" t="str">
        <f t="shared" si="35"/>
        <v/>
      </c>
      <c r="N91" s="9" t="str">
        <f t="shared" si="22"/>
        <v/>
      </c>
      <c r="O91" s="3" t="str">
        <f t="shared" si="28"/>
        <v/>
      </c>
      <c r="P91" s="3" t="str">
        <f t="shared" si="29"/>
        <v/>
      </c>
      <c r="Q91" s="3" t="str">
        <f t="shared" si="36"/>
        <v/>
      </c>
      <c r="R91" s="3" t="str">
        <f t="shared" si="37"/>
        <v/>
      </c>
      <c r="S91" s="3" t="str">
        <f>IF($L91&lt;&gt;"",IF($A91="Prepago",0,IF(ROUND($H91*$U$6,2)&gt;ROUND(SUM($S$11:$S90)+$U$6,2),$U$6*2,$U$6)),"")</f>
        <v/>
      </c>
      <c r="T91" s="3" t="str">
        <f>IF($L91&lt;&gt;"",IF($A91="Prepago",0,IF(ROUND($H91*$U$7,2)&gt;ROUND(SUM($T$11:$T90)+$U$7,2),$U$7*2,$U$7)),"")</f>
        <v/>
      </c>
      <c r="U91" s="3" t="str">
        <f>IF($L91&lt;&gt;"",IF($A91="Prepago",0,IF(ROUND($H91*$U$8,2)&gt;ROUND(SUM($U$11:$U90)+$U$8,2),$U$8*2,$U$8)),"")</f>
        <v/>
      </c>
      <c r="V91" s="3" t="str">
        <f>IF($L91&lt;&gt;"",IF($A91="Prepago",0,IF(ROUND($H91*$U$9,2)&gt;ROUND(SUM($V$11:$V90)+$U$9,2),$U$9*2,$U$9)),"")</f>
        <v/>
      </c>
      <c r="W91" s="3" t="str">
        <f t="shared" si="23"/>
        <v/>
      </c>
      <c r="X91" s="3" t="str">
        <f t="shared" si="30"/>
        <v/>
      </c>
      <c r="Y91" s="3" t="str">
        <f t="shared" si="31"/>
        <v/>
      </c>
      <c r="Z91" s="3" t="str">
        <f t="shared" si="32"/>
        <v/>
      </c>
      <c r="AA91" s="3" t="str">
        <f>IF($L91&lt;&gt;"",IF($N91&gt;Z$11,IF($N91&lt;AA$11,$N91-Z$11,30),0)*ROUND(($O91+$X90+SUM($Z91:Z91))*$V$5/3000,2),"")</f>
        <v/>
      </c>
      <c r="AB91" s="3"/>
      <c r="AC91" s="3"/>
    </row>
    <row r="92" spans="5:29" x14ac:dyDescent="0.25">
      <c r="E92" s="5"/>
      <c r="F92" t="str">
        <f t="shared" si="24"/>
        <v/>
      </c>
      <c r="G92" s="5" t="str">
        <f t="shared" si="25"/>
        <v/>
      </c>
      <c r="H92" s="22" t="str">
        <f t="shared" si="26"/>
        <v/>
      </c>
      <c r="I92" s="22" t="str">
        <f t="shared" si="27"/>
        <v/>
      </c>
      <c r="J92" s="22" t="str">
        <f t="shared" si="33"/>
        <v/>
      </c>
      <c r="K92" s="22" t="str">
        <f t="shared" si="34"/>
        <v/>
      </c>
      <c r="L92" t="str">
        <f t="shared" si="21"/>
        <v/>
      </c>
      <c r="M92" s="5" t="str">
        <f t="shared" si="35"/>
        <v/>
      </c>
      <c r="N92" s="9" t="str">
        <f t="shared" si="22"/>
        <v/>
      </c>
      <c r="O92" s="3" t="str">
        <f t="shared" si="28"/>
        <v/>
      </c>
      <c r="P92" s="3" t="str">
        <f t="shared" si="29"/>
        <v/>
      </c>
      <c r="Q92" s="3" t="str">
        <f t="shared" si="36"/>
        <v/>
      </c>
      <c r="R92" s="3" t="str">
        <f t="shared" si="37"/>
        <v/>
      </c>
      <c r="S92" s="3" t="str">
        <f>IF($L92&lt;&gt;"",IF($A92="Prepago",0,IF(ROUND($H92*$U$6,2)&gt;ROUND(SUM($S$11:$S91)+$U$6,2),$U$6*2,$U$6)),"")</f>
        <v/>
      </c>
      <c r="T92" s="3" t="str">
        <f>IF($L92&lt;&gt;"",IF($A92="Prepago",0,IF(ROUND($H92*$U$7,2)&gt;ROUND(SUM($T$11:$T91)+$U$7,2),$U$7*2,$U$7)),"")</f>
        <v/>
      </c>
      <c r="U92" s="3" t="str">
        <f>IF($L92&lt;&gt;"",IF($A92="Prepago",0,IF(ROUND($H92*$U$8,2)&gt;ROUND(SUM($U$11:$U91)+$U$8,2),$U$8*2,$U$8)),"")</f>
        <v/>
      </c>
      <c r="V92" s="3" t="str">
        <f>IF($L92&lt;&gt;"",IF($A92="Prepago",0,IF(ROUND($H92*$U$9,2)&gt;ROUND(SUM($V$11:$V91)+$U$9,2),$U$9*2,$U$9)),"")</f>
        <v/>
      </c>
      <c r="W92" s="3" t="str">
        <f t="shared" si="23"/>
        <v/>
      </c>
      <c r="X92" s="3" t="str">
        <f t="shared" si="30"/>
        <v/>
      </c>
      <c r="Y92" s="3" t="str">
        <f t="shared" si="31"/>
        <v/>
      </c>
      <c r="Z92" s="3" t="str">
        <f t="shared" si="32"/>
        <v/>
      </c>
      <c r="AA92" s="3" t="str">
        <f>IF($L92&lt;&gt;"",IF($N92&gt;Z$11,IF($N92&lt;AA$11,$N92-Z$11,30),0)*ROUND(($O92+$X91+SUM($Z92:Z92))*$V$5/3000,2),"")</f>
        <v/>
      </c>
      <c r="AB92" s="3"/>
      <c r="AC92" s="3"/>
    </row>
    <row r="93" spans="5:29" x14ac:dyDescent="0.25">
      <c r="E93" s="5"/>
      <c r="F93" t="str">
        <f t="shared" si="24"/>
        <v/>
      </c>
      <c r="G93" s="5" t="str">
        <f t="shared" si="25"/>
        <v/>
      </c>
      <c r="H93" s="22" t="str">
        <f t="shared" si="26"/>
        <v/>
      </c>
      <c r="I93" s="22" t="str">
        <f t="shared" si="27"/>
        <v/>
      </c>
      <c r="J93" s="22" t="str">
        <f t="shared" si="33"/>
        <v/>
      </c>
      <c r="K93" s="22" t="str">
        <f t="shared" si="34"/>
        <v/>
      </c>
      <c r="L93" t="str">
        <f t="shared" si="21"/>
        <v/>
      </c>
      <c r="M93" s="5" t="str">
        <f t="shared" si="35"/>
        <v/>
      </c>
      <c r="N93" s="9" t="str">
        <f t="shared" si="22"/>
        <v/>
      </c>
      <c r="O93" s="3" t="str">
        <f t="shared" si="28"/>
        <v/>
      </c>
      <c r="P93" s="3" t="str">
        <f t="shared" si="29"/>
        <v/>
      </c>
      <c r="Q93" s="3" t="str">
        <f t="shared" si="36"/>
        <v/>
      </c>
      <c r="R93" s="3" t="str">
        <f t="shared" si="37"/>
        <v/>
      </c>
      <c r="S93" s="3" t="str">
        <f>IF($L93&lt;&gt;"",IF($A93="Prepago",0,IF(ROUND($H93*$U$6,2)&gt;ROUND(SUM($S$11:$S92)+$U$6,2),$U$6*2,$U$6)),"")</f>
        <v/>
      </c>
      <c r="T93" s="3" t="str">
        <f>IF($L93&lt;&gt;"",IF($A93="Prepago",0,IF(ROUND($H93*$U$7,2)&gt;ROUND(SUM($T$11:$T92)+$U$7,2),$U$7*2,$U$7)),"")</f>
        <v/>
      </c>
      <c r="U93" s="3" t="str">
        <f>IF($L93&lt;&gt;"",IF($A93="Prepago",0,IF(ROUND($H93*$U$8,2)&gt;ROUND(SUM($U$11:$U92)+$U$8,2),$U$8*2,$U$8)),"")</f>
        <v/>
      </c>
      <c r="V93" s="3" t="str">
        <f>IF($L93&lt;&gt;"",IF($A93="Prepago",0,IF(ROUND($H93*$U$9,2)&gt;ROUND(SUM($V$11:$V92)+$U$9,2),$U$9*2,$U$9)),"")</f>
        <v/>
      </c>
      <c r="W93" s="3" t="str">
        <f t="shared" si="23"/>
        <v/>
      </c>
      <c r="X93" s="3" t="str">
        <f t="shared" si="30"/>
        <v/>
      </c>
      <c r="Y93" s="3" t="str">
        <f t="shared" si="31"/>
        <v/>
      </c>
      <c r="Z93" s="3" t="str">
        <f t="shared" si="32"/>
        <v/>
      </c>
      <c r="AA93" s="3" t="str">
        <f>IF($L93&lt;&gt;"",IF($N93&gt;Z$11,IF($N93&lt;AA$11,$N93-Z$11,30),0)*ROUND(($O93+$X92+SUM($Z93:Z93))*$V$5/3000,2),"")</f>
        <v/>
      </c>
      <c r="AB93" s="3"/>
      <c r="AC93" s="3"/>
    </row>
    <row r="94" spans="5:29" x14ac:dyDescent="0.25">
      <c r="E94" s="5"/>
      <c r="F94" t="str">
        <f t="shared" si="24"/>
        <v/>
      </c>
      <c r="G94" s="5" t="str">
        <f t="shared" si="25"/>
        <v/>
      </c>
      <c r="H94" s="22" t="str">
        <f t="shared" si="26"/>
        <v/>
      </c>
      <c r="I94" s="22" t="str">
        <f t="shared" si="27"/>
        <v/>
      </c>
      <c r="J94" s="22" t="str">
        <f t="shared" si="33"/>
        <v/>
      </c>
      <c r="K94" s="22" t="str">
        <f t="shared" si="34"/>
        <v/>
      </c>
      <c r="L94" t="str">
        <f t="shared" si="21"/>
        <v/>
      </c>
      <c r="M94" s="5" t="str">
        <f t="shared" si="35"/>
        <v/>
      </c>
      <c r="N94" s="9" t="str">
        <f t="shared" si="22"/>
        <v/>
      </c>
      <c r="O94" s="3" t="str">
        <f t="shared" si="28"/>
        <v/>
      </c>
      <c r="P94" s="3" t="str">
        <f t="shared" si="29"/>
        <v/>
      </c>
      <c r="Q94" s="3" t="str">
        <f t="shared" si="36"/>
        <v/>
      </c>
      <c r="R94" s="3" t="str">
        <f t="shared" si="37"/>
        <v/>
      </c>
      <c r="S94" s="3" t="str">
        <f>IF($L94&lt;&gt;"",IF($A94="Prepago",0,IF(ROUND($H94*$U$6,2)&gt;ROUND(SUM($S$11:$S93)+$U$6,2),$U$6*2,$U$6)),"")</f>
        <v/>
      </c>
      <c r="T94" s="3" t="str">
        <f>IF($L94&lt;&gt;"",IF($A94="Prepago",0,IF(ROUND($H94*$U$7,2)&gt;ROUND(SUM($T$11:$T93)+$U$7,2),$U$7*2,$U$7)),"")</f>
        <v/>
      </c>
      <c r="U94" s="3" t="str">
        <f>IF($L94&lt;&gt;"",IF($A94="Prepago",0,IF(ROUND($H94*$U$8,2)&gt;ROUND(SUM($U$11:$U93)+$U$8,2),$U$8*2,$U$8)),"")</f>
        <v/>
      </c>
      <c r="V94" s="3" t="str">
        <f>IF($L94&lt;&gt;"",IF($A94="Prepago",0,IF(ROUND($H94*$U$9,2)&gt;ROUND(SUM($V$11:$V93)+$U$9,2),$U$9*2,$U$9)),"")</f>
        <v/>
      </c>
      <c r="W94" s="3" t="str">
        <f t="shared" si="23"/>
        <v/>
      </c>
      <c r="X94" s="3" t="str">
        <f t="shared" si="30"/>
        <v/>
      </c>
      <c r="Y94" s="3" t="str">
        <f t="shared" si="31"/>
        <v/>
      </c>
      <c r="Z94" s="3" t="str">
        <f t="shared" si="32"/>
        <v/>
      </c>
      <c r="AA94" s="3" t="str">
        <f>IF($L94&lt;&gt;"",IF($N94&gt;Z$11,IF($N94&lt;AA$11,$N94-Z$11,30),0)*ROUND(($O94+$X93+SUM($Z94:Z94))*$V$5/3000,2),"")</f>
        <v/>
      </c>
      <c r="AB94" s="3"/>
      <c r="AC94" s="3"/>
    </row>
    <row r="95" spans="5:29" x14ac:dyDescent="0.25">
      <c r="E95" s="5"/>
      <c r="F95" t="str">
        <f t="shared" si="24"/>
        <v/>
      </c>
      <c r="G95" s="5" t="str">
        <f t="shared" si="25"/>
        <v/>
      </c>
      <c r="H95" s="22" t="str">
        <f t="shared" si="26"/>
        <v/>
      </c>
      <c r="I95" s="22" t="str">
        <f t="shared" si="27"/>
        <v/>
      </c>
      <c r="J95" s="22" t="str">
        <f t="shared" si="33"/>
        <v/>
      </c>
      <c r="K95" s="22" t="str">
        <f t="shared" si="34"/>
        <v/>
      </c>
      <c r="L95" t="str">
        <f t="shared" si="21"/>
        <v/>
      </c>
      <c r="M95" s="5" t="str">
        <f t="shared" si="35"/>
        <v/>
      </c>
      <c r="N95" s="9" t="str">
        <f t="shared" si="22"/>
        <v/>
      </c>
      <c r="O95" s="3" t="str">
        <f t="shared" si="28"/>
        <v/>
      </c>
      <c r="P95" s="3" t="str">
        <f t="shared" si="29"/>
        <v/>
      </c>
      <c r="Q95" s="3" t="str">
        <f t="shared" si="36"/>
        <v/>
      </c>
      <c r="R95" s="3" t="str">
        <f t="shared" si="37"/>
        <v/>
      </c>
      <c r="S95" s="3" t="str">
        <f>IF($L95&lt;&gt;"",IF($A95="Prepago",0,IF(ROUND($H95*$U$6,2)&gt;ROUND(SUM($S$11:$S94)+$U$6,2),$U$6*2,$U$6)),"")</f>
        <v/>
      </c>
      <c r="T95" s="3" t="str">
        <f>IF($L95&lt;&gt;"",IF($A95="Prepago",0,IF(ROUND($H95*$U$7,2)&gt;ROUND(SUM($T$11:$T94)+$U$7,2),$U$7*2,$U$7)),"")</f>
        <v/>
      </c>
      <c r="U95" s="3" t="str">
        <f>IF($L95&lt;&gt;"",IF($A95="Prepago",0,IF(ROUND($H95*$U$8,2)&gt;ROUND(SUM($U$11:$U94)+$U$8,2),$U$8*2,$U$8)),"")</f>
        <v/>
      </c>
      <c r="V95" s="3" t="str">
        <f>IF($L95&lt;&gt;"",IF($A95="Prepago",0,IF(ROUND($H95*$U$9,2)&gt;ROUND(SUM($V$11:$V94)+$U$9,2),$U$9*2,$U$9)),"")</f>
        <v/>
      </c>
      <c r="W95" s="3" t="str">
        <f t="shared" si="23"/>
        <v/>
      </c>
      <c r="X95" s="3" t="str">
        <f t="shared" si="30"/>
        <v/>
      </c>
      <c r="Y95" s="3" t="str">
        <f t="shared" si="31"/>
        <v/>
      </c>
      <c r="Z95" s="3" t="str">
        <f t="shared" si="32"/>
        <v/>
      </c>
      <c r="AA95" s="3" t="str">
        <f>IF($L95&lt;&gt;"",IF($N95&gt;Z$11,IF($N95&lt;AA$11,$N95-Z$11,30),0)*ROUND(($O95+$X94+SUM($Z95:Z95))*$V$5/3000,2),"")</f>
        <v/>
      </c>
      <c r="AB95" s="3"/>
      <c r="AC95" s="3"/>
    </row>
    <row r="96" spans="5:29" x14ac:dyDescent="0.25">
      <c r="E96" s="5"/>
      <c r="F96" t="str">
        <f t="shared" ref="F96:F159" si="38">IF($L96&lt;&gt;"",TEXT(M96,"DDD"),"")</f>
        <v/>
      </c>
      <c r="G96" s="5" t="str">
        <f t="shared" si="25"/>
        <v/>
      </c>
      <c r="H96" s="22" t="str">
        <f t="shared" ref="H96:H159" si="39">IF($L96&lt;&gt;"",IF($A96="Prepago",$H95,$H95+1)+B96,"")</f>
        <v/>
      </c>
      <c r="I96" s="22" t="str">
        <f t="shared" si="27"/>
        <v/>
      </c>
      <c r="J96" s="22" t="str">
        <f t="shared" ref="J96:J159" si="40">IF($L96&lt;&gt;"",IF(OR(A96&lt;&gt;"",C96&lt;&gt;""),1,0),"")</f>
        <v/>
      </c>
      <c r="K96" s="22" t="str">
        <f t="shared" ref="K96:K159" si="41">IF($L96&lt;&gt;"",IF(J96=1,Q96,0),"")</f>
        <v/>
      </c>
      <c r="L96" t="str">
        <f t="shared" si="21"/>
        <v/>
      </c>
      <c r="M96" s="5" t="str">
        <f t="shared" si="35"/>
        <v/>
      </c>
      <c r="N96" s="9" t="str">
        <f t="shared" si="22"/>
        <v/>
      </c>
      <c r="O96" s="3" t="str">
        <f t="shared" si="28"/>
        <v/>
      </c>
      <c r="P96" s="3" t="str">
        <f t="shared" si="29"/>
        <v/>
      </c>
      <c r="Q96" s="3" t="str">
        <f t="shared" si="36"/>
        <v/>
      </c>
      <c r="R96" s="3" t="str">
        <f t="shared" si="37"/>
        <v/>
      </c>
      <c r="S96" s="3" t="str">
        <f>IF($L96&lt;&gt;"",IF($A96="Prepago",0,IF(ROUND($H96*$U$6,2)&gt;ROUND(SUM($S$11:$S95)+$U$6,2),$U$6*2,$U$6)),"")</f>
        <v/>
      </c>
      <c r="T96" s="3" t="str">
        <f>IF($L96&lt;&gt;"",IF($A96="Prepago",0,IF(ROUND($H96*$U$7,2)&gt;ROUND(SUM($T$11:$T95)+$U$7,2),$U$7*2,$U$7)),"")</f>
        <v/>
      </c>
      <c r="U96" s="3" t="str">
        <f>IF($L96&lt;&gt;"",IF($A96="Prepago",0,IF(ROUND($H96*$U$8,2)&gt;ROUND(SUM($U$11:$U95)+$U$8,2),$U$8*2,$U$8)),"")</f>
        <v/>
      </c>
      <c r="V96" s="3" t="str">
        <f>IF($L96&lt;&gt;"",IF($A96="Prepago",0,IF(ROUND($H96*$U$9,2)&gt;ROUND(SUM($V$11:$V95)+$U$9,2),$U$9*2,$U$9)),"")</f>
        <v/>
      </c>
      <c r="W96" s="3" t="str">
        <f t="shared" si="23"/>
        <v/>
      </c>
      <c r="X96" s="3" t="str">
        <f t="shared" si="30"/>
        <v/>
      </c>
      <c r="Y96" s="3" t="str">
        <f t="shared" si="31"/>
        <v/>
      </c>
      <c r="Z96" s="3" t="str">
        <f t="shared" si="32"/>
        <v/>
      </c>
      <c r="AA96" s="3" t="str">
        <f>IF($L96&lt;&gt;"",IF($N96&gt;Z$11,IF($N96&lt;AA$11,$N96-Z$11,30),0)*ROUND(($O96+$X95+SUM($Z96:Z96))*$V$5/3000,2),"")</f>
        <v/>
      </c>
      <c r="AB96" s="3"/>
      <c r="AC96" s="3"/>
    </row>
    <row r="97" spans="5:29" x14ac:dyDescent="0.25">
      <c r="E97" s="5"/>
      <c r="F97" t="str">
        <f t="shared" si="38"/>
        <v/>
      </c>
      <c r="G97" s="5" t="str">
        <f t="shared" si="25"/>
        <v/>
      </c>
      <c r="H97" s="22" t="str">
        <f t="shared" si="39"/>
        <v/>
      </c>
      <c r="I97" s="22" t="str">
        <f t="shared" si="27"/>
        <v/>
      </c>
      <c r="J97" s="22" t="str">
        <f t="shared" si="40"/>
        <v/>
      </c>
      <c r="K97" s="22" t="str">
        <f t="shared" si="41"/>
        <v/>
      </c>
      <c r="L97" t="str">
        <f t="shared" si="21"/>
        <v/>
      </c>
      <c r="M97" s="5" t="str">
        <f t="shared" si="35"/>
        <v/>
      </c>
      <c r="N97" s="9" t="str">
        <f t="shared" si="22"/>
        <v/>
      </c>
      <c r="O97" s="3" t="str">
        <f t="shared" si="28"/>
        <v/>
      </c>
      <c r="P97" s="3" t="str">
        <f t="shared" si="29"/>
        <v/>
      </c>
      <c r="Q97" s="3" t="str">
        <f t="shared" si="36"/>
        <v/>
      </c>
      <c r="R97" s="3" t="str">
        <f t="shared" si="37"/>
        <v/>
      </c>
      <c r="S97" s="3" t="str">
        <f>IF($L97&lt;&gt;"",IF($A97="Prepago",0,IF(ROUND($H97*$U$6,2)&gt;ROUND(SUM($S$11:$S96)+$U$6,2),$U$6*2,$U$6)),"")</f>
        <v/>
      </c>
      <c r="T97" s="3" t="str">
        <f>IF($L97&lt;&gt;"",IF($A97="Prepago",0,IF(ROUND($H97*$U$7,2)&gt;ROUND(SUM($T$11:$T96)+$U$7,2),$U$7*2,$U$7)),"")</f>
        <v/>
      </c>
      <c r="U97" s="3" t="str">
        <f>IF($L97&lt;&gt;"",IF($A97="Prepago",0,IF(ROUND($H97*$U$8,2)&gt;ROUND(SUM($U$11:$U96)+$U$8,2),$U$8*2,$U$8)),"")</f>
        <v/>
      </c>
      <c r="V97" s="3" t="str">
        <f>IF($L97&lt;&gt;"",IF($A97="Prepago",0,IF(ROUND($H97*$U$9,2)&gt;ROUND(SUM($V$11:$V96)+$U$9,2),$U$9*2,$U$9)),"")</f>
        <v/>
      </c>
      <c r="W97" s="3" t="str">
        <f t="shared" si="23"/>
        <v/>
      </c>
      <c r="X97" s="3" t="str">
        <f t="shared" si="30"/>
        <v/>
      </c>
      <c r="Y97" s="3" t="str">
        <f t="shared" si="31"/>
        <v/>
      </c>
      <c r="Z97" s="3" t="str">
        <f t="shared" si="32"/>
        <v/>
      </c>
      <c r="AA97" s="3" t="str">
        <f>IF($L97&lt;&gt;"",IF($N97&gt;Z$11,IF($N97&lt;AA$11,$N97-Z$11,30),0)*ROUND(($O97+$X96+SUM($Z97:Z97))*$V$5/3000,2),"")</f>
        <v/>
      </c>
      <c r="AB97" s="3"/>
      <c r="AC97" s="3"/>
    </row>
    <row r="98" spans="5:29" x14ac:dyDescent="0.25">
      <c r="E98" s="5"/>
      <c r="F98" t="str">
        <f t="shared" si="38"/>
        <v/>
      </c>
      <c r="G98" s="5" t="str">
        <f t="shared" si="25"/>
        <v/>
      </c>
      <c r="H98" s="22" t="str">
        <f t="shared" si="39"/>
        <v/>
      </c>
      <c r="I98" s="22" t="str">
        <f t="shared" si="27"/>
        <v/>
      </c>
      <c r="J98" s="22" t="str">
        <f t="shared" si="40"/>
        <v/>
      </c>
      <c r="K98" s="22" t="str">
        <f t="shared" si="41"/>
        <v/>
      </c>
      <c r="L98" t="str">
        <f t="shared" si="21"/>
        <v/>
      </c>
      <c r="M98" s="5" t="str">
        <f t="shared" si="35"/>
        <v/>
      </c>
      <c r="N98" s="9" t="str">
        <f t="shared" si="22"/>
        <v/>
      </c>
      <c r="O98" s="3" t="str">
        <f t="shared" si="28"/>
        <v/>
      </c>
      <c r="P98" s="3" t="str">
        <f t="shared" si="29"/>
        <v/>
      </c>
      <c r="Q98" s="3" t="str">
        <f t="shared" si="36"/>
        <v/>
      </c>
      <c r="R98" s="3" t="str">
        <f t="shared" si="37"/>
        <v/>
      </c>
      <c r="S98" s="3" t="str">
        <f>IF($L98&lt;&gt;"",IF($A98="Prepago",0,IF(ROUND($H98*$U$6,2)&gt;ROUND(SUM($S$11:$S97)+$U$6,2),$U$6*2,$U$6)),"")</f>
        <v/>
      </c>
      <c r="T98" s="3" t="str">
        <f>IF($L98&lt;&gt;"",IF($A98="Prepago",0,IF(ROUND($H98*$U$7,2)&gt;ROUND(SUM($T$11:$T97)+$U$7,2),$U$7*2,$U$7)),"")</f>
        <v/>
      </c>
      <c r="U98" s="3" t="str">
        <f>IF($L98&lt;&gt;"",IF($A98="Prepago",0,IF(ROUND($H98*$U$8,2)&gt;ROUND(SUM($U$11:$U97)+$U$8,2),$U$8*2,$U$8)),"")</f>
        <v/>
      </c>
      <c r="V98" s="3" t="str">
        <f>IF($L98&lt;&gt;"",IF($A98="Prepago",0,IF(ROUND($H98*$U$9,2)&gt;ROUND(SUM($V$11:$V97)+$U$9,2),$U$9*2,$U$9)),"")</f>
        <v/>
      </c>
      <c r="W98" s="3" t="str">
        <f t="shared" si="23"/>
        <v/>
      </c>
      <c r="X98" s="3" t="str">
        <f t="shared" si="30"/>
        <v/>
      </c>
      <c r="Y98" s="3" t="str">
        <f t="shared" si="31"/>
        <v/>
      </c>
      <c r="Z98" s="3" t="str">
        <f t="shared" si="32"/>
        <v/>
      </c>
      <c r="AA98" s="3" t="str">
        <f>IF($L98&lt;&gt;"",IF($N98&gt;Z$11,IF($N98&lt;AA$11,$N98-Z$11,30),0)*ROUND(($O98+$X97+SUM($Z98:Z98))*$V$5/3000,2),"")</f>
        <v/>
      </c>
      <c r="AB98" s="3"/>
      <c r="AC98" s="3"/>
    </row>
    <row r="99" spans="5:29" x14ac:dyDescent="0.25">
      <c r="E99" s="5"/>
      <c r="F99" t="str">
        <f t="shared" si="38"/>
        <v/>
      </c>
      <c r="G99" s="5" t="str">
        <f t="shared" si="25"/>
        <v/>
      </c>
      <c r="H99" s="22" t="str">
        <f t="shared" si="39"/>
        <v/>
      </c>
      <c r="I99" s="22" t="str">
        <f t="shared" si="27"/>
        <v/>
      </c>
      <c r="J99" s="22" t="str">
        <f t="shared" si="40"/>
        <v/>
      </c>
      <c r="K99" s="22" t="str">
        <f t="shared" si="41"/>
        <v/>
      </c>
      <c r="L99" t="str">
        <f t="shared" si="21"/>
        <v/>
      </c>
      <c r="M99" s="5" t="str">
        <f t="shared" si="35"/>
        <v/>
      </c>
      <c r="N99" s="9" t="str">
        <f t="shared" si="22"/>
        <v/>
      </c>
      <c r="O99" s="3" t="str">
        <f t="shared" si="28"/>
        <v/>
      </c>
      <c r="P99" s="3" t="str">
        <f t="shared" si="29"/>
        <v/>
      </c>
      <c r="Q99" s="3" t="str">
        <f t="shared" si="36"/>
        <v/>
      </c>
      <c r="R99" s="3" t="str">
        <f t="shared" si="37"/>
        <v/>
      </c>
      <c r="S99" s="3" t="str">
        <f>IF($L99&lt;&gt;"",IF($A99="Prepago",0,IF(ROUND($H99*$U$6,2)&gt;ROUND(SUM($S$11:$S98)+$U$6,2),$U$6*2,$U$6)),"")</f>
        <v/>
      </c>
      <c r="T99" s="3" t="str">
        <f>IF($L99&lt;&gt;"",IF($A99="Prepago",0,IF(ROUND($H99*$U$7,2)&gt;ROUND(SUM($T$11:$T98)+$U$7,2),$U$7*2,$U$7)),"")</f>
        <v/>
      </c>
      <c r="U99" s="3" t="str">
        <f>IF($L99&lt;&gt;"",IF($A99="Prepago",0,IF(ROUND($H99*$U$8,2)&gt;ROUND(SUM($U$11:$U98)+$U$8,2),$U$8*2,$U$8)),"")</f>
        <v/>
      </c>
      <c r="V99" s="3" t="str">
        <f>IF($L99&lt;&gt;"",IF($A99="Prepago",0,IF(ROUND($H99*$U$9,2)&gt;ROUND(SUM($V$11:$V98)+$U$9,2),$U$9*2,$U$9)),"")</f>
        <v/>
      </c>
      <c r="W99" s="3" t="str">
        <f t="shared" si="23"/>
        <v/>
      </c>
      <c r="X99" s="3" t="str">
        <f t="shared" si="30"/>
        <v/>
      </c>
      <c r="Y99" s="3" t="str">
        <f t="shared" si="31"/>
        <v/>
      </c>
      <c r="Z99" s="3" t="str">
        <f t="shared" si="32"/>
        <v/>
      </c>
      <c r="AA99" s="3" t="str">
        <f>IF($L99&lt;&gt;"",IF($N99&gt;Z$11,IF($N99&lt;AA$11,$N99-Z$11,30),0)*ROUND(($O99+$X98+SUM($Z99:Z99))*$V$5/3000,2),"")</f>
        <v/>
      </c>
      <c r="AB99" s="3"/>
      <c r="AC99" s="3"/>
    </row>
    <row r="100" spans="5:29" x14ac:dyDescent="0.25">
      <c r="E100" s="5"/>
      <c r="F100" t="str">
        <f t="shared" si="38"/>
        <v/>
      </c>
      <c r="G100" s="5" t="str">
        <f t="shared" si="25"/>
        <v/>
      </c>
      <c r="H100" s="22" t="str">
        <f t="shared" si="39"/>
        <v/>
      </c>
      <c r="I100" s="22" t="str">
        <f t="shared" si="27"/>
        <v/>
      </c>
      <c r="J100" s="22" t="str">
        <f t="shared" si="40"/>
        <v/>
      </c>
      <c r="K100" s="22" t="str">
        <f t="shared" si="41"/>
        <v/>
      </c>
      <c r="L100" t="str">
        <f t="shared" si="21"/>
        <v/>
      </c>
      <c r="M100" s="5" t="str">
        <f t="shared" si="35"/>
        <v/>
      </c>
      <c r="N100" s="9" t="str">
        <f t="shared" si="22"/>
        <v/>
      </c>
      <c r="O100" s="3" t="str">
        <f t="shared" si="28"/>
        <v/>
      </c>
      <c r="P100" s="3" t="str">
        <f t="shared" si="29"/>
        <v/>
      </c>
      <c r="Q100" s="3" t="str">
        <f t="shared" si="36"/>
        <v/>
      </c>
      <c r="R100" s="3" t="str">
        <f t="shared" si="37"/>
        <v/>
      </c>
      <c r="S100" s="3" t="str">
        <f>IF($L100&lt;&gt;"",IF($A100="Prepago",0,IF(ROUND($H100*$U$6,2)&gt;ROUND(SUM($S$11:$S99)+$U$6,2),$U$6*2,$U$6)),"")</f>
        <v/>
      </c>
      <c r="T100" s="3" t="str">
        <f>IF($L100&lt;&gt;"",IF($A100="Prepago",0,IF(ROUND($H100*$U$7,2)&gt;ROUND(SUM($T$11:$T99)+$U$7,2),$U$7*2,$U$7)),"")</f>
        <v/>
      </c>
      <c r="U100" s="3" t="str">
        <f>IF($L100&lt;&gt;"",IF($A100="Prepago",0,IF(ROUND($H100*$U$8,2)&gt;ROUND(SUM($U$11:$U99)+$U$8,2),$U$8*2,$U$8)),"")</f>
        <v/>
      </c>
      <c r="V100" s="3" t="str">
        <f>IF($L100&lt;&gt;"",IF($A100="Prepago",0,IF(ROUND($H100*$U$9,2)&gt;ROUND(SUM($V$11:$V99)+$U$9,2),$U$9*2,$U$9)),"")</f>
        <v/>
      </c>
      <c r="W100" s="3" t="str">
        <f t="shared" si="23"/>
        <v/>
      </c>
      <c r="X100" s="3" t="str">
        <f t="shared" si="30"/>
        <v/>
      </c>
      <c r="Y100" s="3" t="str">
        <f t="shared" si="31"/>
        <v/>
      </c>
      <c r="Z100" s="3" t="str">
        <f t="shared" si="32"/>
        <v/>
      </c>
      <c r="AA100" s="3" t="str">
        <f>IF($L100&lt;&gt;"",IF($N100&gt;Z$11,IF($N100&lt;AA$11,$N100-Z$11,30),0)*ROUND(($O100+$X99+SUM($Z100:Z100))*$V$5/3000,2),"")</f>
        <v/>
      </c>
      <c r="AB100" s="3"/>
      <c r="AC100" s="3"/>
    </row>
    <row r="101" spans="5:29" x14ac:dyDescent="0.25">
      <c r="E101" s="5"/>
      <c r="F101" t="str">
        <f t="shared" si="38"/>
        <v/>
      </c>
      <c r="G101" s="5" t="str">
        <f t="shared" si="25"/>
        <v/>
      </c>
      <c r="H101" s="22" t="str">
        <f t="shared" si="39"/>
        <v/>
      </c>
      <c r="I101" s="22" t="str">
        <f t="shared" si="27"/>
        <v/>
      </c>
      <c r="J101" s="22" t="str">
        <f t="shared" si="40"/>
        <v/>
      </c>
      <c r="K101" s="22" t="str">
        <f t="shared" si="41"/>
        <v/>
      </c>
      <c r="L101" t="str">
        <f t="shared" si="21"/>
        <v/>
      </c>
      <c r="M101" s="5" t="str">
        <f t="shared" si="35"/>
        <v/>
      </c>
      <c r="N101" s="9" t="str">
        <f t="shared" si="22"/>
        <v/>
      </c>
      <c r="O101" s="3" t="str">
        <f t="shared" si="28"/>
        <v/>
      </c>
      <c r="P101" s="3" t="str">
        <f t="shared" si="29"/>
        <v/>
      </c>
      <c r="Q101" s="3" t="str">
        <f t="shared" si="36"/>
        <v/>
      </c>
      <c r="R101" s="3" t="str">
        <f t="shared" si="37"/>
        <v/>
      </c>
      <c r="S101" s="3" t="str">
        <f>IF($L101&lt;&gt;"",IF($A101="Prepago",0,IF(ROUND($H101*$U$6,2)&gt;ROUND(SUM($S$11:$S100)+$U$6,2),$U$6*2,$U$6)),"")</f>
        <v/>
      </c>
      <c r="T101" s="3" t="str">
        <f>IF($L101&lt;&gt;"",IF($A101="Prepago",0,IF(ROUND($H101*$U$7,2)&gt;ROUND(SUM($T$11:$T100)+$U$7,2),$U$7*2,$U$7)),"")</f>
        <v/>
      </c>
      <c r="U101" s="3" t="str">
        <f>IF($L101&lt;&gt;"",IF($A101="Prepago",0,IF(ROUND($H101*$U$8,2)&gt;ROUND(SUM($U$11:$U100)+$U$8,2),$U$8*2,$U$8)),"")</f>
        <v/>
      </c>
      <c r="V101" s="3" t="str">
        <f>IF($L101&lt;&gt;"",IF($A101="Prepago",0,IF(ROUND($H101*$U$9,2)&gt;ROUND(SUM($V$11:$V100)+$U$9,2),$U$9*2,$U$9)),"")</f>
        <v/>
      </c>
      <c r="W101" s="3" t="str">
        <f t="shared" si="23"/>
        <v/>
      </c>
      <c r="X101" s="3" t="str">
        <f t="shared" si="30"/>
        <v/>
      </c>
      <c r="Y101" s="3" t="str">
        <f t="shared" si="31"/>
        <v/>
      </c>
      <c r="Z101" s="3" t="str">
        <f t="shared" si="32"/>
        <v/>
      </c>
      <c r="AA101" s="3" t="str">
        <f>IF($L101&lt;&gt;"",IF($N101&gt;Z$11,IF($N101&lt;AA$11,$N101-Z$11,30),0)*ROUND(($O101+$X100+SUM($Z101:Z101))*$V$5/3000,2),"")</f>
        <v/>
      </c>
      <c r="AB101" s="3"/>
      <c r="AC101" s="3"/>
    </row>
    <row r="102" spans="5:29" x14ac:dyDescent="0.25">
      <c r="E102" s="5"/>
      <c r="F102" t="str">
        <f t="shared" si="38"/>
        <v/>
      </c>
      <c r="G102" s="5" t="str">
        <f t="shared" si="25"/>
        <v/>
      </c>
      <c r="H102" s="22" t="str">
        <f t="shared" si="39"/>
        <v/>
      </c>
      <c r="I102" s="22" t="str">
        <f t="shared" si="27"/>
        <v/>
      </c>
      <c r="J102" s="22" t="str">
        <f t="shared" si="40"/>
        <v/>
      </c>
      <c r="K102" s="22" t="str">
        <f t="shared" si="41"/>
        <v/>
      </c>
      <c r="L102" t="str">
        <f t="shared" si="21"/>
        <v/>
      </c>
      <c r="M102" s="5" t="str">
        <f t="shared" si="35"/>
        <v/>
      </c>
      <c r="N102" s="9" t="str">
        <f t="shared" si="22"/>
        <v/>
      </c>
      <c r="O102" s="3" t="str">
        <f t="shared" si="28"/>
        <v/>
      </c>
      <c r="P102" s="3" t="str">
        <f t="shared" si="29"/>
        <v/>
      </c>
      <c r="Q102" s="3" t="str">
        <f t="shared" si="36"/>
        <v/>
      </c>
      <c r="R102" s="3" t="str">
        <f t="shared" si="37"/>
        <v/>
      </c>
      <c r="S102" s="3" t="str">
        <f>IF($L102&lt;&gt;"",IF($A102="Prepago",0,IF(ROUND($H102*$U$6,2)&gt;ROUND(SUM($S$11:$S101)+$U$6,2),$U$6*2,$U$6)),"")</f>
        <v/>
      </c>
      <c r="T102" s="3" t="str">
        <f>IF($L102&lt;&gt;"",IF($A102="Prepago",0,IF(ROUND($H102*$U$7,2)&gt;ROUND(SUM($T$11:$T101)+$U$7,2),$U$7*2,$U$7)),"")</f>
        <v/>
      </c>
      <c r="U102" s="3" t="str">
        <f>IF($L102&lt;&gt;"",IF($A102="Prepago",0,IF(ROUND($H102*$U$8,2)&gt;ROUND(SUM($U$11:$U101)+$U$8,2),$U$8*2,$U$8)),"")</f>
        <v/>
      </c>
      <c r="V102" s="3" t="str">
        <f>IF($L102&lt;&gt;"",IF($A102="Prepago",0,IF(ROUND($H102*$U$9,2)&gt;ROUND(SUM($V$11:$V101)+$U$9,2),$U$9*2,$U$9)),"")</f>
        <v/>
      </c>
      <c r="W102" s="3" t="str">
        <f t="shared" si="23"/>
        <v/>
      </c>
      <c r="X102" s="3" t="str">
        <f t="shared" si="30"/>
        <v/>
      </c>
      <c r="Y102" s="3" t="str">
        <f t="shared" si="31"/>
        <v/>
      </c>
      <c r="Z102" s="3" t="str">
        <f t="shared" si="32"/>
        <v/>
      </c>
      <c r="AA102" s="3" t="str">
        <f>IF($L102&lt;&gt;"",IF($N102&gt;Z$11,IF($N102&lt;AA$11,$N102-Z$11,30),0)*ROUND(($O102+$X101+SUM($Z102:Z102))*$V$5/3000,2),"")</f>
        <v/>
      </c>
      <c r="AB102" s="3"/>
      <c r="AC102" s="3"/>
    </row>
    <row r="103" spans="5:29" x14ac:dyDescent="0.25">
      <c r="E103" s="5"/>
      <c r="F103" t="str">
        <f t="shared" si="38"/>
        <v/>
      </c>
      <c r="G103" s="5" t="str">
        <f t="shared" si="25"/>
        <v/>
      </c>
      <c r="H103" s="22" t="str">
        <f t="shared" si="39"/>
        <v/>
      </c>
      <c r="I103" s="22" t="str">
        <f t="shared" si="27"/>
        <v/>
      </c>
      <c r="J103" s="22" t="str">
        <f t="shared" si="40"/>
        <v/>
      </c>
      <c r="K103" s="22" t="str">
        <f t="shared" si="41"/>
        <v/>
      </c>
      <c r="L103" t="str">
        <f t="shared" si="21"/>
        <v/>
      </c>
      <c r="M103" s="5" t="str">
        <f t="shared" si="35"/>
        <v/>
      </c>
      <c r="N103" s="9" t="str">
        <f t="shared" si="22"/>
        <v/>
      </c>
      <c r="O103" s="3" t="str">
        <f t="shared" si="28"/>
        <v/>
      </c>
      <c r="P103" s="3" t="str">
        <f t="shared" si="29"/>
        <v/>
      </c>
      <c r="Q103" s="3" t="str">
        <f t="shared" si="36"/>
        <v/>
      </c>
      <c r="R103" s="3" t="str">
        <f t="shared" si="37"/>
        <v/>
      </c>
      <c r="S103" s="3" t="str">
        <f>IF($L103&lt;&gt;"",IF($A103="Prepago",0,IF(ROUND($H103*$U$6,2)&gt;ROUND(SUM($S$11:$S102)+$U$6,2),$U$6*2,$U$6)),"")</f>
        <v/>
      </c>
      <c r="T103" s="3" t="str">
        <f>IF($L103&lt;&gt;"",IF($A103="Prepago",0,IF(ROUND($H103*$U$7,2)&gt;ROUND(SUM($T$11:$T102)+$U$7,2),$U$7*2,$U$7)),"")</f>
        <v/>
      </c>
      <c r="U103" s="3" t="str">
        <f>IF($L103&lt;&gt;"",IF($A103="Prepago",0,IF(ROUND($H103*$U$8,2)&gt;ROUND(SUM($U$11:$U102)+$U$8,2),$U$8*2,$U$8)),"")</f>
        <v/>
      </c>
      <c r="V103" s="3" t="str">
        <f>IF($L103&lt;&gt;"",IF($A103="Prepago",0,IF(ROUND($H103*$U$9,2)&gt;ROUND(SUM($V$11:$V102)+$U$9,2),$U$9*2,$U$9)),"")</f>
        <v/>
      </c>
      <c r="W103" s="3" t="str">
        <f t="shared" si="23"/>
        <v/>
      </c>
      <c r="X103" s="3" t="str">
        <f t="shared" si="30"/>
        <v/>
      </c>
      <c r="Y103" s="3" t="str">
        <f t="shared" si="31"/>
        <v/>
      </c>
      <c r="Z103" s="3" t="str">
        <f t="shared" si="32"/>
        <v/>
      </c>
      <c r="AA103" s="3" t="str">
        <f>IF($L103&lt;&gt;"",IF($N103&gt;Z$11,IF($N103&lt;AA$11,$N103-Z$11,30),0)*ROUND(($O103+$X102+SUM($Z103:Z103))*$V$5/3000,2),"")</f>
        <v/>
      </c>
      <c r="AB103" s="3"/>
      <c r="AC103" s="3"/>
    </row>
    <row r="104" spans="5:29" x14ac:dyDescent="0.25">
      <c r="E104" s="5"/>
      <c r="F104" t="str">
        <f t="shared" si="38"/>
        <v/>
      </c>
      <c r="G104" s="5" t="str">
        <f t="shared" si="25"/>
        <v/>
      </c>
      <c r="H104" s="22" t="str">
        <f t="shared" si="39"/>
        <v/>
      </c>
      <c r="I104" s="22" t="str">
        <f t="shared" si="27"/>
        <v/>
      </c>
      <c r="J104" s="22" t="str">
        <f t="shared" si="40"/>
        <v/>
      </c>
      <c r="K104" s="22" t="str">
        <f t="shared" si="41"/>
        <v/>
      </c>
      <c r="L104" t="str">
        <f t="shared" si="21"/>
        <v/>
      </c>
      <c r="M104" s="5" t="str">
        <f t="shared" si="35"/>
        <v/>
      </c>
      <c r="N104" s="9" t="str">
        <f t="shared" si="22"/>
        <v/>
      </c>
      <c r="O104" s="3" t="str">
        <f t="shared" si="28"/>
        <v/>
      </c>
      <c r="P104" s="3" t="str">
        <f t="shared" si="29"/>
        <v/>
      </c>
      <c r="Q104" s="3" t="str">
        <f t="shared" si="36"/>
        <v/>
      </c>
      <c r="R104" s="3" t="str">
        <f t="shared" si="37"/>
        <v/>
      </c>
      <c r="S104" s="3" t="str">
        <f>IF($L104&lt;&gt;"",IF($A104="Prepago",0,IF(ROUND($H104*$U$6,2)&gt;ROUND(SUM($S$11:$S103)+$U$6,2),$U$6*2,$U$6)),"")</f>
        <v/>
      </c>
      <c r="T104" s="3" t="str">
        <f>IF($L104&lt;&gt;"",IF($A104="Prepago",0,IF(ROUND($H104*$U$7,2)&gt;ROUND(SUM($T$11:$T103)+$U$7,2),$U$7*2,$U$7)),"")</f>
        <v/>
      </c>
      <c r="U104" s="3" t="str">
        <f>IF($L104&lt;&gt;"",IF($A104="Prepago",0,IF(ROUND($H104*$U$8,2)&gt;ROUND(SUM($U$11:$U103)+$U$8,2),$U$8*2,$U$8)),"")</f>
        <v/>
      </c>
      <c r="V104" s="3" t="str">
        <f>IF($L104&lt;&gt;"",IF($A104="Prepago",0,IF(ROUND($H104*$U$9,2)&gt;ROUND(SUM($V$11:$V103)+$U$9,2),$U$9*2,$U$9)),"")</f>
        <v/>
      </c>
      <c r="W104" s="3" t="str">
        <f t="shared" si="23"/>
        <v/>
      </c>
      <c r="X104" s="3" t="str">
        <f t="shared" si="30"/>
        <v/>
      </c>
      <c r="Y104" s="3" t="str">
        <f t="shared" si="31"/>
        <v/>
      </c>
      <c r="Z104" s="3" t="str">
        <f t="shared" si="32"/>
        <v/>
      </c>
      <c r="AA104" s="3" t="str">
        <f>IF($L104&lt;&gt;"",IF($N104&gt;Z$11,IF($N104&lt;AA$11,$N104-Z$11,30),0)*ROUND(($O104+$X103+SUM($Z104:Z104))*$V$5/3000,2),"")</f>
        <v/>
      </c>
      <c r="AB104" s="3"/>
      <c r="AC104" s="3"/>
    </row>
    <row r="105" spans="5:29" x14ac:dyDescent="0.25">
      <c r="E105" s="5"/>
      <c r="F105" t="str">
        <f t="shared" si="38"/>
        <v/>
      </c>
      <c r="G105" s="5" t="str">
        <f t="shared" si="25"/>
        <v/>
      </c>
      <c r="H105" s="22" t="str">
        <f t="shared" si="39"/>
        <v/>
      </c>
      <c r="I105" s="22" t="str">
        <f t="shared" si="27"/>
        <v/>
      </c>
      <c r="J105" s="22" t="str">
        <f t="shared" si="40"/>
        <v/>
      </c>
      <c r="K105" s="22" t="str">
        <f t="shared" si="41"/>
        <v/>
      </c>
      <c r="L105" t="str">
        <f t="shared" si="21"/>
        <v/>
      </c>
      <c r="M105" s="5" t="str">
        <f t="shared" si="35"/>
        <v/>
      </c>
      <c r="N105" s="9" t="str">
        <f t="shared" si="22"/>
        <v/>
      </c>
      <c r="O105" s="3" t="str">
        <f t="shared" si="28"/>
        <v/>
      </c>
      <c r="P105" s="3" t="str">
        <f t="shared" si="29"/>
        <v/>
      </c>
      <c r="Q105" s="3" t="str">
        <f t="shared" si="36"/>
        <v/>
      </c>
      <c r="R105" s="3" t="str">
        <f t="shared" si="37"/>
        <v/>
      </c>
      <c r="S105" s="3" t="str">
        <f>IF($L105&lt;&gt;"",IF($A105="Prepago",0,IF(ROUND($H105*$U$6,2)&gt;ROUND(SUM($S$11:$S104)+$U$6,2),$U$6*2,$U$6)),"")</f>
        <v/>
      </c>
      <c r="T105" s="3" t="str">
        <f>IF($L105&lt;&gt;"",IF($A105="Prepago",0,IF(ROUND($H105*$U$7,2)&gt;ROUND(SUM($T$11:$T104)+$U$7,2),$U$7*2,$U$7)),"")</f>
        <v/>
      </c>
      <c r="U105" s="3" t="str">
        <f>IF($L105&lt;&gt;"",IF($A105="Prepago",0,IF(ROUND($H105*$U$8,2)&gt;ROUND(SUM($U$11:$U104)+$U$8,2),$U$8*2,$U$8)),"")</f>
        <v/>
      </c>
      <c r="V105" s="3" t="str">
        <f>IF($L105&lt;&gt;"",IF($A105="Prepago",0,IF(ROUND($H105*$U$9,2)&gt;ROUND(SUM($V$11:$V104)+$U$9,2),$U$9*2,$U$9)),"")</f>
        <v/>
      </c>
      <c r="W105" s="3" t="str">
        <f t="shared" si="23"/>
        <v/>
      </c>
      <c r="X105" s="3" t="str">
        <f t="shared" si="30"/>
        <v/>
      </c>
      <c r="Y105" s="3" t="str">
        <f t="shared" si="31"/>
        <v/>
      </c>
      <c r="Z105" s="3" t="str">
        <f t="shared" si="32"/>
        <v/>
      </c>
      <c r="AA105" s="3" t="str">
        <f>IF($L105&lt;&gt;"",IF($N105&gt;Z$11,IF($N105&lt;AA$11,$N105-Z$11,30),0)*ROUND(($O105+$X104+SUM($Z105:Z105))*$V$5/3000,2),"")</f>
        <v/>
      </c>
      <c r="AB105" s="3"/>
      <c r="AC105" s="3"/>
    </row>
    <row r="106" spans="5:29" x14ac:dyDescent="0.25">
      <c r="E106" s="5"/>
      <c r="F106" t="str">
        <f t="shared" si="38"/>
        <v/>
      </c>
      <c r="G106" s="5" t="str">
        <f t="shared" si="25"/>
        <v/>
      </c>
      <c r="H106" s="22" t="str">
        <f t="shared" si="39"/>
        <v/>
      </c>
      <c r="I106" s="22" t="str">
        <f t="shared" si="27"/>
        <v/>
      </c>
      <c r="J106" s="22" t="str">
        <f t="shared" si="40"/>
        <v/>
      </c>
      <c r="K106" s="22" t="str">
        <f t="shared" si="41"/>
        <v/>
      </c>
      <c r="L106" t="str">
        <f t="shared" si="21"/>
        <v/>
      </c>
      <c r="M106" s="5" t="str">
        <f t="shared" si="35"/>
        <v/>
      </c>
      <c r="N106" s="9" t="str">
        <f t="shared" si="22"/>
        <v/>
      </c>
      <c r="O106" s="3" t="str">
        <f t="shared" si="28"/>
        <v/>
      </c>
      <c r="P106" s="3" t="str">
        <f t="shared" si="29"/>
        <v/>
      </c>
      <c r="Q106" s="3" t="str">
        <f t="shared" si="36"/>
        <v/>
      </c>
      <c r="R106" s="3" t="str">
        <f t="shared" si="37"/>
        <v/>
      </c>
      <c r="S106" s="3" t="str">
        <f>IF($L106&lt;&gt;"",IF($A106="Prepago",0,IF(ROUND($H106*$U$6,2)&gt;ROUND(SUM($S$11:$S105)+$U$6,2),$U$6*2,$U$6)),"")</f>
        <v/>
      </c>
      <c r="T106" s="3" t="str">
        <f>IF($L106&lt;&gt;"",IF($A106="Prepago",0,IF(ROUND($H106*$U$7,2)&gt;ROUND(SUM($T$11:$T105)+$U$7,2),$U$7*2,$U$7)),"")</f>
        <v/>
      </c>
      <c r="U106" s="3" t="str">
        <f>IF($L106&lt;&gt;"",IF($A106="Prepago",0,IF(ROUND($H106*$U$8,2)&gt;ROUND(SUM($U$11:$U105)+$U$8,2),$U$8*2,$U$8)),"")</f>
        <v/>
      </c>
      <c r="V106" s="3" t="str">
        <f>IF($L106&lt;&gt;"",IF($A106="Prepago",0,IF(ROUND($H106*$U$9,2)&gt;ROUND(SUM($V$11:$V105)+$U$9,2),$U$9*2,$U$9)),"")</f>
        <v/>
      </c>
      <c r="W106" s="3" t="str">
        <f t="shared" si="23"/>
        <v/>
      </c>
      <c r="X106" s="3" t="str">
        <f t="shared" si="30"/>
        <v/>
      </c>
      <c r="Y106" s="3" t="str">
        <f t="shared" si="31"/>
        <v/>
      </c>
      <c r="Z106" s="3" t="str">
        <f t="shared" si="32"/>
        <v/>
      </c>
      <c r="AA106" s="3" t="str">
        <f>IF($L106&lt;&gt;"",IF($N106&gt;Z$11,IF($N106&lt;AA$11,$N106-Z$11,30),0)*ROUND(($O106+$X105+SUM($Z106:Z106))*$V$5/3000,2),"")</f>
        <v/>
      </c>
      <c r="AB106" s="3"/>
      <c r="AC106" s="3"/>
    </row>
    <row r="107" spans="5:29" x14ac:dyDescent="0.25">
      <c r="E107" s="5"/>
      <c r="F107" t="str">
        <f t="shared" si="38"/>
        <v/>
      </c>
      <c r="G107" s="5" t="str">
        <f t="shared" si="25"/>
        <v/>
      </c>
      <c r="H107" s="22" t="str">
        <f t="shared" si="39"/>
        <v/>
      </c>
      <c r="I107" s="22" t="str">
        <f t="shared" si="27"/>
        <v/>
      </c>
      <c r="J107" s="22" t="str">
        <f t="shared" si="40"/>
        <v/>
      </c>
      <c r="K107" s="22" t="str">
        <f t="shared" si="41"/>
        <v/>
      </c>
      <c r="L107" t="str">
        <f t="shared" si="21"/>
        <v/>
      </c>
      <c r="M107" s="5" t="str">
        <f t="shared" si="35"/>
        <v/>
      </c>
      <c r="N107" s="9" t="str">
        <f t="shared" si="22"/>
        <v/>
      </c>
      <c r="O107" s="3" t="str">
        <f t="shared" si="28"/>
        <v/>
      </c>
      <c r="P107" s="3" t="str">
        <f t="shared" si="29"/>
        <v/>
      </c>
      <c r="Q107" s="3" t="str">
        <f t="shared" si="36"/>
        <v/>
      </c>
      <c r="R107" s="3" t="str">
        <f t="shared" si="37"/>
        <v/>
      </c>
      <c r="S107" s="3" t="str">
        <f>IF($L107&lt;&gt;"",IF($A107="Prepago",0,IF(ROUND($H107*$U$6,2)&gt;ROUND(SUM($S$11:$S106)+$U$6,2),$U$6*2,$U$6)),"")</f>
        <v/>
      </c>
      <c r="T107" s="3" t="str">
        <f>IF($L107&lt;&gt;"",IF($A107="Prepago",0,IF(ROUND($H107*$U$7,2)&gt;ROUND(SUM($T$11:$T106)+$U$7,2),$U$7*2,$U$7)),"")</f>
        <v/>
      </c>
      <c r="U107" s="3" t="str">
        <f>IF($L107&lt;&gt;"",IF($A107="Prepago",0,IF(ROUND($H107*$U$8,2)&gt;ROUND(SUM($U$11:$U106)+$U$8,2),$U$8*2,$U$8)),"")</f>
        <v/>
      </c>
      <c r="V107" s="3" t="str">
        <f>IF($L107&lt;&gt;"",IF($A107="Prepago",0,IF(ROUND($H107*$U$9,2)&gt;ROUND(SUM($V$11:$V106)+$U$9,2),$U$9*2,$U$9)),"")</f>
        <v/>
      </c>
      <c r="W107" s="3" t="str">
        <f t="shared" si="23"/>
        <v/>
      </c>
      <c r="X107" s="3" t="str">
        <f t="shared" si="30"/>
        <v/>
      </c>
      <c r="Y107" s="3" t="str">
        <f t="shared" si="31"/>
        <v/>
      </c>
      <c r="Z107" s="3" t="str">
        <f t="shared" si="32"/>
        <v/>
      </c>
      <c r="AA107" s="3" t="str">
        <f>IF($L107&lt;&gt;"",IF($N107&gt;Z$11,IF($N107&lt;AA$11,$N107-Z$11,30),0)*ROUND(($O107+$X106+SUM($Z107:Z107))*$V$5/3000,2),"")</f>
        <v/>
      </c>
      <c r="AB107" s="3"/>
      <c r="AC107" s="3"/>
    </row>
    <row r="108" spans="5:29" x14ac:dyDescent="0.25">
      <c r="E108" s="5"/>
      <c r="F108" t="str">
        <f t="shared" si="38"/>
        <v/>
      </c>
      <c r="G108" s="5" t="str">
        <f t="shared" si="25"/>
        <v/>
      </c>
      <c r="H108" s="22" t="str">
        <f t="shared" si="39"/>
        <v/>
      </c>
      <c r="I108" s="22" t="str">
        <f t="shared" si="27"/>
        <v/>
      </c>
      <c r="J108" s="22" t="str">
        <f t="shared" si="40"/>
        <v/>
      </c>
      <c r="K108" s="22" t="str">
        <f t="shared" si="41"/>
        <v/>
      </c>
      <c r="L108" t="str">
        <f t="shared" ref="L108:L171" si="42">IF($L107&lt;NCUOTAS+CUOTAADICIONAL+NPREPAGO,$L107+1,"")</f>
        <v/>
      </c>
      <c r="M108" s="5" t="str">
        <f t="shared" si="35"/>
        <v/>
      </c>
      <c r="N108" s="9" t="str">
        <f t="shared" ref="N108:N171" si="43">IF($L108&lt;&gt;"",$M108-$M107,"")</f>
        <v/>
      </c>
      <c r="O108" s="3" t="str">
        <f t="shared" si="28"/>
        <v/>
      </c>
      <c r="P108" s="3" t="str">
        <f t="shared" si="29"/>
        <v/>
      </c>
      <c r="Q108" s="3" t="str">
        <f t="shared" si="36"/>
        <v/>
      </c>
      <c r="R108" s="3" t="str">
        <f t="shared" si="37"/>
        <v/>
      </c>
      <c r="S108" s="3" t="str">
        <f>IF($L108&lt;&gt;"",IF($A108="Prepago",0,IF(ROUND($H108*$U$6,2)&gt;ROUND(SUM($S$11:$S107)+$U$6,2),$U$6*2,$U$6)),"")</f>
        <v/>
      </c>
      <c r="T108" s="3" t="str">
        <f>IF($L108&lt;&gt;"",IF($A108="Prepago",0,IF(ROUND($H108*$U$7,2)&gt;ROUND(SUM($T$11:$T107)+$U$7,2),$U$7*2,$U$7)),"")</f>
        <v/>
      </c>
      <c r="U108" s="3" t="str">
        <f>IF($L108&lt;&gt;"",IF($A108="Prepago",0,IF(ROUND($H108*$U$8,2)&gt;ROUND(SUM($U$11:$U107)+$U$8,2),$U$8*2,$U$8)),"")</f>
        <v/>
      </c>
      <c r="V108" s="3" t="str">
        <f>IF($L108&lt;&gt;"",IF($A108="Prepago",0,IF(ROUND($H108*$U$9,2)&gt;ROUND(SUM($V$11:$V107)+$U$9,2),$U$9*2,$U$9)),"")</f>
        <v/>
      </c>
      <c r="W108" s="3" t="str">
        <f t="shared" ref="W108:W171" si="44">IF($L108&lt;&gt;"",$O108-$Q108,"")</f>
        <v/>
      </c>
      <c r="X108" s="3" t="str">
        <f t="shared" si="30"/>
        <v/>
      </c>
      <c r="Y108" s="3" t="str">
        <f t="shared" si="31"/>
        <v/>
      </c>
      <c r="Z108" s="3" t="str">
        <f t="shared" si="32"/>
        <v/>
      </c>
      <c r="AA108" s="3" t="str">
        <f>IF($L108&lt;&gt;"",IF($N108&gt;Z$11,IF($N108&lt;AA$11,$N108-Z$11,30),0)*ROUND(($O108+$X107+SUM($Z108:Z108))*$V$5/3000,2),"")</f>
        <v/>
      </c>
      <c r="AB108" s="3"/>
      <c r="AC108" s="3"/>
    </row>
    <row r="109" spans="5:29" x14ac:dyDescent="0.25">
      <c r="E109" s="5"/>
      <c r="F109" t="str">
        <f t="shared" si="38"/>
        <v/>
      </c>
      <c r="G109" s="5" t="str">
        <f t="shared" si="25"/>
        <v/>
      </c>
      <c r="H109" s="22" t="str">
        <f t="shared" si="39"/>
        <v/>
      </c>
      <c r="I109" s="22" t="str">
        <f t="shared" si="27"/>
        <v/>
      </c>
      <c r="J109" s="22" t="str">
        <f t="shared" si="40"/>
        <v/>
      </c>
      <c r="K109" s="22" t="str">
        <f t="shared" si="41"/>
        <v/>
      </c>
      <c r="L109" t="str">
        <f t="shared" si="42"/>
        <v/>
      </c>
      <c r="M109" s="5" t="str">
        <f t="shared" si="35"/>
        <v/>
      </c>
      <c r="N109" s="9" t="str">
        <f t="shared" si="43"/>
        <v/>
      </c>
      <c r="O109" s="3" t="str">
        <f t="shared" si="28"/>
        <v/>
      </c>
      <c r="P109" s="3" t="str">
        <f t="shared" si="29"/>
        <v/>
      </c>
      <c r="Q109" s="3" t="str">
        <f t="shared" si="36"/>
        <v/>
      </c>
      <c r="R109" s="3" t="str">
        <f t="shared" si="37"/>
        <v/>
      </c>
      <c r="S109" s="3" t="str">
        <f>IF($L109&lt;&gt;"",IF($A109="Prepago",0,IF(ROUND($H109*$U$6,2)&gt;ROUND(SUM($S$11:$S108)+$U$6,2),$U$6*2,$U$6)),"")</f>
        <v/>
      </c>
      <c r="T109" s="3" t="str">
        <f>IF($L109&lt;&gt;"",IF($A109="Prepago",0,IF(ROUND($H109*$U$7,2)&gt;ROUND(SUM($T$11:$T108)+$U$7,2),$U$7*2,$U$7)),"")</f>
        <v/>
      </c>
      <c r="U109" s="3" t="str">
        <f>IF($L109&lt;&gt;"",IF($A109="Prepago",0,IF(ROUND($H109*$U$8,2)&gt;ROUND(SUM($U$11:$U108)+$U$8,2),$U$8*2,$U$8)),"")</f>
        <v/>
      </c>
      <c r="V109" s="3" t="str">
        <f>IF($L109&lt;&gt;"",IF($A109="Prepago",0,IF(ROUND($H109*$U$9,2)&gt;ROUND(SUM($V$11:$V108)+$U$9,2),$U$9*2,$U$9)),"")</f>
        <v/>
      </c>
      <c r="W109" s="3" t="str">
        <f t="shared" si="44"/>
        <v/>
      </c>
      <c r="X109" s="3" t="str">
        <f t="shared" si="30"/>
        <v/>
      </c>
      <c r="Y109" s="3" t="str">
        <f t="shared" si="31"/>
        <v/>
      </c>
      <c r="Z109" s="3" t="str">
        <f t="shared" si="32"/>
        <v/>
      </c>
      <c r="AA109" s="3" t="str">
        <f>IF($L109&lt;&gt;"",IF($N109&gt;Z$11,IF($N109&lt;AA$11,$N109-Z$11,30),0)*ROUND(($O109+$X108+SUM($Z109:Z109))*$V$5/3000,2),"")</f>
        <v/>
      </c>
      <c r="AB109" s="3"/>
      <c r="AC109" s="3"/>
    </row>
    <row r="110" spans="5:29" x14ac:dyDescent="0.25">
      <c r="E110" s="5"/>
      <c r="F110" t="str">
        <f t="shared" si="38"/>
        <v/>
      </c>
      <c r="G110" s="5" t="str">
        <f t="shared" si="25"/>
        <v/>
      </c>
      <c r="H110" s="22" t="str">
        <f t="shared" si="39"/>
        <v/>
      </c>
      <c r="I110" s="22" t="str">
        <f t="shared" si="27"/>
        <v/>
      </c>
      <c r="J110" s="22" t="str">
        <f t="shared" si="40"/>
        <v/>
      </c>
      <c r="K110" s="22" t="str">
        <f t="shared" si="41"/>
        <v/>
      </c>
      <c r="L110" t="str">
        <f t="shared" si="42"/>
        <v/>
      </c>
      <c r="M110" s="5" t="str">
        <f t="shared" si="35"/>
        <v/>
      </c>
      <c r="N110" s="9" t="str">
        <f t="shared" si="43"/>
        <v/>
      </c>
      <c r="O110" s="3" t="str">
        <f t="shared" si="28"/>
        <v/>
      </c>
      <c r="P110" s="3" t="str">
        <f t="shared" si="29"/>
        <v/>
      </c>
      <c r="Q110" s="3" t="str">
        <f t="shared" si="36"/>
        <v/>
      </c>
      <c r="R110" s="3" t="str">
        <f t="shared" si="37"/>
        <v/>
      </c>
      <c r="S110" s="3" t="str">
        <f>IF($L110&lt;&gt;"",IF($A110="Prepago",0,IF(ROUND($H110*$U$6,2)&gt;ROUND(SUM($S$11:$S109)+$U$6,2),$U$6*2,$U$6)),"")</f>
        <v/>
      </c>
      <c r="T110" s="3" t="str">
        <f>IF($L110&lt;&gt;"",IF($A110="Prepago",0,IF(ROUND($H110*$U$7,2)&gt;ROUND(SUM($T$11:$T109)+$U$7,2),$U$7*2,$U$7)),"")</f>
        <v/>
      </c>
      <c r="U110" s="3" t="str">
        <f>IF($L110&lt;&gt;"",IF($A110="Prepago",0,IF(ROUND($H110*$U$8,2)&gt;ROUND(SUM($U$11:$U109)+$U$8,2),$U$8*2,$U$8)),"")</f>
        <v/>
      </c>
      <c r="V110" s="3" t="str">
        <f>IF($L110&lt;&gt;"",IF($A110="Prepago",0,IF(ROUND($H110*$U$9,2)&gt;ROUND(SUM($V$11:$V109)+$U$9,2),$U$9*2,$U$9)),"")</f>
        <v/>
      </c>
      <c r="W110" s="3" t="str">
        <f t="shared" si="44"/>
        <v/>
      </c>
      <c r="X110" s="3" t="str">
        <f t="shared" si="30"/>
        <v/>
      </c>
      <c r="Y110" s="3" t="str">
        <f t="shared" si="31"/>
        <v/>
      </c>
      <c r="Z110" s="3" t="str">
        <f t="shared" si="32"/>
        <v/>
      </c>
      <c r="AA110" s="3" t="str">
        <f>IF($L110&lt;&gt;"",IF($N110&gt;Z$11,IF($N110&lt;AA$11,$N110-Z$11,30),0)*ROUND(($O110+$X109+SUM($Z110:Z110))*$V$5/3000,2),"")</f>
        <v/>
      </c>
      <c r="AB110" s="3"/>
      <c r="AC110" s="3"/>
    </row>
    <row r="111" spans="5:29" x14ac:dyDescent="0.25">
      <c r="E111" s="5"/>
      <c r="F111" t="str">
        <f t="shared" si="38"/>
        <v/>
      </c>
      <c r="G111" s="5" t="str">
        <f t="shared" si="25"/>
        <v/>
      </c>
      <c r="H111" s="22" t="str">
        <f t="shared" si="39"/>
        <v/>
      </c>
      <c r="I111" s="22" t="str">
        <f t="shared" si="27"/>
        <v/>
      </c>
      <c r="J111" s="22" t="str">
        <f t="shared" si="40"/>
        <v/>
      </c>
      <c r="K111" s="22" t="str">
        <f t="shared" si="41"/>
        <v/>
      </c>
      <c r="L111" t="str">
        <f t="shared" si="42"/>
        <v/>
      </c>
      <c r="M111" s="5" t="str">
        <f t="shared" si="35"/>
        <v/>
      </c>
      <c r="N111" s="9" t="str">
        <f t="shared" si="43"/>
        <v/>
      </c>
      <c r="O111" s="3" t="str">
        <f t="shared" si="28"/>
        <v/>
      </c>
      <c r="P111" s="3" t="str">
        <f t="shared" si="29"/>
        <v/>
      </c>
      <c r="Q111" s="3" t="str">
        <f t="shared" si="36"/>
        <v/>
      </c>
      <c r="R111" s="3" t="str">
        <f t="shared" si="37"/>
        <v/>
      </c>
      <c r="S111" s="3" t="str">
        <f>IF($L111&lt;&gt;"",IF($A111="Prepago",0,IF(ROUND($H111*$U$6,2)&gt;ROUND(SUM($S$11:$S110)+$U$6,2),$U$6*2,$U$6)),"")</f>
        <v/>
      </c>
      <c r="T111" s="3" t="str">
        <f>IF($L111&lt;&gt;"",IF($A111="Prepago",0,IF(ROUND($H111*$U$7,2)&gt;ROUND(SUM($T$11:$T110)+$U$7,2),$U$7*2,$U$7)),"")</f>
        <v/>
      </c>
      <c r="U111" s="3" t="str">
        <f>IF($L111&lt;&gt;"",IF($A111="Prepago",0,IF(ROUND($H111*$U$8,2)&gt;ROUND(SUM($U$11:$U110)+$U$8,2),$U$8*2,$U$8)),"")</f>
        <v/>
      </c>
      <c r="V111" s="3" t="str">
        <f>IF($L111&lt;&gt;"",IF($A111="Prepago",0,IF(ROUND($H111*$U$9,2)&gt;ROUND(SUM($V$11:$V110)+$U$9,2),$U$9*2,$U$9)),"")</f>
        <v/>
      </c>
      <c r="W111" s="3" t="str">
        <f t="shared" si="44"/>
        <v/>
      </c>
      <c r="X111" s="3" t="str">
        <f t="shared" si="30"/>
        <v/>
      </c>
      <c r="Y111" s="3" t="str">
        <f t="shared" si="31"/>
        <v/>
      </c>
      <c r="Z111" s="3" t="str">
        <f t="shared" si="32"/>
        <v/>
      </c>
      <c r="AA111" s="3" t="str">
        <f>IF($L111&lt;&gt;"",IF($N111&gt;Z$11,IF($N111&lt;AA$11,$N111-Z$11,30),0)*ROUND(($O111+$X110+SUM($Z111:Z111))*$V$5/3000,2),"")</f>
        <v/>
      </c>
      <c r="AB111" s="3"/>
      <c r="AC111" s="3"/>
    </row>
    <row r="112" spans="5:29" x14ac:dyDescent="0.25">
      <c r="E112" s="5"/>
      <c r="F112" t="str">
        <f t="shared" si="38"/>
        <v/>
      </c>
      <c r="G112" s="5" t="str">
        <f t="shared" si="25"/>
        <v/>
      </c>
      <c r="H112" s="22" t="str">
        <f t="shared" si="39"/>
        <v/>
      </c>
      <c r="I112" s="22" t="str">
        <f t="shared" si="27"/>
        <v/>
      </c>
      <c r="J112" s="22" t="str">
        <f t="shared" si="40"/>
        <v/>
      </c>
      <c r="K112" s="22" t="str">
        <f t="shared" si="41"/>
        <v/>
      </c>
      <c r="L112" t="str">
        <f t="shared" si="42"/>
        <v/>
      </c>
      <c r="M112" s="5" t="str">
        <f t="shared" si="35"/>
        <v/>
      </c>
      <c r="N112" s="9" t="str">
        <f t="shared" si="43"/>
        <v/>
      </c>
      <c r="O112" s="3" t="str">
        <f t="shared" si="28"/>
        <v/>
      </c>
      <c r="P112" s="3" t="str">
        <f t="shared" si="29"/>
        <v/>
      </c>
      <c r="Q112" s="3" t="str">
        <f t="shared" si="36"/>
        <v/>
      </c>
      <c r="R112" s="3" t="str">
        <f t="shared" si="37"/>
        <v/>
      </c>
      <c r="S112" s="3" t="str">
        <f>IF($L112&lt;&gt;"",IF($A112="Prepago",0,IF(ROUND($H112*$U$6,2)&gt;ROUND(SUM($S$11:$S111)+$U$6,2),$U$6*2,$U$6)),"")</f>
        <v/>
      </c>
      <c r="T112" s="3" t="str">
        <f>IF($L112&lt;&gt;"",IF($A112="Prepago",0,IF(ROUND($H112*$U$7,2)&gt;ROUND(SUM($T$11:$T111)+$U$7,2),$U$7*2,$U$7)),"")</f>
        <v/>
      </c>
      <c r="U112" s="3" t="str">
        <f>IF($L112&lt;&gt;"",IF($A112="Prepago",0,IF(ROUND($H112*$U$8,2)&gt;ROUND(SUM($U$11:$U111)+$U$8,2),$U$8*2,$U$8)),"")</f>
        <v/>
      </c>
      <c r="V112" s="3" t="str">
        <f>IF($L112&lt;&gt;"",IF($A112="Prepago",0,IF(ROUND($H112*$U$9,2)&gt;ROUND(SUM($V$11:$V111)+$U$9,2),$U$9*2,$U$9)),"")</f>
        <v/>
      </c>
      <c r="W112" s="3" t="str">
        <f t="shared" si="44"/>
        <v/>
      </c>
      <c r="X112" s="3" t="str">
        <f t="shared" si="30"/>
        <v/>
      </c>
      <c r="Y112" s="3" t="str">
        <f t="shared" si="31"/>
        <v/>
      </c>
      <c r="Z112" s="3" t="str">
        <f t="shared" si="32"/>
        <v/>
      </c>
      <c r="AA112" s="3" t="str">
        <f>IF($L112&lt;&gt;"",IF($N112&gt;Z$11,IF($N112&lt;AA$11,$N112-Z$11,30),0)*ROUND(($O112+$X111+SUM($Z112:Z112))*$V$5/3000,2),"")</f>
        <v/>
      </c>
      <c r="AB112" s="3"/>
      <c r="AC112" s="3"/>
    </row>
    <row r="113" spans="5:29" x14ac:dyDescent="0.25">
      <c r="E113" s="5"/>
      <c r="F113" t="str">
        <f t="shared" si="38"/>
        <v/>
      </c>
      <c r="G113" s="5" t="str">
        <f t="shared" si="25"/>
        <v/>
      </c>
      <c r="H113" s="22" t="str">
        <f t="shared" si="39"/>
        <v/>
      </c>
      <c r="I113" s="22" t="str">
        <f t="shared" si="27"/>
        <v/>
      </c>
      <c r="J113" s="22" t="str">
        <f t="shared" si="40"/>
        <v/>
      </c>
      <c r="K113" s="22" t="str">
        <f t="shared" si="41"/>
        <v/>
      </c>
      <c r="L113" t="str">
        <f t="shared" si="42"/>
        <v/>
      </c>
      <c r="M113" s="5" t="str">
        <f t="shared" si="35"/>
        <v/>
      </c>
      <c r="N113" s="9" t="str">
        <f t="shared" si="43"/>
        <v/>
      </c>
      <c r="O113" s="3" t="str">
        <f t="shared" si="28"/>
        <v/>
      </c>
      <c r="P113" s="3" t="str">
        <f t="shared" si="29"/>
        <v/>
      </c>
      <c r="Q113" s="3" t="str">
        <f t="shared" si="36"/>
        <v/>
      </c>
      <c r="R113" s="3" t="str">
        <f t="shared" si="37"/>
        <v/>
      </c>
      <c r="S113" s="3" t="str">
        <f>IF($L113&lt;&gt;"",IF($A113="Prepago",0,IF(ROUND($H113*$U$6,2)&gt;ROUND(SUM($S$11:$S112)+$U$6,2),$U$6*2,$U$6)),"")</f>
        <v/>
      </c>
      <c r="T113" s="3" t="str">
        <f>IF($L113&lt;&gt;"",IF($A113="Prepago",0,IF(ROUND($H113*$U$7,2)&gt;ROUND(SUM($T$11:$T112)+$U$7,2),$U$7*2,$U$7)),"")</f>
        <v/>
      </c>
      <c r="U113" s="3" t="str">
        <f>IF($L113&lt;&gt;"",IF($A113="Prepago",0,IF(ROUND($H113*$U$8,2)&gt;ROUND(SUM($U$11:$U112)+$U$8,2),$U$8*2,$U$8)),"")</f>
        <v/>
      </c>
      <c r="V113" s="3" t="str">
        <f>IF($L113&lt;&gt;"",IF($A113="Prepago",0,IF(ROUND($H113*$U$9,2)&gt;ROUND(SUM($V$11:$V112)+$U$9,2),$U$9*2,$U$9)),"")</f>
        <v/>
      </c>
      <c r="W113" s="3" t="str">
        <f t="shared" si="44"/>
        <v/>
      </c>
      <c r="X113" s="3" t="str">
        <f t="shared" si="30"/>
        <v/>
      </c>
      <c r="Y113" s="3" t="str">
        <f t="shared" si="31"/>
        <v/>
      </c>
      <c r="Z113" s="3" t="str">
        <f t="shared" si="32"/>
        <v/>
      </c>
      <c r="AA113" s="3" t="str">
        <f>IF($L113&lt;&gt;"",IF($N113&gt;Z$11,IF($N113&lt;AA$11,$N113-Z$11,30),0)*ROUND(($O113+$X112+SUM($Z113:Z113))*$V$5/3000,2),"")</f>
        <v/>
      </c>
      <c r="AB113" s="3"/>
      <c r="AC113" s="3"/>
    </row>
    <row r="114" spans="5:29" x14ac:dyDescent="0.25">
      <c r="E114" s="5"/>
      <c r="F114" t="str">
        <f t="shared" si="38"/>
        <v/>
      </c>
      <c r="G114" s="5" t="str">
        <f t="shared" si="25"/>
        <v/>
      </c>
      <c r="H114" s="22" t="str">
        <f t="shared" si="39"/>
        <v/>
      </c>
      <c r="I114" s="22" t="str">
        <f t="shared" si="27"/>
        <v/>
      </c>
      <c r="J114" s="22" t="str">
        <f t="shared" si="40"/>
        <v/>
      </c>
      <c r="K114" s="22" t="str">
        <f t="shared" si="41"/>
        <v/>
      </c>
      <c r="L114" t="str">
        <f t="shared" si="42"/>
        <v/>
      </c>
      <c r="M114" s="5" t="str">
        <f t="shared" si="35"/>
        <v/>
      </c>
      <c r="N114" s="9" t="str">
        <f t="shared" si="43"/>
        <v/>
      </c>
      <c r="O114" s="3" t="str">
        <f t="shared" si="28"/>
        <v/>
      </c>
      <c r="P114" s="3" t="str">
        <f t="shared" si="29"/>
        <v/>
      </c>
      <c r="Q114" s="3" t="str">
        <f t="shared" si="36"/>
        <v/>
      </c>
      <c r="R114" s="3" t="str">
        <f t="shared" si="37"/>
        <v/>
      </c>
      <c r="S114" s="3" t="str">
        <f>IF($L114&lt;&gt;"",IF($A114="Prepago",0,IF(ROUND($H114*$U$6,2)&gt;ROUND(SUM($S$11:$S113)+$U$6,2),$U$6*2,$U$6)),"")</f>
        <v/>
      </c>
      <c r="T114" s="3" t="str">
        <f>IF($L114&lt;&gt;"",IF($A114="Prepago",0,IF(ROUND($H114*$U$7,2)&gt;ROUND(SUM($T$11:$T113)+$U$7,2),$U$7*2,$U$7)),"")</f>
        <v/>
      </c>
      <c r="U114" s="3" t="str">
        <f>IF($L114&lt;&gt;"",IF($A114="Prepago",0,IF(ROUND($H114*$U$8,2)&gt;ROUND(SUM($U$11:$U113)+$U$8,2),$U$8*2,$U$8)),"")</f>
        <v/>
      </c>
      <c r="V114" s="3" t="str">
        <f>IF($L114&lt;&gt;"",IF($A114="Prepago",0,IF(ROUND($H114*$U$9,2)&gt;ROUND(SUM($V$11:$V113)+$U$9,2),$U$9*2,$U$9)),"")</f>
        <v/>
      </c>
      <c r="W114" s="3" t="str">
        <f t="shared" si="44"/>
        <v/>
      </c>
      <c r="X114" s="3" t="str">
        <f t="shared" si="30"/>
        <v/>
      </c>
      <c r="Y114" s="3" t="str">
        <f t="shared" si="31"/>
        <v/>
      </c>
      <c r="Z114" s="3" t="str">
        <f t="shared" si="32"/>
        <v/>
      </c>
      <c r="AA114" s="3" t="str">
        <f>IF($L114&lt;&gt;"",IF($N114&gt;Z$11,IF($N114&lt;AA$11,$N114-Z$11,30),0)*ROUND(($O114+$X113+SUM($Z114:Z114))*$V$5/3000,2),"")</f>
        <v/>
      </c>
      <c r="AB114" s="3"/>
      <c r="AC114" s="3"/>
    </row>
    <row r="115" spans="5:29" x14ac:dyDescent="0.25">
      <c r="E115" s="5"/>
      <c r="F115" t="str">
        <f t="shared" si="38"/>
        <v/>
      </c>
      <c r="G115" s="5" t="str">
        <f t="shared" si="25"/>
        <v/>
      </c>
      <c r="H115" s="22" t="str">
        <f t="shared" si="39"/>
        <v/>
      </c>
      <c r="I115" s="22" t="str">
        <f t="shared" si="27"/>
        <v/>
      </c>
      <c r="J115" s="22" t="str">
        <f t="shared" si="40"/>
        <v/>
      </c>
      <c r="K115" s="22" t="str">
        <f t="shared" si="41"/>
        <v/>
      </c>
      <c r="L115" t="str">
        <f t="shared" si="42"/>
        <v/>
      </c>
      <c r="M115" s="5" t="str">
        <f t="shared" si="35"/>
        <v/>
      </c>
      <c r="N115" s="9" t="str">
        <f t="shared" si="43"/>
        <v/>
      </c>
      <c r="O115" s="3" t="str">
        <f t="shared" si="28"/>
        <v/>
      </c>
      <c r="P115" s="3" t="str">
        <f t="shared" si="29"/>
        <v/>
      </c>
      <c r="Q115" s="3" t="str">
        <f t="shared" si="36"/>
        <v/>
      </c>
      <c r="R115" s="3" t="str">
        <f t="shared" si="37"/>
        <v/>
      </c>
      <c r="S115" s="3" t="str">
        <f>IF($L115&lt;&gt;"",IF($A115="Prepago",0,IF(ROUND($H115*$U$6,2)&gt;ROUND(SUM($S$11:$S114)+$U$6,2),$U$6*2,$U$6)),"")</f>
        <v/>
      </c>
      <c r="T115" s="3" t="str">
        <f>IF($L115&lt;&gt;"",IF($A115="Prepago",0,IF(ROUND($H115*$U$7,2)&gt;ROUND(SUM($T$11:$T114)+$U$7,2),$U$7*2,$U$7)),"")</f>
        <v/>
      </c>
      <c r="U115" s="3" t="str">
        <f>IF($L115&lt;&gt;"",IF($A115="Prepago",0,IF(ROUND($H115*$U$8,2)&gt;ROUND(SUM($U$11:$U114)+$U$8,2),$U$8*2,$U$8)),"")</f>
        <v/>
      </c>
      <c r="V115" s="3" t="str">
        <f>IF($L115&lt;&gt;"",IF($A115="Prepago",0,IF(ROUND($H115*$U$9,2)&gt;ROUND(SUM($V$11:$V114)+$U$9,2),$U$9*2,$U$9)),"")</f>
        <v/>
      </c>
      <c r="W115" s="3" t="str">
        <f t="shared" si="44"/>
        <v/>
      </c>
      <c r="X115" s="3" t="str">
        <f t="shared" si="30"/>
        <v/>
      </c>
      <c r="Y115" s="3" t="str">
        <f t="shared" si="31"/>
        <v/>
      </c>
      <c r="Z115" s="3" t="str">
        <f t="shared" si="32"/>
        <v/>
      </c>
      <c r="AA115" s="3" t="str">
        <f>IF($L115&lt;&gt;"",IF($N115&gt;Z$11,IF($N115&lt;AA$11,$N115-Z$11,30),0)*ROUND(($O115+$X114+SUM($Z115:Z115))*$V$5/3000,2),"")</f>
        <v/>
      </c>
      <c r="AB115" s="3"/>
      <c r="AC115" s="3"/>
    </row>
    <row r="116" spans="5:29" x14ac:dyDescent="0.25">
      <c r="E116" s="5"/>
      <c r="F116" t="str">
        <f t="shared" si="38"/>
        <v/>
      </c>
      <c r="G116" s="5" t="str">
        <f t="shared" si="25"/>
        <v/>
      </c>
      <c r="H116" s="22" t="str">
        <f t="shared" si="39"/>
        <v/>
      </c>
      <c r="I116" s="22" t="str">
        <f t="shared" si="27"/>
        <v/>
      </c>
      <c r="J116" s="22" t="str">
        <f t="shared" si="40"/>
        <v/>
      </c>
      <c r="K116" s="22" t="str">
        <f t="shared" si="41"/>
        <v/>
      </c>
      <c r="L116" t="str">
        <f t="shared" si="42"/>
        <v/>
      </c>
      <c r="M116" s="5" t="str">
        <f t="shared" si="35"/>
        <v/>
      </c>
      <c r="N116" s="9" t="str">
        <f t="shared" si="43"/>
        <v/>
      </c>
      <c r="O116" s="3" t="str">
        <f t="shared" si="28"/>
        <v/>
      </c>
      <c r="P116" s="3" t="str">
        <f t="shared" si="29"/>
        <v/>
      </c>
      <c r="Q116" s="3" t="str">
        <f t="shared" si="36"/>
        <v/>
      </c>
      <c r="R116" s="3" t="str">
        <f t="shared" si="37"/>
        <v/>
      </c>
      <c r="S116" s="3" t="str">
        <f>IF($L116&lt;&gt;"",IF($A116="Prepago",0,IF(ROUND($H116*$U$6,2)&gt;ROUND(SUM($S$11:$S115)+$U$6,2),$U$6*2,$U$6)),"")</f>
        <v/>
      </c>
      <c r="T116" s="3" t="str">
        <f>IF($L116&lt;&gt;"",IF($A116="Prepago",0,IF(ROUND($H116*$U$7,2)&gt;ROUND(SUM($T$11:$T115)+$U$7,2),$U$7*2,$U$7)),"")</f>
        <v/>
      </c>
      <c r="U116" s="3" t="str">
        <f>IF($L116&lt;&gt;"",IF($A116="Prepago",0,IF(ROUND($H116*$U$8,2)&gt;ROUND(SUM($U$11:$U115)+$U$8,2),$U$8*2,$U$8)),"")</f>
        <v/>
      </c>
      <c r="V116" s="3" t="str">
        <f>IF($L116&lt;&gt;"",IF($A116="Prepago",0,IF(ROUND($H116*$U$9,2)&gt;ROUND(SUM($V$11:$V115)+$U$9,2),$U$9*2,$U$9)),"")</f>
        <v/>
      </c>
      <c r="W116" s="3" t="str">
        <f t="shared" si="44"/>
        <v/>
      </c>
      <c r="X116" s="3" t="str">
        <f t="shared" si="30"/>
        <v/>
      </c>
      <c r="Y116" s="3" t="str">
        <f t="shared" si="31"/>
        <v/>
      </c>
      <c r="Z116" s="3" t="str">
        <f t="shared" si="32"/>
        <v/>
      </c>
      <c r="AA116" s="3" t="str">
        <f>IF($L116&lt;&gt;"",IF($N116&gt;Z$11,IF($N116&lt;AA$11,$N116-Z$11,30),0)*ROUND(($O116+$X115+SUM($Z116:Z116))*$V$5/3000,2),"")</f>
        <v/>
      </c>
      <c r="AB116" s="3"/>
      <c r="AC116" s="3"/>
    </row>
    <row r="117" spans="5:29" x14ac:dyDescent="0.25">
      <c r="E117" s="5"/>
      <c r="F117" t="str">
        <f t="shared" si="38"/>
        <v/>
      </c>
      <c r="G117" s="5" t="str">
        <f t="shared" si="25"/>
        <v/>
      </c>
      <c r="H117" s="22" t="str">
        <f t="shared" si="39"/>
        <v/>
      </c>
      <c r="I117" s="22" t="str">
        <f t="shared" si="27"/>
        <v/>
      </c>
      <c r="J117" s="22" t="str">
        <f t="shared" si="40"/>
        <v/>
      </c>
      <c r="K117" s="22" t="str">
        <f t="shared" si="41"/>
        <v/>
      </c>
      <c r="L117" t="str">
        <f t="shared" si="42"/>
        <v/>
      </c>
      <c r="M117" s="5" t="str">
        <f t="shared" si="35"/>
        <v/>
      </c>
      <c r="N117" s="9" t="str">
        <f t="shared" si="43"/>
        <v/>
      </c>
      <c r="O117" s="3" t="str">
        <f t="shared" si="28"/>
        <v/>
      </c>
      <c r="P117" s="3" t="str">
        <f t="shared" si="29"/>
        <v/>
      </c>
      <c r="Q117" s="3" t="str">
        <f t="shared" si="36"/>
        <v/>
      </c>
      <c r="R117" s="3" t="str">
        <f t="shared" si="37"/>
        <v/>
      </c>
      <c r="S117" s="3" t="str">
        <f>IF($L117&lt;&gt;"",IF($A117="Prepago",0,IF(ROUND($H117*$U$6,2)&gt;ROUND(SUM($S$11:$S116)+$U$6,2),$U$6*2,$U$6)),"")</f>
        <v/>
      </c>
      <c r="T117" s="3" t="str">
        <f>IF($L117&lt;&gt;"",IF($A117="Prepago",0,IF(ROUND($H117*$U$7,2)&gt;ROUND(SUM($T$11:$T116)+$U$7,2),$U$7*2,$U$7)),"")</f>
        <v/>
      </c>
      <c r="U117" s="3" t="str">
        <f>IF($L117&lt;&gt;"",IF($A117="Prepago",0,IF(ROUND($H117*$U$8,2)&gt;ROUND(SUM($U$11:$U116)+$U$8,2),$U$8*2,$U$8)),"")</f>
        <v/>
      </c>
      <c r="V117" s="3" t="str">
        <f>IF($L117&lt;&gt;"",IF($A117="Prepago",0,IF(ROUND($H117*$U$9,2)&gt;ROUND(SUM($V$11:$V116)+$U$9,2),$U$9*2,$U$9)),"")</f>
        <v/>
      </c>
      <c r="W117" s="3" t="str">
        <f t="shared" si="44"/>
        <v/>
      </c>
      <c r="X117" s="3" t="str">
        <f t="shared" si="30"/>
        <v/>
      </c>
      <c r="Y117" s="3" t="str">
        <f t="shared" si="31"/>
        <v/>
      </c>
      <c r="Z117" s="3" t="str">
        <f t="shared" si="32"/>
        <v/>
      </c>
      <c r="AA117" s="3" t="str">
        <f>IF($L117&lt;&gt;"",IF($N117&gt;Z$11,IF($N117&lt;AA$11,$N117-Z$11,30),0)*ROUND(($O117+$X116+SUM($Z117:Z117))*$V$5/3000,2),"")</f>
        <v/>
      </c>
      <c r="AB117" s="3"/>
      <c r="AC117" s="3"/>
    </row>
    <row r="118" spans="5:29" x14ac:dyDescent="0.25">
      <c r="E118" s="5"/>
      <c r="F118" t="str">
        <f t="shared" si="38"/>
        <v/>
      </c>
      <c r="G118" s="5" t="str">
        <f t="shared" si="25"/>
        <v/>
      </c>
      <c r="H118" s="22" t="str">
        <f t="shared" si="39"/>
        <v/>
      </c>
      <c r="I118" s="22" t="str">
        <f t="shared" si="27"/>
        <v/>
      </c>
      <c r="J118" s="22" t="str">
        <f t="shared" si="40"/>
        <v/>
      </c>
      <c r="K118" s="22" t="str">
        <f t="shared" si="41"/>
        <v/>
      </c>
      <c r="L118" t="str">
        <f t="shared" si="42"/>
        <v/>
      </c>
      <c r="M118" s="5" t="str">
        <f t="shared" si="35"/>
        <v/>
      </c>
      <c r="N118" s="9" t="str">
        <f t="shared" si="43"/>
        <v/>
      </c>
      <c r="O118" s="3" t="str">
        <f t="shared" si="28"/>
        <v/>
      </c>
      <c r="P118" s="3" t="str">
        <f t="shared" si="29"/>
        <v/>
      </c>
      <c r="Q118" s="3" t="str">
        <f t="shared" si="36"/>
        <v/>
      </c>
      <c r="R118" s="3" t="str">
        <f t="shared" si="37"/>
        <v/>
      </c>
      <c r="S118" s="3" t="str">
        <f>IF($L118&lt;&gt;"",IF($A118="Prepago",0,IF(ROUND($H118*$U$6,2)&gt;ROUND(SUM($S$11:$S117)+$U$6,2),$U$6*2,$U$6)),"")</f>
        <v/>
      </c>
      <c r="T118" s="3" t="str">
        <f>IF($L118&lt;&gt;"",IF($A118="Prepago",0,IF(ROUND($H118*$U$7,2)&gt;ROUND(SUM($T$11:$T117)+$U$7,2),$U$7*2,$U$7)),"")</f>
        <v/>
      </c>
      <c r="U118" s="3" t="str">
        <f>IF($L118&lt;&gt;"",IF($A118="Prepago",0,IF(ROUND($H118*$U$8,2)&gt;ROUND(SUM($U$11:$U117)+$U$8,2),$U$8*2,$U$8)),"")</f>
        <v/>
      </c>
      <c r="V118" s="3" t="str">
        <f>IF($L118&lt;&gt;"",IF($A118="Prepago",0,IF(ROUND($H118*$U$9,2)&gt;ROUND(SUM($V$11:$V117)+$U$9,2),$U$9*2,$U$9)),"")</f>
        <v/>
      </c>
      <c r="W118" s="3" t="str">
        <f t="shared" si="44"/>
        <v/>
      </c>
      <c r="X118" s="3" t="str">
        <f t="shared" si="30"/>
        <v/>
      </c>
      <c r="Y118" s="3" t="str">
        <f t="shared" si="31"/>
        <v/>
      </c>
      <c r="Z118" s="3" t="str">
        <f t="shared" si="32"/>
        <v/>
      </c>
      <c r="AA118" s="3" t="str">
        <f>IF($L118&lt;&gt;"",IF($N118&gt;Z$11,IF($N118&lt;AA$11,$N118-Z$11,30),0)*ROUND(($O118+$X117+SUM($Z118:Z118))*$V$5/3000,2),"")</f>
        <v/>
      </c>
      <c r="AB118" s="3"/>
      <c r="AC118" s="3"/>
    </row>
    <row r="119" spans="5:29" x14ac:dyDescent="0.25">
      <c r="E119" s="5"/>
      <c r="F119" t="str">
        <f t="shared" si="38"/>
        <v/>
      </c>
      <c r="G119" s="5" t="str">
        <f t="shared" si="25"/>
        <v/>
      </c>
      <c r="H119" s="22" t="str">
        <f t="shared" si="39"/>
        <v/>
      </c>
      <c r="I119" s="22" t="str">
        <f t="shared" si="27"/>
        <v/>
      </c>
      <c r="J119" s="22" t="str">
        <f t="shared" si="40"/>
        <v/>
      </c>
      <c r="K119" s="22" t="str">
        <f t="shared" si="41"/>
        <v/>
      </c>
      <c r="L119" t="str">
        <f t="shared" si="42"/>
        <v/>
      </c>
      <c r="M119" s="5" t="str">
        <f t="shared" si="35"/>
        <v/>
      </c>
      <c r="N119" s="9" t="str">
        <f t="shared" si="43"/>
        <v/>
      </c>
      <c r="O119" s="3" t="str">
        <f t="shared" si="28"/>
        <v/>
      </c>
      <c r="P119" s="3" t="str">
        <f t="shared" si="29"/>
        <v/>
      </c>
      <c r="Q119" s="3" t="str">
        <f t="shared" si="36"/>
        <v/>
      </c>
      <c r="R119" s="3" t="str">
        <f t="shared" si="37"/>
        <v/>
      </c>
      <c r="S119" s="3" t="str">
        <f>IF($L119&lt;&gt;"",IF($A119="Prepago",0,IF(ROUND($H119*$U$6,2)&gt;ROUND(SUM($S$11:$S118)+$U$6,2),$U$6*2,$U$6)),"")</f>
        <v/>
      </c>
      <c r="T119" s="3" t="str">
        <f>IF($L119&lt;&gt;"",IF($A119="Prepago",0,IF(ROUND($H119*$U$7,2)&gt;ROUND(SUM($T$11:$T118)+$U$7,2),$U$7*2,$U$7)),"")</f>
        <v/>
      </c>
      <c r="U119" s="3" t="str">
        <f>IF($L119&lt;&gt;"",IF($A119="Prepago",0,IF(ROUND($H119*$U$8,2)&gt;ROUND(SUM($U$11:$U118)+$U$8,2),$U$8*2,$U$8)),"")</f>
        <v/>
      </c>
      <c r="V119" s="3" t="str">
        <f>IF($L119&lt;&gt;"",IF($A119="Prepago",0,IF(ROUND($H119*$U$9,2)&gt;ROUND(SUM($V$11:$V118)+$U$9,2),$U$9*2,$U$9)),"")</f>
        <v/>
      </c>
      <c r="W119" s="3" t="str">
        <f t="shared" si="44"/>
        <v/>
      </c>
      <c r="X119" s="3" t="str">
        <f t="shared" si="30"/>
        <v/>
      </c>
      <c r="Y119" s="3" t="str">
        <f t="shared" si="31"/>
        <v/>
      </c>
      <c r="Z119" s="3" t="str">
        <f t="shared" si="32"/>
        <v/>
      </c>
      <c r="AA119" s="3" t="str">
        <f>IF($L119&lt;&gt;"",IF($N119&gt;Z$11,IF($N119&lt;AA$11,$N119-Z$11,30),0)*ROUND(($O119+$X118+SUM($Z119:Z119))*$V$5/3000,2),"")</f>
        <v/>
      </c>
      <c r="AB119" s="3"/>
      <c r="AC119" s="3"/>
    </row>
    <row r="120" spans="5:29" x14ac:dyDescent="0.25">
      <c r="E120" s="5"/>
      <c r="F120" t="str">
        <f t="shared" si="38"/>
        <v/>
      </c>
      <c r="G120" s="5" t="str">
        <f t="shared" si="25"/>
        <v/>
      </c>
      <c r="H120" s="22" t="str">
        <f t="shared" si="39"/>
        <v/>
      </c>
      <c r="I120" s="22" t="str">
        <f t="shared" si="27"/>
        <v/>
      </c>
      <c r="J120" s="22" t="str">
        <f t="shared" si="40"/>
        <v/>
      </c>
      <c r="K120" s="22" t="str">
        <f t="shared" si="41"/>
        <v/>
      </c>
      <c r="L120" t="str">
        <f t="shared" si="42"/>
        <v/>
      </c>
      <c r="M120" s="5" t="str">
        <f t="shared" si="35"/>
        <v/>
      </c>
      <c r="N120" s="9" t="str">
        <f t="shared" si="43"/>
        <v/>
      </c>
      <c r="O120" s="3" t="str">
        <f t="shared" si="28"/>
        <v/>
      </c>
      <c r="P120" s="3" t="str">
        <f t="shared" si="29"/>
        <v/>
      </c>
      <c r="Q120" s="3" t="str">
        <f t="shared" si="36"/>
        <v/>
      </c>
      <c r="R120" s="3" t="str">
        <f t="shared" si="37"/>
        <v/>
      </c>
      <c r="S120" s="3" t="str">
        <f>IF($L120&lt;&gt;"",IF($A120="Prepago",0,IF(ROUND($H120*$U$6,2)&gt;ROUND(SUM($S$11:$S119)+$U$6,2),$U$6*2,$U$6)),"")</f>
        <v/>
      </c>
      <c r="T120" s="3" t="str">
        <f>IF($L120&lt;&gt;"",IF($A120="Prepago",0,IF(ROUND($H120*$U$7,2)&gt;ROUND(SUM($T$11:$T119)+$U$7,2),$U$7*2,$U$7)),"")</f>
        <v/>
      </c>
      <c r="U120" s="3" t="str">
        <f>IF($L120&lt;&gt;"",IF($A120="Prepago",0,IF(ROUND($H120*$U$8,2)&gt;ROUND(SUM($U$11:$U119)+$U$8,2),$U$8*2,$U$8)),"")</f>
        <v/>
      </c>
      <c r="V120" s="3" t="str">
        <f>IF($L120&lt;&gt;"",IF($A120="Prepago",0,IF(ROUND($H120*$U$9,2)&gt;ROUND(SUM($V$11:$V119)+$U$9,2),$U$9*2,$U$9)),"")</f>
        <v/>
      </c>
      <c r="W120" s="3" t="str">
        <f t="shared" si="44"/>
        <v/>
      </c>
      <c r="X120" s="3" t="str">
        <f t="shared" si="30"/>
        <v/>
      </c>
      <c r="Y120" s="3" t="str">
        <f t="shared" si="31"/>
        <v/>
      </c>
      <c r="Z120" s="3" t="str">
        <f t="shared" si="32"/>
        <v/>
      </c>
      <c r="AA120" s="3" t="str">
        <f>IF($L120&lt;&gt;"",IF($N120&gt;Z$11,IF($N120&lt;AA$11,$N120-Z$11,30),0)*ROUND(($O120+$X119+SUM($Z120:Z120))*$V$5/3000,2),"")</f>
        <v/>
      </c>
      <c r="AB120" s="3"/>
      <c r="AC120" s="3"/>
    </row>
    <row r="121" spans="5:29" x14ac:dyDescent="0.25">
      <c r="E121" s="5"/>
      <c r="F121" t="str">
        <f t="shared" si="38"/>
        <v/>
      </c>
      <c r="G121" s="5" t="str">
        <f t="shared" si="25"/>
        <v/>
      </c>
      <c r="H121" s="22" t="str">
        <f t="shared" si="39"/>
        <v/>
      </c>
      <c r="I121" s="22" t="str">
        <f t="shared" si="27"/>
        <v/>
      </c>
      <c r="J121" s="22" t="str">
        <f t="shared" si="40"/>
        <v/>
      </c>
      <c r="K121" s="22" t="str">
        <f t="shared" si="41"/>
        <v/>
      </c>
      <c r="L121" t="str">
        <f t="shared" si="42"/>
        <v/>
      </c>
      <c r="M121" s="5" t="str">
        <f t="shared" si="35"/>
        <v/>
      </c>
      <c r="N121" s="9" t="str">
        <f t="shared" si="43"/>
        <v/>
      </c>
      <c r="O121" s="3" t="str">
        <f t="shared" si="28"/>
        <v/>
      </c>
      <c r="P121" s="3" t="str">
        <f t="shared" si="29"/>
        <v/>
      </c>
      <c r="Q121" s="3" t="str">
        <f t="shared" si="36"/>
        <v/>
      </c>
      <c r="R121" s="3" t="str">
        <f t="shared" si="37"/>
        <v/>
      </c>
      <c r="S121" s="3" t="str">
        <f>IF($L121&lt;&gt;"",IF($A121="Prepago",0,IF(ROUND($H121*$U$6,2)&gt;ROUND(SUM($S$11:$S120)+$U$6,2),$U$6*2,$U$6)),"")</f>
        <v/>
      </c>
      <c r="T121" s="3" t="str">
        <f>IF($L121&lt;&gt;"",IF($A121="Prepago",0,IF(ROUND($H121*$U$7,2)&gt;ROUND(SUM($T$11:$T120)+$U$7,2),$U$7*2,$U$7)),"")</f>
        <v/>
      </c>
      <c r="U121" s="3" t="str">
        <f>IF($L121&lt;&gt;"",IF($A121="Prepago",0,IF(ROUND($H121*$U$8,2)&gt;ROUND(SUM($U$11:$U120)+$U$8,2),$U$8*2,$U$8)),"")</f>
        <v/>
      </c>
      <c r="V121" s="3" t="str">
        <f>IF($L121&lt;&gt;"",IF($A121="Prepago",0,IF(ROUND($H121*$U$9,2)&gt;ROUND(SUM($V$11:$V120)+$U$9,2),$U$9*2,$U$9)),"")</f>
        <v/>
      </c>
      <c r="W121" s="3" t="str">
        <f t="shared" si="44"/>
        <v/>
      </c>
      <c r="X121" s="3" t="str">
        <f t="shared" si="30"/>
        <v/>
      </c>
      <c r="Y121" s="3" t="str">
        <f t="shared" si="31"/>
        <v/>
      </c>
      <c r="Z121" s="3" t="str">
        <f t="shared" si="32"/>
        <v/>
      </c>
      <c r="AA121" s="3" t="str">
        <f>IF($L121&lt;&gt;"",IF($N121&gt;Z$11,IF($N121&lt;AA$11,$N121-Z$11,30),0)*ROUND(($O121+$X120+SUM($Z121:Z121))*$V$5/3000,2),"")</f>
        <v/>
      </c>
      <c r="AB121" s="3"/>
      <c r="AC121" s="3"/>
    </row>
    <row r="122" spans="5:29" x14ac:dyDescent="0.25">
      <c r="E122" s="5"/>
      <c r="F122" t="str">
        <f t="shared" si="38"/>
        <v/>
      </c>
      <c r="G122" s="5" t="str">
        <f t="shared" si="25"/>
        <v/>
      </c>
      <c r="H122" s="22" t="str">
        <f t="shared" si="39"/>
        <v/>
      </c>
      <c r="I122" s="22" t="str">
        <f t="shared" si="27"/>
        <v/>
      </c>
      <c r="J122" s="22" t="str">
        <f t="shared" si="40"/>
        <v/>
      </c>
      <c r="K122" s="22" t="str">
        <f t="shared" si="41"/>
        <v/>
      </c>
      <c r="L122" t="str">
        <f t="shared" si="42"/>
        <v/>
      </c>
      <c r="M122" s="5" t="str">
        <f t="shared" si="35"/>
        <v/>
      </c>
      <c r="N122" s="9" t="str">
        <f t="shared" si="43"/>
        <v/>
      </c>
      <c r="O122" s="3" t="str">
        <f t="shared" si="28"/>
        <v/>
      </c>
      <c r="P122" s="3" t="str">
        <f t="shared" si="29"/>
        <v/>
      </c>
      <c r="Q122" s="3" t="str">
        <f t="shared" si="36"/>
        <v/>
      </c>
      <c r="R122" s="3" t="str">
        <f t="shared" si="37"/>
        <v/>
      </c>
      <c r="S122" s="3" t="str">
        <f>IF($L122&lt;&gt;"",IF($A122="Prepago",0,IF(ROUND($H122*$U$6,2)&gt;ROUND(SUM($S$11:$S121)+$U$6,2),$U$6*2,$U$6)),"")</f>
        <v/>
      </c>
      <c r="T122" s="3" t="str">
        <f>IF($L122&lt;&gt;"",IF($A122="Prepago",0,IF(ROUND($H122*$U$7,2)&gt;ROUND(SUM($T$11:$T121)+$U$7,2),$U$7*2,$U$7)),"")</f>
        <v/>
      </c>
      <c r="U122" s="3" t="str">
        <f>IF($L122&lt;&gt;"",IF($A122="Prepago",0,IF(ROUND($H122*$U$8,2)&gt;ROUND(SUM($U$11:$U121)+$U$8,2),$U$8*2,$U$8)),"")</f>
        <v/>
      </c>
      <c r="V122" s="3" t="str">
        <f>IF($L122&lt;&gt;"",IF($A122="Prepago",0,IF(ROUND($H122*$U$9,2)&gt;ROUND(SUM($V$11:$V121)+$U$9,2),$U$9*2,$U$9)),"")</f>
        <v/>
      </c>
      <c r="W122" s="3" t="str">
        <f t="shared" si="44"/>
        <v/>
      </c>
      <c r="X122" s="3" t="str">
        <f t="shared" si="30"/>
        <v/>
      </c>
      <c r="Y122" s="3" t="str">
        <f t="shared" si="31"/>
        <v/>
      </c>
      <c r="Z122" s="3" t="str">
        <f t="shared" si="32"/>
        <v/>
      </c>
      <c r="AA122" s="3" t="str">
        <f>IF($L122&lt;&gt;"",IF($N122&gt;Z$11,IF($N122&lt;AA$11,$N122-Z$11,30),0)*ROUND(($O122+$X121+SUM($Z122:Z122))*$V$5/3000,2),"")</f>
        <v/>
      </c>
      <c r="AB122" s="3"/>
      <c r="AC122" s="3"/>
    </row>
    <row r="123" spans="5:29" x14ac:dyDescent="0.25">
      <c r="E123" s="5"/>
      <c r="F123" t="str">
        <f t="shared" si="38"/>
        <v/>
      </c>
      <c r="G123" s="5" t="str">
        <f t="shared" si="25"/>
        <v/>
      </c>
      <c r="H123" s="22" t="str">
        <f t="shared" si="39"/>
        <v/>
      </c>
      <c r="I123" s="22" t="str">
        <f t="shared" si="27"/>
        <v/>
      </c>
      <c r="J123" s="22" t="str">
        <f t="shared" si="40"/>
        <v/>
      </c>
      <c r="K123" s="22" t="str">
        <f t="shared" si="41"/>
        <v/>
      </c>
      <c r="L123" t="str">
        <f t="shared" si="42"/>
        <v/>
      </c>
      <c r="M123" s="5" t="str">
        <f t="shared" si="35"/>
        <v/>
      </c>
      <c r="N123" s="9" t="str">
        <f t="shared" si="43"/>
        <v/>
      </c>
      <c r="O123" s="3" t="str">
        <f t="shared" si="28"/>
        <v/>
      </c>
      <c r="P123" s="3" t="str">
        <f t="shared" si="29"/>
        <v/>
      </c>
      <c r="Q123" s="3" t="str">
        <f t="shared" si="36"/>
        <v/>
      </c>
      <c r="R123" s="3" t="str">
        <f t="shared" si="37"/>
        <v/>
      </c>
      <c r="S123" s="3" t="str">
        <f>IF($L123&lt;&gt;"",IF($A123="Prepago",0,IF(ROUND($H123*$U$6,2)&gt;ROUND(SUM($S$11:$S122)+$U$6,2),$U$6*2,$U$6)),"")</f>
        <v/>
      </c>
      <c r="T123" s="3" t="str">
        <f>IF($L123&lt;&gt;"",IF($A123="Prepago",0,IF(ROUND($H123*$U$7,2)&gt;ROUND(SUM($T$11:$T122)+$U$7,2),$U$7*2,$U$7)),"")</f>
        <v/>
      </c>
      <c r="U123" s="3" t="str">
        <f>IF($L123&lt;&gt;"",IF($A123="Prepago",0,IF(ROUND($H123*$U$8,2)&gt;ROUND(SUM($U$11:$U122)+$U$8,2),$U$8*2,$U$8)),"")</f>
        <v/>
      </c>
      <c r="V123" s="3" t="str">
        <f>IF($L123&lt;&gt;"",IF($A123="Prepago",0,IF(ROUND($H123*$U$9,2)&gt;ROUND(SUM($V$11:$V122)+$U$9,2),$U$9*2,$U$9)),"")</f>
        <v/>
      </c>
      <c r="W123" s="3" t="str">
        <f t="shared" si="44"/>
        <v/>
      </c>
      <c r="X123" s="3" t="str">
        <f t="shared" si="30"/>
        <v/>
      </c>
      <c r="Y123" s="3" t="str">
        <f t="shared" si="31"/>
        <v/>
      </c>
      <c r="Z123" s="3" t="str">
        <f t="shared" si="32"/>
        <v/>
      </c>
      <c r="AA123" s="3" t="str">
        <f>IF($L123&lt;&gt;"",IF($N123&gt;Z$11,IF($N123&lt;AA$11,$N123-Z$11,30),0)*ROUND(($O123+$X122+SUM($Z123:Z123))*$V$5/3000,2),"")</f>
        <v/>
      </c>
      <c r="AB123" s="3"/>
      <c r="AC123" s="3"/>
    </row>
    <row r="124" spans="5:29" x14ac:dyDescent="0.25">
      <c r="E124" s="5"/>
      <c r="F124" t="str">
        <f t="shared" si="38"/>
        <v/>
      </c>
      <c r="G124" s="5" t="str">
        <f t="shared" si="25"/>
        <v/>
      </c>
      <c r="H124" s="22" t="str">
        <f t="shared" si="39"/>
        <v/>
      </c>
      <c r="I124" s="22" t="str">
        <f t="shared" si="27"/>
        <v/>
      </c>
      <c r="J124" s="22" t="str">
        <f t="shared" si="40"/>
        <v/>
      </c>
      <c r="K124" s="22" t="str">
        <f t="shared" si="41"/>
        <v/>
      </c>
      <c r="L124" t="str">
        <f t="shared" si="42"/>
        <v/>
      </c>
      <c r="M124" s="5" t="str">
        <f t="shared" si="35"/>
        <v/>
      </c>
      <c r="N124" s="9" t="str">
        <f t="shared" si="43"/>
        <v/>
      </c>
      <c r="O124" s="3" t="str">
        <f t="shared" si="28"/>
        <v/>
      </c>
      <c r="P124" s="3" t="str">
        <f t="shared" si="29"/>
        <v/>
      </c>
      <c r="Q124" s="3" t="str">
        <f t="shared" si="36"/>
        <v/>
      </c>
      <c r="R124" s="3" t="str">
        <f t="shared" si="37"/>
        <v/>
      </c>
      <c r="S124" s="3" t="str">
        <f>IF($L124&lt;&gt;"",IF($A124="Prepago",0,IF(ROUND($H124*$U$6,2)&gt;ROUND(SUM($S$11:$S123)+$U$6,2),$U$6*2,$U$6)),"")</f>
        <v/>
      </c>
      <c r="T124" s="3" t="str">
        <f>IF($L124&lt;&gt;"",IF($A124="Prepago",0,IF(ROUND($H124*$U$7,2)&gt;ROUND(SUM($T$11:$T123)+$U$7,2),$U$7*2,$U$7)),"")</f>
        <v/>
      </c>
      <c r="U124" s="3" t="str">
        <f>IF($L124&lt;&gt;"",IF($A124="Prepago",0,IF(ROUND($H124*$U$8,2)&gt;ROUND(SUM($U$11:$U123)+$U$8,2),$U$8*2,$U$8)),"")</f>
        <v/>
      </c>
      <c r="V124" s="3" t="str">
        <f>IF($L124&lt;&gt;"",IF($A124="Prepago",0,IF(ROUND($H124*$U$9,2)&gt;ROUND(SUM($V$11:$V123)+$U$9,2),$U$9*2,$U$9)),"")</f>
        <v/>
      </c>
      <c r="W124" s="3" t="str">
        <f t="shared" si="44"/>
        <v/>
      </c>
      <c r="X124" s="3" t="str">
        <f t="shared" si="30"/>
        <v/>
      </c>
      <c r="Y124" s="3" t="str">
        <f t="shared" si="31"/>
        <v/>
      </c>
      <c r="Z124" s="3" t="str">
        <f t="shared" si="32"/>
        <v/>
      </c>
      <c r="AA124" s="3" t="str">
        <f>IF($L124&lt;&gt;"",IF($N124&gt;Z$11,IF($N124&lt;AA$11,$N124-Z$11,30),0)*ROUND(($O124+$X123+SUM($Z124:Z124))*$V$5/3000,2),"")</f>
        <v/>
      </c>
      <c r="AB124" s="3"/>
      <c r="AC124" s="3"/>
    </row>
    <row r="125" spans="5:29" x14ac:dyDescent="0.25">
      <c r="E125" s="5"/>
      <c r="F125" t="str">
        <f t="shared" si="38"/>
        <v/>
      </c>
      <c r="G125" s="5" t="str">
        <f t="shared" si="25"/>
        <v/>
      </c>
      <c r="H125" s="22" t="str">
        <f t="shared" si="39"/>
        <v/>
      </c>
      <c r="I125" s="22" t="str">
        <f t="shared" si="27"/>
        <v/>
      </c>
      <c r="J125" s="22" t="str">
        <f t="shared" si="40"/>
        <v/>
      </c>
      <c r="K125" s="22" t="str">
        <f t="shared" si="41"/>
        <v/>
      </c>
      <c r="L125" t="str">
        <f t="shared" si="42"/>
        <v/>
      </c>
      <c r="M125" s="5" t="str">
        <f t="shared" si="35"/>
        <v/>
      </c>
      <c r="N125" s="9" t="str">
        <f t="shared" si="43"/>
        <v/>
      </c>
      <c r="O125" s="3" t="str">
        <f t="shared" si="28"/>
        <v/>
      </c>
      <c r="P125" s="3" t="str">
        <f t="shared" si="29"/>
        <v/>
      </c>
      <c r="Q125" s="3" t="str">
        <f t="shared" si="36"/>
        <v/>
      </c>
      <c r="R125" s="3" t="str">
        <f t="shared" si="37"/>
        <v/>
      </c>
      <c r="S125" s="3" t="str">
        <f>IF($L125&lt;&gt;"",IF($A125="Prepago",0,IF(ROUND($H125*$U$6,2)&gt;ROUND(SUM($S$11:$S124)+$U$6,2),$U$6*2,$U$6)),"")</f>
        <v/>
      </c>
      <c r="T125" s="3" t="str">
        <f>IF($L125&lt;&gt;"",IF($A125="Prepago",0,IF(ROUND($H125*$U$7,2)&gt;ROUND(SUM($T$11:$T124)+$U$7,2),$U$7*2,$U$7)),"")</f>
        <v/>
      </c>
      <c r="U125" s="3" t="str">
        <f>IF($L125&lt;&gt;"",IF($A125="Prepago",0,IF(ROUND($H125*$U$8,2)&gt;ROUND(SUM($U$11:$U124)+$U$8,2),$U$8*2,$U$8)),"")</f>
        <v/>
      </c>
      <c r="V125" s="3" t="str">
        <f>IF($L125&lt;&gt;"",IF($A125="Prepago",0,IF(ROUND($H125*$U$9,2)&gt;ROUND(SUM($V$11:$V124)+$U$9,2),$U$9*2,$U$9)),"")</f>
        <v/>
      </c>
      <c r="W125" s="3" t="str">
        <f t="shared" si="44"/>
        <v/>
      </c>
      <c r="X125" s="3" t="str">
        <f t="shared" si="30"/>
        <v/>
      </c>
      <c r="Y125" s="3" t="str">
        <f t="shared" si="31"/>
        <v/>
      </c>
      <c r="Z125" s="3" t="str">
        <f t="shared" si="32"/>
        <v/>
      </c>
      <c r="AA125" s="3" t="str">
        <f>IF($L125&lt;&gt;"",IF($N125&gt;Z$11,IF($N125&lt;AA$11,$N125-Z$11,30),0)*ROUND(($O125+$X124+SUM($Z125:Z125))*$V$5/3000,2),"")</f>
        <v/>
      </c>
      <c r="AB125" s="3"/>
      <c r="AC125" s="3"/>
    </row>
    <row r="126" spans="5:29" x14ac:dyDescent="0.25">
      <c r="E126" s="5"/>
      <c r="F126" t="str">
        <f t="shared" si="38"/>
        <v/>
      </c>
      <c r="G126" s="5" t="str">
        <f t="shared" si="25"/>
        <v/>
      </c>
      <c r="H126" s="22" t="str">
        <f t="shared" si="39"/>
        <v/>
      </c>
      <c r="I126" s="22" t="str">
        <f t="shared" si="27"/>
        <v/>
      </c>
      <c r="J126" s="22" t="str">
        <f t="shared" si="40"/>
        <v/>
      </c>
      <c r="K126" s="22" t="str">
        <f t="shared" si="41"/>
        <v/>
      </c>
      <c r="L126" t="str">
        <f t="shared" si="42"/>
        <v/>
      </c>
      <c r="M126" s="5" t="str">
        <f t="shared" si="35"/>
        <v/>
      </c>
      <c r="N126" s="9" t="str">
        <f t="shared" si="43"/>
        <v/>
      </c>
      <c r="O126" s="3" t="str">
        <f t="shared" si="28"/>
        <v/>
      </c>
      <c r="P126" s="3" t="str">
        <f t="shared" si="29"/>
        <v/>
      </c>
      <c r="Q126" s="3" t="str">
        <f t="shared" si="36"/>
        <v/>
      </c>
      <c r="R126" s="3" t="str">
        <f t="shared" si="37"/>
        <v/>
      </c>
      <c r="S126" s="3" t="str">
        <f>IF($L126&lt;&gt;"",IF($A126="Prepago",0,IF(ROUND($H126*$U$6,2)&gt;ROUND(SUM($S$11:$S125)+$U$6,2),$U$6*2,$U$6)),"")</f>
        <v/>
      </c>
      <c r="T126" s="3" t="str">
        <f>IF($L126&lt;&gt;"",IF($A126="Prepago",0,IF(ROUND($H126*$U$7,2)&gt;ROUND(SUM($T$11:$T125)+$U$7,2),$U$7*2,$U$7)),"")</f>
        <v/>
      </c>
      <c r="U126" s="3" t="str">
        <f>IF($L126&lt;&gt;"",IF($A126="Prepago",0,IF(ROUND($H126*$U$8,2)&gt;ROUND(SUM($U$11:$U125)+$U$8,2),$U$8*2,$U$8)),"")</f>
        <v/>
      </c>
      <c r="V126" s="3" t="str">
        <f>IF($L126&lt;&gt;"",IF($A126="Prepago",0,IF(ROUND($H126*$U$9,2)&gt;ROUND(SUM($V$11:$V125)+$U$9,2),$U$9*2,$U$9)),"")</f>
        <v/>
      </c>
      <c r="W126" s="3" t="str">
        <f t="shared" si="44"/>
        <v/>
      </c>
      <c r="X126" s="3" t="str">
        <f t="shared" si="30"/>
        <v/>
      </c>
      <c r="Y126" s="3" t="str">
        <f t="shared" si="31"/>
        <v/>
      </c>
      <c r="Z126" s="3" t="str">
        <f t="shared" si="32"/>
        <v/>
      </c>
      <c r="AA126" s="3" t="str">
        <f>IF($L126&lt;&gt;"",IF($N126&gt;Z$11,IF($N126&lt;AA$11,$N126-Z$11,30),0)*ROUND(($O126+$X125+SUM($Z126:Z126))*$V$5/3000,2),"")</f>
        <v/>
      </c>
      <c r="AB126" s="3"/>
      <c r="AC126" s="3"/>
    </row>
    <row r="127" spans="5:29" x14ac:dyDescent="0.25">
      <c r="E127" s="5"/>
      <c r="F127" t="str">
        <f t="shared" si="38"/>
        <v/>
      </c>
      <c r="G127" s="5" t="str">
        <f t="shared" si="25"/>
        <v/>
      </c>
      <c r="H127" s="22" t="str">
        <f t="shared" si="39"/>
        <v/>
      </c>
      <c r="I127" s="22" t="str">
        <f t="shared" si="27"/>
        <v/>
      </c>
      <c r="J127" s="22" t="str">
        <f t="shared" si="40"/>
        <v/>
      </c>
      <c r="K127" s="22" t="str">
        <f t="shared" si="41"/>
        <v/>
      </c>
      <c r="L127" t="str">
        <f t="shared" si="42"/>
        <v/>
      </c>
      <c r="M127" s="5" t="str">
        <f t="shared" si="35"/>
        <v/>
      </c>
      <c r="N127" s="9" t="str">
        <f t="shared" si="43"/>
        <v/>
      </c>
      <c r="O127" s="3" t="str">
        <f t="shared" si="28"/>
        <v/>
      </c>
      <c r="P127" s="3" t="str">
        <f t="shared" si="29"/>
        <v/>
      </c>
      <c r="Q127" s="3" t="str">
        <f t="shared" si="36"/>
        <v/>
      </c>
      <c r="R127" s="3" t="str">
        <f t="shared" si="37"/>
        <v/>
      </c>
      <c r="S127" s="3" t="str">
        <f>IF($L127&lt;&gt;"",IF($A127="Prepago",0,IF(ROUND($H127*$U$6,2)&gt;ROUND(SUM($S$11:$S126)+$U$6,2),$U$6*2,$U$6)),"")</f>
        <v/>
      </c>
      <c r="T127" s="3" t="str">
        <f>IF($L127&lt;&gt;"",IF($A127="Prepago",0,IF(ROUND($H127*$U$7,2)&gt;ROUND(SUM($T$11:$T126)+$U$7,2),$U$7*2,$U$7)),"")</f>
        <v/>
      </c>
      <c r="U127" s="3" t="str">
        <f>IF($L127&lt;&gt;"",IF($A127="Prepago",0,IF(ROUND($H127*$U$8,2)&gt;ROUND(SUM($U$11:$U126)+$U$8,2),$U$8*2,$U$8)),"")</f>
        <v/>
      </c>
      <c r="V127" s="3" t="str">
        <f>IF($L127&lt;&gt;"",IF($A127="Prepago",0,IF(ROUND($H127*$U$9,2)&gt;ROUND(SUM($V$11:$V126)+$U$9,2),$U$9*2,$U$9)),"")</f>
        <v/>
      </c>
      <c r="W127" s="3" t="str">
        <f t="shared" si="44"/>
        <v/>
      </c>
      <c r="X127" s="3" t="str">
        <f t="shared" si="30"/>
        <v/>
      </c>
      <c r="Y127" s="3" t="str">
        <f t="shared" si="31"/>
        <v/>
      </c>
      <c r="Z127" s="3" t="str">
        <f t="shared" si="32"/>
        <v/>
      </c>
      <c r="AA127" s="3" t="str">
        <f>IF($L127&lt;&gt;"",IF($N127&gt;Z$11,IF($N127&lt;AA$11,$N127-Z$11,30),0)*ROUND(($O127+$X126+SUM($Z127:Z127))*$V$5/3000,2),"")</f>
        <v/>
      </c>
      <c r="AB127" s="3"/>
      <c r="AC127" s="3"/>
    </row>
    <row r="128" spans="5:29" x14ac:dyDescent="0.25">
      <c r="E128" s="5"/>
      <c r="F128" t="str">
        <f t="shared" si="38"/>
        <v/>
      </c>
      <c r="G128" s="5" t="str">
        <f t="shared" si="25"/>
        <v/>
      </c>
      <c r="H128" s="22" t="str">
        <f t="shared" si="39"/>
        <v/>
      </c>
      <c r="I128" s="22" t="str">
        <f t="shared" si="27"/>
        <v/>
      </c>
      <c r="J128" s="22" t="str">
        <f t="shared" si="40"/>
        <v/>
      </c>
      <c r="K128" s="22" t="str">
        <f t="shared" si="41"/>
        <v/>
      </c>
      <c r="L128" t="str">
        <f t="shared" si="42"/>
        <v/>
      </c>
      <c r="M128" s="5" t="str">
        <f t="shared" si="35"/>
        <v/>
      </c>
      <c r="N128" s="9" t="str">
        <f t="shared" si="43"/>
        <v/>
      </c>
      <c r="O128" s="3" t="str">
        <f t="shared" si="28"/>
        <v/>
      </c>
      <c r="P128" s="3" t="str">
        <f t="shared" si="29"/>
        <v/>
      </c>
      <c r="Q128" s="3" t="str">
        <f t="shared" si="36"/>
        <v/>
      </c>
      <c r="R128" s="3" t="str">
        <f t="shared" si="37"/>
        <v/>
      </c>
      <c r="S128" s="3" t="str">
        <f>IF($L128&lt;&gt;"",IF($A128="Prepago",0,IF(ROUND($H128*$U$6,2)&gt;ROUND(SUM($S$11:$S127)+$U$6,2),$U$6*2,$U$6)),"")</f>
        <v/>
      </c>
      <c r="T128" s="3" t="str">
        <f>IF($L128&lt;&gt;"",IF($A128="Prepago",0,IF(ROUND($H128*$U$7,2)&gt;ROUND(SUM($T$11:$T127)+$U$7,2),$U$7*2,$U$7)),"")</f>
        <v/>
      </c>
      <c r="U128" s="3" t="str">
        <f>IF($L128&lt;&gt;"",IF($A128="Prepago",0,IF(ROUND($H128*$U$8,2)&gt;ROUND(SUM($U$11:$U127)+$U$8,2),$U$8*2,$U$8)),"")</f>
        <v/>
      </c>
      <c r="V128" s="3" t="str">
        <f>IF($L128&lt;&gt;"",IF($A128="Prepago",0,IF(ROUND($H128*$U$9,2)&gt;ROUND(SUM($V$11:$V127)+$U$9,2),$U$9*2,$U$9)),"")</f>
        <v/>
      </c>
      <c r="W128" s="3" t="str">
        <f t="shared" si="44"/>
        <v/>
      </c>
      <c r="X128" s="3" t="str">
        <f t="shared" si="30"/>
        <v/>
      </c>
      <c r="Y128" s="3" t="str">
        <f t="shared" si="31"/>
        <v/>
      </c>
      <c r="Z128" s="3" t="str">
        <f t="shared" si="32"/>
        <v/>
      </c>
      <c r="AA128" s="3" t="str">
        <f>IF($L128&lt;&gt;"",IF($N128&gt;Z$11,IF($N128&lt;AA$11,$N128-Z$11,30),0)*ROUND(($O128+$X127+SUM($Z128:Z128))*$V$5/3000,2),"")</f>
        <v/>
      </c>
      <c r="AB128" s="3"/>
      <c r="AC128" s="3"/>
    </row>
    <row r="129" spans="5:40" x14ac:dyDescent="0.25">
      <c r="E129" s="5"/>
      <c r="F129" t="str">
        <f t="shared" si="38"/>
        <v/>
      </c>
      <c r="G129" s="5" t="str">
        <f t="shared" si="25"/>
        <v/>
      </c>
      <c r="H129" s="22" t="str">
        <f t="shared" si="39"/>
        <v/>
      </c>
      <c r="I129" s="22" t="str">
        <f t="shared" si="27"/>
        <v/>
      </c>
      <c r="J129" s="22" t="str">
        <f t="shared" si="40"/>
        <v/>
      </c>
      <c r="K129" s="22" t="str">
        <f t="shared" si="41"/>
        <v/>
      </c>
      <c r="L129" t="str">
        <f t="shared" si="42"/>
        <v/>
      </c>
      <c r="M129" s="5" t="str">
        <f t="shared" si="35"/>
        <v/>
      </c>
      <c r="N129" s="9" t="str">
        <f t="shared" si="43"/>
        <v/>
      </c>
      <c r="O129" s="3" t="str">
        <f t="shared" si="28"/>
        <v/>
      </c>
      <c r="P129" s="3" t="str">
        <f t="shared" si="29"/>
        <v/>
      </c>
      <c r="Q129" s="3" t="str">
        <f t="shared" si="36"/>
        <v/>
      </c>
      <c r="R129" s="3" t="str">
        <f t="shared" si="37"/>
        <v/>
      </c>
      <c r="S129" s="3" t="str">
        <f>IF($L129&lt;&gt;"",IF($A129="Prepago",0,IF(ROUND($H129*$U$6,2)&gt;ROUND(SUM($S$11:$S128)+$U$6,2),$U$6*2,$U$6)),"")</f>
        <v/>
      </c>
      <c r="T129" s="3" t="str">
        <f>IF($L129&lt;&gt;"",IF($A129="Prepago",0,IF(ROUND($H129*$U$7,2)&gt;ROUND(SUM($T$11:$T128)+$U$7,2),$U$7*2,$U$7)),"")</f>
        <v/>
      </c>
      <c r="U129" s="3" t="str">
        <f>IF($L129&lt;&gt;"",IF($A129="Prepago",0,IF(ROUND($H129*$U$8,2)&gt;ROUND(SUM($U$11:$U128)+$U$8,2),$U$8*2,$U$8)),"")</f>
        <v/>
      </c>
      <c r="V129" s="3" t="str">
        <f>IF($L129&lt;&gt;"",IF($A129="Prepago",0,IF(ROUND($H129*$U$9,2)&gt;ROUND(SUM($V$11:$V128)+$U$9,2),$U$9*2,$U$9)),"")</f>
        <v/>
      </c>
      <c r="W129" s="3" t="str">
        <f t="shared" si="44"/>
        <v/>
      </c>
      <c r="X129" s="3" t="str">
        <f t="shared" si="30"/>
        <v/>
      </c>
      <c r="Y129" s="3" t="str">
        <f t="shared" si="31"/>
        <v/>
      </c>
      <c r="Z129" s="3" t="str">
        <f t="shared" si="32"/>
        <v/>
      </c>
      <c r="AA129" s="3" t="str">
        <f>IF($L129&lt;&gt;"",IF($N129&gt;Z$11,IF($N129&lt;AA$11,$N129-Z$11,30),0)*ROUND(($O129+$X128+SUM($Z129:Z129))*$V$5/3000,2),"")</f>
        <v/>
      </c>
      <c r="AB129" s="3"/>
      <c r="AC129" s="3"/>
    </row>
    <row r="130" spans="5:40" x14ac:dyDescent="0.25">
      <c r="E130" s="5"/>
      <c r="F130" t="str">
        <f t="shared" si="38"/>
        <v/>
      </c>
      <c r="G130" s="5" t="str">
        <f t="shared" si="25"/>
        <v/>
      </c>
      <c r="H130" s="22" t="str">
        <f t="shared" si="39"/>
        <v/>
      </c>
      <c r="I130" s="22" t="str">
        <f t="shared" si="27"/>
        <v/>
      </c>
      <c r="J130" s="22" t="str">
        <f t="shared" si="40"/>
        <v/>
      </c>
      <c r="K130" s="22" t="str">
        <f t="shared" si="41"/>
        <v/>
      </c>
      <c r="L130" t="str">
        <f t="shared" si="42"/>
        <v/>
      </c>
      <c r="M130" s="5" t="str">
        <f t="shared" si="35"/>
        <v/>
      </c>
      <c r="N130" s="9" t="str">
        <f t="shared" si="43"/>
        <v/>
      </c>
      <c r="O130" s="3" t="str">
        <f t="shared" si="28"/>
        <v/>
      </c>
      <c r="P130" s="3" t="str">
        <f t="shared" si="29"/>
        <v/>
      </c>
      <c r="Q130" s="3" t="str">
        <f t="shared" si="36"/>
        <v/>
      </c>
      <c r="R130" s="3" t="str">
        <f t="shared" si="37"/>
        <v/>
      </c>
      <c r="S130" s="3" t="str">
        <f>IF($L130&lt;&gt;"",IF($A130="Prepago",0,IF(ROUND($H130*$U$6,2)&gt;ROUND(SUM($S$11:$S129)+$U$6,2),$U$6*2,$U$6)),"")</f>
        <v/>
      </c>
      <c r="T130" s="3" t="str">
        <f>IF($L130&lt;&gt;"",IF($A130="Prepago",0,IF(ROUND($H130*$U$7,2)&gt;ROUND(SUM($T$11:$T129)+$U$7,2),$U$7*2,$U$7)),"")</f>
        <v/>
      </c>
      <c r="U130" s="3" t="str">
        <f>IF($L130&lt;&gt;"",IF($A130="Prepago",0,IF(ROUND($H130*$U$8,2)&gt;ROUND(SUM($U$11:$U129)+$U$8,2),$U$8*2,$U$8)),"")</f>
        <v/>
      </c>
      <c r="V130" s="3" t="str">
        <f>IF($L130&lt;&gt;"",IF($A130="Prepago",0,IF(ROUND($H130*$U$9,2)&gt;ROUND(SUM($V$11:$V129)+$U$9,2),$U$9*2,$U$9)),"")</f>
        <v/>
      </c>
      <c r="W130" s="3" t="str">
        <f t="shared" si="44"/>
        <v/>
      </c>
      <c r="X130" s="3" t="str">
        <f t="shared" si="30"/>
        <v/>
      </c>
      <c r="Y130" s="3" t="str">
        <f t="shared" si="31"/>
        <v/>
      </c>
      <c r="Z130" s="3" t="str">
        <f t="shared" si="32"/>
        <v/>
      </c>
      <c r="AA130" s="3" t="str">
        <f>IF($L130&lt;&gt;"",IF($N130&gt;Z$11,IF($N130&lt;AA$11,$N130-Z$11,30),0)*ROUND(($O130+$X129+SUM($Z130:Z130))*$V$5/3000,2),"")</f>
        <v/>
      </c>
      <c r="AB130" s="3"/>
      <c r="AC130" s="3"/>
    </row>
    <row r="131" spans="5:40" x14ac:dyDescent="0.25">
      <c r="E131" s="5"/>
      <c r="F131" t="str">
        <f t="shared" si="38"/>
        <v/>
      </c>
      <c r="G131" s="5" t="str">
        <f t="shared" si="25"/>
        <v/>
      </c>
      <c r="H131" s="22" t="str">
        <f t="shared" si="39"/>
        <v/>
      </c>
      <c r="I131" s="22" t="str">
        <f t="shared" si="27"/>
        <v/>
      </c>
      <c r="J131" s="22" t="str">
        <f t="shared" si="40"/>
        <v/>
      </c>
      <c r="K131" s="22" t="str">
        <f t="shared" si="41"/>
        <v/>
      </c>
      <c r="L131" t="str">
        <f t="shared" si="42"/>
        <v/>
      </c>
      <c r="M131" s="5" t="str">
        <f t="shared" si="35"/>
        <v/>
      </c>
      <c r="N131" s="9" t="str">
        <f t="shared" si="43"/>
        <v/>
      </c>
      <c r="O131" s="3" t="str">
        <f t="shared" si="28"/>
        <v/>
      </c>
      <c r="P131" s="3" t="str">
        <f t="shared" si="29"/>
        <v/>
      </c>
      <c r="Q131" s="3" t="str">
        <f t="shared" si="36"/>
        <v/>
      </c>
      <c r="R131" s="3" t="str">
        <f t="shared" si="37"/>
        <v/>
      </c>
      <c r="S131" s="3" t="str">
        <f>IF($L131&lt;&gt;"",IF($A131="Prepago",0,IF(ROUND($H131*$U$6,2)&gt;ROUND(SUM($S$11:$S130)+$U$6,2),$U$6*2,$U$6)),"")</f>
        <v/>
      </c>
      <c r="T131" s="3" t="str">
        <f>IF($L131&lt;&gt;"",IF($A131="Prepago",0,IF(ROUND($H131*$U$7,2)&gt;ROUND(SUM($T$11:$T130)+$U$7,2),$U$7*2,$U$7)),"")</f>
        <v/>
      </c>
      <c r="U131" s="3" t="str">
        <f>IF($L131&lt;&gt;"",IF($A131="Prepago",0,IF(ROUND($H131*$U$8,2)&gt;ROUND(SUM($U$11:$U130)+$U$8,2),$U$8*2,$U$8)),"")</f>
        <v/>
      </c>
      <c r="V131" s="3" t="str">
        <f>IF($L131&lt;&gt;"",IF($A131="Prepago",0,IF(ROUND($H131*$U$9,2)&gt;ROUND(SUM($V$11:$V130)+$U$9,2),$U$9*2,$U$9)),"")</f>
        <v/>
      </c>
      <c r="W131" s="3" t="str">
        <f t="shared" si="44"/>
        <v/>
      </c>
      <c r="X131" s="3" t="str">
        <f t="shared" si="30"/>
        <v/>
      </c>
      <c r="Y131" s="3" t="str">
        <f t="shared" si="31"/>
        <v/>
      </c>
      <c r="Z131" s="3" t="str">
        <f t="shared" si="32"/>
        <v/>
      </c>
      <c r="AA131" s="3" t="str">
        <f>IF($L131&lt;&gt;"",IF($N131&gt;Z$11,IF($N131&lt;AA$11,$N131-Z$11,30),0)*ROUND(($O131+$X130+SUM($Z131:Z131))*$V$5/3000,2),"")</f>
        <v/>
      </c>
      <c r="AB131" s="3"/>
      <c r="AC131" s="3"/>
    </row>
    <row r="132" spans="5:40" x14ac:dyDescent="0.25">
      <c r="E132" s="5"/>
      <c r="F132" t="str">
        <f t="shared" si="38"/>
        <v/>
      </c>
      <c r="G132" s="5" t="str">
        <f t="shared" si="25"/>
        <v/>
      </c>
      <c r="H132" s="22" t="str">
        <f t="shared" si="39"/>
        <v/>
      </c>
      <c r="I132" s="22" t="str">
        <f t="shared" si="27"/>
        <v/>
      </c>
      <c r="J132" s="22" t="str">
        <f t="shared" si="40"/>
        <v/>
      </c>
      <c r="K132" s="22" t="str">
        <f t="shared" si="41"/>
        <v/>
      </c>
      <c r="L132" t="str">
        <f t="shared" si="42"/>
        <v/>
      </c>
      <c r="M132" s="5" t="str">
        <f t="shared" si="35"/>
        <v/>
      </c>
      <c r="N132" s="9" t="str">
        <f t="shared" si="43"/>
        <v/>
      </c>
      <c r="O132" s="3" t="str">
        <f t="shared" si="28"/>
        <v/>
      </c>
      <c r="P132" s="3" t="str">
        <f t="shared" si="29"/>
        <v/>
      </c>
      <c r="Q132" s="3" t="str">
        <f t="shared" si="36"/>
        <v/>
      </c>
      <c r="R132" s="3" t="str">
        <f t="shared" si="37"/>
        <v/>
      </c>
      <c r="S132" s="3" t="str">
        <f>IF($L132&lt;&gt;"",IF($A132="Prepago",0,IF(ROUND($H132*$U$6,2)&gt;ROUND(SUM($S$11:$S131)+$U$6,2),$U$6*2,$U$6)),"")</f>
        <v/>
      </c>
      <c r="T132" s="3" t="str">
        <f>IF($L132&lt;&gt;"",IF($A132="Prepago",0,IF(ROUND($H132*$U$7,2)&gt;ROUND(SUM($T$11:$T131)+$U$7,2),$U$7*2,$U$7)),"")</f>
        <v/>
      </c>
      <c r="U132" s="3" t="str">
        <f>IF($L132&lt;&gt;"",IF($A132="Prepago",0,IF(ROUND($H132*$U$8,2)&gt;ROUND(SUM($U$11:$U131)+$U$8,2),$U$8*2,$U$8)),"")</f>
        <v/>
      </c>
      <c r="V132" s="3" t="str">
        <f>IF($L132&lt;&gt;"",IF($A132="Prepago",0,IF(ROUND($H132*$U$9,2)&gt;ROUND(SUM($V$11:$V131)+$U$9,2),$U$9*2,$U$9)),"")</f>
        <v/>
      </c>
      <c r="W132" s="3" t="str">
        <f t="shared" si="44"/>
        <v/>
      </c>
      <c r="X132" s="3" t="str">
        <f t="shared" si="30"/>
        <v/>
      </c>
      <c r="Y132" s="3" t="str">
        <f t="shared" si="31"/>
        <v/>
      </c>
      <c r="Z132" s="3" t="str">
        <f t="shared" si="32"/>
        <v/>
      </c>
      <c r="AA132" s="3" t="str">
        <f>IF($L132&lt;&gt;"",IF($N132&gt;Z$11,IF($N132&lt;AA$11,$N132-Z$11,30),0)*ROUND(($O132+$X131+SUM($Z132:Z132))*$V$5/3000,2),"")</f>
        <v/>
      </c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5:40" x14ac:dyDescent="0.25">
      <c r="E133" s="5"/>
      <c r="F133" t="str">
        <f t="shared" si="38"/>
        <v/>
      </c>
      <c r="G133" s="5" t="str">
        <f t="shared" si="25"/>
        <v/>
      </c>
      <c r="H133" s="22" t="str">
        <f t="shared" si="39"/>
        <v/>
      </c>
      <c r="I133" s="22" t="str">
        <f t="shared" si="27"/>
        <v/>
      </c>
      <c r="J133" s="22" t="str">
        <f t="shared" si="40"/>
        <v/>
      </c>
      <c r="K133" s="22" t="str">
        <f t="shared" si="41"/>
        <v/>
      </c>
      <c r="L133" t="str">
        <f t="shared" si="42"/>
        <v/>
      </c>
      <c r="M133" s="5" t="str">
        <f t="shared" si="35"/>
        <v/>
      </c>
      <c r="N133" s="9" t="str">
        <f t="shared" si="43"/>
        <v/>
      </c>
      <c r="O133" s="3" t="str">
        <f t="shared" si="28"/>
        <v/>
      </c>
      <c r="P133" s="3" t="str">
        <f t="shared" si="29"/>
        <v/>
      </c>
      <c r="Q133" s="3" t="str">
        <f t="shared" si="36"/>
        <v/>
      </c>
      <c r="R133" s="3" t="str">
        <f t="shared" si="37"/>
        <v/>
      </c>
      <c r="S133" s="3" t="str">
        <f>IF($L133&lt;&gt;"",IF($A133="Prepago",0,IF(ROUND($H133*$U$6,2)&gt;ROUND(SUM($S$11:$S132)+$U$6,2),$U$6*2,$U$6)),"")</f>
        <v/>
      </c>
      <c r="T133" s="3" t="str">
        <f>IF($L133&lt;&gt;"",IF($A133="Prepago",0,IF(ROUND($H133*$U$7,2)&gt;ROUND(SUM($T$11:$T132)+$U$7,2),$U$7*2,$U$7)),"")</f>
        <v/>
      </c>
      <c r="U133" s="3" t="str">
        <f>IF($L133&lt;&gt;"",IF($A133="Prepago",0,IF(ROUND($H133*$U$8,2)&gt;ROUND(SUM($U$11:$U132)+$U$8,2),$U$8*2,$U$8)),"")</f>
        <v/>
      </c>
      <c r="V133" s="3" t="str">
        <f>IF($L133&lt;&gt;"",IF($A133="Prepago",0,IF(ROUND($H133*$U$9,2)&gt;ROUND(SUM($V$11:$V132)+$U$9,2),$U$9*2,$U$9)),"")</f>
        <v/>
      </c>
      <c r="W133" s="3" t="str">
        <f t="shared" si="44"/>
        <v/>
      </c>
      <c r="X133" s="3" t="str">
        <f t="shared" si="30"/>
        <v/>
      </c>
      <c r="Y133" s="3" t="str">
        <f t="shared" si="31"/>
        <v/>
      </c>
      <c r="Z133" s="3" t="str">
        <f t="shared" si="32"/>
        <v/>
      </c>
      <c r="AA133" s="3" t="str">
        <f>IF($L133&lt;&gt;"",IF($N133&gt;Z$11,IF($N133&lt;AA$11,$N133-Z$11,30),0)*ROUND(($O133+$X132+SUM($Z133:Z133))*$V$5/3000,2),"")</f>
        <v/>
      </c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</row>
    <row r="134" spans="5:40" x14ac:dyDescent="0.25">
      <c r="E134" s="5"/>
      <c r="F134" t="str">
        <f t="shared" si="38"/>
        <v/>
      </c>
      <c r="G134" s="5" t="str">
        <f t="shared" si="25"/>
        <v/>
      </c>
      <c r="H134" s="22" t="str">
        <f t="shared" si="39"/>
        <v/>
      </c>
      <c r="I134" s="22" t="str">
        <f t="shared" si="27"/>
        <v/>
      </c>
      <c r="J134" s="22" t="str">
        <f t="shared" si="40"/>
        <v/>
      </c>
      <c r="K134" s="22" t="str">
        <f t="shared" si="41"/>
        <v/>
      </c>
      <c r="L134" t="str">
        <f t="shared" si="42"/>
        <v/>
      </c>
      <c r="M134" s="5" t="str">
        <f t="shared" si="35"/>
        <v/>
      </c>
      <c r="N134" s="9" t="str">
        <f t="shared" si="43"/>
        <v/>
      </c>
      <c r="O134" s="3" t="str">
        <f t="shared" si="28"/>
        <v/>
      </c>
      <c r="P134" s="3" t="str">
        <f t="shared" si="29"/>
        <v/>
      </c>
      <c r="Q134" s="3" t="str">
        <f t="shared" si="36"/>
        <v/>
      </c>
      <c r="R134" s="3" t="str">
        <f t="shared" si="37"/>
        <v/>
      </c>
      <c r="S134" s="3" t="str">
        <f>IF($L134&lt;&gt;"",IF($A134="Prepago",0,IF(ROUND($H134*$U$6,2)&gt;ROUND(SUM($S$11:$S133)+$U$6,2),$U$6*2,$U$6)),"")</f>
        <v/>
      </c>
      <c r="T134" s="3" t="str">
        <f>IF($L134&lt;&gt;"",IF($A134="Prepago",0,IF(ROUND($H134*$U$7,2)&gt;ROUND(SUM($T$11:$T133)+$U$7,2),$U$7*2,$U$7)),"")</f>
        <v/>
      </c>
      <c r="U134" s="3" t="str">
        <f>IF($L134&lt;&gt;"",IF($A134="Prepago",0,IF(ROUND($H134*$U$8,2)&gt;ROUND(SUM($U$11:$U133)+$U$8,2),$U$8*2,$U$8)),"")</f>
        <v/>
      </c>
      <c r="V134" s="3" t="str">
        <f>IF($L134&lt;&gt;"",IF($A134="Prepago",0,IF(ROUND($H134*$U$9,2)&gt;ROUND(SUM($V$11:$V133)+$U$9,2),$U$9*2,$U$9)),"")</f>
        <v/>
      </c>
      <c r="W134" s="3" t="str">
        <f t="shared" si="44"/>
        <v/>
      </c>
      <c r="X134" s="3" t="str">
        <f t="shared" si="30"/>
        <v/>
      </c>
      <c r="Y134" s="3" t="str">
        <f t="shared" si="31"/>
        <v/>
      </c>
      <c r="Z134" s="3" t="str">
        <f t="shared" si="32"/>
        <v/>
      </c>
      <c r="AA134" s="3" t="str">
        <f>IF($L134&lt;&gt;"",IF($N134&gt;Z$11,IF($N134&lt;AA$11,$N134-Z$11,30),0)*ROUND(($O134+$X133+SUM($Z134:Z134))*$V$5/3000,2),"")</f>
        <v/>
      </c>
      <c r="AB134" s="3"/>
      <c r="AC134" s="3"/>
    </row>
    <row r="135" spans="5:40" x14ac:dyDescent="0.25">
      <c r="E135" s="5"/>
      <c r="F135" t="str">
        <f t="shared" si="38"/>
        <v/>
      </c>
      <c r="G135" s="5" t="str">
        <f t="shared" si="25"/>
        <v/>
      </c>
      <c r="H135" s="22" t="str">
        <f t="shared" si="39"/>
        <v/>
      </c>
      <c r="I135" s="22" t="str">
        <f t="shared" si="27"/>
        <v/>
      </c>
      <c r="J135" s="22" t="str">
        <f t="shared" si="40"/>
        <v/>
      </c>
      <c r="K135" s="22" t="str">
        <f t="shared" si="41"/>
        <v/>
      </c>
      <c r="L135" t="str">
        <f t="shared" si="42"/>
        <v/>
      </c>
      <c r="M135" s="5" t="str">
        <f t="shared" si="35"/>
        <v/>
      </c>
      <c r="N135" s="9" t="str">
        <f t="shared" si="43"/>
        <v/>
      </c>
      <c r="O135" s="3" t="str">
        <f t="shared" si="28"/>
        <v/>
      </c>
      <c r="P135" s="3" t="str">
        <f t="shared" si="29"/>
        <v/>
      </c>
      <c r="Q135" s="3" t="str">
        <f t="shared" si="36"/>
        <v/>
      </c>
      <c r="R135" s="3" t="str">
        <f t="shared" si="37"/>
        <v/>
      </c>
      <c r="S135" s="3" t="str">
        <f>IF($L135&lt;&gt;"",IF($A135="Prepago",0,IF(ROUND($H135*$U$6,2)&gt;ROUND(SUM($S$11:$S134)+$U$6,2),$U$6*2,$U$6)),"")</f>
        <v/>
      </c>
      <c r="T135" s="3" t="str">
        <f>IF($L135&lt;&gt;"",IF($A135="Prepago",0,IF(ROUND($H135*$U$7,2)&gt;ROUND(SUM($T$11:$T134)+$U$7,2),$U$7*2,$U$7)),"")</f>
        <v/>
      </c>
      <c r="U135" s="3" t="str">
        <f>IF($L135&lt;&gt;"",IF($A135="Prepago",0,IF(ROUND($H135*$U$8,2)&gt;ROUND(SUM($U$11:$U134)+$U$8,2),$U$8*2,$U$8)),"")</f>
        <v/>
      </c>
      <c r="V135" s="3" t="str">
        <f>IF($L135&lt;&gt;"",IF($A135="Prepago",0,IF(ROUND($H135*$U$9,2)&gt;ROUND(SUM($V$11:$V134)+$U$9,2),$U$9*2,$U$9)),"")</f>
        <v/>
      </c>
      <c r="W135" s="3" t="str">
        <f t="shared" si="44"/>
        <v/>
      </c>
      <c r="X135" s="3" t="str">
        <f t="shared" si="30"/>
        <v/>
      </c>
      <c r="Y135" s="3" t="str">
        <f t="shared" si="31"/>
        <v/>
      </c>
      <c r="Z135" s="3" t="str">
        <f t="shared" si="32"/>
        <v/>
      </c>
      <c r="AA135" s="3" t="str">
        <f>IF($L135&lt;&gt;"",IF($N135&gt;Z$11,IF($N135&lt;AA$11,$N135-Z$11,30),0)*ROUND(($O135+$X134+SUM($Z135:Z135))*$V$5/3000,2),"")</f>
        <v/>
      </c>
      <c r="AB135" s="3"/>
      <c r="AC135" s="3"/>
    </row>
    <row r="136" spans="5:40" x14ac:dyDescent="0.25">
      <c r="E136" s="5"/>
      <c r="F136" t="str">
        <f t="shared" si="38"/>
        <v/>
      </c>
      <c r="G136" s="5" t="str">
        <f t="shared" si="25"/>
        <v/>
      </c>
      <c r="H136" s="22" t="str">
        <f t="shared" si="39"/>
        <v/>
      </c>
      <c r="I136" s="22" t="str">
        <f t="shared" si="27"/>
        <v/>
      </c>
      <c r="J136" s="22" t="str">
        <f t="shared" si="40"/>
        <v/>
      </c>
      <c r="K136" s="22" t="str">
        <f t="shared" si="41"/>
        <v/>
      </c>
      <c r="L136" t="str">
        <f t="shared" si="42"/>
        <v/>
      </c>
      <c r="M136" s="5" t="str">
        <f t="shared" si="35"/>
        <v/>
      </c>
      <c r="N136" s="9" t="str">
        <f t="shared" si="43"/>
        <v/>
      </c>
      <c r="O136" s="3" t="str">
        <f t="shared" si="28"/>
        <v/>
      </c>
      <c r="P136" s="3" t="str">
        <f t="shared" si="29"/>
        <v/>
      </c>
      <c r="Q136" s="3" t="str">
        <f t="shared" si="36"/>
        <v/>
      </c>
      <c r="R136" s="3" t="str">
        <f t="shared" si="37"/>
        <v/>
      </c>
      <c r="S136" s="3" t="str">
        <f>IF($L136&lt;&gt;"",IF($A136="Prepago",0,IF(ROUND($H136*$U$6,2)&gt;ROUND(SUM($S$11:$S135)+$U$6,2),$U$6*2,$U$6)),"")</f>
        <v/>
      </c>
      <c r="T136" s="3" t="str">
        <f>IF($L136&lt;&gt;"",IF($A136="Prepago",0,IF(ROUND($H136*$U$7,2)&gt;ROUND(SUM($T$11:$T135)+$U$7,2),$U$7*2,$U$7)),"")</f>
        <v/>
      </c>
      <c r="U136" s="3" t="str">
        <f>IF($L136&lt;&gt;"",IF($A136="Prepago",0,IF(ROUND($H136*$U$8,2)&gt;ROUND(SUM($U$11:$U135)+$U$8,2),$U$8*2,$U$8)),"")</f>
        <v/>
      </c>
      <c r="V136" s="3" t="str">
        <f>IF($L136&lt;&gt;"",IF($A136="Prepago",0,IF(ROUND($H136*$U$9,2)&gt;ROUND(SUM($V$11:$V135)+$U$9,2),$U$9*2,$U$9)),"")</f>
        <v/>
      </c>
      <c r="W136" s="3" t="str">
        <f t="shared" si="44"/>
        <v/>
      </c>
      <c r="X136" s="3" t="str">
        <f t="shared" si="30"/>
        <v/>
      </c>
      <c r="Y136" s="3" t="str">
        <f t="shared" si="31"/>
        <v/>
      </c>
      <c r="Z136" s="3" t="str">
        <f t="shared" si="32"/>
        <v/>
      </c>
      <c r="AA136" s="3" t="str">
        <f>IF($L136&lt;&gt;"",IF($N136&gt;Z$11,IF($N136&lt;AA$11,$N136-Z$11,30),0)*ROUND(($O136+$X135+SUM($Z136:Z136))*$V$5/3000,2),"")</f>
        <v/>
      </c>
      <c r="AB136" s="3"/>
      <c r="AC136" s="3"/>
    </row>
    <row r="137" spans="5:40" x14ac:dyDescent="0.25">
      <c r="E137" s="5"/>
      <c r="F137" t="str">
        <f t="shared" si="38"/>
        <v/>
      </c>
      <c r="G137" s="5" t="str">
        <f t="shared" si="25"/>
        <v/>
      </c>
      <c r="H137" s="22" t="str">
        <f t="shared" si="39"/>
        <v/>
      </c>
      <c r="I137" s="22" t="str">
        <f t="shared" si="27"/>
        <v/>
      </c>
      <c r="J137" s="22" t="str">
        <f t="shared" si="40"/>
        <v/>
      </c>
      <c r="K137" s="22" t="str">
        <f t="shared" si="41"/>
        <v/>
      </c>
      <c r="L137" t="str">
        <f t="shared" si="42"/>
        <v/>
      </c>
      <c r="M137" s="5" t="str">
        <f t="shared" si="35"/>
        <v/>
      </c>
      <c r="N137" s="9" t="str">
        <f t="shared" si="43"/>
        <v/>
      </c>
      <c r="O137" s="3" t="str">
        <f t="shared" si="28"/>
        <v/>
      </c>
      <c r="P137" s="3" t="str">
        <f t="shared" si="29"/>
        <v/>
      </c>
      <c r="Q137" s="3" t="str">
        <f t="shared" si="36"/>
        <v/>
      </c>
      <c r="R137" s="3" t="str">
        <f t="shared" si="37"/>
        <v/>
      </c>
      <c r="S137" s="3" t="str">
        <f>IF($L137&lt;&gt;"",IF($A137="Prepago",0,IF(ROUND($H137*$U$6,2)&gt;ROUND(SUM($S$11:$S136)+$U$6,2),$U$6*2,$U$6)),"")</f>
        <v/>
      </c>
      <c r="T137" s="3" t="str">
        <f>IF($L137&lt;&gt;"",IF($A137="Prepago",0,IF(ROUND($H137*$U$7,2)&gt;ROUND(SUM($T$11:$T136)+$U$7,2),$U$7*2,$U$7)),"")</f>
        <v/>
      </c>
      <c r="U137" s="3" t="str">
        <f>IF($L137&lt;&gt;"",IF($A137="Prepago",0,IF(ROUND($H137*$U$8,2)&gt;ROUND(SUM($U$11:$U136)+$U$8,2),$U$8*2,$U$8)),"")</f>
        <v/>
      </c>
      <c r="V137" s="3" t="str">
        <f>IF($L137&lt;&gt;"",IF($A137="Prepago",0,IF(ROUND($H137*$U$9,2)&gt;ROUND(SUM($V$11:$V136)+$U$9,2),$U$9*2,$U$9)),"")</f>
        <v/>
      </c>
      <c r="W137" s="3" t="str">
        <f t="shared" si="44"/>
        <v/>
      </c>
      <c r="X137" s="3" t="str">
        <f t="shared" si="30"/>
        <v/>
      </c>
      <c r="Y137" s="3" t="str">
        <f t="shared" si="31"/>
        <v/>
      </c>
      <c r="Z137" s="3" t="str">
        <f t="shared" si="32"/>
        <v/>
      </c>
      <c r="AA137" s="3" t="str">
        <f>IF($L137&lt;&gt;"",IF($N137&gt;Z$11,IF($N137&lt;AA$11,$N137-Z$11,30),0)*ROUND(($O137+$X136+SUM($Z137:Z137))*$V$5/3000,2),"")</f>
        <v/>
      </c>
      <c r="AB137" s="3"/>
      <c r="AC137" s="3"/>
    </row>
    <row r="138" spans="5:40" x14ac:dyDescent="0.25">
      <c r="E138" s="5"/>
      <c r="F138" t="str">
        <f t="shared" si="38"/>
        <v/>
      </c>
      <c r="G138" s="5" t="str">
        <f t="shared" si="25"/>
        <v/>
      </c>
      <c r="H138" s="22" t="str">
        <f t="shared" si="39"/>
        <v/>
      </c>
      <c r="I138" s="22" t="str">
        <f t="shared" si="27"/>
        <v/>
      </c>
      <c r="J138" s="22" t="str">
        <f t="shared" si="40"/>
        <v/>
      </c>
      <c r="K138" s="22" t="str">
        <f t="shared" si="41"/>
        <v/>
      </c>
      <c r="L138" t="str">
        <f t="shared" si="42"/>
        <v/>
      </c>
      <c r="M138" s="5" t="str">
        <f t="shared" si="35"/>
        <v/>
      </c>
      <c r="N138" s="9" t="str">
        <f t="shared" si="43"/>
        <v/>
      </c>
      <c r="O138" s="3" t="str">
        <f t="shared" si="28"/>
        <v/>
      </c>
      <c r="P138" s="3" t="str">
        <f t="shared" si="29"/>
        <v/>
      </c>
      <c r="Q138" s="3" t="str">
        <f t="shared" si="36"/>
        <v/>
      </c>
      <c r="R138" s="3" t="str">
        <f t="shared" si="37"/>
        <v/>
      </c>
      <c r="S138" s="3" t="str">
        <f>IF($L138&lt;&gt;"",IF($A138="Prepago",0,IF(ROUND($H138*$U$6,2)&gt;ROUND(SUM($S$11:$S137)+$U$6,2),$U$6*2,$U$6)),"")</f>
        <v/>
      </c>
      <c r="T138" s="3" t="str">
        <f>IF($L138&lt;&gt;"",IF($A138="Prepago",0,IF(ROUND($H138*$U$7,2)&gt;ROUND(SUM($T$11:$T137)+$U$7,2),$U$7*2,$U$7)),"")</f>
        <v/>
      </c>
      <c r="U138" s="3" t="str">
        <f>IF($L138&lt;&gt;"",IF($A138="Prepago",0,IF(ROUND($H138*$U$8,2)&gt;ROUND(SUM($U$11:$U137)+$U$8,2),$U$8*2,$U$8)),"")</f>
        <v/>
      </c>
      <c r="V138" s="3" t="str">
        <f>IF($L138&lt;&gt;"",IF($A138="Prepago",0,IF(ROUND($H138*$U$9,2)&gt;ROUND(SUM($V$11:$V137)+$U$9,2),$U$9*2,$U$9)),"")</f>
        <v/>
      </c>
      <c r="W138" s="3" t="str">
        <f t="shared" si="44"/>
        <v/>
      </c>
      <c r="X138" s="3" t="str">
        <f t="shared" si="30"/>
        <v/>
      </c>
      <c r="Y138" s="3" t="str">
        <f t="shared" si="31"/>
        <v/>
      </c>
      <c r="Z138" s="3" t="str">
        <f t="shared" si="32"/>
        <v/>
      </c>
      <c r="AA138" s="3" t="str">
        <f>IF($L138&lt;&gt;"",IF($N138&gt;Z$11,IF($N138&lt;AA$11,$N138-Z$11,30),0)*ROUND(($O138+$X137+SUM($Z138:Z138))*$V$5/3000,2),"")</f>
        <v/>
      </c>
      <c r="AB138" s="3"/>
      <c r="AC138" s="3"/>
    </row>
    <row r="139" spans="5:40" x14ac:dyDescent="0.25">
      <c r="E139" s="5"/>
      <c r="F139" t="str">
        <f t="shared" si="38"/>
        <v/>
      </c>
      <c r="G139" s="5" t="str">
        <f t="shared" si="25"/>
        <v/>
      </c>
      <c r="H139" s="22" t="str">
        <f t="shared" si="39"/>
        <v/>
      </c>
      <c r="I139" s="22" t="str">
        <f t="shared" si="27"/>
        <v/>
      </c>
      <c r="J139" s="22" t="str">
        <f t="shared" si="40"/>
        <v/>
      </c>
      <c r="K139" s="22" t="str">
        <f t="shared" si="41"/>
        <v/>
      </c>
      <c r="L139" t="str">
        <f t="shared" si="42"/>
        <v/>
      </c>
      <c r="M139" s="5" t="str">
        <f t="shared" si="35"/>
        <v/>
      </c>
      <c r="N139" s="9" t="str">
        <f t="shared" si="43"/>
        <v/>
      </c>
      <c r="O139" s="3" t="str">
        <f t="shared" si="28"/>
        <v/>
      </c>
      <c r="P139" s="3" t="str">
        <f t="shared" si="29"/>
        <v/>
      </c>
      <c r="Q139" s="3" t="str">
        <f t="shared" si="36"/>
        <v/>
      </c>
      <c r="R139" s="3" t="str">
        <f t="shared" si="37"/>
        <v/>
      </c>
      <c r="S139" s="3" t="str">
        <f>IF($L139&lt;&gt;"",IF($A139="Prepago",0,IF(ROUND($H139*$U$6,2)&gt;ROUND(SUM($S$11:$S138)+$U$6,2),$U$6*2,$U$6)),"")</f>
        <v/>
      </c>
      <c r="T139" s="3" t="str">
        <f>IF($L139&lt;&gt;"",IF($A139="Prepago",0,IF(ROUND($H139*$U$7,2)&gt;ROUND(SUM($T$11:$T138)+$U$7,2),$U$7*2,$U$7)),"")</f>
        <v/>
      </c>
      <c r="U139" s="3" t="str">
        <f>IF($L139&lt;&gt;"",IF($A139="Prepago",0,IF(ROUND($H139*$U$8,2)&gt;ROUND(SUM($U$11:$U138)+$U$8,2),$U$8*2,$U$8)),"")</f>
        <v/>
      </c>
      <c r="V139" s="3" t="str">
        <f>IF($L139&lt;&gt;"",IF($A139="Prepago",0,IF(ROUND($H139*$U$9,2)&gt;ROUND(SUM($V$11:$V138)+$U$9,2),$U$9*2,$U$9)),"")</f>
        <v/>
      </c>
      <c r="W139" s="3" t="str">
        <f t="shared" si="44"/>
        <v/>
      </c>
      <c r="X139" s="3" t="str">
        <f t="shared" si="30"/>
        <v/>
      </c>
      <c r="Y139" s="3" t="str">
        <f t="shared" si="31"/>
        <v/>
      </c>
      <c r="Z139" s="3" t="str">
        <f t="shared" si="32"/>
        <v/>
      </c>
      <c r="AA139" s="3" t="str">
        <f>IF($L139&lt;&gt;"",IF($N139&gt;Z$11,IF($N139&lt;AA$11,$N139-Z$11,30),0)*ROUND(($O139+$X138+SUM($Z139:Z139))*$V$5/3000,2),"")</f>
        <v/>
      </c>
      <c r="AB139" s="3"/>
      <c r="AC139" s="3"/>
    </row>
    <row r="140" spans="5:40" x14ac:dyDescent="0.25">
      <c r="E140" s="5"/>
      <c r="F140" t="str">
        <f t="shared" si="38"/>
        <v/>
      </c>
      <c r="G140" s="5" t="str">
        <f t="shared" ref="G140:G203" si="45">IF($L140&lt;&gt;"",EOMONTH(DATE(YEAR($M$11),MONTH($M$11)-IF(DAY($N$6)&lt;$N$7,1,0),DAY($M$11)),($H140*$A$1)+IF(MESADICIONAL=TRUE,1,0)),"")</f>
        <v/>
      </c>
      <c r="H140" s="22" t="str">
        <f t="shared" si="39"/>
        <v/>
      </c>
      <c r="I140" s="22" t="str">
        <f t="shared" ref="I140:I203" si="46">IF(L140&lt;&gt;"",IF(COUNTA($Z140:$XFD140)*30&lt;$N140,1,0),"")</f>
        <v/>
      </c>
      <c r="J140" s="22" t="str">
        <f t="shared" si="40"/>
        <v/>
      </c>
      <c r="K140" s="22" t="str">
        <f t="shared" si="41"/>
        <v/>
      </c>
      <c r="L140" t="str">
        <f t="shared" si="42"/>
        <v/>
      </c>
      <c r="M140" s="5" t="str">
        <f t="shared" si="35"/>
        <v/>
      </c>
      <c r="N140" s="9" t="str">
        <f t="shared" si="43"/>
        <v/>
      </c>
      <c r="O140" s="3" t="str">
        <f t="shared" ref="O140:O203" si="47">IF($L140&lt;&gt;"",$W139,"")</f>
        <v/>
      </c>
      <c r="P140" s="3" t="str">
        <f t="shared" ref="P140:P203" si="48">IF($L140&lt;&gt;"",IF($A140="Gracia Parcial",IF(AND($C140&lt;$Y140+$S140+$T140+$U140+$V140+$X139,$C140&gt;0),$C140,$Y140+$S140+$T140+$U140+$V140+$X139),IF($A140="Gracia Total",0,IF($A140="Prepago",$C140,IF(ISNUMBER($C140),$C140*VALUE(MID($C$1,MONTH($M140),1)),$Q$5*VALUE(MID($C$1,MONTH($M140),1))))))-IF($L141="",ARREGLO,0),"")</f>
        <v/>
      </c>
      <c r="Q140" s="3" t="str">
        <f t="shared" si="36"/>
        <v/>
      </c>
      <c r="R140" s="3" t="str">
        <f t="shared" si="37"/>
        <v/>
      </c>
      <c r="S140" s="3" t="str">
        <f>IF($L140&lt;&gt;"",IF($A140="Prepago",0,IF(ROUND($H140*$U$6,2)&gt;ROUND(SUM($S$11:$S139)+$U$6,2),$U$6*2,$U$6)),"")</f>
        <v/>
      </c>
      <c r="T140" s="3" t="str">
        <f>IF($L140&lt;&gt;"",IF($A140="Prepago",0,IF(ROUND($H140*$U$7,2)&gt;ROUND(SUM($T$11:$T139)+$U$7,2),$U$7*2,$U$7)),"")</f>
        <v/>
      </c>
      <c r="U140" s="3" t="str">
        <f>IF($L140&lt;&gt;"",IF($A140="Prepago",0,IF(ROUND($H140*$U$8,2)&gt;ROUND(SUM($U$11:$U139)+$U$8,2),$U$8*2,$U$8)),"")</f>
        <v/>
      </c>
      <c r="V140" s="3" t="str">
        <f>IF($L140&lt;&gt;"",IF($A140="Prepago",0,IF(ROUND($H140*$U$9,2)&gt;ROUND(SUM($V$11:$V139)+$U$9,2),$U$9*2,$U$9)),"")</f>
        <v/>
      </c>
      <c r="W140" s="3" t="str">
        <f t="shared" si="44"/>
        <v/>
      </c>
      <c r="X140" s="3" t="str">
        <f t="shared" ref="X140:X203" si="49">IF($L140&lt;&gt;"",+$X139+IF($D140="",$Y140,$D140)-$R140,"")</f>
        <v/>
      </c>
      <c r="Y140" s="3" t="str">
        <f t="shared" ref="Y140:Y203" si="50">IF($L140&lt;&gt;"",SUM($Z140:$XFD140),"")</f>
        <v/>
      </c>
      <c r="Z140" s="3" t="str">
        <f t="shared" ref="Z140:Z203" si="51">IF($L140&lt;&gt;"",IF($N140&gt;Z$11,30,$N140)*ROUND(($O140+$X139)*$V$5/3000,2),"")</f>
        <v/>
      </c>
      <c r="AA140" s="3" t="str">
        <f>IF($L140&lt;&gt;"",IF($N140&gt;Z$11,IF($N140&lt;AA$11,$N140-Z$11,30),0)*ROUND(($O140+$X139+SUM($Z140:Z140))*$V$5/3000,2),"")</f>
        <v/>
      </c>
      <c r="AB140" s="3"/>
      <c r="AC140" s="3"/>
    </row>
    <row r="141" spans="5:40" x14ac:dyDescent="0.25">
      <c r="E141" s="5"/>
      <c r="F141" t="str">
        <f t="shared" si="38"/>
        <v/>
      </c>
      <c r="G141" s="5" t="str">
        <f t="shared" si="45"/>
        <v/>
      </c>
      <c r="H141" s="22" t="str">
        <f t="shared" si="39"/>
        <v/>
      </c>
      <c r="I141" s="22" t="str">
        <f t="shared" si="46"/>
        <v/>
      </c>
      <c r="J141" s="22" t="str">
        <f t="shared" si="40"/>
        <v/>
      </c>
      <c r="K141" s="22" t="str">
        <f t="shared" si="41"/>
        <v/>
      </c>
      <c r="L141" t="str">
        <f t="shared" si="42"/>
        <v/>
      </c>
      <c r="M141" s="5" t="str">
        <f t="shared" ref="M141:M204" si="52">IF($L141&lt;&gt;"",IF($E141="",IF(DAY($G141)&lt;$N$7,$G141,DATE(YEAR($G141),MONTH($G141),$N$7)),$E141),"")</f>
        <v/>
      </c>
      <c r="N141" s="9" t="str">
        <f t="shared" si="43"/>
        <v/>
      </c>
      <c r="O141" s="3" t="str">
        <f t="shared" si="47"/>
        <v/>
      </c>
      <c r="P141" s="3" t="str">
        <f t="shared" si="48"/>
        <v/>
      </c>
      <c r="Q141" s="3" t="str">
        <f t="shared" ref="Q141:Q204" si="53">IF($L141&lt;&gt;"",IF($P141-$R141&gt;0,IF($P141&gt;=$R141+$S141+$T141+$U141+$V141,$P141-$R141-$S141-$T141-$U141-$V141,P141),0),"")</f>
        <v/>
      </c>
      <c r="R141" s="3" t="str">
        <f t="shared" ref="R141:R204" si="54">IF($L141&lt;&gt;"",IF($P141&gt;IF($D141="",$Y141,$D141)+$X140+$S141+$T141+$U141+$V141,IF($D141="",$Y141,$D141)+$X140,IF($P141&gt;=$S141+$T141+$U141+$V141,$P141-$S141-$T141-$U141-$V141,IF($D141="",$Y141,$D141)+$X140)),"")</f>
        <v/>
      </c>
      <c r="S141" s="3" t="str">
        <f>IF($L141&lt;&gt;"",IF($A141="Prepago",0,IF(ROUND($H141*$U$6,2)&gt;ROUND(SUM($S$11:$S140)+$U$6,2),$U$6*2,$U$6)),"")</f>
        <v/>
      </c>
      <c r="T141" s="3" t="str">
        <f>IF($L141&lt;&gt;"",IF($A141="Prepago",0,IF(ROUND($H141*$U$7,2)&gt;ROUND(SUM($T$11:$T140)+$U$7,2),$U$7*2,$U$7)),"")</f>
        <v/>
      </c>
      <c r="U141" s="3" t="str">
        <f>IF($L141&lt;&gt;"",IF($A141="Prepago",0,IF(ROUND($H141*$U$8,2)&gt;ROUND(SUM($U$11:$U140)+$U$8,2),$U$8*2,$U$8)),"")</f>
        <v/>
      </c>
      <c r="V141" s="3" t="str">
        <f>IF($L141&lt;&gt;"",IF($A141="Prepago",0,IF(ROUND($H141*$U$9,2)&gt;ROUND(SUM($V$11:$V140)+$U$9,2),$U$9*2,$U$9)),"")</f>
        <v/>
      </c>
      <c r="W141" s="3" t="str">
        <f t="shared" si="44"/>
        <v/>
      </c>
      <c r="X141" s="3" t="str">
        <f t="shared" si="49"/>
        <v/>
      </c>
      <c r="Y141" s="3" t="str">
        <f t="shared" si="50"/>
        <v/>
      </c>
      <c r="Z141" s="3" t="str">
        <f t="shared" si="51"/>
        <v/>
      </c>
      <c r="AA141" s="3" t="str">
        <f>IF($L141&lt;&gt;"",IF($N141&gt;Z$11,IF($N141&lt;AA$11,$N141-Z$11,30),0)*ROUND(($O141+$X140+SUM($Z141:Z141))*$V$5/3000,2),"")</f>
        <v/>
      </c>
      <c r="AB141" s="3"/>
      <c r="AC141" s="3"/>
    </row>
    <row r="142" spans="5:40" x14ac:dyDescent="0.25">
      <c r="E142" s="5"/>
      <c r="F142" t="str">
        <f t="shared" si="38"/>
        <v/>
      </c>
      <c r="G142" s="5" t="str">
        <f t="shared" si="45"/>
        <v/>
      </c>
      <c r="H142" s="22" t="str">
        <f t="shared" si="39"/>
        <v/>
      </c>
      <c r="I142" s="22" t="str">
        <f t="shared" si="46"/>
        <v/>
      </c>
      <c r="J142" s="22" t="str">
        <f t="shared" si="40"/>
        <v/>
      </c>
      <c r="K142" s="22" t="str">
        <f t="shared" si="41"/>
        <v/>
      </c>
      <c r="L142" t="str">
        <f t="shared" si="42"/>
        <v/>
      </c>
      <c r="M142" s="5" t="str">
        <f t="shared" si="52"/>
        <v/>
      </c>
      <c r="N142" s="9" t="str">
        <f t="shared" si="43"/>
        <v/>
      </c>
      <c r="O142" s="3" t="str">
        <f t="shared" si="47"/>
        <v/>
      </c>
      <c r="P142" s="3" t="str">
        <f t="shared" si="48"/>
        <v/>
      </c>
      <c r="Q142" s="3" t="str">
        <f t="shared" si="53"/>
        <v/>
      </c>
      <c r="R142" s="3" t="str">
        <f t="shared" si="54"/>
        <v/>
      </c>
      <c r="S142" s="3" t="str">
        <f>IF($L142&lt;&gt;"",IF($A142="Prepago",0,IF(ROUND($H142*$U$6,2)&gt;ROUND(SUM($S$11:$S141)+$U$6,2),$U$6*2,$U$6)),"")</f>
        <v/>
      </c>
      <c r="T142" s="3" t="str">
        <f>IF($L142&lt;&gt;"",IF($A142="Prepago",0,IF(ROUND($H142*$U$7,2)&gt;ROUND(SUM($T$11:$T141)+$U$7,2),$U$7*2,$U$7)),"")</f>
        <v/>
      </c>
      <c r="U142" s="3" t="str">
        <f>IF($L142&lt;&gt;"",IF($A142="Prepago",0,IF(ROUND($H142*$U$8,2)&gt;ROUND(SUM($U$11:$U141)+$U$8,2),$U$8*2,$U$8)),"")</f>
        <v/>
      </c>
      <c r="V142" s="3" t="str">
        <f>IF($L142&lt;&gt;"",IF($A142="Prepago",0,IF(ROUND($H142*$U$9,2)&gt;ROUND(SUM($V$11:$V141)+$U$9,2),$U$9*2,$U$9)),"")</f>
        <v/>
      </c>
      <c r="W142" s="3" t="str">
        <f t="shared" si="44"/>
        <v/>
      </c>
      <c r="X142" s="3" t="str">
        <f t="shared" si="49"/>
        <v/>
      </c>
      <c r="Y142" s="3" t="str">
        <f t="shared" si="50"/>
        <v/>
      </c>
      <c r="Z142" s="3" t="str">
        <f t="shared" si="51"/>
        <v/>
      </c>
      <c r="AA142" s="3" t="str">
        <f>IF($L142&lt;&gt;"",IF($N142&gt;Z$11,IF($N142&lt;AA$11,$N142-Z$11,30),0)*ROUND(($O142+$X141+SUM($Z142:Z142))*$V$5/3000,2),"")</f>
        <v/>
      </c>
      <c r="AB142" s="3"/>
      <c r="AC142" s="3"/>
    </row>
    <row r="143" spans="5:40" x14ac:dyDescent="0.25">
      <c r="E143" s="5"/>
      <c r="F143" t="str">
        <f t="shared" si="38"/>
        <v/>
      </c>
      <c r="G143" s="5" t="str">
        <f t="shared" si="45"/>
        <v/>
      </c>
      <c r="H143" s="22" t="str">
        <f t="shared" si="39"/>
        <v/>
      </c>
      <c r="I143" s="22" t="str">
        <f t="shared" si="46"/>
        <v/>
      </c>
      <c r="J143" s="22" t="str">
        <f t="shared" si="40"/>
        <v/>
      </c>
      <c r="K143" s="22" t="str">
        <f t="shared" si="41"/>
        <v/>
      </c>
      <c r="L143" t="str">
        <f t="shared" si="42"/>
        <v/>
      </c>
      <c r="M143" s="5" t="str">
        <f t="shared" si="52"/>
        <v/>
      </c>
      <c r="N143" s="9" t="str">
        <f t="shared" si="43"/>
        <v/>
      </c>
      <c r="O143" s="3" t="str">
        <f t="shared" si="47"/>
        <v/>
      </c>
      <c r="P143" s="3" t="str">
        <f t="shared" si="48"/>
        <v/>
      </c>
      <c r="Q143" s="3" t="str">
        <f t="shared" si="53"/>
        <v/>
      </c>
      <c r="R143" s="3" t="str">
        <f t="shared" si="54"/>
        <v/>
      </c>
      <c r="S143" s="3" t="str">
        <f>IF($L143&lt;&gt;"",IF($A143="Prepago",0,IF(ROUND($H143*$U$6,2)&gt;ROUND(SUM($S$11:$S142)+$U$6,2),$U$6*2,$U$6)),"")</f>
        <v/>
      </c>
      <c r="T143" s="3" t="str">
        <f>IF($L143&lt;&gt;"",IF($A143="Prepago",0,IF(ROUND($H143*$U$7,2)&gt;ROUND(SUM($T$11:$T142)+$U$7,2),$U$7*2,$U$7)),"")</f>
        <v/>
      </c>
      <c r="U143" s="3" t="str">
        <f>IF($L143&lt;&gt;"",IF($A143="Prepago",0,IF(ROUND($H143*$U$8,2)&gt;ROUND(SUM($U$11:$U142)+$U$8,2),$U$8*2,$U$8)),"")</f>
        <v/>
      </c>
      <c r="V143" s="3" t="str">
        <f>IF($L143&lt;&gt;"",IF($A143="Prepago",0,IF(ROUND($H143*$U$9,2)&gt;ROUND(SUM($V$11:$V142)+$U$9,2),$U$9*2,$U$9)),"")</f>
        <v/>
      </c>
      <c r="W143" s="3" t="str">
        <f t="shared" si="44"/>
        <v/>
      </c>
      <c r="X143" s="3" t="str">
        <f t="shared" si="49"/>
        <v/>
      </c>
      <c r="Y143" s="3" t="str">
        <f t="shared" si="50"/>
        <v/>
      </c>
      <c r="Z143" s="3" t="str">
        <f t="shared" si="51"/>
        <v/>
      </c>
      <c r="AA143" s="3" t="str">
        <f>IF($L143&lt;&gt;"",IF($N143&gt;Z$11,IF($N143&lt;AA$11,$N143-Z$11,30),0)*ROUND(($O143+$X142+SUM($Z143:Z143))*$V$5/3000,2),"")</f>
        <v/>
      </c>
      <c r="AB143" s="3"/>
      <c r="AC143" s="3"/>
    </row>
    <row r="144" spans="5:40" x14ac:dyDescent="0.25">
      <c r="E144" s="5"/>
      <c r="F144" t="str">
        <f t="shared" si="38"/>
        <v/>
      </c>
      <c r="G144" s="5" t="str">
        <f t="shared" si="45"/>
        <v/>
      </c>
      <c r="H144" s="22" t="str">
        <f t="shared" si="39"/>
        <v/>
      </c>
      <c r="I144" s="22" t="str">
        <f t="shared" si="46"/>
        <v/>
      </c>
      <c r="J144" s="22" t="str">
        <f t="shared" si="40"/>
        <v/>
      </c>
      <c r="K144" s="22" t="str">
        <f t="shared" si="41"/>
        <v/>
      </c>
      <c r="L144" t="str">
        <f t="shared" si="42"/>
        <v/>
      </c>
      <c r="M144" s="5" t="str">
        <f t="shared" si="52"/>
        <v/>
      </c>
      <c r="N144" s="9" t="str">
        <f t="shared" si="43"/>
        <v/>
      </c>
      <c r="O144" s="3" t="str">
        <f t="shared" si="47"/>
        <v/>
      </c>
      <c r="P144" s="3" t="str">
        <f t="shared" si="48"/>
        <v/>
      </c>
      <c r="Q144" s="3" t="str">
        <f t="shared" si="53"/>
        <v/>
      </c>
      <c r="R144" s="3" t="str">
        <f t="shared" si="54"/>
        <v/>
      </c>
      <c r="S144" s="3" t="str">
        <f>IF($L144&lt;&gt;"",IF($A144="Prepago",0,IF(ROUND($H144*$U$6,2)&gt;ROUND(SUM($S$11:$S143)+$U$6,2),$U$6*2,$U$6)),"")</f>
        <v/>
      </c>
      <c r="T144" s="3" t="str">
        <f>IF($L144&lt;&gt;"",IF($A144="Prepago",0,IF(ROUND($H144*$U$7,2)&gt;ROUND(SUM($T$11:$T143)+$U$7,2),$U$7*2,$U$7)),"")</f>
        <v/>
      </c>
      <c r="U144" s="3" t="str">
        <f>IF($L144&lt;&gt;"",IF($A144="Prepago",0,IF(ROUND($H144*$U$8,2)&gt;ROUND(SUM($U$11:$U143)+$U$8,2),$U$8*2,$U$8)),"")</f>
        <v/>
      </c>
      <c r="V144" s="3" t="str">
        <f>IF($L144&lt;&gt;"",IF($A144="Prepago",0,IF(ROUND($H144*$U$9,2)&gt;ROUND(SUM($V$11:$V143)+$U$9,2),$U$9*2,$U$9)),"")</f>
        <v/>
      </c>
      <c r="W144" s="3" t="str">
        <f t="shared" si="44"/>
        <v/>
      </c>
      <c r="X144" s="3" t="str">
        <f t="shared" si="49"/>
        <v/>
      </c>
      <c r="Y144" s="3" t="str">
        <f t="shared" si="50"/>
        <v/>
      </c>
      <c r="Z144" s="3" t="str">
        <f t="shared" si="51"/>
        <v/>
      </c>
      <c r="AA144" s="3" t="str">
        <f>IF($L144&lt;&gt;"",IF($N144&gt;Z$11,IF($N144&lt;AA$11,$N144-Z$11,30),0)*ROUND(($O144+$X143+SUM($Z144:Z144))*$V$5/3000,2),"")</f>
        <v/>
      </c>
      <c r="AB144" s="3"/>
      <c r="AC144" s="3"/>
    </row>
    <row r="145" spans="5:29" x14ac:dyDescent="0.25">
      <c r="E145" s="5"/>
      <c r="F145" t="str">
        <f t="shared" si="38"/>
        <v/>
      </c>
      <c r="G145" s="5" t="str">
        <f t="shared" si="45"/>
        <v/>
      </c>
      <c r="H145" s="22" t="str">
        <f t="shared" si="39"/>
        <v/>
      </c>
      <c r="I145" s="22" t="str">
        <f t="shared" si="46"/>
        <v/>
      </c>
      <c r="J145" s="22" t="str">
        <f t="shared" si="40"/>
        <v/>
      </c>
      <c r="K145" s="22" t="str">
        <f t="shared" si="41"/>
        <v/>
      </c>
      <c r="L145" t="str">
        <f t="shared" si="42"/>
        <v/>
      </c>
      <c r="M145" s="5" t="str">
        <f t="shared" si="52"/>
        <v/>
      </c>
      <c r="N145" s="9" t="str">
        <f t="shared" si="43"/>
        <v/>
      </c>
      <c r="O145" s="3" t="str">
        <f t="shared" si="47"/>
        <v/>
      </c>
      <c r="P145" s="3" t="str">
        <f t="shared" si="48"/>
        <v/>
      </c>
      <c r="Q145" s="3" t="str">
        <f t="shared" si="53"/>
        <v/>
      </c>
      <c r="R145" s="3" t="str">
        <f t="shared" si="54"/>
        <v/>
      </c>
      <c r="S145" s="3" t="str">
        <f>IF($L145&lt;&gt;"",IF($A145="Prepago",0,IF(ROUND($H145*$U$6,2)&gt;ROUND(SUM($S$11:$S144)+$U$6,2),$U$6*2,$U$6)),"")</f>
        <v/>
      </c>
      <c r="T145" s="3" t="str">
        <f>IF($L145&lt;&gt;"",IF($A145="Prepago",0,IF(ROUND($H145*$U$7,2)&gt;ROUND(SUM($T$11:$T144)+$U$7,2),$U$7*2,$U$7)),"")</f>
        <v/>
      </c>
      <c r="U145" s="3" t="str">
        <f>IF($L145&lt;&gt;"",IF($A145="Prepago",0,IF(ROUND($H145*$U$8,2)&gt;ROUND(SUM($U$11:$U144)+$U$8,2),$U$8*2,$U$8)),"")</f>
        <v/>
      </c>
      <c r="V145" s="3" t="str">
        <f>IF($L145&lt;&gt;"",IF($A145="Prepago",0,IF(ROUND($H145*$U$9,2)&gt;ROUND(SUM($V$11:$V144)+$U$9,2),$U$9*2,$U$9)),"")</f>
        <v/>
      </c>
      <c r="W145" s="3" t="str">
        <f t="shared" si="44"/>
        <v/>
      </c>
      <c r="X145" s="3" t="str">
        <f t="shared" si="49"/>
        <v/>
      </c>
      <c r="Y145" s="3" t="str">
        <f t="shared" si="50"/>
        <v/>
      </c>
      <c r="Z145" s="3" t="str">
        <f t="shared" si="51"/>
        <v/>
      </c>
      <c r="AA145" s="3" t="str">
        <f>IF($L145&lt;&gt;"",IF($N145&gt;Z$11,IF($N145&lt;AA$11,$N145-Z$11,30),0)*ROUND(($O145+$X144+SUM($Z145:Z145))*$V$5/3000,2),"")</f>
        <v/>
      </c>
      <c r="AB145" s="3"/>
      <c r="AC145" s="3"/>
    </row>
    <row r="146" spans="5:29" x14ac:dyDescent="0.25">
      <c r="E146" s="5"/>
      <c r="F146" t="str">
        <f t="shared" si="38"/>
        <v/>
      </c>
      <c r="G146" s="5" t="str">
        <f t="shared" si="45"/>
        <v/>
      </c>
      <c r="H146" s="22" t="str">
        <f t="shared" si="39"/>
        <v/>
      </c>
      <c r="I146" s="22" t="str">
        <f t="shared" si="46"/>
        <v/>
      </c>
      <c r="J146" s="22" t="str">
        <f t="shared" si="40"/>
        <v/>
      </c>
      <c r="K146" s="22" t="str">
        <f t="shared" si="41"/>
        <v/>
      </c>
      <c r="L146" t="str">
        <f t="shared" si="42"/>
        <v/>
      </c>
      <c r="M146" s="5" t="str">
        <f t="shared" si="52"/>
        <v/>
      </c>
      <c r="N146" s="9" t="str">
        <f t="shared" si="43"/>
        <v/>
      </c>
      <c r="O146" s="3" t="str">
        <f t="shared" si="47"/>
        <v/>
      </c>
      <c r="P146" s="3" t="str">
        <f t="shared" si="48"/>
        <v/>
      </c>
      <c r="Q146" s="3" t="str">
        <f t="shared" si="53"/>
        <v/>
      </c>
      <c r="R146" s="3" t="str">
        <f t="shared" si="54"/>
        <v/>
      </c>
      <c r="S146" s="3" t="str">
        <f>IF($L146&lt;&gt;"",IF($A146="Prepago",0,IF(ROUND($H146*$U$6,2)&gt;ROUND(SUM($S$11:$S145)+$U$6,2),$U$6*2,$U$6)),"")</f>
        <v/>
      </c>
      <c r="T146" s="3" t="str">
        <f>IF($L146&lt;&gt;"",IF($A146="Prepago",0,IF(ROUND($H146*$U$7,2)&gt;ROUND(SUM($T$11:$T145)+$U$7,2),$U$7*2,$U$7)),"")</f>
        <v/>
      </c>
      <c r="U146" s="3" t="str">
        <f>IF($L146&lt;&gt;"",IF($A146="Prepago",0,IF(ROUND($H146*$U$8,2)&gt;ROUND(SUM($U$11:$U145)+$U$8,2),$U$8*2,$U$8)),"")</f>
        <v/>
      </c>
      <c r="V146" s="3" t="str">
        <f>IF($L146&lt;&gt;"",IF($A146="Prepago",0,IF(ROUND($H146*$U$9,2)&gt;ROUND(SUM($V$11:$V145)+$U$9,2),$U$9*2,$U$9)),"")</f>
        <v/>
      </c>
      <c r="W146" s="3" t="str">
        <f t="shared" si="44"/>
        <v/>
      </c>
      <c r="X146" s="3" t="str">
        <f t="shared" si="49"/>
        <v/>
      </c>
      <c r="Y146" s="3" t="str">
        <f t="shared" si="50"/>
        <v/>
      </c>
      <c r="Z146" s="3" t="str">
        <f t="shared" si="51"/>
        <v/>
      </c>
      <c r="AA146" s="3" t="str">
        <f>IF($L146&lt;&gt;"",IF($N146&gt;Z$11,IF($N146&lt;AA$11,$N146-Z$11,30),0)*ROUND(($O146+$X145+SUM($Z146:Z146))*$V$5/3000,2),"")</f>
        <v/>
      </c>
      <c r="AB146" s="3"/>
      <c r="AC146" s="3"/>
    </row>
    <row r="147" spans="5:29" x14ac:dyDescent="0.25">
      <c r="E147" s="5"/>
      <c r="F147" t="str">
        <f t="shared" si="38"/>
        <v/>
      </c>
      <c r="G147" s="5" t="str">
        <f t="shared" si="45"/>
        <v/>
      </c>
      <c r="H147" s="22" t="str">
        <f t="shared" si="39"/>
        <v/>
      </c>
      <c r="I147" s="22" t="str">
        <f t="shared" si="46"/>
        <v/>
      </c>
      <c r="J147" s="22" t="str">
        <f t="shared" si="40"/>
        <v/>
      </c>
      <c r="K147" s="22" t="str">
        <f t="shared" si="41"/>
        <v/>
      </c>
      <c r="L147" t="str">
        <f t="shared" si="42"/>
        <v/>
      </c>
      <c r="M147" s="5" t="str">
        <f t="shared" si="52"/>
        <v/>
      </c>
      <c r="N147" s="9" t="str">
        <f t="shared" si="43"/>
        <v/>
      </c>
      <c r="O147" s="3" t="str">
        <f t="shared" si="47"/>
        <v/>
      </c>
      <c r="P147" s="3" t="str">
        <f t="shared" si="48"/>
        <v/>
      </c>
      <c r="Q147" s="3" t="str">
        <f t="shared" si="53"/>
        <v/>
      </c>
      <c r="R147" s="3" t="str">
        <f t="shared" si="54"/>
        <v/>
      </c>
      <c r="S147" s="3" t="str">
        <f>IF($L147&lt;&gt;"",IF($A147="Prepago",0,IF(ROUND($H147*$U$6,2)&gt;ROUND(SUM($S$11:$S146)+$U$6,2),$U$6*2,$U$6)),"")</f>
        <v/>
      </c>
      <c r="T147" s="3" t="str">
        <f>IF($L147&lt;&gt;"",IF($A147="Prepago",0,IF(ROUND($H147*$U$7,2)&gt;ROUND(SUM($T$11:$T146)+$U$7,2),$U$7*2,$U$7)),"")</f>
        <v/>
      </c>
      <c r="U147" s="3" t="str">
        <f>IF($L147&lt;&gt;"",IF($A147="Prepago",0,IF(ROUND($H147*$U$8,2)&gt;ROUND(SUM($U$11:$U146)+$U$8,2),$U$8*2,$U$8)),"")</f>
        <v/>
      </c>
      <c r="V147" s="3" t="str">
        <f>IF($L147&lt;&gt;"",IF($A147="Prepago",0,IF(ROUND($H147*$U$9,2)&gt;ROUND(SUM($V$11:$V146)+$U$9,2),$U$9*2,$U$9)),"")</f>
        <v/>
      </c>
      <c r="W147" s="3" t="str">
        <f t="shared" si="44"/>
        <v/>
      </c>
      <c r="X147" s="3" t="str">
        <f t="shared" si="49"/>
        <v/>
      </c>
      <c r="Y147" s="3" t="str">
        <f t="shared" si="50"/>
        <v/>
      </c>
      <c r="Z147" s="3" t="str">
        <f t="shared" si="51"/>
        <v/>
      </c>
      <c r="AA147" s="3" t="str">
        <f>IF($L147&lt;&gt;"",IF($N147&gt;Z$11,IF($N147&lt;AA$11,$N147-Z$11,30),0)*ROUND(($O147+$X146+SUM($Z147:Z147))*$V$5/3000,2),"")</f>
        <v/>
      </c>
      <c r="AB147" s="3"/>
      <c r="AC147" s="3"/>
    </row>
    <row r="148" spans="5:29" x14ac:dyDescent="0.25">
      <c r="E148" s="5"/>
      <c r="F148" t="str">
        <f t="shared" si="38"/>
        <v/>
      </c>
      <c r="G148" s="5" t="str">
        <f t="shared" si="45"/>
        <v/>
      </c>
      <c r="H148" s="22" t="str">
        <f t="shared" si="39"/>
        <v/>
      </c>
      <c r="I148" s="22" t="str">
        <f t="shared" si="46"/>
        <v/>
      </c>
      <c r="J148" s="22" t="str">
        <f t="shared" si="40"/>
        <v/>
      </c>
      <c r="K148" s="22" t="str">
        <f t="shared" si="41"/>
        <v/>
      </c>
      <c r="L148" t="str">
        <f t="shared" si="42"/>
        <v/>
      </c>
      <c r="M148" s="5" t="str">
        <f t="shared" si="52"/>
        <v/>
      </c>
      <c r="N148" s="9" t="str">
        <f t="shared" si="43"/>
        <v/>
      </c>
      <c r="O148" s="3" t="str">
        <f t="shared" si="47"/>
        <v/>
      </c>
      <c r="P148" s="3" t="str">
        <f t="shared" si="48"/>
        <v/>
      </c>
      <c r="Q148" s="3" t="str">
        <f t="shared" si="53"/>
        <v/>
      </c>
      <c r="R148" s="3" t="str">
        <f t="shared" si="54"/>
        <v/>
      </c>
      <c r="S148" s="3" t="str">
        <f>IF($L148&lt;&gt;"",IF($A148="Prepago",0,IF(ROUND($H148*$U$6,2)&gt;ROUND(SUM($S$11:$S147)+$U$6,2),$U$6*2,$U$6)),"")</f>
        <v/>
      </c>
      <c r="T148" s="3" t="str">
        <f>IF($L148&lt;&gt;"",IF($A148="Prepago",0,IF(ROUND($H148*$U$7,2)&gt;ROUND(SUM($T$11:$T147)+$U$7,2),$U$7*2,$U$7)),"")</f>
        <v/>
      </c>
      <c r="U148" s="3" t="str">
        <f>IF($L148&lt;&gt;"",IF($A148="Prepago",0,IF(ROUND($H148*$U$8,2)&gt;ROUND(SUM($U$11:$U147)+$U$8,2),$U$8*2,$U$8)),"")</f>
        <v/>
      </c>
      <c r="V148" s="3" t="str">
        <f>IF($L148&lt;&gt;"",IF($A148="Prepago",0,IF(ROUND($H148*$U$9,2)&gt;ROUND(SUM($V$11:$V147)+$U$9,2),$U$9*2,$U$9)),"")</f>
        <v/>
      </c>
      <c r="W148" s="3" t="str">
        <f t="shared" si="44"/>
        <v/>
      </c>
      <c r="X148" s="3" t="str">
        <f t="shared" si="49"/>
        <v/>
      </c>
      <c r="Y148" s="3" t="str">
        <f t="shared" si="50"/>
        <v/>
      </c>
      <c r="Z148" s="3" t="str">
        <f t="shared" si="51"/>
        <v/>
      </c>
      <c r="AA148" s="3" t="str">
        <f>IF($L148&lt;&gt;"",IF($N148&gt;Z$11,IF($N148&lt;AA$11,$N148-Z$11,30),0)*ROUND(($O148+$X147+SUM($Z148:Z148))*$V$5/3000,2),"")</f>
        <v/>
      </c>
      <c r="AB148" s="3"/>
      <c r="AC148" s="3"/>
    </row>
    <row r="149" spans="5:29" x14ac:dyDescent="0.25">
      <c r="E149" s="5"/>
      <c r="F149" t="str">
        <f t="shared" si="38"/>
        <v/>
      </c>
      <c r="G149" s="5" t="str">
        <f t="shared" si="45"/>
        <v/>
      </c>
      <c r="H149" s="22" t="str">
        <f t="shared" si="39"/>
        <v/>
      </c>
      <c r="I149" s="22" t="str">
        <f t="shared" si="46"/>
        <v/>
      </c>
      <c r="J149" s="22" t="str">
        <f t="shared" si="40"/>
        <v/>
      </c>
      <c r="K149" s="22" t="str">
        <f t="shared" si="41"/>
        <v/>
      </c>
      <c r="L149" t="str">
        <f t="shared" si="42"/>
        <v/>
      </c>
      <c r="M149" s="5" t="str">
        <f t="shared" si="52"/>
        <v/>
      </c>
      <c r="N149" s="9" t="str">
        <f t="shared" si="43"/>
        <v/>
      </c>
      <c r="O149" s="3" t="str">
        <f t="shared" si="47"/>
        <v/>
      </c>
      <c r="P149" s="3" t="str">
        <f t="shared" si="48"/>
        <v/>
      </c>
      <c r="Q149" s="3" t="str">
        <f t="shared" si="53"/>
        <v/>
      </c>
      <c r="R149" s="3" t="str">
        <f t="shared" si="54"/>
        <v/>
      </c>
      <c r="S149" s="3" t="str">
        <f>IF($L149&lt;&gt;"",IF($A149="Prepago",0,IF(ROUND($H149*$U$6,2)&gt;ROUND(SUM($S$11:$S148)+$U$6,2),$U$6*2,$U$6)),"")</f>
        <v/>
      </c>
      <c r="T149" s="3" t="str">
        <f>IF($L149&lt;&gt;"",IF($A149="Prepago",0,IF(ROUND($H149*$U$7,2)&gt;ROUND(SUM($T$11:$T148)+$U$7,2),$U$7*2,$U$7)),"")</f>
        <v/>
      </c>
      <c r="U149" s="3" t="str">
        <f>IF($L149&lt;&gt;"",IF($A149="Prepago",0,IF(ROUND($H149*$U$8,2)&gt;ROUND(SUM($U$11:$U148)+$U$8,2),$U$8*2,$U$8)),"")</f>
        <v/>
      </c>
      <c r="V149" s="3" t="str">
        <f>IF($L149&lt;&gt;"",IF($A149="Prepago",0,IF(ROUND($H149*$U$9,2)&gt;ROUND(SUM($V$11:$V148)+$U$9,2),$U$9*2,$U$9)),"")</f>
        <v/>
      </c>
      <c r="W149" s="3" t="str">
        <f t="shared" si="44"/>
        <v/>
      </c>
      <c r="X149" s="3" t="str">
        <f t="shared" si="49"/>
        <v/>
      </c>
      <c r="Y149" s="3" t="str">
        <f t="shared" si="50"/>
        <v/>
      </c>
      <c r="Z149" s="3" t="str">
        <f t="shared" si="51"/>
        <v/>
      </c>
      <c r="AA149" s="3" t="str">
        <f>IF($L149&lt;&gt;"",IF($N149&gt;Z$11,IF($N149&lt;AA$11,$N149-Z$11,30),0)*ROUND(($O149+$X148+SUM($Z149:Z149))*$V$5/3000,2),"")</f>
        <v/>
      </c>
      <c r="AB149" s="3"/>
      <c r="AC149" s="3"/>
    </row>
    <row r="150" spans="5:29" x14ac:dyDescent="0.25">
      <c r="E150" s="5"/>
      <c r="F150" t="str">
        <f t="shared" si="38"/>
        <v/>
      </c>
      <c r="G150" s="5" t="str">
        <f t="shared" si="45"/>
        <v/>
      </c>
      <c r="H150" s="22" t="str">
        <f t="shared" si="39"/>
        <v/>
      </c>
      <c r="I150" s="22" t="str">
        <f t="shared" si="46"/>
        <v/>
      </c>
      <c r="J150" s="22" t="str">
        <f t="shared" si="40"/>
        <v/>
      </c>
      <c r="K150" s="22" t="str">
        <f t="shared" si="41"/>
        <v/>
      </c>
      <c r="L150" t="str">
        <f t="shared" si="42"/>
        <v/>
      </c>
      <c r="M150" s="5" t="str">
        <f t="shared" si="52"/>
        <v/>
      </c>
      <c r="N150" s="9" t="str">
        <f t="shared" si="43"/>
        <v/>
      </c>
      <c r="O150" s="3" t="str">
        <f t="shared" si="47"/>
        <v/>
      </c>
      <c r="P150" s="3" t="str">
        <f t="shared" si="48"/>
        <v/>
      </c>
      <c r="Q150" s="3" t="str">
        <f t="shared" si="53"/>
        <v/>
      </c>
      <c r="R150" s="3" t="str">
        <f t="shared" si="54"/>
        <v/>
      </c>
      <c r="S150" s="3" t="str">
        <f>IF($L150&lt;&gt;"",IF($A150="Prepago",0,IF(ROUND($H150*$U$6,2)&gt;ROUND(SUM($S$11:$S149)+$U$6,2),$U$6*2,$U$6)),"")</f>
        <v/>
      </c>
      <c r="T150" s="3" t="str">
        <f>IF($L150&lt;&gt;"",IF($A150="Prepago",0,IF(ROUND($H150*$U$7,2)&gt;ROUND(SUM($T$11:$T149)+$U$7,2),$U$7*2,$U$7)),"")</f>
        <v/>
      </c>
      <c r="U150" s="3" t="str">
        <f>IF($L150&lt;&gt;"",IF($A150="Prepago",0,IF(ROUND($H150*$U$8,2)&gt;ROUND(SUM($U$11:$U149)+$U$8,2),$U$8*2,$U$8)),"")</f>
        <v/>
      </c>
      <c r="V150" s="3" t="str">
        <f>IF($L150&lt;&gt;"",IF($A150="Prepago",0,IF(ROUND($H150*$U$9,2)&gt;ROUND(SUM($V$11:$V149)+$U$9,2),$U$9*2,$U$9)),"")</f>
        <v/>
      </c>
      <c r="W150" s="3" t="str">
        <f t="shared" si="44"/>
        <v/>
      </c>
      <c r="X150" s="3" t="str">
        <f t="shared" si="49"/>
        <v/>
      </c>
      <c r="Y150" s="3" t="str">
        <f t="shared" si="50"/>
        <v/>
      </c>
      <c r="Z150" s="3" t="str">
        <f t="shared" si="51"/>
        <v/>
      </c>
      <c r="AA150" s="3" t="str">
        <f>IF($L150&lt;&gt;"",IF($N150&gt;Z$11,IF($N150&lt;AA$11,$N150-Z$11,30),0)*ROUND(($O150+$X149+SUM($Z150:Z150))*$V$5/3000,2),"")</f>
        <v/>
      </c>
      <c r="AB150" s="3"/>
      <c r="AC150" s="3"/>
    </row>
    <row r="151" spans="5:29" x14ac:dyDescent="0.25">
      <c r="E151" s="5"/>
      <c r="F151" t="str">
        <f t="shared" si="38"/>
        <v/>
      </c>
      <c r="G151" s="5" t="str">
        <f t="shared" si="45"/>
        <v/>
      </c>
      <c r="H151" s="22" t="str">
        <f t="shared" si="39"/>
        <v/>
      </c>
      <c r="I151" s="22" t="str">
        <f t="shared" si="46"/>
        <v/>
      </c>
      <c r="J151" s="22" t="str">
        <f t="shared" si="40"/>
        <v/>
      </c>
      <c r="K151" s="22" t="str">
        <f t="shared" si="41"/>
        <v/>
      </c>
      <c r="L151" t="str">
        <f t="shared" si="42"/>
        <v/>
      </c>
      <c r="M151" s="5" t="str">
        <f t="shared" si="52"/>
        <v/>
      </c>
      <c r="N151" s="9" t="str">
        <f t="shared" si="43"/>
        <v/>
      </c>
      <c r="O151" s="3" t="str">
        <f t="shared" si="47"/>
        <v/>
      </c>
      <c r="P151" s="3" t="str">
        <f t="shared" si="48"/>
        <v/>
      </c>
      <c r="Q151" s="3" t="str">
        <f t="shared" si="53"/>
        <v/>
      </c>
      <c r="R151" s="3" t="str">
        <f t="shared" si="54"/>
        <v/>
      </c>
      <c r="S151" s="3" t="str">
        <f>IF($L151&lt;&gt;"",IF($A151="Prepago",0,IF(ROUND($H151*$U$6,2)&gt;ROUND(SUM($S$11:$S150)+$U$6,2),$U$6*2,$U$6)),"")</f>
        <v/>
      </c>
      <c r="T151" s="3" t="str">
        <f>IF($L151&lt;&gt;"",IF($A151="Prepago",0,IF(ROUND($H151*$U$7,2)&gt;ROUND(SUM($T$11:$T150)+$U$7,2),$U$7*2,$U$7)),"")</f>
        <v/>
      </c>
      <c r="U151" s="3" t="str">
        <f>IF($L151&lt;&gt;"",IF($A151="Prepago",0,IF(ROUND($H151*$U$8,2)&gt;ROUND(SUM($U$11:$U150)+$U$8,2),$U$8*2,$U$8)),"")</f>
        <v/>
      </c>
      <c r="V151" s="3" t="str">
        <f>IF($L151&lt;&gt;"",IF($A151="Prepago",0,IF(ROUND($H151*$U$9,2)&gt;ROUND(SUM($V$11:$V150)+$U$9,2),$U$9*2,$U$9)),"")</f>
        <v/>
      </c>
      <c r="W151" s="3" t="str">
        <f t="shared" si="44"/>
        <v/>
      </c>
      <c r="X151" s="3" t="str">
        <f t="shared" si="49"/>
        <v/>
      </c>
      <c r="Y151" s="3" t="str">
        <f t="shared" si="50"/>
        <v/>
      </c>
      <c r="Z151" s="3" t="str">
        <f t="shared" si="51"/>
        <v/>
      </c>
      <c r="AA151" s="3" t="str">
        <f>IF($L151&lt;&gt;"",IF($N151&gt;Z$11,IF($N151&lt;AA$11,$N151-Z$11,30),0)*ROUND(($O151+$X150+SUM($Z151:Z151))*$V$5/3000,2),"")</f>
        <v/>
      </c>
      <c r="AB151" s="3"/>
      <c r="AC151" s="3"/>
    </row>
    <row r="152" spans="5:29" x14ac:dyDescent="0.25">
      <c r="E152" s="5"/>
      <c r="F152" t="str">
        <f t="shared" si="38"/>
        <v/>
      </c>
      <c r="G152" s="5" t="str">
        <f t="shared" si="45"/>
        <v/>
      </c>
      <c r="H152" s="22" t="str">
        <f t="shared" si="39"/>
        <v/>
      </c>
      <c r="I152" s="22" t="str">
        <f t="shared" si="46"/>
        <v/>
      </c>
      <c r="J152" s="22" t="str">
        <f t="shared" si="40"/>
        <v/>
      </c>
      <c r="K152" s="22" t="str">
        <f t="shared" si="41"/>
        <v/>
      </c>
      <c r="L152" t="str">
        <f t="shared" si="42"/>
        <v/>
      </c>
      <c r="M152" s="5" t="str">
        <f t="shared" si="52"/>
        <v/>
      </c>
      <c r="N152" s="9" t="str">
        <f t="shared" si="43"/>
        <v/>
      </c>
      <c r="O152" s="3" t="str">
        <f t="shared" si="47"/>
        <v/>
      </c>
      <c r="P152" s="3" t="str">
        <f t="shared" si="48"/>
        <v/>
      </c>
      <c r="Q152" s="3" t="str">
        <f t="shared" si="53"/>
        <v/>
      </c>
      <c r="R152" s="3" t="str">
        <f t="shared" si="54"/>
        <v/>
      </c>
      <c r="S152" s="3" t="str">
        <f>IF($L152&lt;&gt;"",IF($A152="Prepago",0,IF(ROUND($H152*$U$6,2)&gt;ROUND(SUM($S$11:$S151)+$U$6,2),$U$6*2,$U$6)),"")</f>
        <v/>
      </c>
      <c r="T152" s="3" t="str">
        <f>IF($L152&lt;&gt;"",IF($A152="Prepago",0,IF(ROUND($H152*$U$7,2)&gt;ROUND(SUM($T$11:$T151)+$U$7,2),$U$7*2,$U$7)),"")</f>
        <v/>
      </c>
      <c r="U152" s="3" t="str">
        <f>IF($L152&lt;&gt;"",IF($A152="Prepago",0,IF(ROUND($H152*$U$8,2)&gt;ROUND(SUM($U$11:$U151)+$U$8,2),$U$8*2,$U$8)),"")</f>
        <v/>
      </c>
      <c r="V152" s="3" t="str">
        <f>IF($L152&lt;&gt;"",IF($A152="Prepago",0,IF(ROUND($H152*$U$9,2)&gt;ROUND(SUM($V$11:$V151)+$U$9,2),$U$9*2,$U$9)),"")</f>
        <v/>
      </c>
      <c r="W152" s="3" t="str">
        <f t="shared" si="44"/>
        <v/>
      </c>
      <c r="X152" s="3" t="str">
        <f t="shared" si="49"/>
        <v/>
      </c>
      <c r="Y152" s="3" t="str">
        <f t="shared" si="50"/>
        <v/>
      </c>
      <c r="Z152" s="3" t="str">
        <f t="shared" si="51"/>
        <v/>
      </c>
      <c r="AA152" s="3" t="str">
        <f>IF($L152&lt;&gt;"",IF($N152&gt;Z$11,IF($N152&lt;AA$11,$N152-Z$11,30),0)*ROUND(($O152+$X151+SUM($Z152:Z152))*$V$5/3000,2),"")</f>
        <v/>
      </c>
      <c r="AB152" s="3"/>
      <c r="AC152" s="3"/>
    </row>
    <row r="153" spans="5:29" x14ac:dyDescent="0.25">
      <c r="E153" s="5"/>
      <c r="F153" t="str">
        <f t="shared" si="38"/>
        <v/>
      </c>
      <c r="G153" s="5" t="str">
        <f t="shared" si="45"/>
        <v/>
      </c>
      <c r="H153" s="22" t="str">
        <f t="shared" si="39"/>
        <v/>
      </c>
      <c r="I153" s="22" t="str">
        <f t="shared" si="46"/>
        <v/>
      </c>
      <c r="J153" s="22" t="str">
        <f t="shared" si="40"/>
        <v/>
      </c>
      <c r="K153" s="22" t="str">
        <f t="shared" si="41"/>
        <v/>
      </c>
      <c r="L153" t="str">
        <f t="shared" si="42"/>
        <v/>
      </c>
      <c r="M153" s="5" t="str">
        <f t="shared" si="52"/>
        <v/>
      </c>
      <c r="N153" s="9" t="str">
        <f t="shared" si="43"/>
        <v/>
      </c>
      <c r="O153" s="3" t="str">
        <f t="shared" si="47"/>
        <v/>
      </c>
      <c r="P153" s="3" t="str">
        <f t="shared" si="48"/>
        <v/>
      </c>
      <c r="Q153" s="3" t="str">
        <f t="shared" si="53"/>
        <v/>
      </c>
      <c r="R153" s="3" t="str">
        <f t="shared" si="54"/>
        <v/>
      </c>
      <c r="S153" s="3" t="str">
        <f>IF($L153&lt;&gt;"",IF($A153="Prepago",0,IF(ROUND($H153*$U$6,2)&gt;ROUND(SUM($S$11:$S152)+$U$6,2),$U$6*2,$U$6)),"")</f>
        <v/>
      </c>
      <c r="T153" s="3" t="str">
        <f>IF($L153&lt;&gt;"",IF($A153="Prepago",0,IF(ROUND($H153*$U$7,2)&gt;ROUND(SUM($T$11:$T152)+$U$7,2),$U$7*2,$U$7)),"")</f>
        <v/>
      </c>
      <c r="U153" s="3" t="str">
        <f>IF($L153&lt;&gt;"",IF($A153="Prepago",0,IF(ROUND($H153*$U$8,2)&gt;ROUND(SUM($U$11:$U152)+$U$8,2),$U$8*2,$U$8)),"")</f>
        <v/>
      </c>
      <c r="V153" s="3" t="str">
        <f>IF($L153&lt;&gt;"",IF($A153="Prepago",0,IF(ROUND($H153*$U$9,2)&gt;ROUND(SUM($V$11:$V152)+$U$9,2),$U$9*2,$U$9)),"")</f>
        <v/>
      </c>
      <c r="W153" s="3" t="str">
        <f t="shared" si="44"/>
        <v/>
      </c>
      <c r="X153" s="3" t="str">
        <f t="shared" si="49"/>
        <v/>
      </c>
      <c r="Y153" s="3" t="str">
        <f t="shared" si="50"/>
        <v/>
      </c>
      <c r="Z153" s="3" t="str">
        <f t="shared" si="51"/>
        <v/>
      </c>
      <c r="AA153" s="3" t="str">
        <f>IF($L153&lt;&gt;"",IF($N153&gt;Z$11,IF($N153&lt;AA$11,$N153-Z$11,30),0)*ROUND(($O153+$X152+SUM($Z153:Z153))*$V$5/3000,2),"")</f>
        <v/>
      </c>
      <c r="AB153" s="3"/>
      <c r="AC153" s="3"/>
    </row>
    <row r="154" spans="5:29" x14ac:dyDescent="0.25">
      <c r="E154" s="5"/>
      <c r="F154" t="str">
        <f t="shared" si="38"/>
        <v/>
      </c>
      <c r="G154" s="5" t="str">
        <f t="shared" si="45"/>
        <v/>
      </c>
      <c r="H154" s="22" t="str">
        <f t="shared" si="39"/>
        <v/>
      </c>
      <c r="I154" s="22" t="str">
        <f t="shared" si="46"/>
        <v/>
      </c>
      <c r="J154" s="22" t="str">
        <f t="shared" si="40"/>
        <v/>
      </c>
      <c r="K154" s="22" t="str">
        <f t="shared" si="41"/>
        <v/>
      </c>
      <c r="L154" t="str">
        <f t="shared" si="42"/>
        <v/>
      </c>
      <c r="M154" s="5" t="str">
        <f t="shared" si="52"/>
        <v/>
      </c>
      <c r="N154" s="9" t="str">
        <f t="shared" si="43"/>
        <v/>
      </c>
      <c r="O154" s="3" t="str">
        <f t="shared" si="47"/>
        <v/>
      </c>
      <c r="P154" s="3" t="str">
        <f t="shared" si="48"/>
        <v/>
      </c>
      <c r="Q154" s="3" t="str">
        <f t="shared" si="53"/>
        <v/>
      </c>
      <c r="R154" s="3" t="str">
        <f t="shared" si="54"/>
        <v/>
      </c>
      <c r="S154" s="3" t="str">
        <f>IF($L154&lt;&gt;"",IF($A154="Prepago",0,IF(ROUND($H154*$U$6,2)&gt;ROUND(SUM($S$11:$S153)+$U$6,2),$U$6*2,$U$6)),"")</f>
        <v/>
      </c>
      <c r="T154" s="3" t="str">
        <f>IF($L154&lt;&gt;"",IF($A154="Prepago",0,IF(ROUND($H154*$U$7,2)&gt;ROUND(SUM($T$11:$T153)+$U$7,2),$U$7*2,$U$7)),"")</f>
        <v/>
      </c>
      <c r="U154" s="3" t="str">
        <f>IF($L154&lt;&gt;"",IF($A154="Prepago",0,IF(ROUND($H154*$U$8,2)&gt;ROUND(SUM($U$11:$U153)+$U$8,2),$U$8*2,$U$8)),"")</f>
        <v/>
      </c>
      <c r="V154" s="3" t="str">
        <f>IF($L154&lt;&gt;"",IF($A154="Prepago",0,IF(ROUND($H154*$U$9,2)&gt;ROUND(SUM($V$11:$V153)+$U$9,2),$U$9*2,$U$9)),"")</f>
        <v/>
      </c>
      <c r="W154" s="3" t="str">
        <f t="shared" si="44"/>
        <v/>
      </c>
      <c r="X154" s="3" t="str">
        <f t="shared" si="49"/>
        <v/>
      </c>
      <c r="Y154" s="3" t="str">
        <f t="shared" si="50"/>
        <v/>
      </c>
      <c r="Z154" s="3" t="str">
        <f t="shared" si="51"/>
        <v/>
      </c>
      <c r="AA154" s="3" t="str">
        <f>IF($L154&lt;&gt;"",IF($N154&gt;Z$11,IF($N154&lt;AA$11,$N154-Z$11,30),0)*ROUND(($O154+$X153+SUM($Z154:Z154))*$V$5/3000,2),"")</f>
        <v/>
      </c>
      <c r="AB154" s="3"/>
      <c r="AC154" s="3"/>
    </row>
    <row r="155" spans="5:29" x14ac:dyDescent="0.25">
      <c r="E155" s="5"/>
      <c r="F155" t="str">
        <f t="shared" si="38"/>
        <v/>
      </c>
      <c r="G155" s="5" t="str">
        <f t="shared" si="45"/>
        <v/>
      </c>
      <c r="H155" s="22" t="str">
        <f t="shared" si="39"/>
        <v/>
      </c>
      <c r="I155" s="22" t="str">
        <f t="shared" si="46"/>
        <v/>
      </c>
      <c r="J155" s="22" t="str">
        <f t="shared" si="40"/>
        <v/>
      </c>
      <c r="K155" s="22" t="str">
        <f t="shared" si="41"/>
        <v/>
      </c>
      <c r="L155" t="str">
        <f t="shared" si="42"/>
        <v/>
      </c>
      <c r="M155" s="5" t="str">
        <f t="shared" si="52"/>
        <v/>
      </c>
      <c r="N155" s="9" t="str">
        <f t="shared" si="43"/>
        <v/>
      </c>
      <c r="O155" s="3" t="str">
        <f t="shared" si="47"/>
        <v/>
      </c>
      <c r="P155" s="3" t="str">
        <f t="shared" si="48"/>
        <v/>
      </c>
      <c r="Q155" s="3" t="str">
        <f t="shared" si="53"/>
        <v/>
      </c>
      <c r="R155" s="3" t="str">
        <f t="shared" si="54"/>
        <v/>
      </c>
      <c r="S155" s="3" t="str">
        <f>IF($L155&lt;&gt;"",IF($A155="Prepago",0,IF(ROUND($H155*$U$6,2)&gt;ROUND(SUM($S$11:$S154)+$U$6,2),$U$6*2,$U$6)),"")</f>
        <v/>
      </c>
      <c r="T155" s="3" t="str">
        <f>IF($L155&lt;&gt;"",IF($A155="Prepago",0,IF(ROUND($H155*$U$7,2)&gt;ROUND(SUM($T$11:$T154)+$U$7,2),$U$7*2,$U$7)),"")</f>
        <v/>
      </c>
      <c r="U155" s="3" t="str">
        <f>IF($L155&lt;&gt;"",IF($A155="Prepago",0,IF(ROUND($H155*$U$8,2)&gt;ROUND(SUM($U$11:$U154)+$U$8,2),$U$8*2,$U$8)),"")</f>
        <v/>
      </c>
      <c r="V155" s="3" t="str">
        <f>IF($L155&lt;&gt;"",IF($A155="Prepago",0,IF(ROUND($H155*$U$9,2)&gt;ROUND(SUM($V$11:$V154)+$U$9,2),$U$9*2,$U$9)),"")</f>
        <v/>
      </c>
      <c r="W155" s="3" t="str">
        <f t="shared" si="44"/>
        <v/>
      </c>
      <c r="X155" s="3" t="str">
        <f t="shared" si="49"/>
        <v/>
      </c>
      <c r="Y155" s="3" t="str">
        <f t="shared" si="50"/>
        <v/>
      </c>
      <c r="Z155" s="3" t="str">
        <f t="shared" si="51"/>
        <v/>
      </c>
      <c r="AA155" s="3" t="str">
        <f>IF($L155&lt;&gt;"",IF($N155&gt;Z$11,IF($N155&lt;AA$11,$N155-Z$11,30),0)*ROUND(($O155+$X154+SUM($Z155:Z155))*$V$5/3000,2),"")</f>
        <v/>
      </c>
      <c r="AB155" s="3"/>
      <c r="AC155" s="3"/>
    </row>
    <row r="156" spans="5:29" x14ac:dyDescent="0.25">
      <c r="E156" s="5"/>
      <c r="F156" t="str">
        <f t="shared" si="38"/>
        <v/>
      </c>
      <c r="G156" s="5" t="str">
        <f t="shared" si="45"/>
        <v/>
      </c>
      <c r="H156" s="22" t="str">
        <f t="shared" si="39"/>
        <v/>
      </c>
      <c r="I156" s="22" t="str">
        <f t="shared" si="46"/>
        <v/>
      </c>
      <c r="J156" s="22" t="str">
        <f t="shared" si="40"/>
        <v/>
      </c>
      <c r="K156" s="22" t="str">
        <f t="shared" si="41"/>
        <v/>
      </c>
      <c r="L156" t="str">
        <f t="shared" si="42"/>
        <v/>
      </c>
      <c r="M156" s="5" t="str">
        <f t="shared" si="52"/>
        <v/>
      </c>
      <c r="N156" s="9" t="str">
        <f t="shared" si="43"/>
        <v/>
      </c>
      <c r="O156" s="3" t="str">
        <f t="shared" si="47"/>
        <v/>
      </c>
      <c r="P156" s="3" t="str">
        <f t="shared" si="48"/>
        <v/>
      </c>
      <c r="Q156" s="3" t="str">
        <f t="shared" si="53"/>
        <v/>
      </c>
      <c r="R156" s="3" t="str">
        <f t="shared" si="54"/>
        <v/>
      </c>
      <c r="S156" s="3" t="str">
        <f>IF($L156&lt;&gt;"",IF($A156="Prepago",0,IF(ROUND($H156*$U$6,2)&gt;ROUND(SUM($S$11:$S155)+$U$6,2),$U$6*2,$U$6)),"")</f>
        <v/>
      </c>
      <c r="T156" s="3" t="str">
        <f>IF($L156&lt;&gt;"",IF($A156="Prepago",0,IF(ROUND($H156*$U$7,2)&gt;ROUND(SUM($T$11:$T155)+$U$7,2),$U$7*2,$U$7)),"")</f>
        <v/>
      </c>
      <c r="U156" s="3" t="str">
        <f>IF($L156&lt;&gt;"",IF($A156="Prepago",0,IF(ROUND($H156*$U$8,2)&gt;ROUND(SUM($U$11:$U155)+$U$8,2),$U$8*2,$U$8)),"")</f>
        <v/>
      </c>
      <c r="V156" s="3" t="str">
        <f>IF($L156&lt;&gt;"",IF($A156="Prepago",0,IF(ROUND($H156*$U$9,2)&gt;ROUND(SUM($V$11:$V155)+$U$9,2),$U$9*2,$U$9)),"")</f>
        <v/>
      </c>
      <c r="W156" s="3" t="str">
        <f t="shared" si="44"/>
        <v/>
      </c>
      <c r="X156" s="3" t="str">
        <f t="shared" si="49"/>
        <v/>
      </c>
      <c r="Y156" s="3" t="str">
        <f t="shared" si="50"/>
        <v/>
      </c>
      <c r="Z156" s="3" t="str">
        <f t="shared" si="51"/>
        <v/>
      </c>
      <c r="AA156" s="3" t="str">
        <f>IF($L156&lt;&gt;"",IF($N156&gt;Z$11,IF($N156&lt;AA$11,$N156-Z$11,30),0)*ROUND(($O156+$X155+SUM($Z156:Z156))*$V$5/3000,2),"")</f>
        <v/>
      </c>
      <c r="AB156" s="3"/>
      <c r="AC156" s="3"/>
    </row>
    <row r="157" spans="5:29" x14ac:dyDescent="0.25">
      <c r="E157" s="5"/>
      <c r="F157" t="str">
        <f t="shared" si="38"/>
        <v/>
      </c>
      <c r="G157" s="5" t="str">
        <f t="shared" si="45"/>
        <v/>
      </c>
      <c r="H157" s="22" t="str">
        <f t="shared" si="39"/>
        <v/>
      </c>
      <c r="I157" s="22" t="str">
        <f t="shared" si="46"/>
        <v/>
      </c>
      <c r="J157" s="22" t="str">
        <f t="shared" si="40"/>
        <v/>
      </c>
      <c r="K157" s="22" t="str">
        <f t="shared" si="41"/>
        <v/>
      </c>
      <c r="L157" t="str">
        <f t="shared" si="42"/>
        <v/>
      </c>
      <c r="M157" s="5" t="str">
        <f t="shared" si="52"/>
        <v/>
      </c>
      <c r="N157" s="9" t="str">
        <f t="shared" si="43"/>
        <v/>
      </c>
      <c r="O157" s="3" t="str">
        <f t="shared" si="47"/>
        <v/>
      </c>
      <c r="P157" s="3" t="str">
        <f t="shared" si="48"/>
        <v/>
      </c>
      <c r="Q157" s="3" t="str">
        <f t="shared" si="53"/>
        <v/>
      </c>
      <c r="R157" s="3" t="str">
        <f t="shared" si="54"/>
        <v/>
      </c>
      <c r="S157" s="3" t="str">
        <f>IF($L157&lt;&gt;"",IF($A157="Prepago",0,IF(ROUND($H157*$U$6,2)&gt;ROUND(SUM($S$11:$S156)+$U$6,2),$U$6*2,$U$6)),"")</f>
        <v/>
      </c>
      <c r="T157" s="3" t="str">
        <f>IF($L157&lt;&gt;"",IF($A157="Prepago",0,IF(ROUND($H157*$U$7,2)&gt;ROUND(SUM($T$11:$T156)+$U$7,2),$U$7*2,$U$7)),"")</f>
        <v/>
      </c>
      <c r="U157" s="3" t="str">
        <f>IF($L157&lt;&gt;"",IF($A157="Prepago",0,IF(ROUND($H157*$U$8,2)&gt;ROUND(SUM($U$11:$U156)+$U$8,2),$U$8*2,$U$8)),"")</f>
        <v/>
      </c>
      <c r="V157" s="3" t="str">
        <f>IF($L157&lt;&gt;"",IF($A157="Prepago",0,IF(ROUND($H157*$U$9,2)&gt;ROUND(SUM($V$11:$V156)+$U$9,2),$U$9*2,$U$9)),"")</f>
        <v/>
      </c>
      <c r="W157" s="3" t="str">
        <f t="shared" si="44"/>
        <v/>
      </c>
      <c r="X157" s="3" t="str">
        <f t="shared" si="49"/>
        <v/>
      </c>
      <c r="Y157" s="3" t="str">
        <f t="shared" si="50"/>
        <v/>
      </c>
      <c r="Z157" s="3" t="str">
        <f t="shared" si="51"/>
        <v/>
      </c>
      <c r="AA157" s="3" t="str">
        <f>IF($L157&lt;&gt;"",IF($N157&gt;Z$11,IF($N157&lt;AA$11,$N157-Z$11,30),0)*ROUND(($O157+$X156+SUM($Z157:Z157))*$V$5/3000,2),"")</f>
        <v/>
      </c>
      <c r="AB157" s="3"/>
      <c r="AC157" s="3"/>
    </row>
    <row r="158" spans="5:29" x14ac:dyDescent="0.25">
      <c r="E158" s="5"/>
      <c r="F158" t="str">
        <f t="shared" si="38"/>
        <v/>
      </c>
      <c r="G158" s="5" t="str">
        <f t="shared" si="45"/>
        <v/>
      </c>
      <c r="H158" s="22" t="str">
        <f t="shared" si="39"/>
        <v/>
      </c>
      <c r="I158" s="22" t="str">
        <f t="shared" si="46"/>
        <v/>
      </c>
      <c r="J158" s="22" t="str">
        <f t="shared" si="40"/>
        <v/>
      </c>
      <c r="K158" s="22" t="str">
        <f t="shared" si="41"/>
        <v/>
      </c>
      <c r="L158" t="str">
        <f t="shared" si="42"/>
        <v/>
      </c>
      <c r="M158" s="5" t="str">
        <f t="shared" si="52"/>
        <v/>
      </c>
      <c r="N158" s="9" t="str">
        <f t="shared" si="43"/>
        <v/>
      </c>
      <c r="O158" s="3" t="str">
        <f t="shared" si="47"/>
        <v/>
      </c>
      <c r="P158" s="3" t="str">
        <f t="shared" si="48"/>
        <v/>
      </c>
      <c r="Q158" s="3" t="str">
        <f t="shared" si="53"/>
        <v/>
      </c>
      <c r="R158" s="3" t="str">
        <f t="shared" si="54"/>
        <v/>
      </c>
      <c r="S158" s="3" t="str">
        <f>IF($L158&lt;&gt;"",IF($A158="Prepago",0,IF(ROUND($H158*$U$6,2)&gt;ROUND(SUM($S$11:$S157)+$U$6,2),$U$6*2,$U$6)),"")</f>
        <v/>
      </c>
      <c r="T158" s="3" t="str">
        <f>IF($L158&lt;&gt;"",IF($A158="Prepago",0,IF(ROUND($H158*$U$7,2)&gt;ROUND(SUM($T$11:$T157)+$U$7,2),$U$7*2,$U$7)),"")</f>
        <v/>
      </c>
      <c r="U158" s="3" t="str">
        <f>IF($L158&lt;&gt;"",IF($A158="Prepago",0,IF(ROUND($H158*$U$8,2)&gt;ROUND(SUM($U$11:$U157)+$U$8,2),$U$8*2,$U$8)),"")</f>
        <v/>
      </c>
      <c r="V158" s="3" t="str">
        <f>IF($L158&lt;&gt;"",IF($A158="Prepago",0,IF(ROUND($H158*$U$9,2)&gt;ROUND(SUM($V$11:$V157)+$U$9,2),$U$9*2,$U$9)),"")</f>
        <v/>
      </c>
      <c r="W158" s="3" t="str">
        <f t="shared" si="44"/>
        <v/>
      </c>
      <c r="X158" s="3" t="str">
        <f t="shared" si="49"/>
        <v/>
      </c>
      <c r="Y158" s="3" t="str">
        <f t="shared" si="50"/>
        <v/>
      </c>
      <c r="Z158" s="3" t="str">
        <f t="shared" si="51"/>
        <v/>
      </c>
      <c r="AA158" s="3" t="str">
        <f>IF($L158&lt;&gt;"",IF($N158&gt;Z$11,IF($N158&lt;AA$11,$N158-Z$11,30),0)*ROUND(($O158+$X157+SUM($Z158:Z158))*$V$5/3000,2),"")</f>
        <v/>
      </c>
      <c r="AB158" s="3"/>
      <c r="AC158" s="3"/>
    </row>
    <row r="159" spans="5:29" x14ac:dyDescent="0.25">
      <c r="E159" s="5"/>
      <c r="F159" t="str">
        <f t="shared" si="38"/>
        <v/>
      </c>
      <c r="G159" s="5" t="str">
        <f t="shared" si="45"/>
        <v/>
      </c>
      <c r="H159" s="22" t="str">
        <f t="shared" si="39"/>
        <v/>
      </c>
      <c r="I159" s="22" t="str">
        <f t="shared" si="46"/>
        <v/>
      </c>
      <c r="J159" s="22" t="str">
        <f t="shared" si="40"/>
        <v/>
      </c>
      <c r="K159" s="22" t="str">
        <f t="shared" si="41"/>
        <v/>
      </c>
      <c r="L159" t="str">
        <f t="shared" si="42"/>
        <v/>
      </c>
      <c r="M159" s="5" t="str">
        <f t="shared" si="52"/>
        <v/>
      </c>
      <c r="N159" s="9" t="str">
        <f t="shared" si="43"/>
        <v/>
      </c>
      <c r="O159" s="3" t="str">
        <f t="shared" si="47"/>
        <v/>
      </c>
      <c r="P159" s="3" t="str">
        <f t="shared" si="48"/>
        <v/>
      </c>
      <c r="Q159" s="3" t="str">
        <f t="shared" si="53"/>
        <v/>
      </c>
      <c r="R159" s="3" t="str">
        <f t="shared" si="54"/>
        <v/>
      </c>
      <c r="S159" s="3" t="str">
        <f>IF($L159&lt;&gt;"",IF($A159="Prepago",0,IF(ROUND($H159*$U$6,2)&gt;ROUND(SUM($S$11:$S158)+$U$6,2),$U$6*2,$U$6)),"")</f>
        <v/>
      </c>
      <c r="T159" s="3" t="str">
        <f>IF($L159&lt;&gt;"",IF($A159="Prepago",0,IF(ROUND($H159*$U$7,2)&gt;ROUND(SUM($T$11:$T158)+$U$7,2),$U$7*2,$U$7)),"")</f>
        <v/>
      </c>
      <c r="U159" s="3" t="str">
        <f>IF($L159&lt;&gt;"",IF($A159="Prepago",0,IF(ROUND($H159*$U$8,2)&gt;ROUND(SUM($U$11:$U158)+$U$8,2),$U$8*2,$U$8)),"")</f>
        <v/>
      </c>
      <c r="V159" s="3" t="str">
        <f>IF($L159&lt;&gt;"",IF($A159="Prepago",0,IF(ROUND($H159*$U$9,2)&gt;ROUND(SUM($V$11:$V158)+$U$9,2),$U$9*2,$U$9)),"")</f>
        <v/>
      </c>
      <c r="W159" s="3" t="str">
        <f t="shared" si="44"/>
        <v/>
      </c>
      <c r="X159" s="3" t="str">
        <f t="shared" si="49"/>
        <v/>
      </c>
      <c r="Y159" s="3" t="str">
        <f t="shared" si="50"/>
        <v/>
      </c>
      <c r="Z159" s="3" t="str">
        <f t="shared" si="51"/>
        <v/>
      </c>
      <c r="AA159" s="3" t="str">
        <f>IF($L159&lt;&gt;"",IF($N159&gt;Z$11,IF($N159&lt;AA$11,$N159-Z$11,30),0)*ROUND(($O159+$X158+SUM($Z159:Z159))*$V$5/3000,2),"")</f>
        <v/>
      </c>
      <c r="AB159" s="3"/>
      <c r="AC159" s="3"/>
    </row>
    <row r="160" spans="5:29" x14ac:dyDescent="0.25">
      <c r="E160" s="5"/>
      <c r="F160" t="str">
        <f t="shared" ref="F160:F206" si="55">IF($L160&lt;&gt;"",TEXT(M160,"DDD"),"")</f>
        <v/>
      </c>
      <c r="G160" s="5" t="str">
        <f t="shared" si="45"/>
        <v/>
      </c>
      <c r="H160" s="22" t="str">
        <f t="shared" ref="H160:H206" si="56">IF($L160&lt;&gt;"",IF($A160="Prepago",$H159,$H159+1)+B160,"")</f>
        <v/>
      </c>
      <c r="I160" s="22" t="str">
        <f t="shared" si="46"/>
        <v/>
      </c>
      <c r="J160" s="22" t="str">
        <f t="shared" ref="J160:J206" si="57">IF($L160&lt;&gt;"",IF(OR(A160&lt;&gt;"",C160&lt;&gt;""),1,0),"")</f>
        <v/>
      </c>
      <c r="K160" s="22" t="str">
        <f t="shared" ref="K160:K206" si="58">IF($L160&lt;&gt;"",IF(J160=1,Q160,0),"")</f>
        <v/>
      </c>
      <c r="L160" t="str">
        <f t="shared" si="42"/>
        <v/>
      </c>
      <c r="M160" s="5" t="str">
        <f t="shared" si="52"/>
        <v/>
      </c>
      <c r="N160" s="9" t="str">
        <f t="shared" si="43"/>
        <v/>
      </c>
      <c r="O160" s="3" t="str">
        <f t="shared" si="47"/>
        <v/>
      </c>
      <c r="P160" s="3" t="str">
        <f t="shared" si="48"/>
        <v/>
      </c>
      <c r="Q160" s="3" t="str">
        <f t="shared" si="53"/>
        <v/>
      </c>
      <c r="R160" s="3" t="str">
        <f t="shared" si="54"/>
        <v/>
      </c>
      <c r="S160" s="3" t="str">
        <f>IF($L160&lt;&gt;"",IF($A160="Prepago",0,IF(ROUND($H160*$U$6,2)&gt;ROUND(SUM($S$11:$S159)+$U$6,2),$U$6*2,$U$6)),"")</f>
        <v/>
      </c>
      <c r="T160" s="3" t="str">
        <f>IF($L160&lt;&gt;"",IF($A160="Prepago",0,IF(ROUND($H160*$U$7,2)&gt;ROUND(SUM($T$11:$T159)+$U$7,2),$U$7*2,$U$7)),"")</f>
        <v/>
      </c>
      <c r="U160" s="3" t="str">
        <f>IF($L160&lt;&gt;"",IF($A160="Prepago",0,IF(ROUND($H160*$U$8,2)&gt;ROUND(SUM($U$11:$U159)+$U$8,2),$U$8*2,$U$8)),"")</f>
        <v/>
      </c>
      <c r="V160" s="3" t="str">
        <f>IF($L160&lt;&gt;"",IF($A160="Prepago",0,IF(ROUND($H160*$U$9,2)&gt;ROUND(SUM($V$11:$V159)+$U$9,2),$U$9*2,$U$9)),"")</f>
        <v/>
      </c>
      <c r="W160" s="3" t="str">
        <f t="shared" si="44"/>
        <v/>
      </c>
      <c r="X160" s="3" t="str">
        <f t="shared" si="49"/>
        <v/>
      </c>
      <c r="Y160" s="3" t="str">
        <f t="shared" si="50"/>
        <v/>
      </c>
      <c r="Z160" s="3" t="str">
        <f t="shared" si="51"/>
        <v/>
      </c>
      <c r="AA160" s="3" t="str">
        <f>IF($L160&lt;&gt;"",IF($N160&gt;Z$11,IF($N160&lt;AA$11,$N160-Z$11,30),0)*ROUND(($O160+$X159+SUM($Z160:Z160))*$V$5/3000,2),"")</f>
        <v/>
      </c>
      <c r="AB160" s="3"/>
      <c r="AC160" s="3"/>
    </row>
    <row r="161" spans="5:29" x14ac:dyDescent="0.25">
      <c r="E161" s="5"/>
      <c r="F161" t="str">
        <f t="shared" si="55"/>
        <v/>
      </c>
      <c r="G161" s="5" t="str">
        <f t="shared" si="45"/>
        <v/>
      </c>
      <c r="H161" s="22" t="str">
        <f t="shared" si="56"/>
        <v/>
      </c>
      <c r="I161" s="22" t="str">
        <f t="shared" si="46"/>
        <v/>
      </c>
      <c r="J161" s="22" t="str">
        <f t="shared" si="57"/>
        <v/>
      </c>
      <c r="K161" s="22" t="str">
        <f t="shared" si="58"/>
        <v/>
      </c>
      <c r="L161" t="str">
        <f t="shared" si="42"/>
        <v/>
      </c>
      <c r="M161" s="5" t="str">
        <f t="shared" si="52"/>
        <v/>
      </c>
      <c r="N161" s="9" t="str">
        <f t="shared" si="43"/>
        <v/>
      </c>
      <c r="O161" s="3" t="str">
        <f t="shared" si="47"/>
        <v/>
      </c>
      <c r="P161" s="3" t="str">
        <f t="shared" si="48"/>
        <v/>
      </c>
      <c r="Q161" s="3" t="str">
        <f t="shared" si="53"/>
        <v/>
      </c>
      <c r="R161" s="3" t="str">
        <f t="shared" si="54"/>
        <v/>
      </c>
      <c r="S161" s="3" t="str">
        <f>IF($L161&lt;&gt;"",IF($A161="Prepago",0,IF(ROUND($H161*$U$6,2)&gt;ROUND(SUM($S$11:$S160)+$U$6,2),$U$6*2,$U$6)),"")</f>
        <v/>
      </c>
      <c r="T161" s="3" t="str">
        <f>IF($L161&lt;&gt;"",IF($A161="Prepago",0,IF(ROUND($H161*$U$7,2)&gt;ROUND(SUM($T$11:$T160)+$U$7,2),$U$7*2,$U$7)),"")</f>
        <v/>
      </c>
      <c r="U161" s="3" t="str">
        <f>IF($L161&lt;&gt;"",IF($A161="Prepago",0,IF(ROUND($H161*$U$8,2)&gt;ROUND(SUM($U$11:$U160)+$U$8,2),$U$8*2,$U$8)),"")</f>
        <v/>
      </c>
      <c r="V161" s="3" t="str">
        <f>IF($L161&lt;&gt;"",IF($A161="Prepago",0,IF(ROUND($H161*$U$9,2)&gt;ROUND(SUM($V$11:$V160)+$U$9,2),$U$9*2,$U$9)),"")</f>
        <v/>
      </c>
      <c r="W161" s="3" t="str">
        <f t="shared" si="44"/>
        <v/>
      </c>
      <c r="X161" s="3" t="str">
        <f t="shared" si="49"/>
        <v/>
      </c>
      <c r="Y161" s="3" t="str">
        <f t="shared" si="50"/>
        <v/>
      </c>
      <c r="Z161" s="3" t="str">
        <f t="shared" si="51"/>
        <v/>
      </c>
      <c r="AA161" s="3" t="str">
        <f>IF($L161&lt;&gt;"",IF($N161&gt;Z$11,IF($N161&lt;AA$11,$N161-Z$11,30),0)*ROUND(($O161+$X160+SUM($Z161:Z161))*$V$5/3000,2),"")</f>
        <v/>
      </c>
      <c r="AB161" s="3"/>
      <c r="AC161" s="3"/>
    </row>
    <row r="162" spans="5:29" x14ac:dyDescent="0.25">
      <c r="E162" s="5"/>
      <c r="F162" t="str">
        <f t="shared" si="55"/>
        <v/>
      </c>
      <c r="G162" s="5" t="str">
        <f t="shared" si="45"/>
        <v/>
      </c>
      <c r="H162" s="22" t="str">
        <f t="shared" si="56"/>
        <v/>
      </c>
      <c r="I162" s="22" t="str">
        <f t="shared" si="46"/>
        <v/>
      </c>
      <c r="J162" s="22" t="str">
        <f t="shared" si="57"/>
        <v/>
      </c>
      <c r="K162" s="22" t="str">
        <f t="shared" si="58"/>
        <v/>
      </c>
      <c r="L162" t="str">
        <f t="shared" si="42"/>
        <v/>
      </c>
      <c r="M162" s="5" t="str">
        <f t="shared" si="52"/>
        <v/>
      </c>
      <c r="N162" s="9" t="str">
        <f t="shared" si="43"/>
        <v/>
      </c>
      <c r="O162" s="3" t="str">
        <f t="shared" si="47"/>
        <v/>
      </c>
      <c r="P162" s="3" t="str">
        <f t="shared" si="48"/>
        <v/>
      </c>
      <c r="Q162" s="3" t="str">
        <f t="shared" si="53"/>
        <v/>
      </c>
      <c r="R162" s="3" t="str">
        <f t="shared" si="54"/>
        <v/>
      </c>
      <c r="S162" s="3" t="str">
        <f>IF($L162&lt;&gt;"",IF($A162="Prepago",0,IF(ROUND($H162*$U$6,2)&gt;ROUND(SUM($S$11:$S161)+$U$6,2),$U$6*2,$U$6)),"")</f>
        <v/>
      </c>
      <c r="T162" s="3" t="str">
        <f>IF($L162&lt;&gt;"",IF($A162="Prepago",0,IF(ROUND($H162*$U$7,2)&gt;ROUND(SUM($T$11:$T161)+$U$7,2),$U$7*2,$U$7)),"")</f>
        <v/>
      </c>
      <c r="U162" s="3" t="str">
        <f>IF($L162&lt;&gt;"",IF($A162="Prepago",0,IF(ROUND($H162*$U$8,2)&gt;ROUND(SUM($U$11:$U161)+$U$8,2),$U$8*2,$U$8)),"")</f>
        <v/>
      </c>
      <c r="V162" s="3" t="str">
        <f>IF($L162&lt;&gt;"",IF($A162="Prepago",0,IF(ROUND($H162*$U$9,2)&gt;ROUND(SUM($V$11:$V161)+$U$9,2),$U$9*2,$U$9)),"")</f>
        <v/>
      </c>
      <c r="W162" s="3" t="str">
        <f t="shared" si="44"/>
        <v/>
      </c>
      <c r="X162" s="3" t="str">
        <f t="shared" si="49"/>
        <v/>
      </c>
      <c r="Y162" s="3" t="str">
        <f t="shared" si="50"/>
        <v/>
      </c>
      <c r="Z162" s="3" t="str">
        <f t="shared" si="51"/>
        <v/>
      </c>
      <c r="AA162" s="3" t="str">
        <f>IF($L162&lt;&gt;"",IF($N162&gt;Z$11,IF($N162&lt;AA$11,$N162-Z$11,30),0)*ROUND(($O162+$X161+SUM($Z162:Z162))*$V$5/3000,2),"")</f>
        <v/>
      </c>
      <c r="AB162" s="3"/>
      <c r="AC162" s="3"/>
    </row>
    <row r="163" spans="5:29" x14ac:dyDescent="0.25">
      <c r="E163" s="5"/>
      <c r="F163" t="str">
        <f t="shared" si="55"/>
        <v/>
      </c>
      <c r="G163" s="5" t="str">
        <f t="shared" si="45"/>
        <v/>
      </c>
      <c r="H163" s="22" t="str">
        <f t="shared" si="56"/>
        <v/>
      </c>
      <c r="I163" s="22" t="str">
        <f t="shared" si="46"/>
        <v/>
      </c>
      <c r="J163" s="22" t="str">
        <f t="shared" si="57"/>
        <v/>
      </c>
      <c r="K163" s="22" t="str">
        <f t="shared" si="58"/>
        <v/>
      </c>
      <c r="L163" t="str">
        <f t="shared" si="42"/>
        <v/>
      </c>
      <c r="M163" s="5" t="str">
        <f t="shared" si="52"/>
        <v/>
      </c>
      <c r="N163" s="9" t="str">
        <f t="shared" si="43"/>
        <v/>
      </c>
      <c r="O163" s="3" t="str">
        <f t="shared" si="47"/>
        <v/>
      </c>
      <c r="P163" s="3" t="str">
        <f t="shared" si="48"/>
        <v/>
      </c>
      <c r="Q163" s="3" t="str">
        <f t="shared" si="53"/>
        <v/>
      </c>
      <c r="R163" s="3" t="str">
        <f t="shared" si="54"/>
        <v/>
      </c>
      <c r="S163" s="3" t="str">
        <f>IF($L163&lt;&gt;"",IF($A163="Prepago",0,IF(ROUND($H163*$U$6,2)&gt;ROUND(SUM($S$11:$S162)+$U$6,2),$U$6*2,$U$6)),"")</f>
        <v/>
      </c>
      <c r="T163" s="3" t="str">
        <f>IF($L163&lt;&gt;"",IF($A163="Prepago",0,IF(ROUND($H163*$U$7,2)&gt;ROUND(SUM($T$11:$T162)+$U$7,2),$U$7*2,$U$7)),"")</f>
        <v/>
      </c>
      <c r="U163" s="3" t="str">
        <f>IF($L163&lt;&gt;"",IF($A163="Prepago",0,IF(ROUND($H163*$U$8,2)&gt;ROUND(SUM($U$11:$U162)+$U$8,2),$U$8*2,$U$8)),"")</f>
        <v/>
      </c>
      <c r="V163" s="3" t="str">
        <f>IF($L163&lt;&gt;"",IF($A163="Prepago",0,IF(ROUND($H163*$U$9,2)&gt;ROUND(SUM($V$11:$V162)+$U$9,2),$U$9*2,$U$9)),"")</f>
        <v/>
      </c>
      <c r="W163" s="3" t="str">
        <f t="shared" si="44"/>
        <v/>
      </c>
      <c r="X163" s="3" t="str">
        <f t="shared" si="49"/>
        <v/>
      </c>
      <c r="Y163" s="3" t="str">
        <f t="shared" si="50"/>
        <v/>
      </c>
      <c r="Z163" s="3" t="str">
        <f t="shared" si="51"/>
        <v/>
      </c>
      <c r="AA163" s="3" t="str">
        <f>IF($L163&lt;&gt;"",IF($N163&gt;Z$11,IF($N163&lt;AA$11,$N163-Z$11,30),0)*ROUND(($O163+$X162+SUM($Z163:Z163))*$V$5/3000,2),"")</f>
        <v/>
      </c>
      <c r="AB163" s="3"/>
      <c r="AC163" s="3"/>
    </row>
    <row r="164" spans="5:29" x14ac:dyDescent="0.25">
      <c r="E164" s="5"/>
      <c r="F164" t="str">
        <f t="shared" si="55"/>
        <v/>
      </c>
      <c r="G164" s="5" t="str">
        <f t="shared" si="45"/>
        <v/>
      </c>
      <c r="H164" s="22" t="str">
        <f t="shared" si="56"/>
        <v/>
      </c>
      <c r="I164" s="22" t="str">
        <f t="shared" si="46"/>
        <v/>
      </c>
      <c r="J164" s="22" t="str">
        <f t="shared" si="57"/>
        <v/>
      </c>
      <c r="K164" s="22" t="str">
        <f t="shared" si="58"/>
        <v/>
      </c>
      <c r="L164" t="str">
        <f t="shared" si="42"/>
        <v/>
      </c>
      <c r="M164" s="5" t="str">
        <f t="shared" si="52"/>
        <v/>
      </c>
      <c r="N164" s="9" t="str">
        <f t="shared" si="43"/>
        <v/>
      </c>
      <c r="O164" s="3" t="str">
        <f t="shared" si="47"/>
        <v/>
      </c>
      <c r="P164" s="3" t="str">
        <f t="shared" si="48"/>
        <v/>
      </c>
      <c r="Q164" s="3" t="str">
        <f t="shared" si="53"/>
        <v/>
      </c>
      <c r="R164" s="3" t="str">
        <f t="shared" si="54"/>
        <v/>
      </c>
      <c r="S164" s="3" t="str">
        <f>IF($L164&lt;&gt;"",IF($A164="Prepago",0,IF(ROUND($H164*$U$6,2)&gt;ROUND(SUM($S$11:$S163)+$U$6,2),$U$6*2,$U$6)),"")</f>
        <v/>
      </c>
      <c r="T164" s="3" t="str">
        <f>IF($L164&lt;&gt;"",IF($A164="Prepago",0,IF(ROUND($H164*$U$7,2)&gt;ROUND(SUM($T$11:$T163)+$U$7,2),$U$7*2,$U$7)),"")</f>
        <v/>
      </c>
      <c r="U164" s="3" t="str">
        <f>IF($L164&lt;&gt;"",IF($A164="Prepago",0,IF(ROUND($H164*$U$8,2)&gt;ROUND(SUM($U$11:$U163)+$U$8,2),$U$8*2,$U$8)),"")</f>
        <v/>
      </c>
      <c r="V164" s="3" t="str">
        <f>IF($L164&lt;&gt;"",IF($A164="Prepago",0,IF(ROUND($H164*$U$9,2)&gt;ROUND(SUM($V$11:$V163)+$U$9,2),$U$9*2,$U$9)),"")</f>
        <v/>
      </c>
      <c r="W164" s="3" t="str">
        <f t="shared" si="44"/>
        <v/>
      </c>
      <c r="X164" s="3" t="str">
        <f t="shared" si="49"/>
        <v/>
      </c>
      <c r="Y164" s="3" t="str">
        <f t="shared" si="50"/>
        <v/>
      </c>
      <c r="Z164" s="3" t="str">
        <f t="shared" si="51"/>
        <v/>
      </c>
      <c r="AA164" s="3" t="str">
        <f>IF($L164&lt;&gt;"",IF($N164&gt;Z$11,IF($N164&lt;AA$11,$N164-Z$11,30),0)*ROUND(($O164+$X163+SUM($Z164:Z164))*$V$5/3000,2),"")</f>
        <v/>
      </c>
      <c r="AB164" s="3"/>
      <c r="AC164" s="3"/>
    </row>
    <row r="165" spans="5:29" x14ac:dyDescent="0.25">
      <c r="E165" s="5"/>
      <c r="F165" t="str">
        <f t="shared" si="55"/>
        <v/>
      </c>
      <c r="G165" s="5" t="str">
        <f t="shared" si="45"/>
        <v/>
      </c>
      <c r="H165" s="22" t="str">
        <f t="shared" si="56"/>
        <v/>
      </c>
      <c r="I165" s="22" t="str">
        <f t="shared" si="46"/>
        <v/>
      </c>
      <c r="J165" s="22" t="str">
        <f t="shared" si="57"/>
        <v/>
      </c>
      <c r="K165" s="22" t="str">
        <f t="shared" si="58"/>
        <v/>
      </c>
      <c r="L165" t="str">
        <f t="shared" si="42"/>
        <v/>
      </c>
      <c r="M165" s="5" t="str">
        <f t="shared" si="52"/>
        <v/>
      </c>
      <c r="N165" s="9" t="str">
        <f t="shared" si="43"/>
        <v/>
      </c>
      <c r="O165" s="3" t="str">
        <f t="shared" si="47"/>
        <v/>
      </c>
      <c r="P165" s="3" t="str">
        <f t="shared" si="48"/>
        <v/>
      </c>
      <c r="Q165" s="3" t="str">
        <f t="shared" si="53"/>
        <v/>
      </c>
      <c r="R165" s="3" t="str">
        <f t="shared" si="54"/>
        <v/>
      </c>
      <c r="S165" s="3" t="str">
        <f>IF($L165&lt;&gt;"",IF($A165="Prepago",0,IF(ROUND($H165*$U$6,2)&gt;ROUND(SUM($S$11:$S164)+$U$6,2),$U$6*2,$U$6)),"")</f>
        <v/>
      </c>
      <c r="T165" s="3" t="str">
        <f>IF($L165&lt;&gt;"",IF($A165="Prepago",0,IF(ROUND($H165*$U$7,2)&gt;ROUND(SUM($T$11:$T164)+$U$7,2),$U$7*2,$U$7)),"")</f>
        <v/>
      </c>
      <c r="U165" s="3" t="str">
        <f>IF($L165&lt;&gt;"",IF($A165="Prepago",0,IF(ROUND($H165*$U$8,2)&gt;ROUND(SUM($U$11:$U164)+$U$8,2),$U$8*2,$U$8)),"")</f>
        <v/>
      </c>
      <c r="V165" s="3" t="str">
        <f>IF($L165&lt;&gt;"",IF($A165="Prepago",0,IF(ROUND($H165*$U$9,2)&gt;ROUND(SUM($V$11:$V164)+$U$9,2),$U$9*2,$U$9)),"")</f>
        <v/>
      </c>
      <c r="W165" s="3" t="str">
        <f t="shared" si="44"/>
        <v/>
      </c>
      <c r="X165" s="3" t="str">
        <f t="shared" si="49"/>
        <v/>
      </c>
      <c r="Y165" s="3" t="str">
        <f t="shared" si="50"/>
        <v/>
      </c>
      <c r="Z165" s="3" t="str">
        <f t="shared" si="51"/>
        <v/>
      </c>
      <c r="AA165" s="3" t="str">
        <f>IF($L165&lt;&gt;"",IF($N165&gt;Z$11,IF($N165&lt;AA$11,$N165-Z$11,30),0)*ROUND(($O165+$X164+SUM($Z165:Z165))*$V$5/3000,2),"")</f>
        <v/>
      </c>
      <c r="AB165" s="3"/>
      <c r="AC165" s="3"/>
    </row>
    <row r="166" spans="5:29" x14ac:dyDescent="0.25">
      <c r="E166" s="5"/>
      <c r="F166" t="str">
        <f t="shared" si="55"/>
        <v/>
      </c>
      <c r="G166" s="5" t="str">
        <f t="shared" si="45"/>
        <v/>
      </c>
      <c r="H166" s="22" t="str">
        <f t="shared" si="56"/>
        <v/>
      </c>
      <c r="I166" s="22" t="str">
        <f t="shared" si="46"/>
        <v/>
      </c>
      <c r="J166" s="22" t="str">
        <f t="shared" si="57"/>
        <v/>
      </c>
      <c r="K166" s="22" t="str">
        <f t="shared" si="58"/>
        <v/>
      </c>
      <c r="L166" t="str">
        <f t="shared" si="42"/>
        <v/>
      </c>
      <c r="M166" s="5" t="str">
        <f t="shared" si="52"/>
        <v/>
      </c>
      <c r="N166" s="9" t="str">
        <f t="shared" si="43"/>
        <v/>
      </c>
      <c r="O166" s="3" t="str">
        <f t="shared" si="47"/>
        <v/>
      </c>
      <c r="P166" s="3" t="str">
        <f t="shared" si="48"/>
        <v/>
      </c>
      <c r="Q166" s="3" t="str">
        <f t="shared" si="53"/>
        <v/>
      </c>
      <c r="R166" s="3" t="str">
        <f t="shared" si="54"/>
        <v/>
      </c>
      <c r="S166" s="3" t="str">
        <f>IF($L166&lt;&gt;"",IF($A166="Prepago",0,IF(ROUND($H166*$U$6,2)&gt;ROUND(SUM($S$11:$S165)+$U$6,2),$U$6*2,$U$6)),"")</f>
        <v/>
      </c>
      <c r="T166" s="3" t="str">
        <f>IF($L166&lt;&gt;"",IF($A166="Prepago",0,IF(ROUND($H166*$U$7,2)&gt;ROUND(SUM($T$11:$T165)+$U$7,2),$U$7*2,$U$7)),"")</f>
        <v/>
      </c>
      <c r="U166" s="3" t="str">
        <f>IF($L166&lt;&gt;"",IF($A166="Prepago",0,IF(ROUND($H166*$U$8,2)&gt;ROUND(SUM($U$11:$U165)+$U$8,2),$U$8*2,$U$8)),"")</f>
        <v/>
      </c>
      <c r="V166" s="3" t="str">
        <f>IF($L166&lt;&gt;"",IF($A166="Prepago",0,IF(ROUND($H166*$U$9,2)&gt;ROUND(SUM($V$11:$V165)+$U$9,2),$U$9*2,$U$9)),"")</f>
        <v/>
      </c>
      <c r="W166" s="3" t="str">
        <f t="shared" si="44"/>
        <v/>
      </c>
      <c r="X166" s="3" t="str">
        <f t="shared" si="49"/>
        <v/>
      </c>
      <c r="Y166" s="3" t="str">
        <f t="shared" si="50"/>
        <v/>
      </c>
      <c r="Z166" s="3" t="str">
        <f t="shared" si="51"/>
        <v/>
      </c>
      <c r="AA166" s="3" t="str">
        <f>IF($L166&lt;&gt;"",IF($N166&gt;Z$11,IF($N166&lt;AA$11,$N166-Z$11,30),0)*ROUND(($O166+$X165+SUM($Z166:Z166))*$V$5/3000,2),"")</f>
        <v/>
      </c>
      <c r="AB166" s="3"/>
      <c r="AC166" s="3"/>
    </row>
    <row r="167" spans="5:29" x14ac:dyDescent="0.25">
      <c r="E167" s="5"/>
      <c r="F167" t="str">
        <f t="shared" si="55"/>
        <v/>
      </c>
      <c r="G167" s="5" t="str">
        <f t="shared" si="45"/>
        <v/>
      </c>
      <c r="H167" s="22" t="str">
        <f t="shared" si="56"/>
        <v/>
      </c>
      <c r="I167" s="22" t="str">
        <f t="shared" si="46"/>
        <v/>
      </c>
      <c r="J167" s="22" t="str">
        <f t="shared" si="57"/>
        <v/>
      </c>
      <c r="K167" s="22" t="str">
        <f t="shared" si="58"/>
        <v/>
      </c>
      <c r="L167" t="str">
        <f t="shared" si="42"/>
        <v/>
      </c>
      <c r="M167" s="5" t="str">
        <f t="shared" si="52"/>
        <v/>
      </c>
      <c r="N167" s="9" t="str">
        <f t="shared" si="43"/>
        <v/>
      </c>
      <c r="O167" s="3" t="str">
        <f t="shared" si="47"/>
        <v/>
      </c>
      <c r="P167" s="3" t="str">
        <f t="shared" si="48"/>
        <v/>
      </c>
      <c r="Q167" s="3" t="str">
        <f t="shared" si="53"/>
        <v/>
      </c>
      <c r="R167" s="3" t="str">
        <f t="shared" si="54"/>
        <v/>
      </c>
      <c r="S167" s="3" t="str">
        <f>IF($L167&lt;&gt;"",IF($A167="Prepago",0,IF(ROUND($H167*$U$6,2)&gt;ROUND(SUM($S$11:$S166)+$U$6,2),$U$6*2,$U$6)),"")</f>
        <v/>
      </c>
      <c r="T167" s="3" t="str">
        <f>IF($L167&lt;&gt;"",IF($A167="Prepago",0,IF(ROUND($H167*$U$7,2)&gt;ROUND(SUM($T$11:$T166)+$U$7,2),$U$7*2,$U$7)),"")</f>
        <v/>
      </c>
      <c r="U167" s="3" t="str">
        <f>IF($L167&lt;&gt;"",IF($A167="Prepago",0,IF(ROUND($H167*$U$8,2)&gt;ROUND(SUM($U$11:$U166)+$U$8,2),$U$8*2,$U$8)),"")</f>
        <v/>
      </c>
      <c r="V167" s="3" t="str">
        <f>IF($L167&lt;&gt;"",IF($A167="Prepago",0,IF(ROUND($H167*$U$9,2)&gt;ROUND(SUM($V$11:$V166)+$U$9,2),$U$9*2,$U$9)),"")</f>
        <v/>
      </c>
      <c r="W167" s="3" t="str">
        <f t="shared" si="44"/>
        <v/>
      </c>
      <c r="X167" s="3" t="str">
        <f t="shared" si="49"/>
        <v/>
      </c>
      <c r="Y167" s="3" t="str">
        <f t="shared" si="50"/>
        <v/>
      </c>
      <c r="Z167" s="3" t="str">
        <f t="shared" si="51"/>
        <v/>
      </c>
      <c r="AA167" s="3" t="str">
        <f>IF($L167&lt;&gt;"",IF($N167&gt;Z$11,IF($N167&lt;AA$11,$N167-Z$11,30),0)*ROUND(($O167+$X166+SUM($Z167:Z167))*$V$5/3000,2),"")</f>
        <v/>
      </c>
      <c r="AB167" s="3"/>
      <c r="AC167" s="3"/>
    </row>
    <row r="168" spans="5:29" x14ac:dyDescent="0.25">
      <c r="E168" s="5"/>
      <c r="F168" t="str">
        <f t="shared" si="55"/>
        <v/>
      </c>
      <c r="G168" s="5" t="str">
        <f t="shared" si="45"/>
        <v/>
      </c>
      <c r="H168" s="22" t="str">
        <f t="shared" si="56"/>
        <v/>
      </c>
      <c r="I168" s="22" t="str">
        <f t="shared" si="46"/>
        <v/>
      </c>
      <c r="J168" s="22" t="str">
        <f t="shared" si="57"/>
        <v/>
      </c>
      <c r="K168" s="22" t="str">
        <f t="shared" si="58"/>
        <v/>
      </c>
      <c r="L168" t="str">
        <f t="shared" si="42"/>
        <v/>
      </c>
      <c r="M168" s="5" t="str">
        <f t="shared" si="52"/>
        <v/>
      </c>
      <c r="N168" s="9" t="str">
        <f t="shared" si="43"/>
        <v/>
      </c>
      <c r="O168" s="3" t="str">
        <f t="shared" si="47"/>
        <v/>
      </c>
      <c r="P168" s="3" t="str">
        <f t="shared" si="48"/>
        <v/>
      </c>
      <c r="Q168" s="3" t="str">
        <f t="shared" si="53"/>
        <v/>
      </c>
      <c r="R168" s="3" t="str">
        <f t="shared" si="54"/>
        <v/>
      </c>
      <c r="S168" s="3" t="str">
        <f>IF($L168&lt;&gt;"",IF($A168="Prepago",0,IF(ROUND($H168*$U$6,2)&gt;ROUND(SUM($S$11:$S167)+$U$6,2),$U$6*2,$U$6)),"")</f>
        <v/>
      </c>
      <c r="T168" s="3" t="str">
        <f>IF($L168&lt;&gt;"",IF($A168="Prepago",0,IF(ROUND($H168*$U$7,2)&gt;ROUND(SUM($T$11:$T167)+$U$7,2),$U$7*2,$U$7)),"")</f>
        <v/>
      </c>
      <c r="U168" s="3" t="str">
        <f>IF($L168&lt;&gt;"",IF($A168="Prepago",0,IF(ROUND($H168*$U$8,2)&gt;ROUND(SUM($U$11:$U167)+$U$8,2),$U$8*2,$U$8)),"")</f>
        <v/>
      </c>
      <c r="V168" s="3" t="str">
        <f>IF($L168&lt;&gt;"",IF($A168="Prepago",0,IF(ROUND($H168*$U$9,2)&gt;ROUND(SUM($V$11:$V167)+$U$9,2),$U$9*2,$U$9)),"")</f>
        <v/>
      </c>
      <c r="W168" s="3" t="str">
        <f t="shared" si="44"/>
        <v/>
      </c>
      <c r="X168" s="3" t="str">
        <f t="shared" si="49"/>
        <v/>
      </c>
      <c r="Y168" s="3" t="str">
        <f t="shared" si="50"/>
        <v/>
      </c>
      <c r="Z168" s="3" t="str">
        <f t="shared" si="51"/>
        <v/>
      </c>
      <c r="AA168" s="3" t="str">
        <f>IF($L168&lt;&gt;"",IF($N168&gt;Z$11,IF($N168&lt;AA$11,$N168-Z$11,30),0)*ROUND(($O168+$X167+SUM($Z168:Z168))*$V$5/3000,2),"")</f>
        <v/>
      </c>
      <c r="AB168" s="3"/>
      <c r="AC168" s="3"/>
    </row>
    <row r="169" spans="5:29" x14ac:dyDescent="0.25">
      <c r="E169" s="5"/>
      <c r="F169" t="str">
        <f t="shared" si="55"/>
        <v/>
      </c>
      <c r="G169" s="5" t="str">
        <f t="shared" si="45"/>
        <v/>
      </c>
      <c r="H169" s="22" t="str">
        <f t="shared" si="56"/>
        <v/>
      </c>
      <c r="I169" s="22" t="str">
        <f t="shared" si="46"/>
        <v/>
      </c>
      <c r="J169" s="22" t="str">
        <f t="shared" si="57"/>
        <v/>
      </c>
      <c r="K169" s="22" t="str">
        <f t="shared" si="58"/>
        <v/>
      </c>
      <c r="L169" t="str">
        <f t="shared" si="42"/>
        <v/>
      </c>
      <c r="M169" s="5" t="str">
        <f t="shared" si="52"/>
        <v/>
      </c>
      <c r="N169" s="9" t="str">
        <f t="shared" si="43"/>
        <v/>
      </c>
      <c r="O169" s="3" t="str">
        <f t="shared" si="47"/>
        <v/>
      </c>
      <c r="P169" s="3" t="str">
        <f t="shared" si="48"/>
        <v/>
      </c>
      <c r="Q169" s="3" t="str">
        <f t="shared" si="53"/>
        <v/>
      </c>
      <c r="R169" s="3" t="str">
        <f t="shared" si="54"/>
        <v/>
      </c>
      <c r="S169" s="3" t="str">
        <f>IF($L169&lt;&gt;"",IF($A169="Prepago",0,IF(ROUND($H169*$U$6,2)&gt;ROUND(SUM($S$11:$S168)+$U$6,2),$U$6*2,$U$6)),"")</f>
        <v/>
      </c>
      <c r="T169" s="3" t="str">
        <f>IF($L169&lt;&gt;"",IF($A169="Prepago",0,IF(ROUND($H169*$U$7,2)&gt;ROUND(SUM($T$11:$T168)+$U$7,2),$U$7*2,$U$7)),"")</f>
        <v/>
      </c>
      <c r="U169" s="3" t="str">
        <f>IF($L169&lt;&gt;"",IF($A169="Prepago",0,IF(ROUND($H169*$U$8,2)&gt;ROUND(SUM($U$11:$U168)+$U$8,2),$U$8*2,$U$8)),"")</f>
        <v/>
      </c>
      <c r="V169" s="3" t="str">
        <f>IF($L169&lt;&gt;"",IF($A169="Prepago",0,IF(ROUND($H169*$U$9,2)&gt;ROUND(SUM($V$11:$V168)+$U$9,2),$U$9*2,$U$9)),"")</f>
        <v/>
      </c>
      <c r="W169" s="3" t="str">
        <f t="shared" si="44"/>
        <v/>
      </c>
      <c r="X169" s="3" t="str">
        <f t="shared" si="49"/>
        <v/>
      </c>
      <c r="Y169" s="3" t="str">
        <f t="shared" si="50"/>
        <v/>
      </c>
      <c r="Z169" s="3" t="str">
        <f t="shared" si="51"/>
        <v/>
      </c>
      <c r="AA169" s="3" t="str">
        <f>IF($L169&lt;&gt;"",IF($N169&gt;Z$11,IF($N169&lt;AA$11,$N169-Z$11,30),0)*ROUND(($O169+$X168+SUM($Z169:Z169))*$V$5/3000,2),"")</f>
        <v/>
      </c>
      <c r="AB169" s="3"/>
      <c r="AC169" s="3"/>
    </row>
    <row r="170" spans="5:29" x14ac:dyDescent="0.25">
      <c r="E170" s="5"/>
      <c r="F170" t="str">
        <f t="shared" si="55"/>
        <v/>
      </c>
      <c r="G170" s="5" t="str">
        <f t="shared" si="45"/>
        <v/>
      </c>
      <c r="H170" s="22" t="str">
        <f t="shared" si="56"/>
        <v/>
      </c>
      <c r="I170" s="22" t="str">
        <f t="shared" si="46"/>
        <v/>
      </c>
      <c r="J170" s="22" t="str">
        <f t="shared" si="57"/>
        <v/>
      </c>
      <c r="K170" s="22" t="str">
        <f t="shared" si="58"/>
        <v/>
      </c>
      <c r="L170" t="str">
        <f t="shared" si="42"/>
        <v/>
      </c>
      <c r="M170" s="5" t="str">
        <f t="shared" si="52"/>
        <v/>
      </c>
      <c r="N170" s="9" t="str">
        <f t="shared" si="43"/>
        <v/>
      </c>
      <c r="O170" s="3" t="str">
        <f t="shared" si="47"/>
        <v/>
      </c>
      <c r="P170" s="3" t="str">
        <f t="shared" si="48"/>
        <v/>
      </c>
      <c r="Q170" s="3" t="str">
        <f t="shared" si="53"/>
        <v/>
      </c>
      <c r="R170" s="3" t="str">
        <f t="shared" si="54"/>
        <v/>
      </c>
      <c r="S170" s="3" t="str">
        <f>IF($L170&lt;&gt;"",IF($A170="Prepago",0,IF(ROUND($H170*$U$6,2)&gt;ROUND(SUM($S$11:$S169)+$U$6,2),$U$6*2,$U$6)),"")</f>
        <v/>
      </c>
      <c r="T170" s="3" t="str">
        <f>IF($L170&lt;&gt;"",IF($A170="Prepago",0,IF(ROUND($H170*$U$7,2)&gt;ROUND(SUM($T$11:$T169)+$U$7,2),$U$7*2,$U$7)),"")</f>
        <v/>
      </c>
      <c r="U170" s="3" t="str">
        <f>IF($L170&lt;&gt;"",IF($A170="Prepago",0,IF(ROUND($H170*$U$8,2)&gt;ROUND(SUM($U$11:$U169)+$U$8,2),$U$8*2,$U$8)),"")</f>
        <v/>
      </c>
      <c r="V170" s="3" t="str">
        <f>IF($L170&lt;&gt;"",IF($A170="Prepago",0,IF(ROUND($H170*$U$9,2)&gt;ROUND(SUM($V$11:$V169)+$U$9,2),$U$9*2,$U$9)),"")</f>
        <v/>
      </c>
      <c r="W170" s="3" t="str">
        <f t="shared" si="44"/>
        <v/>
      </c>
      <c r="X170" s="3" t="str">
        <f t="shared" si="49"/>
        <v/>
      </c>
      <c r="Y170" s="3" t="str">
        <f t="shared" si="50"/>
        <v/>
      </c>
      <c r="Z170" s="3" t="str">
        <f t="shared" si="51"/>
        <v/>
      </c>
      <c r="AA170" s="3" t="str">
        <f>IF($L170&lt;&gt;"",IF($N170&gt;Z$11,IF($N170&lt;AA$11,$N170-Z$11,30),0)*ROUND(($O170+$X169+SUM($Z170:Z170))*$V$5/3000,2),"")</f>
        <v/>
      </c>
      <c r="AB170" s="3"/>
      <c r="AC170" s="3"/>
    </row>
    <row r="171" spans="5:29" x14ac:dyDescent="0.25">
      <c r="E171" s="5"/>
      <c r="F171" t="str">
        <f t="shared" si="55"/>
        <v/>
      </c>
      <c r="G171" s="5" t="str">
        <f t="shared" si="45"/>
        <v/>
      </c>
      <c r="H171" s="22" t="str">
        <f t="shared" si="56"/>
        <v/>
      </c>
      <c r="I171" s="22" t="str">
        <f t="shared" si="46"/>
        <v/>
      </c>
      <c r="J171" s="22" t="str">
        <f t="shared" si="57"/>
        <v/>
      </c>
      <c r="K171" s="22" t="str">
        <f t="shared" si="58"/>
        <v/>
      </c>
      <c r="L171" t="str">
        <f t="shared" si="42"/>
        <v/>
      </c>
      <c r="M171" s="5" t="str">
        <f t="shared" si="52"/>
        <v/>
      </c>
      <c r="N171" s="9" t="str">
        <f t="shared" si="43"/>
        <v/>
      </c>
      <c r="O171" s="3" t="str">
        <f t="shared" si="47"/>
        <v/>
      </c>
      <c r="P171" s="3" t="str">
        <f t="shared" si="48"/>
        <v/>
      </c>
      <c r="Q171" s="3" t="str">
        <f t="shared" si="53"/>
        <v/>
      </c>
      <c r="R171" s="3" t="str">
        <f t="shared" si="54"/>
        <v/>
      </c>
      <c r="S171" s="3" t="str">
        <f>IF($L171&lt;&gt;"",IF($A171="Prepago",0,IF(ROUND($H171*$U$6,2)&gt;ROUND(SUM($S$11:$S170)+$U$6,2),$U$6*2,$U$6)),"")</f>
        <v/>
      </c>
      <c r="T171" s="3" t="str">
        <f>IF($L171&lt;&gt;"",IF($A171="Prepago",0,IF(ROUND($H171*$U$7,2)&gt;ROUND(SUM($T$11:$T170)+$U$7,2),$U$7*2,$U$7)),"")</f>
        <v/>
      </c>
      <c r="U171" s="3" t="str">
        <f>IF($L171&lt;&gt;"",IF($A171="Prepago",0,IF(ROUND($H171*$U$8,2)&gt;ROUND(SUM($U$11:$U170)+$U$8,2),$U$8*2,$U$8)),"")</f>
        <v/>
      </c>
      <c r="V171" s="3" t="str">
        <f>IF($L171&lt;&gt;"",IF($A171="Prepago",0,IF(ROUND($H171*$U$9,2)&gt;ROUND(SUM($V$11:$V170)+$U$9,2),$U$9*2,$U$9)),"")</f>
        <v/>
      </c>
      <c r="W171" s="3" t="str">
        <f t="shared" si="44"/>
        <v/>
      </c>
      <c r="X171" s="3" t="str">
        <f t="shared" si="49"/>
        <v/>
      </c>
      <c r="Y171" s="3" t="str">
        <f t="shared" si="50"/>
        <v/>
      </c>
      <c r="Z171" s="3" t="str">
        <f t="shared" si="51"/>
        <v/>
      </c>
      <c r="AA171" s="3" t="str">
        <f>IF($L171&lt;&gt;"",IF($N171&gt;Z$11,IF($N171&lt;AA$11,$N171-Z$11,30),0)*ROUND(($O171+$X170+SUM($Z171:Z171))*$V$5/3000,2),"")</f>
        <v/>
      </c>
      <c r="AB171" s="3"/>
      <c r="AC171" s="3"/>
    </row>
    <row r="172" spans="5:29" x14ac:dyDescent="0.25">
      <c r="E172" s="5"/>
      <c r="F172" t="str">
        <f t="shared" si="55"/>
        <v/>
      </c>
      <c r="G172" s="5" t="str">
        <f t="shared" si="45"/>
        <v/>
      </c>
      <c r="H172" s="22" t="str">
        <f t="shared" si="56"/>
        <v/>
      </c>
      <c r="I172" s="22" t="str">
        <f t="shared" si="46"/>
        <v/>
      </c>
      <c r="J172" s="22" t="str">
        <f t="shared" si="57"/>
        <v/>
      </c>
      <c r="K172" s="22" t="str">
        <f t="shared" si="58"/>
        <v/>
      </c>
      <c r="L172" t="str">
        <f t="shared" ref="L172:L235" si="59">IF($L171&lt;NCUOTAS+CUOTAADICIONAL+NPREPAGO,$L171+1,"")</f>
        <v/>
      </c>
      <c r="M172" s="5" t="str">
        <f t="shared" si="52"/>
        <v/>
      </c>
      <c r="N172" s="9" t="str">
        <f t="shared" ref="N172:N235" si="60">IF($L172&lt;&gt;"",$M172-$M171,"")</f>
        <v/>
      </c>
      <c r="O172" s="3" t="str">
        <f t="shared" si="47"/>
        <v/>
      </c>
      <c r="P172" s="3" t="str">
        <f t="shared" si="48"/>
        <v/>
      </c>
      <c r="Q172" s="3" t="str">
        <f t="shared" si="53"/>
        <v/>
      </c>
      <c r="R172" s="3" t="str">
        <f t="shared" si="54"/>
        <v/>
      </c>
      <c r="S172" s="3" t="str">
        <f>IF($L172&lt;&gt;"",IF($A172="Prepago",0,IF(ROUND($H172*$U$6,2)&gt;ROUND(SUM($S$11:$S171)+$U$6,2),$U$6*2,$U$6)),"")</f>
        <v/>
      </c>
      <c r="T172" s="3" t="str">
        <f>IF($L172&lt;&gt;"",IF($A172="Prepago",0,IF(ROUND($H172*$U$7,2)&gt;ROUND(SUM($T$11:$T171)+$U$7,2),$U$7*2,$U$7)),"")</f>
        <v/>
      </c>
      <c r="U172" s="3" t="str">
        <f>IF($L172&lt;&gt;"",IF($A172="Prepago",0,IF(ROUND($H172*$U$8,2)&gt;ROUND(SUM($U$11:$U171)+$U$8,2),$U$8*2,$U$8)),"")</f>
        <v/>
      </c>
      <c r="V172" s="3" t="str">
        <f>IF($L172&lt;&gt;"",IF($A172="Prepago",0,IF(ROUND($H172*$U$9,2)&gt;ROUND(SUM($V$11:$V171)+$U$9,2),$U$9*2,$U$9)),"")</f>
        <v/>
      </c>
      <c r="W172" s="3" t="str">
        <f t="shared" ref="W172:W235" si="61">IF($L172&lt;&gt;"",$O172-$Q172,"")</f>
        <v/>
      </c>
      <c r="X172" s="3" t="str">
        <f t="shared" si="49"/>
        <v/>
      </c>
      <c r="Y172" s="3" t="str">
        <f t="shared" si="50"/>
        <v/>
      </c>
      <c r="Z172" s="3" t="str">
        <f t="shared" si="51"/>
        <v/>
      </c>
      <c r="AA172" s="3" t="str">
        <f>IF($L172&lt;&gt;"",IF($N172&gt;Z$11,IF($N172&lt;AA$11,$N172-Z$11,30),0)*ROUND(($O172+$X171+SUM($Z172:Z172))*$V$5/3000,2),"")</f>
        <v/>
      </c>
      <c r="AB172" s="3"/>
      <c r="AC172" s="3"/>
    </row>
    <row r="173" spans="5:29" x14ac:dyDescent="0.25">
      <c r="E173" s="5"/>
      <c r="F173" t="str">
        <f t="shared" si="55"/>
        <v/>
      </c>
      <c r="G173" s="5" t="str">
        <f t="shared" si="45"/>
        <v/>
      </c>
      <c r="H173" s="22" t="str">
        <f t="shared" si="56"/>
        <v/>
      </c>
      <c r="I173" s="22" t="str">
        <f t="shared" si="46"/>
        <v/>
      </c>
      <c r="J173" s="22" t="str">
        <f t="shared" si="57"/>
        <v/>
      </c>
      <c r="K173" s="22" t="str">
        <f t="shared" si="58"/>
        <v/>
      </c>
      <c r="L173" t="str">
        <f t="shared" si="59"/>
        <v/>
      </c>
      <c r="M173" s="5" t="str">
        <f t="shared" si="52"/>
        <v/>
      </c>
      <c r="N173" s="9" t="str">
        <f t="shared" si="60"/>
        <v/>
      </c>
      <c r="O173" s="3" t="str">
        <f t="shared" si="47"/>
        <v/>
      </c>
      <c r="P173" s="3" t="str">
        <f t="shared" si="48"/>
        <v/>
      </c>
      <c r="Q173" s="3" t="str">
        <f t="shared" si="53"/>
        <v/>
      </c>
      <c r="R173" s="3" t="str">
        <f t="shared" si="54"/>
        <v/>
      </c>
      <c r="S173" s="3" t="str">
        <f>IF($L173&lt;&gt;"",IF($A173="Prepago",0,IF(ROUND($H173*$U$6,2)&gt;ROUND(SUM($S$11:$S172)+$U$6,2),$U$6*2,$U$6)),"")</f>
        <v/>
      </c>
      <c r="T173" s="3" t="str">
        <f>IF($L173&lt;&gt;"",IF($A173="Prepago",0,IF(ROUND($H173*$U$7,2)&gt;ROUND(SUM($T$11:$T172)+$U$7,2),$U$7*2,$U$7)),"")</f>
        <v/>
      </c>
      <c r="U173" s="3" t="str">
        <f>IF($L173&lt;&gt;"",IF($A173="Prepago",0,IF(ROUND($H173*$U$8,2)&gt;ROUND(SUM($U$11:$U172)+$U$8,2),$U$8*2,$U$8)),"")</f>
        <v/>
      </c>
      <c r="V173" s="3" t="str">
        <f>IF($L173&lt;&gt;"",IF($A173="Prepago",0,IF(ROUND($H173*$U$9,2)&gt;ROUND(SUM($V$11:$V172)+$U$9,2),$U$9*2,$U$9)),"")</f>
        <v/>
      </c>
      <c r="W173" s="3" t="str">
        <f t="shared" si="61"/>
        <v/>
      </c>
      <c r="X173" s="3" t="str">
        <f t="shared" si="49"/>
        <v/>
      </c>
      <c r="Y173" s="3" t="str">
        <f t="shared" si="50"/>
        <v/>
      </c>
      <c r="Z173" s="3" t="str">
        <f t="shared" si="51"/>
        <v/>
      </c>
      <c r="AA173" s="3" t="str">
        <f>IF($L173&lt;&gt;"",IF($N173&gt;Z$11,IF($N173&lt;AA$11,$N173-Z$11,30),0)*ROUND(($O173+$X172+SUM($Z173:Z173))*$V$5/3000,2),"")</f>
        <v/>
      </c>
      <c r="AB173" s="3"/>
      <c r="AC173" s="3"/>
    </row>
    <row r="174" spans="5:29" x14ac:dyDescent="0.25">
      <c r="E174" s="5"/>
      <c r="F174" t="str">
        <f t="shared" si="55"/>
        <v/>
      </c>
      <c r="G174" s="5" t="str">
        <f t="shared" si="45"/>
        <v/>
      </c>
      <c r="H174" s="22" t="str">
        <f t="shared" si="56"/>
        <v/>
      </c>
      <c r="I174" s="22" t="str">
        <f t="shared" si="46"/>
        <v/>
      </c>
      <c r="J174" s="22" t="str">
        <f t="shared" si="57"/>
        <v/>
      </c>
      <c r="K174" s="22" t="str">
        <f t="shared" si="58"/>
        <v/>
      </c>
      <c r="L174" t="str">
        <f t="shared" si="59"/>
        <v/>
      </c>
      <c r="M174" s="5" t="str">
        <f t="shared" si="52"/>
        <v/>
      </c>
      <c r="N174" s="9" t="str">
        <f t="shared" si="60"/>
        <v/>
      </c>
      <c r="O174" s="3" t="str">
        <f t="shared" si="47"/>
        <v/>
      </c>
      <c r="P174" s="3" t="str">
        <f t="shared" si="48"/>
        <v/>
      </c>
      <c r="Q174" s="3" t="str">
        <f t="shared" si="53"/>
        <v/>
      </c>
      <c r="R174" s="3" t="str">
        <f t="shared" si="54"/>
        <v/>
      </c>
      <c r="S174" s="3" t="str">
        <f>IF($L174&lt;&gt;"",IF($A174="Prepago",0,IF(ROUND($H174*$U$6,2)&gt;ROUND(SUM($S$11:$S173)+$U$6,2),$U$6*2,$U$6)),"")</f>
        <v/>
      </c>
      <c r="T174" s="3" t="str">
        <f>IF($L174&lt;&gt;"",IF($A174="Prepago",0,IF(ROUND($H174*$U$7,2)&gt;ROUND(SUM($T$11:$T173)+$U$7,2),$U$7*2,$U$7)),"")</f>
        <v/>
      </c>
      <c r="U174" s="3" t="str">
        <f>IF($L174&lt;&gt;"",IF($A174="Prepago",0,IF(ROUND($H174*$U$8,2)&gt;ROUND(SUM($U$11:$U173)+$U$8,2),$U$8*2,$U$8)),"")</f>
        <v/>
      </c>
      <c r="V174" s="3" t="str">
        <f>IF($L174&lt;&gt;"",IF($A174="Prepago",0,IF(ROUND($H174*$U$9,2)&gt;ROUND(SUM($V$11:$V173)+$U$9,2),$U$9*2,$U$9)),"")</f>
        <v/>
      </c>
      <c r="W174" s="3" t="str">
        <f t="shared" si="61"/>
        <v/>
      </c>
      <c r="X174" s="3" t="str">
        <f t="shared" si="49"/>
        <v/>
      </c>
      <c r="Y174" s="3" t="str">
        <f t="shared" si="50"/>
        <v/>
      </c>
      <c r="Z174" s="3" t="str">
        <f t="shared" si="51"/>
        <v/>
      </c>
      <c r="AA174" s="3" t="str">
        <f>IF($L174&lt;&gt;"",IF($N174&gt;Z$11,IF($N174&lt;AA$11,$N174-Z$11,30),0)*ROUND(($O174+$X173+SUM($Z174:Z174))*$V$5/3000,2),"")</f>
        <v/>
      </c>
      <c r="AB174" s="3"/>
      <c r="AC174" s="3"/>
    </row>
    <row r="175" spans="5:29" x14ac:dyDescent="0.25">
      <c r="E175" s="5"/>
      <c r="F175" t="str">
        <f t="shared" si="55"/>
        <v/>
      </c>
      <c r="G175" s="5" t="str">
        <f t="shared" si="45"/>
        <v/>
      </c>
      <c r="H175" s="22" t="str">
        <f t="shared" si="56"/>
        <v/>
      </c>
      <c r="I175" s="22" t="str">
        <f t="shared" si="46"/>
        <v/>
      </c>
      <c r="J175" s="22" t="str">
        <f t="shared" si="57"/>
        <v/>
      </c>
      <c r="K175" s="22" t="str">
        <f t="shared" si="58"/>
        <v/>
      </c>
      <c r="L175" t="str">
        <f t="shared" si="59"/>
        <v/>
      </c>
      <c r="M175" s="5" t="str">
        <f t="shared" si="52"/>
        <v/>
      </c>
      <c r="N175" s="9" t="str">
        <f t="shared" si="60"/>
        <v/>
      </c>
      <c r="O175" s="3" t="str">
        <f t="shared" si="47"/>
        <v/>
      </c>
      <c r="P175" s="3" t="str">
        <f t="shared" si="48"/>
        <v/>
      </c>
      <c r="Q175" s="3" t="str">
        <f t="shared" si="53"/>
        <v/>
      </c>
      <c r="R175" s="3" t="str">
        <f t="shared" si="54"/>
        <v/>
      </c>
      <c r="S175" s="3" t="str">
        <f>IF($L175&lt;&gt;"",IF($A175="Prepago",0,IF(ROUND($H175*$U$6,2)&gt;ROUND(SUM($S$11:$S174)+$U$6,2),$U$6*2,$U$6)),"")</f>
        <v/>
      </c>
      <c r="T175" s="3" t="str">
        <f>IF($L175&lt;&gt;"",IF($A175="Prepago",0,IF(ROUND($H175*$U$7,2)&gt;ROUND(SUM($T$11:$T174)+$U$7,2),$U$7*2,$U$7)),"")</f>
        <v/>
      </c>
      <c r="U175" s="3" t="str">
        <f>IF($L175&lt;&gt;"",IF($A175="Prepago",0,IF(ROUND($H175*$U$8,2)&gt;ROUND(SUM($U$11:$U174)+$U$8,2),$U$8*2,$U$8)),"")</f>
        <v/>
      </c>
      <c r="V175" s="3" t="str">
        <f>IF($L175&lt;&gt;"",IF($A175="Prepago",0,IF(ROUND($H175*$U$9,2)&gt;ROUND(SUM($V$11:$V174)+$U$9,2),$U$9*2,$U$9)),"")</f>
        <v/>
      </c>
      <c r="W175" s="3" t="str">
        <f t="shared" si="61"/>
        <v/>
      </c>
      <c r="X175" s="3" t="str">
        <f t="shared" si="49"/>
        <v/>
      </c>
      <c r="Y175" s="3" t="str">
        <f t="shared" si="50"/>
        <v/>
      </c>
      <c r="Z175" s="3" t="str">
        <f t="shared" si="51"/>
        <v/>
      </c>
      <c r="AA175" s="3" t="str">
        <f>IF($L175&lt;&gt;"",IF($N175&gt;Z$11,IF($N175&lt;AA$11,$N175-Z$11,30),0)*ROUND(($O175+$X174+SUM($Z175:Z175))*$V$5/3000,2),"")</f>
        <v/>
      </c>
      <c r="AB175" s="3"/>
      <c r="AC175" s="3"/>
    </row>
    <row r="176" spans="5:29" x14ac:dyDescent="0.25">
      <c r="E176" s="5"/>
      <c r="F176" t="str">
        <f t="shared" si="55"/>
        <v/>
      </c>
      <c r="G176" s="5" t="str">
        <f t="shared" si="45"/>
        <v/>
      </c>
      <c r="H176" s="22" t="str">
        <f t="shared" si="56"/>
        <v/>
      </c>
      <c r="I176" s="22" t="str">
        <f t="shared" si="46"/>
        <v/>
      </c>
      <c r="J176" s="22" t="str">
        <f t="shared" si="57"/>
        <v/>
      </c>
      <c r="K176" s="22" t="str">
        <f t="shared" si="58"/>
        <v/>
      </c>
      <c r="L176" t="str">
        <f t="shared" si="59"/>
        <v/>
      </c>
      <c r="M176" s="5" t="str">
        <f t="shared" si="52"/>
        <v/>
      </c>
      <c r="N176" s="9" t="str">
        <f t="shared" si="60"/>
        <v/>
      </c>
      <c r="O176" s="3" t="str">
        <f t="shared" si="47"/>
        <v/>
      </c>
      <c r="P176" s="3" t="str">
        <f t="shared" si="48"/>
        <v/>
      </c>
      <c r="Q176" s="3" t="str">
        <f t="shared" si="53"/>
        <v/>
      </c>
      <c r="R176" s="3" t="str">
        <f t="shared" si="54"/>
        <v/>
      </c>
      <c r="S176" s="3" t="str">
        <f>IF($L176&lt;&gt;"",IF($A176="Prepago",0,IF(ROUND($H176*$U$6,2)&gt;ROUND(SUM($S$11:$S175)+$U$6,2),$U$6*2,$U$6)),"")</f>
        <v/>
      </c>
      <c r="T176" s="3" t="str">
        <f>IF($L176&lt;&gt;"",IF($A176="Prepago",0,IF(ROUND($H176*$U$7,2)&gt;ROUND(SUM($T$11:$T175)+$U$7,2),$U$7*2,$U$7)),"")</f>
        <v/>
      </c>
      <c r="U176" s="3" t="str">
        <f>IF($L176&lt;&gt;"",IF($A176="Prepago",0,IF(ROUND($H176*$U$8,2)&gt;ROUND(SUM($U$11:$U175)+$U$8,2),$U$8*2,$U$8)),"")</f>
        <v/>
      </c>
      <c r="V176" s="3" t="str">
        <f>IF($L176&lt;&gt;"",IF($A176="Prepago",0,IF(ROUND($H176*$U$9,2)&gt;ROUND(SUM($V$11:$V175)+$U$9,2),$U$9*2,$U$9)),"")</f>
        <v/>
      </c>
      <c r="W176" s="3" t="str">
        <f t="shared" si="61"/>
        <v/>
      </c>
      <c r="X176" s="3" t="str">
        <f t="shared" si="49"/>
        <v/>
      </c>
      <c r="Y176" s="3" t="str">
        <f t="shared" si="50"/>
        <v/>
      </c>
      <c r="Z176" s="3" t="str">
        <f t="shared" si="51"/>
        <v/>
      </c>
      <c r="AA176" s="3" t="str">
        <f>IF($L176&lt;&gt;"",IF($N176&gt;Z$11,IF($N176&lt;AA$11,$N176-Z$11,30),0)*ROUND(($O176+$X175+SUM($Z176:Z176))*$V$5/3000,2),"")</f>
        <v/>
      </c>
      <c r="AB176" s="3"/>
      <c r="AC176" s="3"/>
    </row>
    <row r="177" spans="5:29" x14ac:dyDescent="0.25">
      <c r="E177" s="5"/>
      <c r="F177" t="str">
        <f t="shared" si="55"/>
        <v/>
      </c>
      <c r="G177" s="5" t="str">
        <f t="shared" si="45"/>
        <v/>
      </c>
      <c r="H177" s="22" t="str">
        <f t="shared" si="56"/>
        <v/>
      </c>
      <c r="I177" s="22" t="str">
        <f t="shared" si="46"/>
        <v/>
      </c>
      <c r="J177" s="22" t="str">
        <f t="shared" si="57"/>
        <v/>
      </c>
      <c r="K177" s="22" t="str">
        <f t="shared" si="58"/>
        <v/>
      </c>
      <c r="L177" t="str">
        <f t="shared" si="59"/>
        <v/>
      </c>
      <c r="M177" s="5" t="str">
        <f t="shared" si="52"/>
        <v/>
      </c>
      <c r="N177" s="9" t="str">
        <f t="shared" si="60"/>
        <v/>
      </c>
      <c r="O177" s="3" t="str">
        <f t="shared" si="47"/>
        <v/>
      </c>
      <c r="P177" s="3" t="str">
        <f t="shared" si="48"/>
        <v/>
      </c>
      <c r="Q177" s="3" t="str">
        <f t="shared" si="53"/>
        <v/>
      </c>
      <c r="R177" s="3" t="str">
        <f t="shared" si="54"/>
        <v/>
      </c>
      <c r="S177" s="3" t="str">
        <f>IF($L177&lt;&gt;"",IF($A177="Prepago",0,IF(ROUND($H177*$U$6,2)&gt;ROUND(SUM($S$11:$S176)+$U$6,2),$U$6*2,$U$6)),"")</f>
        <v/>
      </c>
      <c r="T177" s="3" t="str">
        <f>IF($L177&lt;&gt;"",IF($A177="Prepago",0,IF(ROUND($H177*$U$7,2)&gt;ROUND(SUM($T$11:$T176)+$U$7,2),$U$7*2,$U$7)),"")</f>
        <v/>
      </c>
      <c r="U177" s="3" t="str">
        <f>IF($L177&lt;&gt;"",IF($A177="Prepago",0,IF(ROUND($H177*$U$8,2)&gt;ROUND(SUM($U$11:$U176)+$U$8,2),$U$8*2,$U$8)),"")</f>
        <v/>
      </c>
      <c r="V177" s="3" t="str">
        <f>IF($L177&lt;&gt;"",IF($A177="Prepago",0,IF(ROUND($H177*$U$9,2)&gt;ROUND(SUM($V$11:$V176)+$U$9,2),$U$9*2,$U$9)),"")</f>
        <v/>
      </c>
      <c r="W177" s="3" t="str">
        <f t="shared" si="61"/>
        <v/>
      </c>
      <c r="X177" s="3" t="str">
        <f t="shared" si="49"/>
        <v/>
      </c>
      <c r="Y177" s="3" t="str">
        <f t="shared" si="50"/>
        <v/>
      </c>
      <c r="Z177" s="3" t="str">
        <f t="shared" si="51"/>
        <v/>
      </c>
      <c r="AA177" s="3" t="str">
        <f>IF($L177&lt;&gt;"",IF($N177&gt;Z$11,IF($N177&lt;AA$11,$N177-Z$11,30),0)*ROUND(($O177+$X176+SUM($Z177:Z177))*$V$5/3000,2),"")</f>
        <v/>
      </c>
      <c r="AB177" s="3"/>
      <c r="AC177" s="3"/>
    </row>
    <row r="178" spans="5:29" x14ac:dyDescent="0.25">
      <c r="E178" s="5"/>
      <c r="F178" t="str">
        <f t="shared" si="55"/>
        <v/>
      </c>
      <c r="G178" s="5" t="str">
        <f t="shared" si="45"/>
        <v/>
      </c>
      <c r="H178" s="22" t="str">
        <f t="shared" si="56"/>
        <v/>
      </c>
      <c r="I178" s="22" t="str">
        <f t="shared" si="46"/>
        <v/>
      </c>
      <c r="J178" s="22" t="str">
        <f t="shared" si="57"/>
        <v/>
      </c>
      <c r="K178" s="22" t="str">
        <f t="shared" si="58"/>
        <v/>
      </c>
      <c r="L178" t="str">
        <f t="shared" si="59"/>
        <v/>
      </c>
      <c r="M178" s="5" t="str">
        <f t="shared" si="52"/>
        <v/>
      </c>
      <c r="N178" s="9" t="str">
        <f t="shared" si="60"/>
        <v/>
      </c>
      <c r="O178" s="3" t="str">
        <f t="shared" si="47"/>
        <v/>
      </c>
      <c r="P178" s="3" t="str">
        <f t="shared" si="48"/>
        <v/>
      </c>
      <c r="Q178" s="3" t="str">
        <f t="shared" si="53"/>
        <v/>
      </c>
      <c r="R178" s="3" t="str">
        <f t="shared" si="54"/>
        <v/>
      </c>
      <c r="S178" s="3" t="str">
        <f>IF($L178&lt;&gt;"",IF($A178="Prepago",0,IF(ROUND($H178*$U$6,2)&gt;ROUND(SUM($S$11:$S177)+$U$6,2),$U$6*2,$U$6)),"")</f>
        <v/>
      </c>
      <c r="T178" s="3" t="str">
        <f>IF($L178&lt;&gt;"",IF($A178="Prepago",0,IF(ROUND($H178*$U$7,2)&gt;ROUND(SUM($T$11:$T177)+$U$7,2),$U$7*2,$U$7)),"")</f>
        <v/>
      </c>
      <c r="U178" s="3" t="str">
        <f>IF($L178&lt;&gt;"",IF($A178="Prepago",0,IF(ROUND($H178*$U$8,2)&gt;ROUND(SUM($U$11:$U177)+$U$8,2),$U$8*2,$U$8)),"")</f>
        <v/>
      </c>
      <c r="V178" s="3" t="str">
        <f>IF($L178&lt;&gt;"",IF($A178="Prepago",0,IF(ROUND($H178*$U$9,2)&gt;ROUND(SUM($V$11:$V177)+$U$9,2),$U$9*2,$U$9)),"")</f>
        <v/>
      </c>
      <c r="W178" s="3" t="str">
        <f t="shared" si="61"/>
        <v/>
      </c>
      <c r="X178" s="3" t="str">
        <f t="shared" si="49"/>
        <v/>
      </c>
      <c r="Y178" s="3" t="str">
        <f t="shared" si="50"/>
        <v/>
      </c>
      <c r="Z178" s="3" t="str">
        <f t="shared" si="51"/>
        <v/>
      </c>
      <c r="AA178" s="3" t="str">
        <f>IF($L178&lt;&gt;"",IF($N178&gt;Z$11,IF($N178&lt;AA$11,$N178-Z$11,30),0)*ROUND(($O178+$X177+SUM($Z178:Z178))*$V$5/3000,2),"")</f>
        <v/>
      </c>
      <c r="AB178" s="3"/>
      <c r="AC178" s="3"/>
    </row>
    <row r="179" spans="5:29" x14ac:dyDescent="0.25">
      <c r="E179" s="5"/>
      <c r="F179" t="str">
        <f t="shared" si="55"/>
        <v/>
      </c>
      <c r="G179" s="5" t="str">
        <f t="shared" si="45"/>
        <v/>
      </c>
      <c r="H179" s="22" t="str">
        <f t="shared" si="56"/>
        <v/>
      </c>
      <c r="I179" s="22" t="str">
        <f t="shared" si="46"/>
        <v/>
      </c>
      <c r="J179" s="22" t="str">
        <f t="shared" si="57"/>
        <v/>
      </c>
      <c r="K179" s="22" t="str">
        <f t="shared" si="58"/>
        <v/>
      </c>
      <c r="L179" t="str">
        <f t="shared" si="59"/>
        <v/>
      </c>
      <c r="M179" s="5" t="str">
        <f t="shared" si="52"/>
        <v/>
      </c>
      <c r="N179" s="9" t="str">
        <f t="shared" si="60"/>
        <v/>
      </c>
      <c r="O179" s="3" t="str">
        <f t="shared" si="47"/>
        <v/>
      </c>
      <c r="P179" s="3" t="str">
        <f t="shared" si="48"/>
        <v/>
      </c>
      <c r="Q179" s="3" t="str">
        <f t="shared" si="53"/>
        <v/>
      </c>
      <c r="R179" s="3" t="str">
        <f t="shared" si="54"/>
        <v/>
      </c>
      <c r="S179" s="3" t="str">
        <f>IF($L179&lt;&gt;"",IF($A179="Prepago",0,IF(ROUND($H179*$U$6,2)&gt;ROUND(SUM($S$11:$S178)+$U$6,2),$U$6*2,$U$6)),"")</f>
        <v/>
      </c>
      <c r="T179" s="3" t="str">
        <f>IF($L179&lt;&gt;"",IF($A179="Prepago",0,IF(ROUND($H179*$U$7,2)&gt;ROUND(SUM($T$11:$T178)+$U$7,2),$U$7*2,$U$7)),"")</f>
        <v/>
      </c>
      <c r="U179" s="3" t="str">
        <f>IF($L179&lt;&gt;"",IF($A179="Prepago",0,IF(ROUND($H179*$U$8,2)&gt;ROUND(SUM($U$11:$U178)+$U$8,2),$U$8*2,$U$8)),"")</f>
        <v/>
      </c>
      <c r="V179" s="3" t="str">
        <f>IF($L179&lt;&gt;"",IF($A179="Prepago",0,IF(ROUND($H179*$U$9,2)&gt;ROUND(SUM($V$11:$V178)+$U$9,2),$U$9*2,$U$9)),"")</f>
        <v/>
      </c>
      <c r="W179" s="3" t="str">
        <f t="shared" si="61"/>
        <v/>
      </c>
      <c r="X179" s="3" t="str">
        <f t="shared" si="49"/>
        <v/>
      </c>
      <c r="Y179" s="3" t="str">
        <f t="shared" si="50"/>
        <v/>
      </c>
      <c r="Z179" s="3" t="str">
        <f t="shared" si="51"/>
        <v/>
      </c>
      <c r="AA179" s="3" t="str">
        <f>IF($L179&lt;&gt;"",IF($N179&gt;Z$11,IF($N179&lt;AA$11,$N179-Z$11,30),0)*ROUND(($O179+$X178+SUM($Z179:Z179))*$V$5/3000,2),"")</f>
        <v/>
      </c>
      <c r="AB179" s="3"/>
      <c r="AC179" s="3"/>
    </row>
    <row r="180" spans="5:29" x14ac:dyDescent="0.25">
      <c r="E180" s="5"/>
      <c r="F180" t="str">
        <f t="shared" si="55"/>
        <v/>
      </c>
      <c r="G180" s="5" t="str">
        <f t="shared" si="45"/>
        <v/>
      </c>
      <c r="H180" s="22" t="str">
        <f t="shared" si="56"/>
        <v/>
      </c>
      <c r="I180" s="22" t="str">
        <f t="shared" si="46"/>
        <v/>
      </c>
      <c r="J180" s="22" t="str">
        <f t="shared" si="57"/>
        <v/>
      </c>
      <c r="K180" s="22" t="str">
        <f t="shared" si="58"/>
        <v/>
      </c>
      <c r="L180" t="str">
        <f t="shared" si="59"/>
        <v/>
      </c>
      <c r="M180" s="5" t="str">
        <f t="shared" si="52"/>
        <v/>
      </c>
      <c r="N180" s="9" t="str">
        <f t="shared" si="60"/>
        <v/>
      </c>
      <c r="O180" s="3" t="str">
        <f t="shared" si="47"/>
        <v/>
      </c>
      <c r="P180" s="3" t="str">
        <f t="shared" si="48"/>
        <v/>
      </c>
      <c r="Q180" s="3" t="str">
        <f t="shared" si="53"/>
        <v/>
      </c>
      <c r="R180" s="3" t="str">
        <f t="shared" si="54"/>
        <v/>
      </c>
      <c r="S180" s="3" t="str">
        <f>IF($L180&lt;&gt;"",IF($A180="Prepago",0,IF(ROUND($H180*$U$6,2)&gt;ROUND(SUM($S$11:$S179)+$U$6,2),$U$6*2,$U$6)),"")</f>
        <v/>
      </c>
      <c r="T180" s="3" t="str">
        <f>IF($L180&lt;&gt;"",IF($A180="Prepago",0,IF(ROUND($H180*$U$7,2)&gt;ROUND(SUM($T$11:$T179)+$U$7,2),$U$7*2,$U$7)),"")</f>
        <v/>
      </c>
      <c r="U180" s="3" t="str">
        <f>IF($L180&lt;&gt;"",IF($A180="Prepago",0,IF(ROUND($H180*$U$8,2)&gt;ROUND(SUM($U$11:$U179)+$U$8,2),$U$8*2,$U$8)),"")</f>
        <v/>
      </c>
      <c r="V180" s="3" t="str">
        <f>IF($L180&lt;&gt;"",IF($A180="Prepago",0,IF(ROUND($H180*$U$9,2)&gt;ROUND(SUM($V$11:$V179)+$U$9,2),$U$9*2,$U$9)),"")</f>
        <v/>
      </c>
      <c r="W180" s="3" t="str">
        <f t="shared" si="61"/>
        <v/>
      </c>
      <c r="X180" s="3" t="str">
        <f t="shared" si="49"/>
        <v/>
      </c>
      <c r="Y180" s="3" t="str">
        <f t="shared" si="50"/>
        <v/>
      </c>
      <c r="Z180" s="3" t="str">
        <f t="shared" si="51"/>
        <v/>
      </c>
      <c r="AA180" s="3" t="str">
        <f>IF($L180&lt;&gt;"",IF($N180&gt;Z$11,IF($N180&lt;AA$11,$N180-Z$11,30),0)*ROUND(($O180+$X179+SUM($Z180:Z180))*$V$5/3000,2),"")</f>
        <v/>
      </c>
      <c r="AB180" s="3"/>
      <c r="AC180" s="3"/>
    </row>
    <row r="181" spans="5:29" x14ac:dyDescent="0.25">
      <c r="E181" s="5"/>
      <c r="F181" t="str">
        <f t="shared" si="55"/>
        <v/>
      </c>
      <c r="G181" s="5" t="str">
        <f t="shared" si="45"/>
        <v/>
      </c>
      <c r="H181" s="22" t="str">
        <f t="shared" si="56"/>
        <v/>
      </c>
      <c r="I181" s="22" t="str">
        <f t="shared" si="46"/>
        <v/>
      </c>
      <c r="J181" s="22" t="str">
        <f t="shared" si="57"/>
        <v/>
      </c>
      <c r="K181" s="22" t="str">
        <f t="shared" si="58"/>
        <v/>
      </c>
      <c r="L181" t="str">
        <f t="shared" si="59"/>
        <v/>
      </c>
      <c r="M181" s="5" t="str">
        <f t="shared" si="52"/>
        <v/>
      </c>
      <c r="N181" s="9" t="str">
        <f t="shared" si="60"/>
        <v/>
      </c>
      <c r="O181" s="3" t="str">
        <f t="shared" si="47"/>
        <v/>
      </c>
      <c r="P181" s="3" t="str">
        <f t="shared" si="48"/>
        <v/>
      </c>
      <c r="Q181" s="3" t="str">
        <f t="shared" si="53"/>
        <v/>
      </c>
      <c r="R181" s="3" t="str">
        <f t="shared" si="54"/>
        <v/>
      </c>
      <c r="S181" s="3" t="str">
        <f>IF($L181&lt;&gt;"",IF($A181="Prepago",0,IF(ROUND($H181*$U$6,2)&gt;ROUND(SUM($S$11:$S180)+$U$6,2),$U$6*2,$U$6)),"")</f>
        <v/>
      </c>
      <c r="T181" s="3" t="str">
        <f>IF($L181&lt;&gt;"",IF($A181="Prepago",0,IF(ROUND($H181*$U$7,2)&gt;ROUND(SUM($T$11:$T180)+$U$7,2),$U$7*2,$U$7)),"")</f>
        <v/>
      </c>
      <c r="U181" s="3" t="str">
        <f>IF($L181&lt;&gt;"",IF($A181="Prepago",0,IF(ROUND($H181*$U$8,2)&gt;ROUND(SUM($U$11:$U180)+$U$8,2),$U$8*2,$U$8)),"")</f>
        <v/>
      </c>
      <c r="V181" s="3" t="str">
        <f>IF($L181&lt;&gt;"",IF($A181="Prepago",0,IF(ROUND($H181*$U$9,2)&gt;ROUND(SUM($V$11:$V180)+$U$9,2),$U$9*2,$U$9)),"")</f>
        <v/>
      </c>
      <c r="W181" s="3" t="str">
        <f t="shared" si="61"/>
        <v/>
      </c>
      <c r="X181" s="3" t="str">
        <f t="shared" si="49"/>
        <v/>
      </c>
      <c r="Y181" s="3" t="str">
        <f t="shared" si="50"/>
        <v/>
      </c>
      <c r="Z181" s="3" t="str">
        <f t="shared" si="51"/>
        <v/>
      </c>
      <c r="AA181" s="3" t="str">
        <f>IF($L181&lt;&gt;"",IF($N181&gt;Z$11,IF($N181&lt;AA$11,$N181-Z$11,30),0)*ROUND(($O181+$X180+SUM($Z181:Z181))*$V$5/3000,2),"")</f>
        <v/>
      </c>
      <c r="AB181" s="3"/>
      <c r="AC181" s="3"/>
    </row>
    <row r="182" spans="5:29" x14ac:dyDescent="0.25">
      <c r="E182" s="5"/>
      <c r="F182" t="str">
        <f t="shared" si="55"/>
        <v/>
      </c>
      <c r="G182" s="5" t="str">
        <f t="shared" si="45"/>
        <v/>
      </c>
      <c r="H182" s="22" t="str">
        <f t="shared" si="56"/>
        <v/>
      </c>
      <c r="I182" s="22" t="str">
        <f t="shared" si="46"/>
        <v/>
      </c>
      <c r="J182" s="22" t="str">
        <f t="shared" si="57"/>
        <v/>
      </c>
      <c r="K182" s="22" t="str">
        <f t="shared" si="58"/>
        <v/>
      </c>
      <c r="L182" t="str">
        <f t="shared" si="59"/>
        <v/>
      </c>
      <c r="M182" s="5" t="str">
        <f t="shared" si="52"/>
        <v/>
      </c>
      <c r="N182" s="9" t="str">
        <f t="shared" si="60"/>
        <v/>
      </c>
      <c r="O182" s="3" t="str">
        <f t="shared" si="47"/>
        <v/>
      </c>
      <c r="P182" s="3" t="str">
        <f t="shared" si="48"/>
        <v/>
      </c>
      <c r="Q182" s="3" t="str">
        <f t="shared" si="53"/>
        <v/>
      </c>
      <c r="R182" s="3" t="str">
        <f t="shared" si="54"/>
        <v/>
      </c>
      <c r="S182" s="3" t="str">
        <f>IF($L182&lt;&gt;"",IF($A182="Prepago",0,IF(ROUND($H182*$U$6,2)&gt;ROUND(SUM($S$11:$S181)+$U$6,2),$U$6*2,$U$6)),"")</f>
        <v/>
      </c>
      <c r="T182" s="3" t="str">
        <f>IF($L182&lt;&gt;"",IF($A182="Prepago",0,IF(ROUND($H182*$U$7,2)&gt;ROUND(SUM($T$11:$T181)+$U$7,2),$U$7*2,$U$7)),"")</f>
        <v/>
      </c>
      <c r="U182" s="3" t="str">
        <f>IF($L182&lt;&gt;"",IF($A182="Prepago",0,IF(ROUND($H182*$U$8,2)&gt;ROUND(SUM($U$11:$U181)+$U$8,2),$U$8*2,$U$8)),"")</f>
        <v/>
      </c>
      <c r="V182" s="3" t="str">
        <f>IF($L182&lt;&gt;"",IF($A182="Prepago",0,IF(ROUND($H182*$U$9,2)&gt;ROUND(SUM($V$11:$V181)+$U$9,2),$U$9*2,$U$9)),"")</f>
        <v/>
      </c>
      <c r="W182" s="3" t="str">
        <f t="shared" si="61"/>
        <v/>
      </c>
      <c r="X182" s="3" t="str">
        <f t="shared" si="49"/>
        <v/>
      </c>
      <c r="Y182" s="3" t="str">
        <f t="shared" si="50"/>
        <v/>
      </c>
      <c r="Z182" s="3" t="str">
        <f t="shared" si="51"/>
        <v/>
      </c>
      <c r="AA182" s="3" t="str">
        <f>IF($L182&lt;&gt;"",IF($N182&gt;Z$11,IF($N182&lt;AA$11,$N182-Z$11,30),0)*ROUND(($O182+$X181+SUM($Z182:Z182))*$V$5/3000,2),"")</f>
        <v/>
      </c>
      <c r="AB182" s="3"/>
      <c r="AC182" s="3"/>
    </row>
    <row r="183" spans="5:29" x14ac:dyDescent="0.25">
      <c r="E183" s="5"/>
      <c r="F183" t="str">
        <f t="shared" si="55"/>
        <v/>
      </c>
      <c r="G183" s="5" t="str">
        <f t="shared" si="45"/>
        <v/>
      </c>
      <c r="H183" s="22" t="str">
        <f t="shared" si="56"/>
        <v/>
      </c>
      <c r="I183" s="22" t="str">
        <f t="shared" si="46"/>
        <v/>
      </c>
      <c r="J183" s="22" t="str">
        <f t="shared" si="57"/>
        <v/>
      </c>
      <c r="K183" s="22" t="str">
        <f t="shared" si="58"/>
        <v/>
      </c>
      <c r="L183" t="str">
        <f t="shared" si="59"/>
        <v/>
      </c>
      <c r="M183" s="5" t="str">
        <f t="shared" si="52"/>
        <v/>
      </c>
      <c r="N183" s="9" t="str">
        <f t="shared" si="60"/>
        <v/>
      </c>
      <c r="O183" s="3" t="str">
        <f t="shared" si="47"/>
        <v/>
      </c>
      <c r="P183" s="3" t="str">
        <f t="shared" si="48"/>
        <v/>
      </c>
      <c r="Q183" s="3" t="str">
        <f t="shared" si="53"/>
        <v/>
      </c>
      <c r="R183" s="3" t="str">
        <f t="shared" si="54"/>
        <v/>
      </c>
      <c r="S183" s="3" t="str">
        <f>IF($L183&lt;&gt;"",IF($A183="Prepago",0,IF(ROUND($H183*$U$6,2)&gt;ROUND(SUM($S$11:$S182)+$U$6,2),$U$6*2,$U$6)),"")</f>
        <v/>
      </c>
      <c r="T183" s="3" t="str">
        <f>IF($L183&lt;&gt;"",IF($A183="Prepago",0,IF(ROUND($H183*$U$7,2)&gt;ROUND(SUM($T$11:$T182)+$U$7,2),$U$7*2,$U$7)),"")</f>
        <v/>
      </c>
      <c r="U183" s="3" t="str">
        <f>IF($L183&lt;&gt;"",IF($A183="Prepago",0,IF(ROUND($H183*$U$8,2)&gt;ROUND(SUM($U$11:$U182)+$U$8,2),$U$8*2,$U$8)),"")</f>
        <v/>
      </c>
      <c r="V183" s="3" t="str">
        <f>IF($L183&lt;&gt;"",IF($A183="Prepago",0,IF(ROUND($H183*$U$9,2)&gt;ROUND(SUM($V$11:$V182)+$U$9,2),$U$9*2,$U$9)),"")</f>
        <v/>
      </c>
      <c r="W183" s="3" t="str">
        <f t="shared" si="61"/>
        <v/>
      </c>
      <c r="X183" s="3" t="str">
        <f t="shared" si="49"/>
        <v/>
      </c>
      <c r="Y183" s="3" t="str">
        <f t="shared" si="50"/>
        <v/>
      </c>
      <c r="Z183" s="3" t="str">
        <f t="shared" si="51"/>
        <v/>
      </c>
      <c r="AA183" s="3" t="str">
        <f>IF($L183&lt;&gt;"",IF($N183&gt;Z$11,IF($N183&lt;AA$11,$N183-Z$11,30),0)*ROUND(($O183+$X182+SUM($Z183:Z183))*$V$5/3000,2),"")</f>
        <v/>
      </c>
      <c r="AB183" s="3"/>
      <c r="AC183" s="3"/>
    </row>
    <row r="184" spans="5:29" x14ac:dyDescent="0.25">
      <c r="E184" s="5"/>
      <c r="F184" t="str">
        <f t="shared" si="55"/>
        <v/>
      </c>
      <c r="G184" s="5" t="str">
        <f t="shared" si="45"/>
        <v/>
      </c>
      <c r="H184" s="22" t="str">
        <f t="shared" si="56"/>
        <v/>
      </c>
      <c r="I184" s="22" t="str">
        <f t="shared" si="46"/>
        <v/>
      </c>
      <c r="J184" s="22" t="str">
        <f t="shared" si="57"/>
        <v/>
      </c>
      <c r="K184" s="22" t="str">
        <f t="shared" si="58"/>
        <v/>
      </c>
      <c r="L184" t="str">
        <f t="shared" si="59"/>
        <v/>
      </c>
      <c r="M184" s="5" t="str">
        <f t="shared" si="52"/>
        <v/>
      </c>
      <c r="N184" s="9" t="str">
        <f t="shared" si="60"/>
        <v/>
      </c>
      <c r="O184" s="3" t="str">
        <f t="shared" si="47"/>
        <v/>
      </c>
      <c r="P184" s="3" t="str">
        <f t="shared" si="48"/>
        <v/>
      </c>
      <c r="Q184" s="3" t="str">
        <f t="shared" si="53"/>
        <v/>
      </c>
      <c r="R184" s="3" t="str">
        <f t="shared" si="54"/>
        <v/>
      </c>
      <c r="S184" s="3" t="str">
        <f>IF($L184&lt;&gt;"",IF($A184="Prepago",0,IF(ROUND($H184*$U$6,2)&gt;ROUND(SUM($S$11:$S183)+$U$6,2),$U$6*2,$U$6)),"")</f>
        <v/>
      </c>
      <c r="T184" s="3" t="str">
        <f>IF($L184&lt;&gt;"",IF($A184="Prepago",0,IF(ROUND($H184*$U$7,2)&gt;ROUND(SUM($T$11:$T183)+$U$7,2),$U$7*2,$U$7)),"")</f>
        <v/>
      </c>
      <c r="U184" s="3" t="str">
        <f>IF($L184&lt;&gt;"",IF($A184="Prepago",0,IF(ROUND($H184*$U$8,2)&gt;ROUND(SUM($U$11:$U183)+$U$8,2),$U$8*2,$U$8)),"")</f>
        <v/>
      </c>
      <c r="V184" s="3" t="str">
        <f>IF($L184&lt;&gt;"",IF($A184="Prepago",0,IF(ROUND($H184*$U$9,2)&gt;ROUND(SUM($V$11:$V183)+$U$9,2),$U$9*2,$U$9)),"")</f>
        <v/>
      </c>
      <c r="W184" s="3" t="str">
        <f t="shared" si="61"/>
        <v/>
      </c>
      <c r="X184" s="3" t="str">
        <f t="shared" si="49"/>
        <v/>
      </c>
      <c r="Y184" s="3" t="str">
        <f t="shared" si="50"/>
        <v/>
      </c>
      <c r="Z184" s="3" t="str">
        <f t="shared" si="51"/>
        <v/>
      </c>
      <c r="AA184" s="3" t="str">
        <f>IF($L184&lt;&gt;"",IF($N184&gt;Z$11,IF($N184&lt;AA$11,$N184-Z$11,30),0)*ROUND(($O184+$X183+SUM($Z184:Z184))*$V$5/3000,2),"")</f>
        <v/>
      </c>
      <c r="AB184" s="3"/>
      <c r="AC184" s="3"/>
    </row>
    <row r="185" spans="5:29" x14ac:dyDescent="0.25">
      <c r="E185" s="5"/>
      <c r="F185" t="str">
        <f t="shared" si="55"/>
        <v/>
      </c>
      <c r="G185" s="5" t="str">
        <f t="shared" si="45"/>
        <v/>
      </c>
      <c r="H185" s="22" t="str">
        <f t="shared" si="56"/>
        <v/>
      </c>
      <c r="I185" s="22" t="str">
        <f t="shared" si="46"/>
        <v/>
      </c>
      <c r="J185" s="22" t="str">
        <f t="shared" si="57"/>
        <v/>
      </c>
      <c r="K185" s="22" t="str">
        <f t="shared" si="58"/>
        <v/>
      </c>
      <c r="L185" t="str">
        <f t="shared" si="59"/>
        <v/>
      </c>
      <c r="M185" s="5" t="str">
        <f t="shared" si="52"/>
        <v/>
      </c>
      <c r="N185" s="9" t="str">
        <f t="shared" si="60"/>
        <v/>
      </c>
      <c r="O185" s="3" t="str">
        <f t="shared" si="47"/>
        <v/>
      </c>
      <c r="P185" s="3" t="str">
        <f t="shared" si="48"/>
        <v/>
      </c>
      <c r="Q185" s="3" t="str">
        <f t="shared" si="53"/>
        <v/>
      </c>
      <c r="R185" s="3" t="str">
        <f t="shared" si="54"/>
        <v/>
      </c>
      <c r="S185" s="3" t="str">
        <f>IF($L185&lt;&gt;"",IF($A185="Prepago",0,IF(ROUND($H185*$U$6,2)&gt;ROUND(SUM($S$11:$S184)+$U$6,2),$U$6*2,$U$6)),"")</f>
        <v/>
      </c>
      <c r="T185" s="3" t="str">
        <f>IF($L185&lt;&gt;"",IF($A185="Prepago",0,IF(ROUND($H185*$U$7,2)&gt;ROUND(SUM($T$11:$T184)+$U$7,2),$U$7*2,$U$7)),"")</f>
        <v/>
      </c>
      <c r="U185" s="3" t="str">
        <f>IF($L185&lt;&gt;"",IF($A185="Prepago",0,IF(ROUND($H185*$U$8,2)&gt;ROUND(SUM($U$11:$U184)+$U$8,2),$U$8*2,$U$8)),"")</f>
        <v/>
      </c>
      <c r="V185" s="3" t="str">
        <f>IF($L185&lt;&gt;"",IF($A185="Prepago",0,IF(ROUND($H185*$U$9,2)&gt;ROUND(SUM($V$11:$V184)+$U$9,2),$U$9*2,$U$9)),"")</f>
        <v/>
      </c>
      <c r="W185" s="3" t="str">
        <f t="shared" si="61"/>
        <v/>
      </c>
      <c r="X185" s="3" t="str">
        <f t="shared" si="49"/>
        <v/>
      </c>
      <c r="Y185" s="3" t="str">
        <f t="shared" si="50"/>
        <v/>
      </c>
      <c r="Z185" s="3" t="str">
        <f t="shared" si="51"/>
        <v/>
      </c>
      <c r="AA185" s="3" t="str">
        <f>IF($L185&lt;&gt;"",IF($N185&gt;Z$11,IF($N185&lt;AA$11,$N185-Z$11,30),0)*ROUND(($O185+$X184+SUM($Z185:Z185))*$V$5/3000,2),"")</f>
        <v/>
      </c>
      <c r="AB185" s="3"/>
      <c r="AC185" s="3"/>
    </row>
    <row r="186" spans="5:29" x14ac:dyDescent="0.25">
      <c r="E186" s="5"/>
      <c r="F186" t="str">
        <f t="shared" si="55"/>
        <v/>
      </c>
      <c r="G186" s="5" t="str">
        <f t="shared" si="45"/>
        <v/>
      </c>
      <c r="H186" s="22" t="str">
        <f t="shared" si="56"/>
        <v/>
      </c>
      <c r="I186" s="22" t="str">
        <f t="shared" si="46"/>
        <v/>
      </c>
      <c r="J186" s="22" t="str">
        <f t="shared" si="57"/>
        <v/>
      </c>
      <c r="K186" s="22" t="str">
        <f t="shared" si="58"/>
        <v/>
      </c>
      <c r="L186" t="str">
        <f t="shared" si="59"/>
        <v/>
      </c>
      <c r="M186" s="5" t="str">
        <f t="shared" si="52"/>
        <v/>
      </c>
      <c r="N186" s="9" t="str">
        <f t="shared" si="60"/>
        <v/>
      </c>
      <c r="O186" s="3" t="str">
        <f t="shared" si="47"/>
        <v/>
      </c>
      <c r="P186" s="3" t="str">
        <f t="shared" si="48"/>
        <v/>
      </c>
      <c r="Q186" s="3" t="str">
        <f t="shared" si="53"/>
        <v/>
      </c>
      <c r="R186" s="3" t="str">
        <f t="shared" si="54"/>
        <v/>
      </c>
      <c r="S186" s="3" t="str">
        <f>IF($L186&lt;&gt;"",IF($A186="Prepago",0,IF(ROUND($H186*$U$6,2)&gt;ROUND(SUM($S$11:$S185)+$U$6,2),$U$6*2,$U$6)),"")</f>
        <v/>
      </c>
      <c r="T186" s="3" t="str">
        <f>IF($L186&lt;&gt;"",IF($A186="Prepago",0,IF(ROUND($H186*$U$7,2)&gt;ROUND(SUM($T$11:$T185)+$U$7,2),$U$7*2,$U$7)),"")</f>
        <v/>
      </c>
      <c r="U186" s="3" t="str">
        <f>IF($L186&lt;&gt;"",IF($A186="Prepago",0,IF(ROUND($H186*$U$8,2)&gt;ROUND(SUM($U$11:$U185)+$U$8,2),$U$8*2,$U$8)),"")</f>
        <v/>
      </c>
      <c r="V186" s="3" t="str">
        <f>IF($L186&lt;&gt;"",IF($A186="Prepago",0,IF(ROUND($H186*$U$9,2)&gt;ROUND(SUM($V$11:$V185)+$U$9,2),$U$9*2,$U$9)),"")</f>
        <v/>
      </c>
      <c r="W186" s="3" t="str">
        <f t="shared" si="61"/>
        <v/>
      </c>
      <c r="X186" s="3" t="str">
        <f t="shared" si="49"/>
        <v/>
      </c>
      <c r="Y186" s="3" t="str">
        <f t="shared" si="50"/>
        <v/>
      </c>
      <c r="Z186" s="3" t="str">
        <f t="shared" si="51"/>
        <v/>
      </c>
      <c r="AA186" s="3" t="str">
        <f>IF($L186&lt;&gt;"",IF($N186&gt;Z$11,IF($N186&lt;AA$11,$N186-Z$11,30),0)*ROUND(($O186+$X185+SUM($Z186:Z186))*$V$5/3000,2),"")</f>
        <v/>
      </c>
      <c r="AB186" s="3"/>
      <c r="AC186" s="3"/>
    </row>
    <row r="187" spans="5:29" x14ac:dyDescent="0.25">
      <c r="E187" s="5"/>
      <c r="F187" t="str">
        <f t="shared" si="55"/>
        <v/>
      </c>
      <c r="G187" s="5" t="str">
        <f t="shared" si="45"/>
        <v/>
      </c>
      <c r="H187" s="22" t="str">
        <f t="shared" si="56"/>
        <v/>
      </c>
      <c r="I187" s="22" t="str">
        <f t="shared" si="46"/>
        <v/>
      </c>
      <c r="J187" s="22" t="str">
        <f t="shared" si="57"/>
        <v/>
      </c>
      <c r="K187" s="22" t="str">
        <f t="shared" si="58"/>
        <v/>
      </c>
      <c r="L187" t="str">
        <f t="shared" si="59"/>
        <v/>
      </c>
      <c r="M187" s="5" t="str">
        <f t="shared" si="52"/>
        <v/>
      </c>
      <c r="N187" s="9" t="str">
        <f t="shared" si="60"/>
        <v/>
      </c>
      <c r="O187" s="3" t="str">
        <f t="shared" si="47"/>
        <v/>
      </c>
      <c r="P187" s="3" t="str">
        <f t="shared" si="48"/>
        <v/>
      </c>
      <c r="Q187" s="3" t="str">
        <f t="shared" si="53"/>
        <v/>
      </c>
      <c r="R187" s="3" t="str">
        <f t="shared" si="54"/>
        <v/>
      </c>
      <c r="S187" s="3" t="str">
        <f>IF($L187&lt;&gt;"",IF($A187="Prepago",0,IF(ROUND($H187*$U$6,2)&gt;ROUND(SUM($S$11:$S186)+$U$6,2),$U$6*2,$U$6)),"")</f>
        <v/>
      </c>
      <c r="T187" s="3" t="str">
        <f>IF($L187&lt;&gt;"",IF($A187="Prepago",0,IF(ROUND($H187*$U$7,2)&gt;ROUND(SUM($T$11:$T186)+$U$7,2),$U$7*2,$U$7)),"")</f>
        <v/>
      </c>
      <c r="U187" s="3" t="str">
        <f>IF($L187&lt;&gt;"",IF($A187="Prepago",0,IF(ROUND($H187*$U$8,2)&gt;ROUND(SUM($U$11:$U186)+$U$8,2),$U$8*2,$U$8)),"")</f>
        <v/>
      </c>
      <c r="V187" s="3" t="str">
        <f>IF($L187&lt;&gt;"",IF($A187="Prepago",0,IF(ROUND($H187*$U$9,2)&gt;ROUND(SUM($V$11:$V186)+$U$9,2),$U$9*2,$U$9)),"")</f>
        <v/>
      </c>
      <c r="W187" s="3" t="str">
        <f t="shared" si="61"/>
        <v/>
      </c>
      <c r="X187" s="3" t="str">
        <f t="shared" si="49"/>
        <v/>
      </c>
      <c r="Y187" s="3" t="str">
        <f t="shared" si="50"/>
        <v/>
      </c>
      <c r="Z187" s="3" t="str">
        <f t="shared" si="51"/>
        <v/>
      </c>
      <c r="AA187" s="3" t="str">
        <f>IF($L187&lt;&gt;"",IF($N187&gt;Z$11,IF($N187&lt;AA$11,$N187-Z$11,30),0)*ROUND(($O187+$X186+SUM($Z187:Z187))*$V$5/3000,2),"")</f>
        <v/>
      </c>
      <c r="AB187" s="3"/>
      <c r="AC187" s="3"/>
    </row>
    <row r="188" spans="5:29" x14ac:dyDescent="0.25">
      <c r="E188" s="5"/>
      <c r="F188" t="str">
        <f t="shared" si="55"/>
        <v/>
      </c>
      <c r="G188" s="5" t="str">
        <f t="shared" si="45"/>
        <v/>
      </c>
      <c r="H188" s="22" t="str">
        <f t="shared" si="56"/>
        <v/>
      </c>
      <c r="I188" s="22" t="str">
        <f t="shared" si="46"/>
        <v/>
      </c>
      <c r="J188" s="22" t="str">
        <f t="shared" si="57"/>
        <v/>
      </c>
      <c r="K188" s="22" t="str">
        <f t="shared" si="58"/>
        <v/>
      </c>
      <c r="L188" t="str">
        <f t="shared" si="59"/>
        <v/>
      </c>
      <c r="M188" s="5" t="str">
        <f t="shared" si="52"/>
        <v/>
      </c>
      <c r="N188" s="9" t="str">
        <f t="shared" si="60"/>
        <v/>
      </c>
      <c r="O188" s="3" t="str">
        <f t="shared" si="47"/>
        <v/>
      </c>
      <c r="P188" s="3" t="str">
        <f t="shared" si="48"/>
        <v/>
      </c>
      <c r="Q188" s="3" t="str">
        <f t="shared" si="53"/>
        <v/>
      </c>
      <c r="R188" s="3" t="str">
        <f t="shared" si="54"/>
        <v/>
      </c>
      <c r="S188" s="3" t="str">
        <f>IF($L188&lt;&gt;"",IF($A188="Prepago",0,IF(ROUND($H188*$U$6,2)&gt;ROUND(SUM($S$11:$S187)+$U$6,2),$U$6*2,$U$6)),"")</f>
        <v/>
      </c>
      <c r="T188" s="3" t="str">
        <f>IF($L188&lt;&gt;"",IF($A188="Prepago",0,IF(ROUND($H188*$U$7,2)&gt;ROUND(SUM($T$11:$T187)+$U$7,2),$U$7*2,$U$7)),"")</f>
        <v/>
      </c>
      <c r="U188" s="3" t="str">
        <f>IF($L188&lt;&gt;"",IF($A188="Prepago",0,IF(ROUND($H188*$U$8,2)&gt;ROUND(SUM($U$11:$U187)+$U$8,2),$U$8*2,$U$8)),"")</f>
        <v/>
      </c>
      <c r="V188" s="3" t="str">
        <f>IF($L188&lt;&gt;"",IF($A188="Prepago",0,IF(ROUND($H188*$U$9,2)&gt;ROUND(SUM($V$11:$V187)+$U$9,2),$U$9*2,$U$9)),"")</f>
        <v/>
      </c>
      <c r="W188" s="3" t="str">
        <f t="shared" si="61"/>
        <v/>
      </c>
      <c r="X188" s="3" t="str">
        <f t="shared" si="49"/>
        <v/>
      </c>
      <c r="Y188" s="3" t="str">
        <f t="shared" si="50"/>
        <v/>
      </c>
      <c r="Z188" s="3" t="str">
        <f t="shared" si="51"/>
        <v/>
      </c>
      <c r="AA188" s="3" t="str">
        <f>IF($L188&lt;&gt;"",IF($N188&gt;Z$11,IF($N188&lt;AA$11,$N188-Z$11,30),0)*ROUND(($O188+$X187+SUM($Z188:Z188))*$V$5/3000,2),"")</f>
        <v/>
      </c>
      <c r="AB188" s="3"/>
      <c r="AC188" s="3"/>
    </row>
    <row r="189" spans="5:29" x14ac:dyDescent="0.25">
      <c r="E189" s="5"/>
      <c r="F189" t="str">
        <f t="shared" si="55"/>
        <v/>
      </c>
      <c r="G189" s="5" t="str">
        <f t="shared" si="45"/>
        <v/>
      </c>
      <c r="H189" s="22" t="str">
        <f t="shared" si="56"/>
        <v/>
      </c>
      <c r="I189" s="22" t="str">
        <f t="shared" si="46"/>
        <v/>
      </c>
      <c r="J189" s="22" t="str">
        <f t="shared" si="57"/>
        <v/>
      </c>
      <c r="K189" s="22" t="str">
        <f t="shared" si="58"/>
        <v/>
      </c>
      <c r="L189" t="str">
        <f t="shared" si="59"/>
        <v/>
      </c>
      <c r="M189" s="5" t="str">
        <f t="shared" si="52"/>
        <v/>
      </c>
      <c r="N189" s="9" t="str">
        <f t="shared" si="60"/>
        <v/>
      </c>
      <c r="O189" s="3" t="str">
        <f t="shared" si="47"/>
        <v/>
      </c>
      <c r="P189" s="3" t="str">
        <f t="shared" si="48"/>
        <v/>
      </c>
      <c r="Q189" s="3" t="str">
        <f t="shared" si="53"/>
        <v/>
      </c>
      <c r="R189" s="3" t="str">
        <f t="shared" si="54"/>
        <v/>
      </c>
      <c r="S189" s="3" t="str">
        <f>IF($L189&lt;&gt;"",IF($A189="Prepago",0,IF(ROUND($H189*$U$6,2)&gt;ROUND(SUM($S$11:$S188)+$U$6,2),$U$6*2,$U$6)),"")</f>
        <v/>
      </c>
      <c r="T189" s="3" t="str">
        <f>IF($L189&lt;&gt;"",IF($A189="Prepago",0,IF(ROUND($H189*$U$7,2)&gt;ROUND(SUM($T$11:$T188)+$U$7,2),$U$7*2,$U$7)),"")</f>
        <v/>
      </c>
      <c r="U189" s="3" t="str">
        <f>IF($L189&lt;&gt;"",IF($A189="Prepago",0,IF(ROUND($H189*$U$8,2)&gt;ROUND(SUM($U$11:$U188)+$U$8,2),$U$8*2,$U$8)),"")</f>
        <v/>
      </c>
      <c r="V189" s="3" t="str">
        <f>IF($L189&lt;&gt;"",IF($A189="Prepago",0,IF(ROUND($H189*$U$9,2)&gt;ROUND(SUM($V$11:$V188)+$U$9,2),$U$9*2,$U$9)),"")</f>
        <v/>
      </c>
      <c r="W189" s="3" t="str">
        <f t="shared" si="61"/>
        <v/>
      </c>
      <c r="X189" s="3" t="str">
        <f t="shared" si="49"/>
        <v/>
      </c>
      <c r="Y189" s="3" t="str">
        <f t="shared" si="50"/>
        <v/>
      </c>
      <c r="Z189" s="3" t="str">
        <f t="shared" si="51"/>
        <v/>
      </c>
      <c r="AA189" s="3" t="str">
        <f>IF($L189&lt;&gt;"",IF($N189&gt;Z$11,IF($N189&lt;AA$11,$N189-Z$11,30),0)*ROUND(($O189+$X188+SUM($Z189:Z189))*$V$5/3000,2),"")</f>
        <v/>
      </c>
      <c r="AB189" s="3"/>
      <c r="AC189" s="3"/>
    </row>
    <row r="190" spans="5:29" x14ac:dyDescent="0.25">
      <c r="E190" s="5"/>
      <c r="F190" t="str">
        <f t="shared" si="55"/>
        <v/>
      </c>
      <c r="G190" s="5" t="str">
        <f t="shared" si="45"/>
        <v/>
      </c>
      <c r="H190" s="22" t="str">
        <f t="shared" si="56"/>
        <v/>
      </c>
      <c r="I190" s="22" t="str">
        <f t="shared" si="46"/>
        <v/>
      </c>
      <c r="J190" s="22" t="str">
        <f t="shared" si="57"/>
        <v/>
      </c>
      <c r="K190" s="22" t="str">
        <f t="shared" si="58"/>
        <v/>
      </c>
      <c r="L190" t="str">
        <f t="shared" si="59"/>
        <v/>
      </c>
      <c r="M190" s="5" t="str">
        <f t="shared" si="52"/>
        <v/>
      </c>
      <c r="N190" s="9" t="str">
        <f t="shared" si="60"/>
        <v/>
      </c>
      <c r="O190" s="3" t="str">
        <f t="shared" si="47"/>
        <v/>
      </c>
      <c r="P190" s="3" t="str">
        <f t="shared" si="48"/>
        <v/>
      </c>
      <c r="Q190" s="3" t="str">
        <f t="shared" si="53"/>
        <v/>
      </c>
      <c r="R190" s="3" t="str">
        <f t="shared" si="54"/>
        <v/>
      </c>
      <c r="S190" s="3" t="str">
        <f>IF($L190&lt;&gt;"",IF($A190="Prepago",0,IF(ROUND($H190*$U$6,2)&gt;ROUND(SUM($S$11:$S189)+$U$6,2),$U$6*2,$U$6)),"")</f>
        <v/>
      </c>
      <c r="T190" s="3" t="str">
        <f>IF($L190&lt;&gt;"",IF($A190="Prepago",0,IF(ROUND($H190*$U$7,2)&gt;ROUND(SUM($T$11:$T189)+$U$7,2),$U$7*2,$U$7)),"")</f>
        <v/>
      </c>
      <c r="U190" s="3" t="str">
        <f>IF($L190&lt;&gt;"",IF($A190="Prepago",0,IF(ROUND($H190*$U$8,2)&gt;ROUND(SUM($U$11:$U189)+$U$8,2),$U$8*2,$U$8)),"")</f>
        <v/>
      </c>
      <c r="V190" s="3" t="str">
        <f>IF($L190&lt;&gt;"",IF($A190="Prepago",0,IF(ROUND($H190*$U$9,2)&gt;ROUND(SUM($V$11:$V189)+$U$9,2),$U$9*2,$U$9)),"")</f>
        <v/>
      </c>
      <c r="W190" s="3" t="str">
        <f t="shared" si="61"/>
        <v/>
      </c>
      <c r="X190" s="3" t="str">
        <f t="shared" si="49"/>
        <v/>
      </c>
      <c r="Y190" s="3" t="str">
        <f t="shared" si="50"/>
        <v/>
      </c>
      <c r="Z190" s="3" t="str">
        <f t="shared" si="51"/>
        <v/>
      </c>
      <c r="AA190" s="3" t="str">
        <f>IF($L190&lt;&gt;"",IF($N190&gt;Z$11,IF($N190&lt;AA$11,$N190-Z$11,30),0)*ROUND(($O190+$X189+SUM($Z190:Z190))*$V$5/3000,2),"")</f>
        <v/>
      </c>
      <c r="AB190" s="3"/>
      <c r="AC190" s="3"/>
    </row>
    <row r="191" spans="5:29" x14ac:dyDescent="0.25">
      <c r="E191" s="5"/>
      <c r="F191" t="str">
        <f t="shared" si="55"/>
        <v/>
      </c>
      <c r="G191" s="5" t="str">
        <f t="shared" si="45"/>
        <v/>
      </c>
      <c r="H191" s="22" t="str">
        <f t="shared" si="56"/>
        <v/>
      </c>
      <c r="I191" s="22" t="str">
        <f t="shared" si="46"/>
        <v/>
      </c>
      <c r="J191" s="22" t="str">
        <f t="shared" si="57"/>
        <v/>
      </c>
      <c r="K191" s="22" t="str">
        <f t="shared" si="58"/>
        <v/>
      </c>
      <c r="L191" t="str">
        <f t="shared" si="59"/>
        <v/>
      </c>
      <c r="M191" s="5" t="str">
        <f t="shared" si="52"/>
        <v/>
      </c>
      <c r="N191" s="9" t="str">
        <f t="shared" si="60"/>
        <v/>
      </c>
      <c r="O191" s="3" t="str">
        <f t="shared" si="47"/>
        <v/>
      </c>
      <c r="P191" s="3" t="str">
        <f t="shared" si="48"/>
        <v/>
      </c>
      <c r="Q191" s="3" t="str">
        <f t="shared" si="53"/>
        <v/>
      </c>
      <c r="R191" s="3" t="str">
        <f t="shared" si="54"/>
        <v/>
      </c>
      <c r="S191" s="3" t="str">
        <f>IF($L191&lt;&gt;"",IF($A191="Prepago",0,IF(ROUND($H191*$U$6,2)&gt;ROUND(SUM($S$11:$S190)+$U$6,2),$U$6*2,$U$6)),"")</f>
        <v/>
      </c>
      <c r="T191" s="3" t="str">
        <f>IF($L191&lt;&gt;"",IF($A191="Prepago",0,IF(ROUND($H191*$U$7,2)&gt;ROUND(SUM($T$11:$T190)+$U$7,2),$U$7*2,$U$7)),"")</f>
        <v/>
      </c>
      <c r="U191" s="3" t="str">
        <f>IF($L191&lt;&gt;"",IF($A191="Prepago",0,IF(ROUND($H191*$U$8,2)&gt;ROUND(SUM($U$11:$U190)+$U$8,2),$U$8*2,$U$8)),"")</f>
        <v/>
      </c>
      <c r="V191" s="3" t="str">
        <f>IF($L191&lt;&gt;"",IF($A191="Prepago",0,IF(ROUND($H191*$U$9,2)&gt;ROUND(SUM($V$11:$V190)+$U$9,2),$U$9*2,$U$9)),"")</f>
        <v/>
      </c>
      <c r="W191" s="3" t="str">
        <f t="shared" si="61"/>
        <v/>
      </c>
      <c r="X191" s="3" t="str">
        <f t="shared" si="49"/>
        <v/>
      </c>
      <c r="Y191" s="3" t="str">
        <f t="shared" si="50"/>
        <v/>
      </c>
      <c r="Z191" s="3" t="str">
        <f t="shared" si="51"/>
        <v/>
      </c>
      <c r="AA191" s="3" t="str">
        <f>IF($L191&lt;&gt;"",IF($N191&gt;Z$11,IF($N191&lt;AA$11,$N191-Z$11,30),0)*ROUND(($O191+$X190+SUM($Z191:Z191))*$V$5/3000,2),"")</f>
        <v/>
      </c>
      <c r="AB191" s="3"/>
      <c r="AC191" s="3"/>
    </row>
    <row r="192" spans="5:29" x14ac:dyDescent="0.25">
      <c r="E192" s="5"/>
      <c r="F192" t="str">
        <f t="shared" si="55"/>
        <v/>
      </c>
      <c r="G192" s="5" t="str">
        <f t="shared" si="45"/>
        <v/>
      </c>
      <c r="H192" s="22" t="str">
        <f t="shared" si="56"/>
        <v/>
      </c>
      <c r="I192" s="22" t="str">
        <f t="shared" si="46"/>
        <v/>
      </c>
      <c r="J192" s="22" t="str">
        <f t="shared" si="57"/>
        <v/>
      </c>
      <c r="K192" s="22" t="str">
        <f t="shared" si="58"/>
        <v/>
      </c>
      <c r="L192" t="str">
        <f t="shared" si="59"/>
        <v/>
      </c>
      <c r="M192" s="5" t="str">
        <f t="shared" si="52"/>
        <v/>
      </c>
      <c r="N192" s="9" t="str">
        <f t="shared" si="60"/>
        <v/>
      </c>
      <c r="O192" s="3" t="str">
        <f t="shared" si="47"/>
        <v/>
      </c>
      <c r="P192" s="3" t="str">
        <f t="shared" si="48"/>
        <v/>
      </c>
      <c r="Q192" s="3" t="str">
        <f t="shared" si="53"/>
        <v/>
      </c>
      <c r="R192" s="3" t="str">
        <f t="shared" si="54"/>
        <v/>
      </c>
      <c r="S192" s="3" t="str">
        <f>IF($L192&lt;&gt;"",IF($A192="Prepago",0,IF(ROUND($H192*$U$6,2)&gt;ROUND(SUM($S$11:$S191)+$U$6,2),$U$6*2,$U$6)),"")</f>
        <v/>
      </c>
      <c r="T192" s="3" t="str">
        <f>IF($L192&lt;&gt;"",IF($A192="Prepago",0,IF(ROUND($H192*$U$7,2)&gt;ROUND(SUM($T$11:$T191)+$U$7,2),$U$7*2,$U$7)),"")</f>
        <v/>
      </c>
      <c r="U192" s="3" t="str">
        <f>IF($L192&lt;&gt;"",IF($A192="Prepago",0,IF(ROUND($H192*$U$8,2)&gt;ROUND(SUM($U$11:$U191)+$U$8,2),$U$8*2,$U$8)),"")</f>
        <v/>
      </c>
      <c r="V192" s="3" t="str">
        <f>IF($L192&lt;&gt;"",IF($A192="Prepago",0,IF(ROUND($H192*$U$9,2)&gt;ROUND(SUM($V$11:$V191)+$U$9,2),$U$9*2,$U$9)),"")</f>
        <v/>
      </c>
      <c r="W192" s="3" t="str">
        <f t="shared" si="61"/>
        <v/>
      </c>
      <c r="X192" s="3" t="str">
        <f t="shared" si="49"/>
        <v/>
      </c>
      <c r="Y192" s="3" t="str">
        <f t="shared" si="50"/>
        <v/>
      </c>
      <c r="Z192" s="3" t="str">
        <f t="shared" si="51"/>
        <v/>
      </c>
      <c r="AA192" s="3" t="str">
        <f>IF($L192&lt;&gt;"",IF($N192&gt;Z$11,IF($N192&lt;AA$11,$N192-Z$11,30),0)*ROUND(($O192+$X191+SUM($Z192:Z192))*$V$5/3000,2),"")</f>
        <v/>
      </c>
      <c r="AB192" s="3"/>
      <c r="AC192" s="3"/>
    </row>
    <row r="193" spans="5:29" x14ac:dyDescent="0.25">
      <c r="E193" s="5"/>
      <c r="F193" t="str">
        <f t="shared" si="55"/>
        <v/>
      </c>
      <c r="G193" s="5" t="str">
        <f t="shared" si="45"/>
        <v/>
      </c>
      <c r="H193" s="22" t="str">
        <f t="shared" si="56"/>
        <v/>
      </c>
      <c r="I193" s="22" t="str">
        <f t="shared" si="46"/>
        <v/>
      </c>
      <c r="J193" s="22" t="str">
        <f t="shared" si="57"/>
        <v/>
      </c>
      <c r="K193" s="22" t="str">
        <f t="shared" si="58"/>
        <v/>
      </c>
      <c r="L193" t="str">
        <f t="shared" si="59"/>
        <v/>
      </c>
      <c r="M193" s="5" t="str">
        <f t="shared" si="52"/>
        <v/>
      </c>
      <c r="N193" s="9" t="str">
        <f t="shared" si="60"/>
        <v/>
      </c>
      <c r="O193" s="3" t="str">
        <f t="shared" si="47"/>
        <v/>
      </c>
      <c r="P193" s="3" t="str">
        <f t="shared" si="48"/>
        <v/>
      </c>
      <c r="Q193" s="3" t="str">
        <f t="shared" si="53"/>
        <v/>
      </c>
      <c r="R193" s="3" t="str">
        <f t="shared" si="54"/>
        <v/>
      </c>
      <c r="S193" s="3" t="str">
        <f>IF($L193&lt;&gt;"",IF($A193="Prepago",0,IF(ROUND($H193*$U$6,2)&gt;ROUND(SUM($S$11:$S192)+$U$6,2),$U$6*2,$U$6)),"")</f>
        <v/>
      </c>
      <c r="T193" s="3" t="str">
        <f>IF($L193&lt;&gt;"",IF($A193="Prepago",0,IF(ROUND($H193*$U$7,2)&gt;ROUND(SUM($T$11:$T192)+$U$7,2),$U$7*2,$U$7)),"")</f>
        <v/>
      </c>
      <c r="U193" s="3" t="str">
        <f>IF($L193&lt;&gt;"",IF($A193="Prepago",0,IF(ROUND($H193*$U$8,2)&gt;ROUND(SUM($U$11:$U192)+$U$8,2),$U$8*2,$U$8)),"")</f>
        <v/>
      </c>
      <c r="V193" s="3" t="str">
        <f>IF($L193&lt;&gt;"",IF($A193="Prepago",0,IF(ROUND($H193*$U$9,2)&gt;ROUND(SUM($V$11:$V192)+$U$9,2),$U$9*2,$U$9)),"")</f>
        <v/>
      </c>
      <c r="W193" s="3" t="str">
        <f t="shared" si="61"/>
        <v/>
      </c>
      <c r="X193" s="3" t="str">
        <f t="shared" si="49"/>
        <v/>
      </c>
      <c r="Y193" s="3" t="str">
        <f t="shared" si="50"/>
        <v/>
      </c>
      <c r="Z193" s="3" t="str">
        <f t="shared" si="51"/>
        <v/>
      </c>
      <c r="AA193" s="3" t="str">
        <f>IF($L193&lt;&gt;"",IF($N193&gt;Z$11,IF($N193&lt;AA$11,$N193-Z$11,30),0)*ROUND(($O193+$X192+SUM($Z193:Z193))*$V$5/3000,2),"")</f>
        <v/>
      </c>
      <c r="AB193" s="3"/>
      <c r="AC193" s="3"/>
    </row>
    <row r="194" spans="5:29" x14ac:dyDescent="0.25">
      <c r="E194" s="5"/>
      <c r="F194" t="str">
        <f t="shared" si="55"/>
        <v/>
      </c>
      <c r="G194" s="5" t="str">
        <f t="shared" si="45"/>
        <v/>
      </c>
      <c r="H194" s="22" t="str">
        <f t="shared" si="56"/>
        <v/>
      </c>
      <c r="I194" s="22" t="str">
        <f t="shared" si="46"/>
        <v/>
      </c>
      <c r="J194" s="22" t="str">
        <f t="shared" si="57"/>
        <v/>
      </c>
      <c r="K194" s="22" t="str">
        <f t="shared" si="58"/>
        <v/>
      </c>
      <c r="L194" t="str">
        <f t="shared" si="59"/>
        <v/>
      </c>
      <c r="M194" s="5" t="str">
        <f t="shared" si="52"/>
        <v/>
      </c>
      <c r="N194" s="9" t="str">
        <f t="shared" si="60"/>
        <v/>
      </c>
      <c r="O194" s="3" t="str">
        <f t="shared" si="47"/>
        <v/>
      </c>
      <c r="P194" s="3" t="str">
        <f t="shared" si="48"/>
        <v/>
      </c>
      <c r="Q194" s="3" t="str">
        <f t="shared" si="53"/>
        <v/>
      </c>
      <c r="R194" s="3" t="str">
        <f t="shared" si="54"/>
        <v/>
      </c>
      <c r="S194" s="3" t="str">
        <f>IF($L194&lt;&gt;"",IF($A194="Prepago",0,IF(ROUND($H194*$U$6,2)&gt;ROUND(SUM($S$11:$S193)+$U$6,2),$U$6*2,$U$6)),"")</f>
        <v/>
      </c>
      <c r="T194" s="3" t="str">
        <f>IF($L194&lt;&gt;"",IF($A194="Prepago",0,IF(ROUND($H194*$U$7,2)&gt;ROUND(SUM($T$11:$T193)+$U$7,2),$U$7*2,$U$7)),"")</f>
        <v/>
      </c>
      <c r="U194" s="3" t="str">
        <f>IF($L194&lt;&gt;"",IF($A194="Prepago",0,IF(ROUND($H194*$U$8,2)&gt;ROUND(SUM($U$11:$U193)+$U$8,2),$U$8*2,$U$8)),"")</f>
        <v/>
      </c>
      <c r="V194" s="3" t="str">
        <f>IF($L194&lt;&gt;"",IF($A194="Prepago",0,IF(ROUND($H194*$U$9,2)&gt;ROUND(SUM($V$11:$V193)+$U$9,2),$U$9*2,$U$9)),"")</f>
        <v/>
      </c>
      <c r="W194" s="3" t="str">
        <f t="shared" si="61"/>
        <v/>
      </c>
      <c r="X194" s="3" t="str">
        <f t="shared" si="49"/>
        <v/>
      </c>
      <c r="Y194" s="3" t="str">
        <f t="shared" si="50"/>
        <v/>
      </c>
      <c r="Z194" s="3" t="str">
        <f t="shared" si="51"/>
        <v/>
      </c>
      <c r="AA194" s="3" t="str">
        <f>IF($L194&lt;&gt;"",IF($N194&gt;Z$11,IF($N194&lt;AA$11,$N194-Z$11,30),0)*ROUND(($O194+$X193+SUM($Z194:Z194))*$V$5/3000,2),"")</f>
        <v/>
      </c>
      <c r="AB194" s="3"/>
      <c r="AC194" s="3"/>
    </row>
    <row r="195" spans="5:29" x14ac:dyDescent="0.25">
      <c r="E195" s="5"/>
      <c r="F195" t="str">
        <f t="shared" si="55"/>
        <v/>
      </c>
      <c r="G195" s="5" t="str">
        <f t="shared" si="45"/>
        <v/>
      </c>
      <c r="H195" s="22" t="str">
        <f t="shared" si="56"/>
        <v/>
      </c>
      <c r="I195" s="22" t="str">
        <f t="shared" si="46"/>
        <v/>
      </c>
      <c r="J195" s="22" t="str">
        <f t="shared" si="57"/>
        <v/>
      </c>
      <c r="K195" s="22" t="str">
        <f t="shared" si="58"/>
        <v/>
      </c>
      <c r="L195" t="str">
        <f t="shared" si="59"/>
        <v/>
      </c>
      <c r="M195" s="5" t="str">
        <f t="shared" si="52"/>
        <v/>
      </c>
      <c r="N195" s="9" t="str">
        <f t="shared" si="60"/>
        <v/>
      </c>
      <c r="O195" s="3" t="str">
        <f t="shared" si="47"/>
        <v/>
      </c>
      <c r="P195" s="3" t="str">
        <f t="shared" si="48"/>
        <v/>
      </c>
      <c r="Q195" s="3" t="str">
        <f t="shared" si="53"/>
        <v/>
      </c>
      <c r="R195" s="3" t="str">
        <f t="shared" si="54"/>
        <v/>
      </c>
      <c r="S195" s="3" t="str">
        <f>IF($L195&lt;&gt;"",IF($A195="Prepago",0,IF(ROUND($H195*$U$6,2)&gt;ROUND(SUM($S$11:$S194)+$U$6,2),$U$6*2,$U$6)),"")</f>
        <v/>
      </c>
      <c r="T195" s="3" t="str">
        <f>IF($L195&lt;&gt;"",IF($A195="Prepago",0,IF(ROUND($H195*$U$7,2)&gt;ROUND(SUM($T$11:$T194)+$U$7,2),$U$7*2,$U$7)),"")</f>
        <v/>
      </c>
      <c r="U195" s="3" t="str">
        <f>IF($L195&lt;&gt;"",IF($A195="Prepago",0,IF(ROUND($H195*$U$8,2)&gt;ROUND(SUM($U$11:$U194)+$U$8,2),$U$8*2,$U$8)),"")</f>
        <v/>
      </c>
      <c r="V195" s="3" t="str">
        <f>IF($L195&lt;&gt;"",IF($A195="Prepago",0,IF(ROUND($H195*$U$9,2)&gt;ROUND(SUM($V$11:$V194)+$U$9,2),$U$9*2,$U$9)),"")</f>
        <v/>
      </c>
      <c r="W195" s="3" t="str">
        <f t="shared" si="61"/>
        <v/>
      </c>
      <c r="X195" s="3" t="str">
        <f t="shared" si="49"/>
        <v/>
      </c>
      <c r="Y195" s="3" t="str">
        <f t="shared" si="50"/>
        <v/>
      </c>
      <c r="Z195" s="3" t="str">
        <f t="shared" si="51"/>
        <v/>
      </c>
      <c r="AA195" s="3" t="str">
        <f>IF($L195&lt;&gt;"",IF($N195&gt;Z$11,IF($N195&lt;AA$11,$N195-Z$11,30),0)*ROUND(($O195+$X194+SUM($Z195:Z195))*$V$5/3000,2),"")</f>
        <v/>
      </c>
      <c r="AB195" s="3"/>
      <c r="AC195" s="3"/>
    </row>
    <row r="196" spans="5:29" x14ac:dyDescent="0.25">
      <c r="E196" s="5"/>
      <c r="F196" t="str">
        <f t="shared" si="55"/>
        <v/>
      </c>
      <c r="G196" s="5" t="str">
        <f t="shared" si="45"/>
        <v/>
      </c>
      <c r="H196" s="22" t="str">
        <f t="shared" si="56"/>
        <v/>
      </c>
      <c r="I196" s="22" t="str">
        <f t="shared" si="46"/>
        <v/>
      </c>
      <c r="J196" s="22" t="str">
        <f t="shared" si="57"/>
        <v/>
      </c>
      <c r="K196" s="22" t="str">
        <f t="shared" si="58"/>
        <v/>
      </c>
      <c r="L196" t="str">
        <f t="shared" si="59"/>
        <v/>
      </c>
      <c r="M196" s="5" t="str">
        <f t="shared" si="52"/>
        <v/>
      </c>
      <c r="N196" s="9" t="str">
        <f t="shared" si="60"/>
        <v/>
      </c>
      <c r="O196" s="3" t="str">
        <f t="shared" si="47"/>
        <v/>
      </c>
      <c r="P196" s="3" t="str">
        <f t="shared" si="48"/>
        <v/>
      </c>
      <c r="Q196" s="3" t="str">
        <f t="shared" si="53"/>
        <v/>
      </c>
      <c r="R196" s="3" t="str">
        <f t="shared" si="54"/>
        <v/>
      </c>
      <c r="S196" s="3" t="str">
        <f>IF($L196&lt;&gt;"",IF($A196="Prepago",0,IF(ROUND($H196*$U$6,2)&gt;ROUND(SUM($S$11:$S195)+$U$6,2),$U$6*2,$U$6)),"")</f>
        <v/>
      </c>
      <c r="T196" s="3" t="str">
        <f>IF($L196&lt;&gt;"",IF($A196="Prepago",0,IF(ROUND($H196*$U$7,2)&gt;ROUND(SUM($T$11:$T195)+$U$7,2),$U$7*2,$U$7)),"")</f>
        <v/>
      </c>
      <c r="U196" s="3" t="str">
        <f>IF($L196&lt;&gt;"",IF($A196="Prepago",0,IF(ROUND($H196*$U$8,2)&gt;ROUND(SUM($U$11:$U195)+$U$8,2),$U$8*2,$U$8)),"")</f>
        <v/>
      </c>
      <c r="V196" s="3" t="str">
        <f>IF($L196&lt;&gt;"",IF($A196="Prepago",0,IF(ROUND($H196*$U$9,2)&gt;ROUND(SUM($V$11:$V195)+$U$9,2),$U$9*2,$U$9)),"")</f>
        <v/>
      </c>
      <c r="W196" s="3" t="str">
        <f t="shared" si="61"/>
        <v/>
      </c>
      <c r="X196" s="3" t="str">
        <f t="shared" si="49"/>
        <v/>
      </c>
      <c r="Y196" s="3" t="str">
        <f t="shared" si="50"/>
        <v/>
      </c>
      <c r="Z196" s="3" t="str">
        <f t="shared" si="51"/>
        <v/>
      </c>
      <c r="AA196" s="3" t="str">
        <f>IF($L196&lt;&gt;"",IF($N196&gt;Z$11,IF($N196&lt;AA$11,$N196-Z$11,30),0)*ROUND(($O196+$X195+SUM($Z196:Z196))*$V$5/3000,2),"")</f>
        <v/>
      </c>
      <c r="AB196" s="3"/>
      <c r="AC196" s="3"/>
    </row>
    <row r="197" spans="5:29" x14ac:dyDescent="0.25">
      <c r="E197" s="5"/>
      <c r="F197" t="str">
        <f t="shared" si="55"/>
        <v/>
      </c>
      <c r="G197" s="5" t="str">
        <f t="shared" si="45"/>
        <v/>
      </c>
      <c r="H197" s="22" t="str">
        <f t="shared" si="56"/>
        <v/>
      </c>
      <c r="I197" s="22" t="str">
        <f t="shared" si="46"/>
        <v/>
      </c>
      <c r="J197" s="22" t="str">
        <f t="shared" si="57"/>
        <v/>
      </c>
      <c r="K197" s="22" t="str">
        <f t="shared" si="58"/>
        <v/>
      </c>
      <c r="L197" t="str">
        <f t="shared" si="59"/>
        <v/>
      </c>
      <c r="M197" s="5" t="str">
        <f t="shared" si="52"/>
        <v/>
      </c>
      <c r="N197" s="9" t="str">
        <f t="shared" si="60"/>
        <v/>
      </c>
      <c r="O197" s="3" t="str">
        <f t="shared" si="47"/>
        <v/>
      </c>
      <c r="P197" s="3" t="str">
        <f t="shared" si="48"/>
        <v/>
      </c>
      <c r="Q197" s="3" t="str">
        <f t="shared" si="53"/>
        <v/>
      </c>
      <c r="R197" s="3" t="str">
        <f t="shared" si="54"/>
        <v/>
      </c>
      <c r="S197" s="3" t="str">
        <f>IF($L197&lt;&gt;"",IF($A197="Prepago",0,IF(ROUND($H197*$U$6,2)&gt;ROUND(SUM($S$11:$S196)+$U$6,2),$U$6*2,$U$6)),"")</f>
        <v/>
      </c>
      <c r="T197" s="3" t="str">
        <f>IF($L197&lt;&gt;"",IF($A197="Prepago",0,IF(ROUND($H197*$U$7,2)&gt;ROUND(SUM($T$11:$T196)+$U$7,2),$U$7*2,$U$7)),"")</f>
        <v/>
      </c>
      <c r="U197" s="3" t="str">
        <f>IF($L197&lt;&gt;"",IF($A197="Prepago",0,IF(ROUND($H197*$U$8,2)&gt;ROUND(SUM($U$11:$U196)+$U$8,2),$U$8*2,$U$8)),"")</f>
        <v/>
      </c>
      <c r="V197" s="3" t="str">
        <f>IF($L197&lt;&gt;"",IF($A197="Prepago",0,IF(ROUND($H197*$U$9,2)&gt;ROUND(SUM($V$11:$V196)+$U$9,2),$U$9*2,$U$9)),"")</f>
        <v/>
      </c>
      <c r="W197" s="3" t="str">
        <f t="shared" si="61"/>
        <v/>
      </c>
      <c r="X197" s="3" t="str">
        <f t="shared" si="49"/>
        <v/>
      </c>
      <c r="Y197" s="3" t="str">
        <f t="shared" si="50"/>
        <v/>
      </c>
      <c r="Z197" s="3" t="str">
        <f t="shared" si="51"/>
        <v/>
      </c>
      <c r="AA197" s="3" t="str">
        <f>IF($L197&lt;&gt;"",IF($N197&gt;Z$11,IF($N197&lt;AA$11,$N197-Z$11,30),0)*ROUND(($O197+$X196+SUM($Z197:Z197))*$V$5/3000,2),"")</f>
        <v/>
      </c>
      <c r="AB197" s="3"/>
      <c r="AC197" s="3"/>
    </row>
    <row r="198" spans="5:29" x14ac:dyDescent="0.25">
      <c r="E198" s="5"/>
      <c r="F198" t="str">
        <f t="shared" si="55"/>
        <v/>
      </c>
      <c r="G198" s="5" t="str">
        <f t="shared" si="45"/>
        <v/>
      </c>
      <c r="H198" s="22" t="str">
        <f t="shared" si="56"/>
        <v/>
      </c>
      <c r="I198" s="22" t="str">
        <f t="shared" si="46"/>
        <v/>
      </c>
      <c r="J198" s="22" t="str">
        <f t="shared" si="57"/>
        <v/>
      </c>
      <c r="K198" s="22" t="str">
        <f t="shared" si="58"/>
        <v/>
      </c>
      <c r="L198" t="str">
        <f t="shared" si="59"/>
        <v/>
      </c>
      <c r="M198" s="5" t="str">
        <f t="shared" si="52"/>
        <v/>
      </c>
      <c r="N198" s="9" t="str">
        <f t="shared" si="60"/>
        <v/>
      </c>
      <c r="O198" s="3" t="str">
        <f t="shared" si="47"/>
        <v/>
      </c>
      <c r="P198" s="3" t="str">
        <f t="shared" si="48"/>
        <v/>
      </c>
      <c r="Q198" s="3" t="str">
        <f t="shared" si="53"/>
        <v/>
      </c>
      <c r="R198" s="3" t="str">
        <f t="shared" si="54"/>
        <v/>
      </c>
      <c r="S198" s="3" t="str">
        <f>IF($L198&lt;&gt;"",IF($A198="Prepago",0,IF(ROUND($H198*$U$6,2)&gt;ROUND(SUM($S$11:$S197)+$U$6,2),$U$6*2,$U$6)),"")</f>
        <v/>
      </c>
      <c r="T198" s="3" t="str">
        <f>IF($L198&lt;&gt;"",IF($A198="Prepago",0,IF(ROUND($H198*$U$7,2)&gt;ROUND(SUM($T$11:$T197)+$U$7,2),$U$7*2,$U$7)),"")</f>
        <v/>
      </c>
      <c r="U198" s="3" t="str">
        <f>IF($L198&lt;&gt;"",IF($A198="Prepago",0,IF(ROUND($H198*$U$8,2)&gt;ROUND(SUM($U$11:$U197)+$U$8,2),$U$8*2,$U$8)),"")</f>
        <v/>
      </c>
      <c r="V198" s="3" t="str">
        <f>IF($L198&lt;&gt;"",IF($A198="Prepago",0,IF(ROUND($H198*$U$9,2)&gt;ROUND(SUM($V$11:$V197)+$U$9,2),$U$9*2,$U$9)),"")</f>
        <v/>
      </c>
      <c r="W198" s="3" t="str">
        <f t="shared" si="61"/>
        <v/>
      </c>
      <c r="X198" s="3" t="str">
        <f t="shared" si="49"/>
        <v/>
      </c>
      <c r="Y198" s="3" t="str">
        <f t="shared" si="50"/>
        <v/>
      </c>
      <c r="Z198" s="3" t="str">
        <f t="shared" si="51"/>
        <v/>
      </c>
      <c r="AA198" s="3" t="str">
        <f>IF($L198&lt;&gt;"",IF($N198&gt;Z$11,IF($N198&lt;AA$11,$N198-Z$11,30),0)*ROUND(($O198+$X197+SUM($Z198:Z198))*$V$5/3000,2),"")</f>
        <v/>
      </c>
      <c r="AB198" s="3"/>
      <c r="AC198" s="3"/>
    </row>
    <row r="199" spans="5:29" x14ac:dyDescent="0.25">
      <c r="E199" s="5"/>
      <c r="F199" t="str">
        <f t="shared" si="55"/>
        <v/>
      </c>
      <c r="G199" s="5" t="str">
        <f t="shared" si="45"/>
        <v/>
      </c>
      <c r="H199" s="22" t="str">
        <f t="shared" si="56"/>
        <v/>
      </c>
      <c r="I199" s="22" t="str">
        <f t="shared" si="46"/>
        <v/>
      </c>
      <c r="J199" s="22" t="str">
        <f t="shared" si="57"/>
        <v/>
      </c>
      <c r="K199" s="22" t="str">
        <f t="shared" si="58"/>
        <v/>
      </c>
      <c r="L199" t="str">
        <f t="shared" si="59"/>
        <v/>
      </c>
      <c r="M199" s="5" t="str">
        <f t="shared" si="52"/>
        <v/>
      </c>
      <c r="N199" s="9" t="str">
        <f t="shared" si="60"/>
        <v/>
      </c>
      <c r="O199" s="3" t="str">
        <f t="shared" si="47"/>
        <v/>
      </c>
      <c r="P199" s="3" t="str">
        <f t="shared" si="48"/>
        <v/>
      </c>
      <c r="Q199" s="3" t="str">
        <f t="shared" si="53"/>
        <v/>
      </c>
      <c r="R199" s="3" t="str">
        <f t="shared" si="54"/>
        <v/>
      </c>
      <c r="S199" s="3" t="str">
        <f>IF($L199&lt;&gt;"",IF($A199="Prepago",0,IF(ROUND($H199*$U$6,2)&gt;ROUND(SUM($S$11:$S198)+$U$6,2),$U$6*2,$U$6)),"")</f>
        <v/>
      </c>
      <c r="T199" s="3" t="str">
        <f>IF($L199&lt;&gt;"",IF($A199="Prepago",0,IF(ROUND($H199*$U$7,2)&gt;ROUND(SUM($T$11:$T198)+$U$7,2),$U$7*2,$U$7)),"")</f>
        <v/>
      </c>
      <c r="U199" s="3" t="str">
        <f>IF($L199&lt;&gt;"",IF($A199="Prepago",0,IF(ROUND($H199*$U$8,2)&gt;ROUND(SUM($U$11:$U198)+$U$8,2),$U$8*2,$U$8)),"")</f>
        <v/>
      </c>
      <c r="V199" s="3" t="str">
        <f>IF($L199&lt;&gt;"",IF($A199="Prepago",0,IF(ROUND($H199*$U$9,2)&gt;ROUND(SUM($V$11:$V198)+$U$9,2),$U$9*2,$U$9)),"")</f>
        <v/>
      </c>
      <c r="W199" s="3" t="str">
        <f t="shared" si="61"/>
        <v/>
      </c>
      <c r="X199" s="3" t="str">
        <f t="shared" si="49"/>
        <v/>
      </c>
      <c r="Y199" s="3" t="str">
        <f t="shared" si="50"/>
        <v/>
      </c>
      <c r="Z199" s="3" t="str">
        <f t="shared" si="51"/>
        <v/>
      </c>
      <c r="AA199" s="3" t="str">
        <f>IF($L199&lt;&gt;"",IF($N199&gt;Z$11,IF($N199&lt;AA$11,$N199-Z$11,30),0)*ROUND(($O199+$X198+SUM($Z199:Z199))*$V$5/3000,2),"")</f>
        <v/>
      </c>
      <c r="AB199" s="3"/>
      <c r="AC199" s="3"/>
    </row>
    <row r="200" spans="5:29" x14ac:dyDescent="0.25">
      <c r="E200" s="5"/>
      <c r="F200" t="str">
        <f t="shared" si="55"/>
        <v/>
      </c>
      <c r="G200" s="5" t="str">
        <f t="shared" si="45"/>
        <v/>
      </c>
      <c r="H200" s="22" t="str">
        <f t="shared" si="56"/>
        <v/>
      </c>
      <c r="I200" s="22" t="str">
        <f t="shared" si="46"/>
        <v/>
      </c>
      <c r="J200" s="22" t="str">
        <f t="shared" si="57"/>
        <v/>
      </c>
      <c r="K200" s="22" t="str">
        <f t="shared" si="58"/>
        <v/>
      </c>
      <c r="L200" t="str">
        <f t="shared" si="59"/>
        <v/>
      </c>
      <c r="M200" s="5" t="str">
        <f t="shared" si="52"/>
        <v/>
      </c>
      <c r="N200" s="9" t="str">
        <f t="shared" si="60"/>
        <v/>
      </c>
      <c r="O200" s="3" t="str">
        <f t="shared" si="47"/>
        <v/>
      </c>
      <c r="P200" s="3" t="str">
        <f t="shared" si="48"/>
        <v/>
      </c>
      <c r="Q200" s="3" t="str">
        <f t="shared" si="53"/>
        <v/>
      </c>
      <c r="R200" s="3" t="str">
        <f t="shared" si="54"/>
        <v/>
      </c>
      <c r="S200" s="3" t="str">
        <f>IF($L200&lt;&gt;"",IF($A200="Prepago",0,IF(ROUND($H200*$U$6,2)&gt;ROUND(SUM($S$11:$S199)+$U$6,2),$U$6*2,$U$6)),"")</f>
        <v/>
      </c>
      <c r="T200" s="3" t="str">
        <f>IF($L200&lt;&gt;"",IF($A200="Prepago",0,IF(ROUND($H200*$U$7,2)&gt;ROUND(SUM($T$11:$T199)+$U$7,2),$U$7*2,$U$7)),"")</f>
        <v/>
      </c>
      <c r="U200" s="3" t="str">
        <f>IF($L200&lt;&gt;"",IF($A200="Prepago",0,IF(ROUND($H200*$U$8,2)&gt;ROUND(SUM($U$11:$U199)+$U$8,2),$U$8*2,$U$8)),"")</f>
        <v/>
      </c>
      <c r="V200" s="3" t="str">
        <f>IF($L200&lt;&gt;"",IF($A200="Prepago",0,IF(ROUND($H200*$U$9,2)&gt;ROUND(SUM($V$11:$V199)+$U$9,2),$U$9*2,$U$9)),"")</f>
        <v/>
      </c>
      <c r="W200" s="3" t="str">
        <f t="shared" si="61"/>
        <v/>
      </c>
      <c r="X200" s="3" t="str">
        <f t="shared" si="49"/>
        <v/>
      </c>
      <c r="Y200" s="3" t="str">
        <f t="shared" si="50"/>
        <v/>
      </c>
      <c r="Z200" s="3" t="str">
        <f t="shared" si="51"/>
        <v/>
      </c>
      <c r="AA200" s="3" t="str">
        <f>IF($L200&lt;&gt;"",IF($N200&gt;Z$11,IF($N200&lt;AA$11,$N200-Z$11,30),0)*ROUND(($O200+$X199+SUM($Z200:Z200))*$V$5/3000,2),"")</f>
        <v/>
      </c>
      <c r="AB200" s="3"/>
      <c r="AC200" s="3"/>
    </row>
    <row r="201" spans="5:29" x14ac:dyDescent="0.25">
      <c r="E201" s="5"/>
      <c r="F201" t="str">
        <f t="shared" si="55"/>
        <v/>
      </c>
      <c r="G201" s="5" t="str">
        <f t="shared" si="45"/>
        <v/>
      </c>
      <c r="H201" s="22" t="str">
        <f t="shared" si="56"/>
        <v/>
      </c>
      <c r="I201" s="22" t="str">
        <f t="shared" si="46"/>
        <v/>
      </c>
      <c r="J201" s="22" t="str">
        <f t="shared" si="57"/>
        <v/>
      </c>
      <c r="K201" s="22" t="str">
        <f t="shared" si="58"/>
        <v/>
      </c>
      <c r="L201" t="str">
        <f t="shared" si="59"/>
        <v/>
      </c>
      <c r="M201" s="5" t="str">
        <f t="shared" si="52"/>
        <v/>
      </c>
      <c r="N201" s="9" t="str">
        <f t="shared" si="60"/>
        <v/>
      </c>
      <c r="O201" s="3" t="str">
        <f t="shared" si="47"/>
        <v/>
      </c>
      <c r="P201" s="3" t="str">
        <f t="shared" si="48"/>
        <v/>
      </c>
      <c r="Q201" s="3" t="str">
        <f t="shared" si="53"/>
        <v/>
      </c>
      <c r="R201" s="3" t="str">
        <f t="shared" si="54"/>
        <v/>
      </c>
      <c r="S201" s="3" t="str">
        <f>IF($L201&lt;&gt;"",IF($A201="Prepago",0,IF(ROUND($H201*$U$6,2)&gt;ROUND(SUM($S$11:$S200)+$U$6,2),$U$6*2,$U$6)),"")</f>
        <v/>
      </c>
      <c r="T201" s="3" t="str">
        <f>IF($L201&lt;&gt;"",IF($A201="Prepago",0,IF(ROUND($H201*$U$7,2)&gt;ROUND(SUM($T$11:$T200)+$U$7,2),$U$7*2,$U$7)),"")</f>
        <v/>
      </c>
      <c r="U201" s="3" t="str">
        <f>IF($L201&lt;&gt;"",IF($A201="Prepago",0,IF(ROUND($H201*$U$8,2)&gt;ROUND(SUM($U$11:$U200)+$U$8,2),$U$8*2,$U$8)),"")</f>
        <v/>
      </c>
      <c r="V201" s="3" t="str">
        <f>IF($L201&lt;&gt;"",IF($A201="Prepago",0,IF(ROUND($H201*$U$9,2)&gt;ROUND(SUM($V$11:$V200)+$U$9,2),$U$9*2,$U$9)),"")</f>
        <v/>
      </c>
      <c r="W201" s="3" t="str">
        <f t="shared" si="61"/>
        <v/>
      </c>
      <c r="X201" s="3" t="str">
        <f t="shared" si="49"/>
        <v/>
      </c>
      <c r="Y201" s="3" t="str">
        <f t="shared" si="50"/>
        <v/>
      </c>
      <c r="Z201" s="3" t="str">
        <f t="shared" si="51"/>
        <v/>
      </c>
      <c r="AA201" s="3" t="str">
        <f>IF($L201&lt;&gt;"",IF($N201&gt;Z$11,IF($N201&lt;AA$11,$N201-Z$11,30),0)*ROUND(($O201+$X200+SUM($Z201:Z201))*$V$5/3000,2),"")</f>
        <v/>
      </c>
      <c r="AB201" s="3"/>
      <c r="AC201" s="3"/>
    </row>
    <row r="202" spans="5:29" x14ac:dyDescent="0.25">
      <c r="E202" s="5"/>
      <c r="F202" t="str">
        <f t="shared" si="55"/>
        <v/>
      </c>
      <c r="G202" s="5" t="str">
        <f t="shared" si="45"/>
        <v/>
      </c>
      <c r="H202" s="22" t="str">
        <f t="shared" si="56"/>
        <v/>
      </c>
      <c r="I202" s="22" t="str">
        <f t="shared" si="46"/>
        <v/>
      </c>
      <c r="J202" s="22" t="str">
        <f t="shared" si="57"/>
        <v/>
      </c>
      <c r="K202" s="22" t="str">
        <f t="shared" si="58"/>
        <v/>
      </c>
      <c r="L202" t="str">
        <f t="shared" si="59"/>
        <v/>
      </c>
      <c r="M202" s="5" t="str">
        <f t="shared" si="52"/>
        <v/>
      </c>
      <c r="N202" s="9" t="str">
        <f t="shared" si="60"/>
        <v/>
      </c>
      <c r="O202" s="3" t="str">
        <f t="shared" si="47"/>
        <v/>
      </c>
      <c r="P202" s="3" t="str">
        <f t="shared" si="48"/>
        <v/>
      </c>
      <c r="Q202" s="3" t="str">
        <f t="shared" si="53"/>
        <v/>
      </c>
      <c r="R202" s="3" t="str">
        <f t="shared" si="54"/>
        <v/>
      </c>
      <c r="S202" s="3" t="str">
        <f>IF($L202&lt;&gt;"",IF($A202="Prepago",0,IF(ROUND($H202*$U$6,2)&gt;ROUND(SUM($S$11:$S201)+$U$6,2),$U$6*2,$U$6)),"")</f>
        <v/>
      </c>
      <c r="T202" s="3" t="str">
        <f>IF($L202&lt;&gt;"",IF($A202="Prepago",0,IF(ROUND($H202*$U$7,2)&gt;ROUND(SUM($T$11:$T201)+$U$7,2),$U$7*2,$U$7)),"")</f>
        <v/>
      </c>
      <c r="U202" s="3" t="str">
        <f>IF($L202&lt;&gt;"",IF($A202="Prepago",0,IF(ROUND($H202*$U$8,2)&gt;ROUND(SUM($U$11:$U201)+$U$8,2),$U$8*2,$U$8)),"")</f>
        <v/>
      </c>
      <c r="V202" s="3" t="str">
        <f>IF($L202&lt;&gt;"",IF($A202="Prepago",0,IF(ROUND($H202*$U$9,2)&gt;ROUND(SUM($V$11:$V201)+$U$9,2),$U$9*2,$U$9)),"")</f>
        <v/>
      </c>
      <c r="W202" s="3" t="str">
        <f t="shared" si="61"/>
        <v/>
      </c>
      <c r="X202" s="3" t="str">
        <f t="shared" si="49"/>
        <v/>
      </c>
      <c r="Y202" s="3" t="str">
        <f t="shared" si="50"/>
        <v/>
      </c>
      <c r="Z202" s="3" t="str">
        <f t="shared" si="51"/>
        <v/>
      </c>
      <c r="AA202" s="3" t="str">
        <f>IF($L202&lt;&gt;"",IF($N202&gt;Z$11,IF($N202&lt;AA$11,$N202-Z$11,30),0)*ROUND(($O202+$X201+SUM($Z202:Z202))*$V$5/3000,2),"")</f>
        <v/>
      </c>
      <c r="AB202" s="3"/>
      <c r="AC202" s="3"/>
    </row>
    <row r="203" spans="5:29" x14ac:dyDescent="0.25">
      <c r="E203" s="5"/>
      <c r="F203" t="str">
        <f t="shared" si="55"/>
        <v/>
      </c>
      <c r="G203" s="5" t="str">
        <f t="shared" si="45"/>
        <v/>
      </c>
      <c r="H203" s="22" t="str">
        <f t="shared" si="56"/>
        <v/>
      </c>
      <c r="I203" s="22" t="str">
        <f t="shared" si="46"/>
        <v/>
      </c>
      <c r="J203" s="22" t="str">
        <f t="shared" si="57"/>
        <v/>
      </c>
      <c r="K203" s="22" t="str">
        <f t="shared" si="58"/>
        <v/>
      </c>
      <c r="L203" t="str">
        <f t="shared" si="59"/>
        <v/>
      </c>
      <c r="M203" s="5" t="str">
        <f t="shared" si="52"/>
        <v/>
      </c>
      <c r="N203" s="9" t="str">
        <f t="shared" si="60"/>
        <v/>
      </c>
      <c r="O203" s="3" t="str">
        <f t="shared" si="47"/>
        <v/>
      </c>
      <c r="P203" s="3" t="str">
        <f t="shared" si="48"/>
        <v/>
      </c>
      <c r="Q203" s="3" t="str">
        <f t="shared" si="53"/>
        <v/>
      </c>
      <c r="R203" s="3" t="str">
        <f t="shared" si="54"/>
        <v/>
      </c>
      <c r="S203" s="3" t="str">
        <f>IF($L203&lt;&gt;"",IF($A203="Prepago",0,IF(ROUND($H203*$U$6,2)&gt;ROUND(SUM($S$11:$S202)+$U$6,2),$U$6*2,$U$6)),"")</f>
        <v/>
      </c>
      <c r="T203" s="3" t="str">
        <f>IF($L203&lt;&gt;"",IF($A203="Prepago",0,IF(ROUND($H203*$U$7,2)&gt;ROUND(SUM($T$11:$T202)+$U$7,2),$U$7*2,$U$7)),"")</f>
        <v/>
      </c>
      <c r="U203" s="3" t="str">
        <f>IF($L203&lt;&gt;"",IF($A203="Prepago",0,IF(ROUND($H203*$U$8,2)&gt;ROUND(SUM($U$11:$U202)+$U$8,2),$U$8*2,$U$8)),"")</f>
        <v/>
      </c>
      <c r="V203" s="3" t="str">
        <f>IF($L203&lt;&gt;"",IF($A203="Prepago",0,IF(ROUND($H203*$U$9,2)&gt;ROUND(SUM($V$11:$V202)+$U$9,2),$U$9*2,$U$9)),"")</f>
        <v/>
      </c>
      <c r="W203" s="3" t="str">
        <f t="shared" si="61"/>
        <v/>
      </c>
      <c r="X203" s="3" t="str">
        <f t="shared" si="49"/>
        <v/>
      </c>
      <c r="Y203" s="3" t="str">
        <f t="shared" si="50"/>
        <v/>
      </c>
      <c r="Z203" s="3" t="str">
        <f t="shared" si="51"/>
        <v/>
      </c>
      <c r="AA203" s="3" t="str">
        <f>IF($L203&lt;&gt;"",IF($N203&gt;Z$11,IF($N203&lt;AA$11,$N203-Z$11,30),0)*ROUND(($O203+$X202+SUM($Z203:Z203))*$V$5/3000,2),"")</f>
        <v/>
      </c>
      <c r="AB203" s="3"/>
      <c r="AC203" s="3"/>
    </row>
    <row r="204" spans="5:29" x14ac:dyDescent="0.25">
      <c r="E204" s="5"/>
      <c r="F204" t="str">
        <f t="shared" si="55"/>
        <v/>
      </c>
      <c r="G204" s="5" t="str">
        <f t="shared" ref="G204:G239" si="62">IF($L204&lt;&gt;"",EOMONTH(DATE(YEAR($M$11),MONTH($M$11)-IF(DAY($N$6)&lt;$N$7,1,0),DAY($M$11)),($H204*$A$1)+IF(MESADICIONAL=TRUE,1,0)),"")</f>
        <v/>
      </c>
      <c r="H204" s="22" t="str">
        <f t="shared" si="56"/>
        <v/>
      </c>
      <c r="I204" s="22" t="str">
        <f t="shared" ref="I204:I239" si="63">IF(L204&lt;&gt;"",IF(COUNTA($Z204:$XFD204)*30&lt;$N204,1,0),"")</f>
        <v/>
      </c>
      <c r="J204" s="22" t="str">
        <f t="shared" si="57"/>
        <v/>
      </c>
      <c r="K204" s="22" t="str">
        <f t="shared" si="58"/>
        <v/>
      </c>
      <c r="L204" t="str">
        <f t="shared" si="59"/>
        <v/>
      </c>
      <c r="M204" s="5" t="str">
        <f t="shared" si="52"/>
        <v/>
      </c>
      <c r="N204" s="9" t="str">
        <f t="shared" si="60"/>
        <v/>
      </c>
      <c r="O204" s="3" t="str">
        <f t="shared" ref="O204:O239" si="64">IF($L204&lt;&gt;"",$W203,"")</f>
        <v/>
      </c>
      <c r="P204" s="3" t="str">
        <f t="shared" ref="P204:P238" si="65">IF($L204&lt;&gt;"",IF($A204="Gracia Parcial",IF(AND($C204&lt;$Y204+$S204+$T204+$U204+$V204+$X203,$C204&gt;0),$C204,$Y204+$S204+$T204+$U204+$V204+$X203),IF($A204="Gracia Total",0,IF($A204="Prepago",$C204,IF(ISNUMBER($C204),$C204*VALUE(MID($C$1,MONTH($M204),1)),$Q$5*VALUE(MID($C$1,MONTH($M204),1))))))-IF($L205="",ARREGLO,0),"")</f>
        <v/>
      </c>
      <c r="Q204" s="3" t="str">
        <f t="shared" si="53"/>
        <v/>
      </c>
      <c r="R204" s="3" t="str">
        <f t="shared" si="54"/>
        <v/>
      </c>
      <c r="S204" s="3" t="str">
        <f>IF($L204&lt;&gt;"",IF($A204="Prepago",0,IF(ROUND($H204*$U$6,2)&gt;ROUND(SUM($S$11:$S203)+$U$6,2),$U$6*2,$U$6)),"")</f>
        <v/>
      </c>
      <c r="T204" s="3" t="str">
        <f>IF($L204&lt;&gt;"",IF($A204="Prepago",0,IF(ROUND($H204*$U$7,2)&gt;ROUND(SUM($T$11:$T203)+$U$7,2),$U$7*2,$U$7)),"")</f>
        <v/>
      </c>
      <c r="U204" s="3" t="str">
        <f>IF($L204&lt;&gt;"",IF($A204="Prepago",0,IF(ROUND($H204*$U$8,2)&gt;ROUND(SUM($U$11:$U203)+$U$8,2),$U$8*2,$U$8)),"")</f>
        <v/>
      </c>
      <c r="V204" s="3" t="str">
        <f>IF($L204&lt;&gt;"",IF($A204="Prepago",0,IF(ROUND($H204*$U$9,2)&gt;ROUND(SUM($V$11:$V203)+$U$9,2),$U$9*2,$U$9)),"")</f>
        <v/>
      </c>
      <c r="W204" s="3" t="str">
        <f t="shared" si="61"/>
        <v/>
      </c>
      <c r="X204" s="3" t="str">
        <f t="shared" ref="X204:X239" si="66">IF($L204&lt;&gt;"",+$X203+IF($D204="",$Y204,$D204)-$R204,"")</f>
        <v/>
      </c>
      <c r="Y204" s="3" t="str">
        <f t="shared" ref="Y204:Y239" si="67">IF($L204&lt;&gt;"",SUM($Z204:$XFD204),"")</f>
        <v/>
      </c>
      <c r="Z204" s="3" t="str">
        <f t="shared" ref="Z204:Z239" si="68">IF($L204&lt;&gt;"",IF($N204&gt;Z$11,30,$N204)*ROUND(($O204+$X203)*$V$5/3000,2),"")</f>
        <v/>
      </c>
      <c r="AA204" s="3" t="str">
        <f>IF($L204&lt;&gt;"",IF($N204&gt;Z$11,IF($N204&lt;AA$11,$N204-Z$11,30),0)*ROUND(($O204+$X203+SUM($Z204:Z204))*$V$5/3000,2),"")</f>
        <v/>
      </c>
      <c r="AB204" s="3"/>
      <c r="AC204" s="3"/>
    </row>
    <row r="205" spans="5:29" x14ac:dyDescent="0.25">
      <c r="E205" s="5"/>
      <c r="F205" t="str">
        <f t="shared" si="55"/>
        <v/>
      </c>
      <c r="G205" s="5" t="str">
        <f t="shared" si="62"/>
        <v/>
      </c>
      <c r="H205" s="22" t="str">
        <f t="shared" si="56"/>
        <v/>
      </c>
      <c r="I205" s="22" t="str">
        <f t="shared" si="63"/>
        <v/>
      </c>
      <c r="J205" s="22" t="str">
        <f t="shared" si="57"/>
        <v/>
      </c>
      <c r="K205" s="22" t="str">
        <f t="shared" si="58"/>
        <v/>
      </c>
      <c r="L205" t="str">
        <f t="shared" si="59"/>
        <v/>
      </c>
      <c r="M205" s="5" t="str">
        <f t="shared" ref="M205:M239" si="69">IF($L205&lt;&gt;"",IF($E205="",IF(DAY($G205)&lt;$N$7,$G205,DATE(YEAR($G205),MONTH($G205),$N$7)),$E205),"")</f>
        <v/>
      </c>
      <c r="N205" s="9" t="str">
        <f t="shared" si="60"/>
        <v/>
      </c>
      <c r="O205" s="3" t="str">
        <f t="shared" si="64"/>
        <v/>
      </c>
      <c r="P205" s="3" t="str">
        <f t="shared" si="65"/>
        <v/>
      </c>
      <c r="Q205" s="3" t="str">
        <f t="shared" ref="Q205:Q238" si="70">IF($L205&lt;&gt;"",IF($P205-$R205&gt;0,IF($P205&gt;=$R205+$S205+$T205+$U205+$V205,$P205-$R205-$S205-$T205-$U205-$V205,P205),0),"")</f>
        <v/>
      </c>
      <c r="R205" s="3" t="str">
        <f t="shared" ref="R205:R238" si="71">IF($L205&lt;&gt;"",IF($P205&gt;IF($D205="",$Y205,$D205)+$X204+$S205+$T205+$U205+$V205,IF($D205="",$Y205,$D205)+$X204,IF($P205&gt;=$S205+$T205+$U205+$V205,$P205-$S205-$T205-$U205-$V205,IF($D205="",$Y205,$D205)+$X204)),"")</f>
        <v/>
      </c>
      <c r="S205" s="3" t="str">
        <f>IF($L205&lt;&gt;"",IF($A205="Prepago",0,IF(ROUND($H205*$U$6,2)&gt;ROUND(SUM($S$11:$S204)+$U$6,2),$U$6*2,$U$6)),"")</f>
        <v/>
      </c>
      <c r="T205" s="3" t="str">
        <f>IF($L205&lt;&gt;"",IF($A205="Prepago",0,IF(ROUND($H205*$U$7,2)&gt;ROUND(SUM($T$11:$T204)+$U$7,2),$U$7*2,$U$7)),"")</f>
        <v/>
      </c>
      <c r="U205" s="3" t="str">
        <f>IF($L205&lt;&gt;"",IF($A205="Prepago",0,IF(ROUND($H205*$U$8,2)&gt;ROUND(SUM($U$11:$U204)+$U$8,2),$U$8*2,$U$8)),"")</f>
        <v/>
      </c>
      <c r="V205" s="3" t="str">
        <f>IF($L205&lt;&gt;"",IF($A205="Prepago",0,IF(ROUND($H205*$U$9,2)&gt;ROUND(SUM($V$11:$V204)+$U$9,2),$U$9*2,$U$9)),"")</f>
        <v/>
      </c>
      <c r="W205" s="3" t="str">
        <f t="shared" si="61"/>
        <v/>
      </c>
      <c r="X205" s="3" t="str">
        <f t="shared" si="66"/>
        <v/>
      </c>
      <c r="Y205" s="3" t="str">
        <f t="shared" si="67"/>
        <v/>
      </c>
      <c r="Z205" s="3" t="str">
        <f t="shared" si="68"/>
        <v/>
      </c>
      <c r="AA205" s="3" t="str">
        <f>IF($L205&lt;&gt;"",IF($N205&gt;Z$11,IF($N205&lt;AA$11,$N205-Z$11,30),0)*ROUND(($O205+$X204+SUM($Z205:Z205))*$V$5/3000,2),"")</f>
        <v/>
      </c>
      <c r="AB205" s="3"/>
      <c r="AC205" s="3"/>
    </row>
    <row r="206" spans="5:29" x14ac:dyDescent="0.25">
      <c r="E206" s="5"/>
      <c r="F206" t="str">
        <f t="shared" si="55"/>
        <v/>
      </c>
      <c r="G206" s="5" t="str">
        <f t="shared" si="62"/>
        <v/>
      </c>
      <c r="H206" s="22" t="str">
        <f t="shared" si="56"/>
        <v/>
      </c>
      <c r="I206" s="22" t="str">
        <f t="shared" si="63"/>
        <v/>
      </c>
      <c r="J206" s="22" t="str">
        <f t="shared" si="57"/>
        <v/>
      </c>
      <c r="K206" s="22" t="str">
        <f t="shared" si="58"/>
        <v/>
      </c>
      <c r="L206" t="str">
        <f t="shared" si="59"/>
        <v/>
      </c>
      <c r="M206" s="5" t="str">
        <f t="shared" si="69"/>
        <v/>
      </c>
      <c r="N206" s="9" t="str">
        <f t="shared" si="60"/>
        <v/>
      </c>
      <c r="O206" s="3" t="str">
        <f t="shared" si="64"/>
        <v/>
      </c>
      <c r="P206" s="3" t="str">
        <f t="shared" si="65"/>
        <v/>
      </c>
      <c r="Q206" s="3" t="str">
        <f t="shared" si="70"/>
        <v/>
      </c>
      <c r="R206" s="3" t="str">
        <f t="shared" si="71"/>
        <v/>
      </c>
      <c r="S206" s="3" t="str">
        <f>IF($L206&lt;&gt;"",IF($A206="Prepago",0,IF(ROUND($H206*$U$6,2)&gt;ROUND(SUM($S$11:$S205)+$U$6,2),$U$6*2,$U$6)),"")</f>
        <v/>
      </c>
      <c r="T206" s="3" t="str">
        <f>IF($L206&lt;&gt;"",IF($A206="Prepago",0,IF(ROUND($H206*$U$7,2)&gt;ROUND(SUM($T$11:$T205)+$U$7,2),$U$7*2,$U$7)),"")</f>
        <v/>
      </c>
      <c r="U206" s="3" t="str">
        <f>IF($L206&lt;&gt;"",IF($A206="Prepago",0,IF(ROUND($H206*$U$8,2)&gt;ROUND(SUM($U$11:$U205)+$U$8,2),$U$8*2,$U$8)),"")</f>
        <v/>
      </c>
      <c r="V206" s="3" t="str">
        <f>IF($L206&lt;&gt;"",IF($A206="Prepago",0,IF(ROUND($H206*$U$9,2)&gt;ROUND(SUM($V$11:$V205)+$U$9,2),$U$9*2,$U$9)),"")</f>
        <v/>
      </c>
      <c r="W206" s="3" t="str">
        <f t="shared" si="61"/>
        <v/>
      </c>
      <c r="X206" s="3" t="str">
        <f t="shared" si="66"/>
        <v/>
      </c>
      <c r="Y206" s="3" t="str">
        <f t="shared" si="67"/>
        <v/>
      </c>
      <c r="Z206" s="3" t="str">
        <f t="shared" si="68"/>
        <v/>
      </c>
      <c r="AA206" s="3" t="str">
        <f>IF($L206&lt;&gt;"",IF($N206&gt;Z$11,IF($N206&lt;AA$11,$N206-Z$11,30),0)*ROUND(($O206+$X205+SUM($Z206:Z206))*$V$5/3000,2),"")</f>
        <v/>
      </c>
      <c r="AB206" s="3"/>
      <c r="AC206" s="3"/>
    </row>
    <row r="207" spans="5:29" x14ac:dyDescent="0.25">
      <c r="E207" s="5"/>
      <c r="F207" t="str">
        <f t="shared" ref="F207:F220" si="72">IF($L207&lt;&gt;"",TEXT(M207,"DDD"),"")</f>
        <v/>
      </c>
      <c r="G207" s="5" t="str">
        <f t="shared" si="62"/>
        <v/>
      </c>
      <c r="H207" s="22" t="str">
        <f t="shared" ref="H207:H220" si="73">IF($L207&lt;&gt;"",IF($A207="Prepago",$H206,$H206+1)+B207,"")</f>
        <v/>
      </c>
      <c r="I207" s="22" t="str">
        <f t="shared" si="63"/>
        <v/>
      </c>
      <c r="J207" s="22" t="str">
        <f t="shared" ref="J207:J220" si="74">IF($L207&lt;&gt;"",IF(OR(A207&lt;&gt;"",C207&lt;&gt;""),1,0),"")</f>
        <v/>
      </c>
      <c r="K207" s="22" t="str">
        <f t="shared" ref="K207:K220" si="75">IF($L207&lt;&gt;"",IF(J207=1,Q207,0),"")</f>
        <v/>
      </c>
      <c r="L207" t="str">
        <f t="shared" si="59"/>
        <v/>
      </c>
      <c r="M207" s="5" t="str">
        <f t="shared" si="69"/>
        <v/>
      </c>
      <c r="N207" s="9" t="str">
        <f t="shared" si="60"/>
        <v/>
      </c>
      <c r="O207" s="3" t="str">
        <f t="shared" si="64"/>
        <v/>
      </c>
      <c r="P207" s="3" t="str">
        <f t="shared" si="65"/>
        <v/>
      </c>
      <c r="Q207" s="3" t="str">
        <f t="shared" si="70"/>
        <v/>
      </c>
      <c r="R207" s="3" t="str">
        <f t="shared" si="71"/>
        <v/>
      </c>
      <c r="S207" s="3" t="str">
        <f>IF($L207&lt;&gt;"",IF($A207="Prepago",0,IF(ROUND($H207*$U$6,2)&gt;ROUND(SUM($S$11:$S206)+$U$6,2),$U$6*2,$U$6)),"")</f>
        <v/>
      </c>
      <c r="T207" s="3" t="str">
        <f>IF($L207&lt;&gt;"",IF($A207="Prepago",0,IF(ROUND($H207*$U$7,2)&gt;ROUND(SUM($T$11:$T206)+$U$7,2),$U$7*2,$U$7)),"")</f>
        <v/>
      </c>
      <c r="U207" s="3" t="str">
        <f>IF($L207&lt;&gt;"",IF($A207="Prepago",0,IF(ROUND($H207*$U$8,2)&gt;ROUND(SUM($U$11:$U206)+$U$8,2),$U$8*2,$U$8)),"")</f>
        <v/>
      </c>
      <c r="V207" s="3" t="str">
        <f>IF($L207&lt;&gt;"",IF($A207="Prepago",0,IF(ROUND($H207*$U$9,2)&gt;ROUND(SUM($V$11:$V206)+$U$9,2),$U$9*2,$U$9)),"")</f>
        <v/>
      </c>
      <c r="W207" s="3" t="str">
        <f t="shared" si="61"/>
        <v/>
      </c>
      <c r="X207" s="3" t="str">
        <f t="shared" si="66"/>
        <v/>
      </c>
      <c r="Y207" s="3" t="str">
        <f t="shared" si="67"/>
        <v/>
      </c>
      <c r="Z207" s="3" t="str">
        <f t="shared" si="68"/>
        <v/>
      </c>
      <c r="AA207" s="3" t="str">
        <f>IF($L207&lt;&gt;"",IF($N207&gt;Z$11,IF($N207&lt;AA$11,$N207-Z$11,30),0)*ROUND(($O207+$X206+SUM($Z207:Z207))*$V$5/3000,2),"")</f>
        <v/>
      </c>
    </row>
    <row r="208" spans="5:29" x14ac:dyDescent="0.25">
      <c r="E208" s="5"/>
      <c r="F208" t="str">
        <f t="shared" si="72"/>
        <v/>
      </c>
      <c r="G208" s="5" t="str">
        <f t="shared" si="62"/>
        <v/>
      </c>
      <c r="H208" s="22" t="str">
        <f t="shared" si="73"/>
        <v/>
      </c>
      <c r="I208" s="22" t="str">
        <f t="shared" si="63"/>
        <v/>
      </c>
      <c r="J208" s="22" t="str">
        <f t="shared" si="74"/>
        <v/>
      </c>
      <c r="K208" s="22" t="str">
        <f t="shared" si="75"/>
        <v/>
      </c>
      <c r="L208" t="str">
        <f t="shared" si="59"/>
        <v/>
      </c>
      <c r="M208" s="5" t="str">
        <f t="shared" si="69"/>
        <v/>
      </c>
      <c r="N208" s="9" t="str">
        <f t="shared" si="60"/>
        <v/>
      </c>
      <c r="O208" s="3" t="str">
        <f t="shared" si="64"/>
        <v/>
      </c>
      <c r="P208" s="3" t="str">
        <f t="shared" si="65"/>
        <v/>
      </c>
      <c r="Q208" s="3" t="str">
        <f t="shared" si="70"/>
        <v/>
      </c>
      <c r="R208" s="3" t="str">
        <f t="shared" si="71"/>
        <v/>
      </c>
      <c r="S208" s="3" t="str">
        <f>IF($L208&lt;&gt;"",IF($A208="Prepago",0,IF(ROUND($H208*$U$6,2)&gt;ROUND(SUM($S$11:$S207)+$U$6,2),$U$6*2,$U$6)),"")</f>
        <v/>
      </c>
      <c r="T208" s="3" t="str">
        <f>IF($L208&lt;&gt;"",IF($A208="Prepago",0,IF(ROUND($H208*$U$7,2)&gt;ROUND(SUM($T$11:$T207)+$U$7,2),$U$7*2,$U$7)),"")</f>
        <v/>
      </c>
      <c r="U208" s="3" t="str">
        <f>IF($L208&lt;&gt;"",IF($A208="Prepago",0,IF(ROUND($H208*$U$8,2)&gt;ROUND(SUM($U$11:$U207)+$U$8,2),$U$8*2,$U$8)),"")</f>
        <v/>
      </c>
      <c r="V208" s="3" t="str">
        <f>IF($L208&lt;&gt;"",IF($A208="Prepago",0,IF(ROUND($H208*$U$9,2)&gt;ROUND(SUM($V$11:$V207)+$U$9,2),$U$9*2,$U$9)),"")</f>
        <v/>
      </c>
      <c r="W208" s="3" t="str">
        <f t="shared" si="61"/>
        <v/>
      </c>
      <c r="X208" s="3" t="str">
        <f t="shared" si="66"/>
        <v/>
      </c>
      <c r="Y208" s="3" t="str">
        <f t="shared" si="67"/>
        <v/>
      </c>
      <c r="Z208" s="3" t="str">
        <f t="shared" si="68"/>
        <v/>
      </c>
      <c r="AA208" s="3" t="str">
        <f>IF($L208&lt;&gt;"",IF($N208&gt;Z$11,IF($N208&lt;AA$11,$N208-Z$11,30),0)*ROUND(($O208+$X207+SUM($Z208:Z208))*$V$5/3000,2),"")</f>
        <v/>
      </c>
    </row>
    <row r="209" spans="5:27" x14ac:dyDescent="0.25">
      <c r="E209" s="5"/>
      <c r="F209" t="str">
        <f t="shared" si="72"/>
        <v/>
      </c>
      <c r="G209" s="5" t="str">
        <f t="shared" si="62"/>
        <v/>
      </c>
      <c r="H209" s="22" t="str">
        <f t="shared" si="73"/>
        <v/>
      </c>
      <c r="I209" s="22" t="str">
        <f t="shared" si="63"/>
        <v/>
      </c>
      <c r="J209" s="22" t="str">
        <f t="shared" si="74"/>
        <v/>
      </c>
      <c r="K209" s="22" t="str">
        <f t="shared" si="75"/>
        <v/>
      </c>
      <c r="L209" t="str">
        <f t="shared" si="59"/>
        <v/>
      </c>
      <c r="M209" s="5" t="str">
        <f t="shared" si="69"/>
        <v/>
      </c>
      <c r="N209" s="9" t="str">
        <f t="shared" si="60"/>
        <v/>
      </c>
      <c r="O209" s="3" t="str">
        <f t="shared" si="64"/>
        <v/>
      </c>
      <c r="P209" s="3" t="str">
        <f t="shared" si="65"/>
        <v/>
      </c>
      <c r="Q209" s="3" t="str">
        <f t="shared" si="70"/>
        <v/>
      </c>
      <c r="R209" s="3" t="str">
        <f t="shared" si="71"/>
        <v/>
      </c>
      <c r="S209" s="3" t="str">
        <f>IF($L209&lt;&gt;"",IF($A209="Prepago",0,IF(ROUND($H209*$U$6,2)&gt;ROUND(SUM($S$11:$S208)+$U$6,2),$U$6*2,$U$6)),"")</f>
        <v/>
      </c>
      <c r="T209" s="3" t="str">
        <f>IF($L209&lt;&gt;"",IF($A209="Prepago",0,IF(ROUND($H209*$U$7,2)&gt;ROUND(SUM($T$11:$T208)+$U$7,2),$U$7*2,$U$7)),"")</f>
        <v/>
      </c>
      <c r="U209" s="3" t="str">
        <f>IF($L209&lt;&gt;"",IF($A209="Prepago",0,IF(ROUND($H209*$U$8,2)&gt;ROUND(SUM($U$11:$U208)+$U$8,2),$U$8*2,$U$8)),"")</f>
        <v/>
      </c>
      <c r="V209" s="3" t="str">
        <f>IF($L209&lt;&gt;"",IF($A209="Prepago",0,IF(ROUND($H209*$U$9,2)&gt;ROUND(SUM($V$11:$V208)+$U$9,2),$U$9*2,$U$9)),"")</f>
        <v/>
      </c>
      <c r="W209" s="3" t="str">
        <f t="shared" si="61"/>
        <v/>
      </c>
      <c r="X209" s="3" t="str">
        <f t="shared" si="66"/>
        <v/>
      </c>
      <c r="Y209" s="3" t="str">
        <f t="shared" si="67"/>
        <v/>
      </c>
      <c r="Z209" s="3" t="str">
        <f t="shared" si="68"/>
        <v/>
      </c>
      <c r="AA209" s="3" t="str">
        <f>IF($L209&lt;&gt;"",IF($N209&gt;Z$11,IF($N209&lt;AA$11,$N209-Z$11,30),0)*ROUND(($O209+$X208+SUM($Z209:Z209))*$V$5/3000,2),"")</f>
        <v/>
      </c>
    </row>
    <row r="210" spans="5:27" x14ac:dyDescent="0.25">
      <c r="E210" s="5"/>
      <c r="F210" t="str">
        <f t="shared" si="72"/>
        <v/>
      </c>
      <c r="G210" s="5" t="str">
        <f t="shared" si="62"/>
        <v/>
      </c>
      <c r="H210" s="22" t="str">
        <f t="shared" si="73"/>
        <v/>
      </c>
      <c r="I210" s="22" t="str">
        <f t="shared" si="63"/>
        <v/>
      </c>
      <c r="J210" s="22" t="str">
        <f t="shared" si="74"/>
        <v/>
      </c>
      <c r="K210" s="22" t="str">
        <f t="shared" si="75"/>
        <v/>
      </c>
      <c r="L210" t="str">
        <f t="shared" si="59"/>
        <v/>
      </c>
      <c r="M210" s="5" t="str">
        <f t="shared" si="69"/>
        <v/>
      </c>
      <c r="N210" s="9" t="str">
        <f t="shared" si="60"/>
        <v/>
      </c>
      <c r="O210" s="3" t="str">
        <f t="shared" si="64"/>
        <v/>
      </c>
      <c r="P210" s="3" t="str">
        <f t="shared" si="65"/>
        <v/>
      </c>
      <c r="Q210" s="3" t="str">
        <f t="shared" si="70"/>
        <v/>
      </c>
      <c r="R210" s="3" t="str">
        <f t="shared" si="71"/>
        <v/>
      </c>
      <c r="S210" s="3" t="str">
        <f>IF($L210&lt;&gt;"",IF($A210="Prepago",0,IF(ROUND($H210*$U$6,2)&gt;ROUND(SUM($S$11:$S209)+$U$6,2),$U$6*2,$U$6)),"")</f>
        <v/>
      </c>
      <c r="T210" s="3" t="str">
        <f>IF($L210&lt;&gt;"",IF($A210="Prepago",0,IF(ROUND($H210*$U$7,2)&gt;ROUND(SUM($T$11:$T209)+$U$7,2),$U$7*2,$U$7)),"")</f>
        <v/>
      </c>
      <c r="U210" s="3" t="str">
        <f>IF($L210&lt;&gt;"",IF($A210="Prepago",0,IF(ROUND($H210*$U$8,2)&gt;ROUND(SUM($U$11:$U209)+$U$8,2),$U$8*2,$U$8)),"")</f>
        <v/>
      </c>
      <c r="V210" s="3" t="str">
        <f>IF($L210&lt;&gt;"",IF($A210="Prepago",0,IF(ROUND($H210*$U$9,2)&gt;ROUND(SUM($V$11:$V209)+$U$9,2),$U$9*2,$U$9)),"")</f>
        <v/>
      </c>
      <c r="W210" s="3" t="str">
        <f t="shared" si="61"/>
        <v/>
      </c>
      <c r="X210" s="3" t="str">
        <f t="shared" si="66"/>
        <v/>
      </c>
      <c r="Y210" s="3" t="str">
        <f t="shared" si="67"/>
        <v/>
      </c>
      <c r="Z210" s="3" t="str">
        <f t="shared" si="68"/>
        <v/>
      </c>
      <c r="AA210" s="3" t="str">
        <f>IF($L210&lt;&gt;"",IF($N210&gt;Z$11,IF($N210&lt;AA$11,$N210-Z$11,30),0)*ROUND(($O210+$X209+SUM($Z210:Z210))*$V$5/3000,2),"")</f>
        <v/>
      </c>
    </row>
    <row r="211" spans="5:27" x14ac:dyDescent="0.25">
      <c r="E211" s="5"/>
      <c r="F211" t="str">
        <f t="shared" si="72"/>
        <v/>
      </c>
      <c r="G211" s="5" t="str">
        <f t="shared" si="62"/>
        <v/>
      </c>
      <c r="H211" s="22" t="str">
        <f t="shared" si="73"/>
        <v/>
      </c>
      <c r="I211" s="22" t="str">
        <f t="shared" si="63"/>
        <v/>
      </c>
      <c r="J211" s="22" t="str">
        <f t="shared" si="74"/>
        <v/>
      </c>
      <c r="K211" s="22" t="str">
        <f t="shared" si="75"/>
        <v/>
      </c>
      <c r="L211" t="str">
        <f t="shared" si="59"/>
        <v/>
      </c>
      <c r="M211" s="5" t="str">
        <f t="shared" si="69"/>
        <v/>
      </c>
      <c r="N211" s="9" t="str">
        <f t="shared" si="60"/>
        <v/>
      </c>
      <c r="O211" s="3" t="str">
        <f t="shared" si="64"/>
        <v/>
      </c>
      <c r="P211" s="3" t="str">
        <f t="shared" si="65"/>
        <v/>
      </c>
      <c r="Q211" s="3" t="str">
        <f t="shared" si="70"/>
        <v/>
      </c>
      <c r="R211" s="3" t="str">
        <f t="shared" si="71"/>
        <v/>
      </c>
      <c r="S211" s="3" t="str">
        <f>IF($L211&lt;&gt;"",IF($A211="Prepago",0,IF(ROUND($H211*$U$6,2)&gt;ROUND(SUM($S$11:$S210)+$U$6,2),$U$6*2,$U$6)),"")</f>
        <v/>
      </c>
      <c r="T211" s="3" t="str">
        <f>IF($L211&lt;&gt;"",IF($A211="Prepago",0,IF(ROUND($H211*$U$7,2)&gt;ROUND(SUM($T$11:$T210)+$U$7,2),$U$7*2,$U$7)),"")</f>
        <v/>
      </c>
      <c r="U211" s="3" t="str">
        <f>IF($L211&lt;&gt;"",IF($A211="Prepago",0,IF(ROUND($H211*$U$8,2)&gt;ROUND(SUM($U$11:$U210)+$U$8,2),$U$8*2,$U$8)),"")</f>
        <v/>
      </c>
      <c r="V211" s="3" t="str">
        <f>IF($L211&lt;&gt;"",IF($A211="Prepago",0,IF(ROUND($H211*$U$9,2)&gt;ROUND(SUM($V$11:$V210)+$U$9,2),$U$9*2,$U$9)),"")</f>
        <v/>
      </c>
      <c r="W211" s="3" t="str">
        <f t="shared" si="61"/>
        <v/>
      </c>
      <c r="X211" s="3" t="str">
        <f t="shared" si="66"/>
        <v/>
      </c>
      <c r="Y211" s="3" t="str">
        <f t="shared" si="67"/>
        <v/>
      </c>
      <c r="Z211" s="3" t="str">
        <f t="shared" si="68"/>
        <v/>
      </c>
      <c r="AA211" s="3" t="str">
        <f>IF($L211&lt;&gt;"",IF($N211&gt;Z$11,IF($N211&lt;AA$11,$N211-Z$11,30),0)*ROUND(($O211+$X210+SUM($Z211:Z211))*$V$5/3000,2),"")</f>
        <v/>
      </c>
    </row>
    <row r="212" spans="5:27" x14ac:dyDescent="0.25">
      <c r="E212" s="5"/>
      <c r="F212" t="str">
        <f t="shared" si="72"/>
        <v/>
      </c>
      <c r="G212" s="5" t="str">
        <f t="shared" si="62"/>
        <v/>
      </c>
      <c r="H212" s="22" t="str">
        <f t="shared" si="73"/>
        <v/>
      </c>
      <c r="I212" s="22" t="str">
        <f t="shared" si="63"/>
        <v/>
      </c>
      <c r="J212" s="22" t="str">
        <f t="shared" si="74"/>
        <v/>
      </c>
      <c r="K212" s="22" t="str">
        <f t="shared" si="75"/>
        <v/>
      </c>
      <c r="L212" t="str">
        <f t="shared" si="59"/>
        <v/>
      </c>
      <c r="M212" s="5" t="str">
        <f t="shared" si="69"/>
        <v/>
      </c>
      <c r="N212" s="9" t="str">
        <f t="shared" si="60"/>
        <v/>
      </c>
      <c r="O212" s="3" t="str">
        <f t="shared" si="64"/>
        <v/>
      </c>
      <c r="P212" s="3" t="str">
        <f t="shared" si="65"/>
        <v/>
      </c>
      <c r="Q212" s="3" t="str">
        <f t="shared" si="70"/>
        <v/>
      </c>
      <c r="R212" s="3" t="str">
        <f t="shared" si="71"/>
        <v/>
      </c>
      <c r="S212" s="3" t="str">
        <f>IF($L212&lt;&gt;"",IF($A212="Prepago",0,IF(ROUND($H212*$U$6,2)&gt;ROUND(SUM($S$11:$S211)+$U$6,2),$U$6*2,$U$6)),"")</f>
        <v/>
      </c>
      <c r="T212" s="3" t="str">
        <f>IF($L212&lt;&gt;"",IF($A212="Prepago",0,IF(ROUND($H212*$U$7,2)&gt;ROUND(SUM($T$11:$T211)+$U$7,2),$U$7*2,$U$7)),"")</f>
        <v/>
      </c>
      <c r="U212" s="3" t="str">
        <f>IF($L212&lt;&gt;"",IF($A212="Prepago",0,IF(ROUND($H212*$U$8,2)&gt;ROUND(SUM($U$11:$U211)+$U$8,2),$U$8*2,$U$8)),"")</f>
        <v/>
      </c>
      <c r="V212" s="3" t="str">
        <f>IF($L212&lt;&gt;"",IF($A212="Prepago",0,IF(ROUND($H212*$U$9,2)&gt;ROUND(SUM($V$11:$V211)+$U$9,2),$U$9*2,$U$9)),"")</f>
        <v/>
      </c>
      <c r="W212" s="3" t="str">
        <f t="shared" si="61"/>
        <v/>
      </c>
      <c r="X212" s="3" t="str">
        <f t="shared" si="66"/>
        <v/>
      </c>
      <c r="Y212" s="3" t="str">
        <f t="shared" si="67"/>
        <v/>
      </c>
      <c r="Z212" s="3" t="str">
        <f t="shared" si="68"/>
        <v/>
      </c>
      <c r="AA212" s="3" t="str">
        <f>IF($L212&lt;&gt;"",IF($N212&gt;Z$11,IF($N212&lt;AA$11,$N212-Z$11,30),0)*ROUND(($O212+$X211+SUM($Z212:Z212))*$V$5/3000,2),"")</f>
        <v/>
      </c>
    </row>
    <row r="213" spans="5:27" x14ac:dyDescent="0.25">
      <c r="E213" s="5"/>
      <c r="F213" t="str">
        <f t="shared" si="72"/>
        <v/>
      </c>
      <c r="G213" s="5" t="str">
        <f t="shared" si="62"/>
        <v/>
      </c>
      <c r="H213" s="22" t="str">
        <f t="shared" si="73"/>
        <v/>
      </c>
      <c r="I213" s="22" t="str">
        <f t="shared" si="63"/>
        <v/>
      </c>
      <c r="J213" s="22" t="str">
        <f t="shared" si="74"/>
        <v/>
      </c>
      <c r="K213" s="22" t="str">
        <f t="shared" si="75"/>
        <v/>
      </c>
      <c r="L213" t="str">
        <f t="shared" si="59"/>
        <v/>
      </c>
      <c r="M213" s="5" t="str">
        <f t="shared" si="69"/>
        <v/>
      </c>
      <c r="N213" s="9" t="str">
        <f t="shared" si="60"/>
        <v/>
      </c>
      <c r="O213" s="3" t="str">
        <f t="shared" si="64"/>
        <v/>
      </c>
      <c r="P213" s="3" t="str">
        <f t="shared" si="65"/>
        <v/>
      </c>
      <c r="Q213" s="3" t="str">
        <f t="shared" si="70"/>
        <v/>
      </c>
      <c r="R213" s="3" t="str">
        <f t="shared" si="71"/>
        <v/>
      </c>
      <c r="S213" s="3" t="str">
        <f>IF($L213&lt;&gt;"",IF($A213="Prepago",0,IF(ROUND($H213*$U$6,2)&gt;ROUND(SUM($S$11:$S212)+$U$6,2),$U$6*2,$U$6)),"")</f>
        <v/>
      </c>
      <c r="T213" s="3" t="str">
        <f>IF($L213&lt;&gt;"",IF($A213="Prepago",0,IF(ROUND($H213*$U$7,2)&gt;ROUND(SUM($T$11:$T212)+$U$7,2),$U$7*2,$U$7)),"")</f>
        <v/>
      </c>
      <c r="U213" s="3" t="str">
        <f>IF($L213&lt;&gt;"",IF($A213="Prepago",0,IF(ROUND($H213*$U$8,2)&gt;ROUND(SUM($U$11:$U212)+$U$8,2),$U$8*2,$U$8)),"")</f>
        <v/>
      </c>
      <c r="V213" s="3" t="str">
        <f>IF($L213&lt;&gt;"",IF($A213="Prepago",0,IF(ROUND($H213*$U$9,2)&gt;ROUND(SUM($V$11:$V212)+$U$9,2),$U$9*2,$U$9)),"")</f>
        <v/>
      </c>
      <c r="W213" s="3" t="str">
        <f t="shared" si="61"/>
        <v/>
      </c>
      <c r="X213" s="3" t="str">
        <f t="shared" si="66"/>
        <v/>
      </c>
      <c r="Y213" s="3" t="str">
        <f t="shared" si="67"/>
        <v/>
      </c>
      <c r="Z213" s="3" t="str">
        <f t="shared" si="68"/>
        <v/>
      </c>
      <c r="AA213" s="3" t="str">
        <f>IF($L213&lt;&gt;"",IF($N213&gt;Z$11,IF($N213&lt;AA$11,$N213-Z$11,30),0)*ROUND(($O213+$X212+SUM($Z213:Z213))*$V$5/3000,2),"")</f>
        <v/>
      </c>
    </row>
    <row r="214" spans="5:27" x14ac:dyDescent="0.25">
      <c r="E214" s="5"/>
      <c r="F214" t="str">
        <f t="shared" si="72"/>
        <v/>
      </c>
      <c r="G214" s="5" t="str">
        <f t="shared" si="62"/>
        <v/>
      </c>
      <c r="H214" s="22" t="str">
        <f t="shared" si="73"/>
        <v/>
      </c>
      <c r="I214" s="22" t="str">
        <f t="shared" si="63"/>
        <v/>
      </c>
      <c r="J214" s="22" t="str">
        <f t="shared" si="74"/>
        <v/>
      </c>
      <c r="K214" s="22" t="str">
        <f t="shared" si="75"/>
        <v/>
      </c>
      <c r="L214" t="str">
        <f t="shared" si="59"/>
        <v/>
      </c>
      <c r="M214" s="5" t="str">
        <f t="shared" si="69"/>
        <v/>
      </c>
      <c r="N214" s="9" t="str">
        <f t="shared" si="60"/>
        <v/>
      </c>
      <c r="O214" s="3" t="str">
        <f t="shared" si="64"/>
        <v/>
      </c>
      <c r="P214" s="3" t="str">
        <f t="shared" si="65"/>
        <v/>
      </c>
      <c r="Q214" s="3" t="str">
        <f t="shared" si="70"/>
        <v/>
      </c>
      <c r="R214" s="3" t="str">
        <f t="shared" si="71"/>
        <v/>
      </c>
      <c r="S214" s="3" t="str">
        <f>IF($L214&lt;&gt;"",IF($A214="Prepago",0,IF(ROUND($H214*$U$6,2)&gt;ROUND(SUM($S$11:$S213)+$U$6,2),$U$6*2,$U$6)),"")</f>
        <v/>
      </c>
      <c r="T214" s="3" t="str">
        <f>IF($L214&lt;&gt;"",IF($A214="Prepago",0,IF(ROUND($H214*$U$7,2)&gt;ROUND(SUM($T$11:$T213)+$U$7,2),$U$7*2,$U$7)),"")</f>
        <v/>
      </c>
      <c r="U214" s="3" t="str">
        <f>IF($L214&lt;&gt;"",IF($A214="Prepago",0,IF(ROUND($H214*$U$8,2)&gt;ROUND(SUM($U$11:$U213)+$U$8,2),$U$8*2,$U$8)),"")</f>
        <v/>
      </c>
      <c r="V214" s="3" t="str">
        <f>IF($L214&lt;&gt;"",IF($A214="Prepago",0,IF(ROUND($H214*$U$9,2)&gt;ROUND(SUM($V$11:$V213)+$U$9,2),$U$9*2,$U$9)),"")</f>
        <v/>
      </c>
      <c r="W214" s="3" t="str">
        <f t="shared" si="61"/>
        <v/>
      </c>
      <c r="X214" s="3" t="str">
        <f t="shared" si="66"/>
        <v/>
      </c>
      <c r="Y214" s="3" t="str">
        <f t="shared" si="67"/>
        <v/>
      </c>
      <c r="Z214" s="3" t="str">
        <f t="shared" si="68"/>
        <v/>
      </c>
      <c r="AA214" s="3" t="str">
        <f>IF($L214&lt;&gt;"",IF($N214&gt;Z$11,IF($N214&lt;AA$11,$N214-Z$11,30),0)*ROUND(($O214+$X213+SUM($Z214:Z214))*$V$5/3000,2),"")</f>
        <v/>
      </c>
    </row>
    <row r="215" spans="5:27" x14ac:dyDescent="0.25">
      <c r="E215" s="5"/>
      <c r="F215" t="str">
        <f t="shared" si="72"/>
        <v/>
      </c>
      <c r="G215" s="5" t="str">
        <f t="shared" si="62"/>
        <v/>
      </c>
      <c r="H215" s="22" t="str">
        <f t="shared" si="73"/>
        <v/>
      </c>
      <c r="I215" s="22" t="str">
        <f t="shared" si="63"/>
        <v/>
      </c>
      <c r="J215" s="22" t="str">
        <f t="shared" si="74"/>
        <v/>
      </c>
      <c r="K215" s="22" t="str">
        <f t="shared" si="75"/>
        <v/>
      </c>
      <c r="L215" t="str">
        <f t="shared" si="59"/>
        <v/>
      </c>
      <c r="M215" s="5" t="str">
        <f t="shared" si="69"/>
        <v/>
      </c>
      <c r="N215" s="9" t="str">
        <f t="shared" si="60"/>
        <v/>
      </c>
      <c r="O215" s="3" t="str">
        <f t="shared" si="64"/>
        <v/>
      </c>
      <c r="P215" s="3" t="str">
        <f t="shared" si="65"/>
        <v/>
      </c>
      <c r="Q215" s="3" t="str">
        <f t="shared" si="70"/>
        <v/>
      </c>
      <c r="R215" s="3" t="str">
        <f t="shared" si="71"/>
        <v/>
      </c>
      <c r="S215" s="3" t="str">
        <f>IF($L215&lt;&gt;"",IF($A215="Prepago",0,IF(ROUND($H215*$U$6,2)&gt;ROUND(SUM($S$11:$S214)+$U$6,2),$U$6*2,$U$6)),"")</f>
        <v/>
      </c>
      <c r="T215" s="3" t="str">
        <f>IF($L215&lt;&gt;"",IF($A215="Prepago",0,IF(ROUND($H215*$U$7,2)&gt;ROUND(SUM($T$11:$T214)+$U$7,2),$U$7*2,$U$7)),"")</f>
        <v/>
      </c>
      <c r="U215" s="3" t="str">
        <f>IF($L215&lt;&gt;"",IF($A215="Prepago",0,IF(ROUND($H215*$U$8,2)&gt;ROUND(SUM($U$11:$U214)+$U$8,2),$U$8*2,$U$8)),"")</f>
        <v/>
      </c>
      <c r="V215" s="3" t="str">
        <f>IF($L215&lt;&gt;"",IF($A215="Prepago",0,IF(ROUND($H215*$U$9,2)&gt;ROUND(SUM($V$11:$V214)+$U$9,2),$U$9*2,$U$9)),"")</f>
        <v/>
      </c>
      <c r="W215" s="3" t="str">
        <f t="shared" si="61"/>
        <v/>
      </c>
      <c r="X215" s="3" t="str">
        <f t="shared" si="66"/>
        <v/>
      </c>
      <c r="Y215" s="3" t="str">
        <f t="shared" si="67"/>
        <v/>
      </c>
      <c r="Z215" s="3" t="str">
        <f t="shared" si="68"/>
        <v/>
      </c>
      <c r="AA215" s="3" t="str">
        <f>IF($L215&lt;&gt;"",IF($N215&gt;Z$11,IF($N215&lt;AA$11,$N215-Z$11,30),0)*ROUND(($O215+$X214+SUM($Z215:Z215))*$V$5/3000,2),"")</f>
        <v/>
      </c>
    </row>
    <row r="216" spans="5:27" x14ac:dyDescent="0.25">
      <c r="E216" s="5"/>
      <c r="F216" t="str">
        <f t="shared" si="72"/>
        <v/>
      </c>
      <c r="G216" s="5" t="str">
        <f t="shared" si="62"/>
        <v/>
      </c>
      <c r="H216" s="22" t="str">
        <f t="shared" si="73"/>
        <v/>
      </c>
      <c r="I216" s="22" t="str">
        <f t="shared" si="63"/>
        <v/>
      </c>
      <c r="J216" s="22" t="str">
        <f t="shared" si="74"/>
        <v/>
      </c>
      <c r="K216" s="22" t="str">
        <f t="shared" si="75"/>
        <v/>
      </c>
      <c r="L216" t="str">
        <f t="shared" si="59"/>
        <v/>
      </c>
      <c r="M216" s="5" t="str">
        <f t="shared" si="69"/>
        <v/>
      </c>
      <c r="N216" s="9" t="str">
        <f t="shared" si="60"/>
        <v/>
      </c>
      <c r="O216" s="3" t="str">
        <f t="shared" si="64"/>
        <v/>
      </c>
      <c r="P216" s="3" t="str">
        <f t="shared" si="65"/>
        <v/>
      </c>
      <c r="Q216" s="3" t="str">
        <f t="shared" si="70"/>
        <v/>
      </c>
      <c r="R216" s="3" t="str">
        <f t="shared" si="71"/>
        <v/>
      </c>
      <c r="S216" s="3" t="str">
        <f>IF($L216&lt;&gt;"",IF($A216="Prepago",0,IF(ROUND($H216*$U$6,2)&gt;ROUND(SUM($S$11:$S215)+$U$6,2),$U$6*2,$U$6)),"")</f>
        <v/>
      </c>
      <c r="T216" s="3" t="str">
        <f>IF($L216&lt;&gt;"",IF($A216="Prepago",0,IF(ROUND($H216*$U$7,2)&gt;ROUND(SUM($T$11:$T215)+$U$7,2),$U$7*2,$U$7)),"")</f>
        <v/>
      </c>
      <c r="U216" s="3" t="str">
        <f>IF($L216&lt;&gt;"",IF($A216="Prepago",0,IF(ROUND($H216*$U$8,2)&gt;ROUND(SUM($U$11:$U215)+$U$8,2),$U$8*2,$U$8)),"")</f>
        <v/>
      </c>
      <c r="V216" s="3" t="str">
        <f>IF($L216&lt;&gt;"",IF($A216="Prepago",0,IF(ROUND($H216*$U$9,2)&gt;ROUND(SUM($V$11:$V215)+$U$9,2),$U$9*2,$U$9)),"")</f>
        <v/>
      </c>
      <c r="W216" s="3" t="str">
        <f t="shared" si="61"/>
        <v/>
      </c>
      <c r="X216" s="3" t="str">
        <f t="shared" si="66"/>
        <v/>
      </c>
      <c r="Y216" s="3" t="str">
        <f t="shared" si="67"/>
        <v/>
      </c>
      <c r="Z216" s="3" t="str">
        <f t="shared" si="68"/>
        <v/>
      </c>
      <c r="AA216" s="3" t="str">
        <f>IF($L216&lt;&gt;"",IF($N216&gt;Z$11,IF($N216&lt;AA$11,$N216-Z$11,30),0)*ROUND(($O216+$X215+SUM($Z216:Z216))*$V$5/3000,2),"")</f>
        <v/>
      </c>
    </row>
    <row r="217" spans="5:27" x14ac:dyDescent="0.25">
      <c r="E217" s="5"/>
      <c r="F217" t="str">
        <f t="shared" si="72"/>
        <v/>
      </c>
      <c r="G217" s="5" t="str">
        <f t="shared" si="62"/>
        <v/>
      </c>
      <c r="H217" s="22" t="str">
        <f t="shared" si="73"/>
        <v/>
      </c>
      <c r="I217" s="22" t="str">
        <f t="shared" si="63"/>
        <v/>
      </c>
      <c r="J217" s="22" t="str">
        <f t="shared" si="74"/>
        <v/>
      </c>
      <c r="K217" s="22" t="str">
        <f t="shared" si="75"/>
        <v/>
      </c>
      <c r="L217" t="str">
        <f t="shared" si="59"/>
        <v/>
      </c>
      <c r="M217" s="5" t="str">
        <f t="shared" si="69"/>
        <v/>
      </c>
      <c r="N217" s="9" t="str">
        <f t="shared" si="60"/>
        <v/>
      </c>
      <c r="O217" s="3" t="str">
        <f t="shared" si="64"/>
        <v/>
      </c>
      <c r="P217" s="3" t="str">
        <f t="shared" si="65"/>
        <v/>
      </c>
      <c r="Q217" s="3" t="str">
        <f t="shared" si="70"/>
        <v/>
      </c>
      <c r="R217" s="3" t="str">
        <f t="shared" si="71"/>
        <v/>
      </c>
      <c r="S217" s="3" t="str">
        <f>IF($L217&lt;&gt;"",IF($A217="Prepago",0,IF(ROUND($H217*$U$6,2)&gt;ROUND(SUM($S$11:$S216)+$U$6,2),$U$6*2,$U$6)),"")</f>
        <v/>
      </c>
      <c r="T217" s="3" t="str">
        <f>IF($L217&lt;&gt;"",IF($A217="Prepago",0,IF(ROUND($H217*$U$7,2)&gt;ROUND(SUM($T$11:$T216)+$U$7,2),$U$7*2,$U$7)),"")</f>
        <v/>
      </c>
      <c r="U217" s="3" t="str">
        <f>IF($L217&lt;&gt;"",IF($A217="Prepago",0,IF(ROUND($H217*$U$8,2)&gt;ROUND(SUM($U$11:$U216)+$U$8,2),$U$8*2,$U$8)),"")</f>
        <v/>
      </c>
      <c r="V217" s="3" t="str">
        <f>IF($L217&lt;&gt;"",IF($A217="Prepago",0,IF(ROUND($H217*$U$9,2)&gt;ROUND(SUM($V$11:$V216)+$U$9,2),$U$9*2,$U$9)),"")</f>
        <v/>
      </c>
      <c r="W217" s="3" t="str">
        <f t="shared" si="61"/>
        <v/>
      </c>
      <c r="X217" s="3" t="str">
        <f t="shared" si="66"/>
        <v/>
      </c>
      <c r="Y217" s="3" t="str">
        <f t="shared" si="67"/>
        <v/>
      </c>
      <c r="Z217" s="3" t="str">
        <f t="shared" si="68"/>
        <v/>
      </c>
      <c r="AA217" s="3" t="str">
        <f>IF($L217&lt;&gt;"",IF($N217&gt;Z$11,IF($N217&lt;AA$11,$N217-Z$11,30),0)*ROUND(($O217+$X216+SUM($Z217:Z217))*$V$5/3000,2),"")</f>
        <v/>
      </c>
    </row>
    <row r="218" spans="5:27" x14ac:dyDescent="0.25">
      <c r="E218" s="5"/>
      <c r="F218" t="str">
        <f t="shared" si="72"/>
        <v/>
      </c>
      <c r="G218" s="5" t="str">
        <f t="shared" si="62"/>
        <v/>
      </c>
      <c r="H218" s="22" t="str">
        <f t="shared" si="73"/>
        <v/>
      </c>
      <c r="I218" s="22" t="str">
        <f t="shared" si="63"/>
        <v/>
      </c>
      <c r="J218" s="22" t="str">
        <f t="shared" si="74"/>
        <v/>
      </c>
      <c r="K218" s="22" t="str">
        <f t="shared" si="75"/>
        <v/>
      </c>
      <c r="L218" t="str">
        <f t="shared" si="59"/>
        <v/>
      </c>
      <c r="M218" s="5" t="str">
        <f t="shared" si="69"/>
        <v/>
      </c>
      <c r="N218" s="9" t="str">
        <f t="shared" si="60"/>
        <v/>
      </c>
      <c r="O218" s="3" t="str">
        <f t="shared" si="64"/>
        <v/>
      </c>
      <c r="P218" s="3" t="str">
        <f t="shared" si="65"/>
        <v/>
      </c>
      <c r="Q218" s="3" t="str">
        <f t="shared" si="70"/>
        <v/>
      </c>
      <c r="R218" s="3" t="str">
        <f t="shared" si="71"/>
        <v/>
      </c>
      <c r="S218" s="3" t="str">
        <f>IF($L218&lt;&gt;"",IF($A218="Prepago",0,IF(ROUND($H218*$U$6,2)&gt;ROUND(SUM($S$11:$S217)+$U$6,2),$U$6*2,$U$6)),"")</f>
        <v/>
      </c>
      <c r="T218" s="3" t="str">
        <f>IF($L218&lt;&gt;"",IF($A218="Prepago",0,IF(ROUND($H218*$U$7,2)&gt;ROUND(SUM($T$11:$T217)+$U$7,2),$U$7*2,$U$7)),"")</f>
        <v/>
      </c>
      <c r="U218" s="3" t="str">
        <f>IF($L218&lt;&gt;"",IF($A218="Prepago",0,IF(ROUND($H218*$U$8,2)&gt;ROUND(SUM($U$11:$U217)+$U$8,2),$U$8*2,$U$8)),"")</f>
        <v/>
      </c>
      <c r="V218" s="3" t="str">
        <f>IF($L218&lt;&gt;"",IF($A218="Prepago",0,IF(ROUND($H218*$U$9,2)&gt;ROUND(SUM($V$11:$V217)+$U$9,2),$U$9*2,$U$9)),"")</f>
        <v/>
      </c>
      <c r="W218" s="3" t="str">
        <f t="shared" si="61"/>
        <v/>
      </c>
      <c r="X218" s="3" t="str">
        <f t="shared" si="66"/>
        <v/>
      </c>
      <c r="Y218" s="3" t="str">
        <f t="shared" si="67"/>
        <v/>
      </c>
      <c r="Z218" s="3" t="str">
        <f t="shared" si="68"/>
        <v/>
      </c>
      <c r="AA218" s="3" t="str">
        <f>IF($L218&lt;&gt;"",IF($N218&gt;Z$11,IF($N218&lt;AA$11,$N218-Z$11,30),0)*ROUND(($O218+$X217+SUM($Z218:Z218))*$V$5/3000,2),"")</f>
        <v/>
      </c>
    </row>
    <row r="219" spans="5:27" x14ac:dyDescent="0.25">
      <c r="E219" s="5"/>
      <c r="F219" t="str">
        <f t="shared" si="72"/>
        <v/>
      </c>
      <c r="G219" s="5" t="str">
        <f t="shared" si="62"/>
        <v/>
      </c>
      <c r="H219" s="22" t="str">
        <f t="shared" si="73"/>
        <v/>
      </c>
      <c r="I219" s="22" t="str">
        <f t="shared" si="63"/>
        <v/>
      </c>
      <c r="J219" s="22" t="str">
        <f t="shared" si="74"/>
        <v/>
      </c>
      <c r="K219" s="22" t="str">
        <f t="shared" si="75"/>
        <v/>
      </c>
      <c r="L219" t="str">
        <f t="shared" si="59"/>
        <v/>
      </c>
      <c r="M219" s="5" t="str">
        <f t="shared" si="69"/>
        <v/>
      </c>
      <c r="N219" s="9" t="str">
        <f t="shared" si="60"/>
        <v/>
      </c>
      <c r="O219" s="3" t="str">
        <f t="shared" si="64"/>
        <v/>
      </c>
      <c r="P219" s="3" t="str">
        <f t="shared" si="65"/>
        <v/>
      </c>
      <c r="Q219" s="3" t="str">
        <f t="shared" si="70"/>
        <v/>
      </c>
      <c r="R219" s="3" t="str">
        <f t="shared" si="71"/>
        <v/>
      </c>
      <c r="S219" s="3" t="str">
        <f>IF($L219&lt;&gt;"",IF($A219="Prepago",0,IF(ROUND($H219*$U$6,2)&gt;ROUND(SUM($S$11:$S218)+$U$6,2),$U$6*2,$U$6)),"")</f>
        <v/>
      </c>
      <c r="T219" s="3" t="str">
        <f>IF($L219&lt;&gt;"",IF($A219="Prepago",0,IF(ROUND($H219*$U$7,2)&gt;ROUND(SUM($T$11:$T218)+$U$7,2),$U$7*2,$U$7)),"")</f>
        <v/>
      </c>
      <c r="U219" s="3" t="str">
        <f>IF($L219&lt;&gt;"",IF($A219="Prepago",0,IF(ROUND($H219*$U$8,2)&gt;ROUND(SUM($U$11:$U218)+$U$8,2),$U$8*2,$U$8)),"")</f>
        <v/>
      </c>
      <c r="V219" s="3" t="str">
        <f>IF($L219&lt;&gt;"",IF($A219="Prepago",0,IF(ROUND($H219*$U$9,2)&gt;ROUND(SUM($V$11:$V218)+$U$9,2),$U$9*2,$U$9)),"")</f>
        <v/>
      </c>
      <c r="W219" s="3" t="str">
        <f t="shared" si="61"/>
        <v/>
      </c>
      <c r="X219" s="3" t="str">
        <f t="shared" si="66"/>
        <v/>
      </c>
      <c r="Y219" s="3" t="str">
        <f t="shared" si="67"/>
        <v/>
      </c>
      <c r="Z219" s="3" t="str">
        <f t="shared" si="68"/>
        <v/>
      </c>
      <c r="AA219" s="3" t="str">
        <f>IF($L219&lt;&gt;"",IF($N219&gt;Z$11,IF($N219&lt;AA$11,$N219-Z$11,30),0)*ROUND(($O219+$X218+SUM($Z219:Z219))*$V$5/3000,2),"")</f>
        <v/>
      </c>
    </row>
    <row r="220" spans="5:27" x14ac:dyDescent="0.25">
      <c r="E220" s="5"/>
      <c r="F220" t="str">
        <f t="shared" si="72"/>
        <v/>
      </c>
      <c r="G220" s="5" t="str">
        <f t="shared" si="62"/>
        <v/>
      </c>
      <c r="H220" s="22" t="str">
        <f t="shared" si="73"/>
        <v/>
      </c>
      <c r="I220" s="22" t="str">
        <f t="shared" si="63"/>
        <v/>
      </c>
      <c r="J220" s="22" t="str">
        <f t="shared" si="74"/>
        <v/>
      </c>
      <c r="K220" s="22" t="str">
        <f t="shared" si="75"/>
        <v/>
      </c>
      <c r="L220" t="str">
        <f t="shared" si="59"/>
        <v/>
      </c>
      <c r="M220" s="5" t="str">
        <f t="shared" si="69"/>
        <v/>
      </c>
      <c r="N220" s="9" t="str">
        <f t="shared" si="60"/>
        <v/>
      </c>
      <c r="O220" s="3" t="str">
        <f t="shared" si="64"/>
        <v/>
      </c>
      <c r="P220" s="3" t="str">
        <f t="shared" si="65"/>
        <v/>
      </c>
      <c r="Q220" s="3" t="str">
        <f t="shared" si="70"/>
        <v/>
      </c>
      <c r="R220" s="3" t="str">
        <f t="shared" si="71"/>
        <v/>
      </c>
      <c r="S220" s="3" t="str">
        <f>IF($L220&lt;&gt;"",IF($A220="Prepago",0,IF(ROUND($H220*$U$6,2)&gt;ROUND(SUM($S$11:$S219)+$U$6,2),$U$6*2,$U$6)),"")</f>
        <v/>
      </c>
      <c r="T220" s="3" t="str">
        <f>IF($L220&lt;&gt;"",IF($A220="Prepago",0,IF(ROUND($H220*$U$7,2)&gt;ROUND(SUM($T$11:$T219)+$U$7,2),$U$7*2,$U$7)),"")</f>
        <v/>
      </c>
      <c r="U220" s="3" t="str">
        <f>IF($L220&lt;&gt;"",IF($A220="Prepago",0,IF(ROUND($H220*$U$8,2)&gt;ROUND(SUM($U$11:$U219)+$U$8,2),$U$8*2,$U$8)),"")</f>
        <v/>
      </c>
      <c r="V220" s="3" t="str">
        <f>IF($L220&lt;&gt;"",IF($A220="Prepago",0,IF(ROUND($H220*$U$9,2)&gt;ROUND(SUM($V$11:$V219)+$U$9,2),$U$9*2,$U$9)),"")</f>
        <v/>
      </c>
      <c r="W220" s="3" t="str">
        <f t="shared" si="61"/>
        <v/>
      </c>
      <c r="X220" s="3" t="str">
        <f t="shared" si="66"/>
        <v/>
      </c>
      <c r="Y220" s="3" t="str">
        <f t="shared" si="67"/>
        <v/>
      </c>
      <c r="Z220" s="3" t="str">
        <f t="shared" si="68"/>
        <v/>
      </c>
      <c r="AA220" s="3" t="str">
        <f>IF($L220&lt;&gt;"",IF($N220&gt;Z$11,IF($N220&lt;AA$11,$N220-Z$11,30),0)*ROUND(($O220+$X219+SUM($Z220:Z220))*$V$5/3000,2),"")</f>
        <v/>
      </c>
    </row>
    <row r="221" spans="5:27" x14ac:dyDescent="0.25">
      <c r="E221" s="5"/>
      <c r="F221" t="str">
        <f t="shared" ref="F221:F239" si="76">IF($L221&lt;&gt;"",TEXT(M221,"DDD"),"")</f>
        <v/>
      </c>
      <c r="G221" s="5" t="str">
        <f t="shared" si="62"/>
        <v/>
      </c>
      <c r="H221" s="22" t="str">
        <f t="shared" ref="H221:H239" si="77">IF($L221&lt;&gt;"",IF($A221="Prepago",$H220,$H220+1)+B221,"")</f>
        <v/>
      </c>
      <c r="I221" s="22" t="str">
        <f t="shared" si="63"/>
        <v/>
      </c>
      <c r="J221" s="22" t="str">
        <f t="shared" ref="J221:J239" si="78">IF($L221&lt;&gt;"",IF(OR(A221&lt;&gt;"",C221&lt;&gt;""),1,0),"")</f>
        <v/>
      </c>
      <c r="K221" s="22" t="str">
        <f t="shared" ref="K221:K239" si="79">IF($L221&lt;&gt;"",IF(J221=1,Q221,0),"")</f>
        <v/>
      </c>
      <c r="L221" t="str">
        <f t="shared" si="59"/>
        <v/>
      </c>
      <c r="M221" s="5" t="str">
        <f t="shared" si="69"/>
        <v/>
      </c>
      <c r="N221" s="9" t="str">
        <f t="shared" si="60"/>
        <v/>
      </c>
      <c r="O221" s="3" t="str">
        <f t="shared" si="64"/>
        <v/>
      </c>
      <c r="P221" s="3" t="str">
        <f t="shared" si="65"/>
        <v/>
      </c>
      <c r="Q221" s="3" t="str">
        <f t="shared" si="70"/>
        <v/>
      </c>
      <c r="R221" s="3" t="str">
        <f t="shared" si="71"/>
        <v/>
      </c>
      <c r="S221" s="3" t="str">
        <f>IF($L221&lt;&gt;"",IF($A221="Prepago",0,IF(ROUND($H221*$U$6,2)&gt;ROUND(SUM($S$11:$S220)+$U$6,2),$U$6*2,$U$6)),"")</f>
        <v/>
      </c>
      <c r="T221" s="3" t="str">
        <f>IF($L221&lt;&gt;"",IF($A221="Prepago",0,IF(ROUND($H221*$U$7,2)&gt;ROUND(SUM($T$11:$T220)+$U$7,2),$U$7*2,$U$7)),"")</f>
        <v/>
      </c>
      <c r="U221" s="3" t="str">
        <f>IF($L221&lt;&gt;"",IF($A221="Prepago",0,IF(ROUND($H221*$U$8,2)&gt;ROUND(SUM($U$11:$U220)+$U$8,2),$U$8*2,$U$8)),"")</f>
        <v/>
      </c>
      <c r="V221" s="3" t="str">
        <f>IF($L221&lt;&gt;"",IF($A221="Prepago",0,IF(ROUND($H221*$U$9,2)&gt;ROUND(SUM($V$11:$V220)+$U$9,2),$U$9*2,$U$9)),"")</f>
        <v/>
      </c>
      <c r="W221" s="3" t="str">
        <f t="shared" si="61"/>
        <v/>
      </c>
      <c r="X221" s="3" t="str">
        <f t="shared" si="66"/>
        <v/>
      </c>
      <c r="Y221" s="3" t="str">
        <f t="shared" si="67"/>
        <v/>
      </c>
      <c r="Z221" s="3" t="str">
        <f t="shared" si="68"/>
        <v/>
      </c>
      <c r="AA221" s="3" t="str">
        <f>IF($L221&lt;&gt;"",IF($N221&gt;Z$11,IF($N221&lt;AA$11,$N221-Z$11,30),0)*ROUND(($O221+$X220+SUM($Z221:Z221))*$V$5/3000,2),"")</f>
        <v/>
      </c>
    </row>
    <row r="222" spans="5:27" x14ac:dyDescent="0.25">
      <c r="E222" s="5"/>
      <c r="F222" t="str">
        <f t="shared" si="76"/>
        <v/>
      </c>
      <c r="G222" s="5" t="str">
        <f t="shared" si="62"/>
        <v/>
      </c>
      <c r="H222" s="22" t="str">
        <f t="shared" si="77"/>
        <v/>
      </c>
      <c r="I222" s="22" t="str">
        <f t="shared" si="63"/>
        <v/>
      </c>
      <c r="J222" s="22" t="str">
        <f t="shared" si="78"/>
        <v/>
      </c>
      <c r="K222" s="22" t="str">
        <f t="shared" si="79"/>
        <v/>
      </c>
      <c r="L222" t="str">
        <f t="shared" si="59"/>
        <v/>
      </c>
      <c r="M222" s="5" t="str">
        <f t="shared" si="69"/>
        <v/>
      </c>
      <c r="N222" s="9" t="str">
        <f t="shared" si="60"/>
        <v/>
      </c>
      <c r="O222" s="3" t="str">
        <f t="shared" si="64"/>
        <v/>
      </c>
      <c r="P222" s="3" t="str">
        <f t="shared" si="65"/>
        <v/>
      </c>
      <c r="Q222" s="3" t="str">
        <f t="shared" si="70"/>
        <v/>
      </c>
      <c r="R222" s="3" t="str">
        <f t="shared" si="71"/>
        <v/>
      </c>
      <c r="S222" s="3" t="str">
        <f>IF($L222&lt;&gt;"",IF($A222="Prepago",0,IF(ROUND($H222*$U$6,2)&gt;ROUND(SUM($S$11:$S221)+$U$6,2),$U$6*2,$U$6)),"")</f>
        <v/>
      </c>
      <c r="T222" s="3" t="str">
        <f>IF($L222&lt;&gt;"",IF($A222="Prepago",0,IF(ROUND($H222*$U$7,2)&gt;ROUND(SUM($T$11:$T221)+$U$7,2),$U$7*2,$U$7)),"")</f>
        <v/>
      </c>
      <c r="U222" s="3" t="str">
        <f>IF($L222&lt;&gt;"",IF($A222="Prepago",0,IF(ROUND($H222*$U$8,2)&gt;ROUND(SUM($U$11:$U221)+$U$8,2),$U$8*2,$U$8)),"")</f>
        <v/>
      </c>
      <c r="V222" s="3" t="str">
        <f>IF($L222&lt;&gt;"",IF($A222="Prepago",0,IF(ROUND($H222*$U$9,2)&gt;ROUND(SUM($V$11:$V221)+$U$9,2),$U$9*2,$U$9)),"")</f>
        <v/>
      </c>
      <c r="W222" s="3" t="str">
        <f t="shared" si="61"/>
        <v/>
      </c>
      <c r="X222" s="3" t="str">
        <f t="shared" si="66"/>
        <v/>
      </c>
      <c r="Y222" s="3" t="str">
        <f t="shared" si="67"/>
        <v/>
      </c>
      <c r="Z222" s="3" t="str">
        <f t="shared" si="68"/>
        <v/>
      </c>
      <c r="AA222" s="3" t="str">
        <f>IF($L222&lt;&gt;"",IF($N222&gt;Z$11,IF($N222&lt;AA$11,$N222-Z$11,30),0)*ROUND(($O222+$X221+SUM($Z222:Z222))*$V$5/3000,2),"")</f>
        <v/>
      </c>
    </row>
    <row r="223" spans="5:27" x14ac:dyDescent="0.25">
      <c r="E223" s="5"/>
      <c r="F223" t="str">
        <f t="shared" si="76"/>
        <v/>
      </c>
      <c r="G223" s="5" t="str">
        <f t="shared" si="62"/>
        <v/>
      </c>
      <c r="H223" s="22" t="str">
        <f t="shared" si="77"/>
        <v/>
      </c>
      <c r="I223" s="22" t="str">
        <f t="shared" si="63"/>
        <v/>
      </c>
      <c r="J223" s="22" t="str">
        <f t="shared" si="78"/>
        <v/>
      </c>
      <c r="K223" s="22" t="str">
        <f t="shared" si="79"/>
        <v/>
      </c>
      <c r="L223" t="str">
        <f t="shared" si="59"/>
        <v/>
      </c>
      <c r="M223" s="5" t="str">
        <f t="shared" si="69"/>
        <v/>
      </c>
      <c r="N223" s="9" t="str">
        <f t="shared" si="60"/>
        <v/>
      </c>
      <c r="O223" s="3" t="str">
        <f t="shared" si="64"/>
        <v/>
      </c>
      <c r="P223" s="3" t="str">
        <f t="shared" si="65"/>
        <v/>
      </c>
      <c r="Q223" s="3" t="str">
        <f t="shared" si="70"/>
        <v/>
      </c>
      <c r="R223" s="3" t="str">
        <f t="shared" si="71"/>
        <v/>
      </c>
      <c r="S223" s="3" t="str">
        <f>IF($L223&lt;&gt;"",IF($A223="Prepago",0,IF(ROUND($H223*$U$6,2)&gt;ROUND(SUM($S$11:$S222)+$U$6,2),$U$6*2,$U$6)),"")</f>
        <v/>
      </c>
      <c r="T223" s="3" t="str">
        <f>IF($L223&lt;&gt;"",IF($A223="Prepago",0,IF(ROUND($H223*$U$7,2)&gt;ROUND(SUM($T$11:$T222)+$U$7,2),$U$7*2,$U$7)),"")</f>
        <v/>
      </c>
      <c r="U223" s="3" t="str">
        <f>IF($L223&lt;&gt;"",IF($A223="Prepago",0,IF(ROUND($H223*$U$8,2)&gt;ROUND(SUM($U$11:$U222)+$U$8,2),$U$8*2,$U$8)),"")</f>
        <v/>
      </c>
      <c r="V223" s="3" t="str">
        <f>IF($L223&lt;&gt;"",IF($A223="Prepago",0,IF(ROUND($H223*$U$9,2)&gt;ROUND(SUM($V$11:$V222)+$U$9,2),$U$9*2,$U$9)),"")</f>
        <v/>
      </c>
      <c r="W223" s="3" t="str">
        <f t="shared" si="61"/>
        <v/>
      </c>
      <c r="X223" s="3" t="str">
        <f t="shared" si="66"/>
        <v/>
      </c>
      <c r="Y223" s="3" t="str">
        <f t="shared" si="67"/>
        <v/>
      </c>
      <c r="Z223" s="3" t="str">
        <f t="shared" si="68"/>
        <v/>
      </c>
      <c r="AA223" s="3" t="str">
        <f>IF($L223&lt;&gt;"",IF($N223&gt;Z$11,IF($N223&lt;AA$11,$N223-Z$11,30),0)*ROUND(($O223+$X222+SUM($Z223:Z223))*$V$5/3000,2),"")</f>
        <v/>
      </c>
    </row>
    <row r="224" spans="5:27" x14ac:dyDescent="0.25">
      <c r="E224" s="5"/>
      <c r="F224" t="str">
        <f t="shared" si="76"/>
        <v/>
      </c>
      <c r="G224" s="5" t="str">
        <f t="shared" si="62"/>
        <v/>
      </c>
      <c r="H224" s="22" t="str">
        <f t="shared" si="77"/>
        <v/>
      </c>
      <c r="I224" s="22" t="str">
        <f t="shared" si="63"/>
        <v/>
      </c>
      <c r="J224" s="22" t="str">
        <f t="shared" si="78"/>
        <v/>
      </c>
      <c r="K224" s="22" t="str">
        <f t="shared" si="79"/>
        <v/>
      </c>
      <c r="L224" t="str">
        <f t="shared" si="59"/>
        <v/>
      </c>
      <c r="M224" s="5" t="str">
        <f t="shared" si="69"/>
        <v/>
      </c>
      <c r="N224" s="9" t="str">
        <f t="shared" si="60"/>
        <v/>
      </c>
      <c r="O224" s="3" t="str">
        <f t="shared" si="64"/>
        <v/>
      </c>
      <c r="P224" s="3" t="str">
        <f t="shared" si="65"/>
        <v/>
      </c>
      <c r="Q224" s="3" t="str">
        <f t="shared" si="70"/>
        <v/>
      </c>
      <c r="R224" s="3" t="str">
        <f t="shared" si="71"/>
        <v/>
      </c>
      <c r="S224" s="3" t="str">
        <f>IF($L224&lt;&gt;"",IF($A224="Prepago",0,IF(ROUND($H224*$U$6,2)&gt;ROUND(SUM($S$11:$S223)+$U$6,2),$U$6*2,$U$6)),"")</f>
        <v/>
      </c>
      <c r="T224" s="3" t="str">
        <f>IF($L224&lt;&gt;"",IF($A224="Prepago",0,IF(ROUND($H224*$U$7,2)&gt;ROUND(SUM($T$11:$T223)+$U$7,2),$U$7*2,$U$7)),"")</f>
        <v/>
      </c>
      <c r="U224" s="3" t="str">
        <f>IF($L224&lt;&gt;"",IF($A224="Prepago",0,IF(ROUND($H224*$U$8,2)&gt;ROUND(SUM($U$11:$U223)+$U$8,2),$U$8*2,$U$8)),"")</f>
        <v/>
      </c>
      <c r="V224" s="3" t="str">
        <f>IF($L224&lt;&gt;"",IF($A224="Prepago",0,IF(ROUND($H224*$U$9,2)&gt;ROUND(SUM($V$11:$V223)+$U$9,2),$U$9*2,$U$9)),"")</f>
        <v/>
      </c>
      <c r="W224" s="3" t="str">
        <f t="shared" si="61"/>
        <v/>
      </c>
      <c r="X224" s="3" t="str">
        <f t="shared" si="66"/>
        <v/>
      </c>
      <c r="Y224" s="3" t="str">
        <f t="shared" si="67"/>
        <v/>
      </c>
      <c r="Z224" s="3" t="str">
        <f t="shared" si="68"/>
        <v/>
      </c>
      <c r="AA224" s="3" t="str">
        <f>IF($L224&lt;&gt;"",IF($N224&gt;Z$11,IF($N224&lt;AA$11,$N224-Z$11,30),0)*ROUND(($O224+$X223+SUM($Z224:Z224))*$V$5/3000,2),"")</f>
        <v/>
      </c>
    </row>
    <row r="225" spans="5:27" x14ac:dyDescent="0.25">
      <c r="E225" s="5"/>
      <c r="F225" t="str">
        <f t="shared" si="76"/>
        <v/>
      </c>
      <c r="G225" s="5" t="str">
        <f t="shared" si="62"/>
        <v/>
      </c>
      <c r="H225" s="22" t="str">
        <f t="shared" si="77"/>
        <v/>
      </c>
      <c r="I225" s="22" t="str">
        <f t="shared" si="63"/>
        <v/>
      </c>
      <c r="J225" s="22" t="str">
        <f t="shared" si="78"/>
        <v/>
      </c>
      <c r="K225" s="22" t="str">
        <f t="shared" si="79"/>
        <v/>
      </c>
      <c r="L225" t="str">
        <f t="shared" si="59"/>
        <v/>
      </c>
      <c r="M225" s="5" t="str">
        <f t="shared" si="69"/>
        <v/>
      </c>
      <c r="N225" s="9" t="str">
        <f t="shared" si="60"/>
        <v/>
      </c>
      <c r="O225" s="3" t="str">
        <f t="shared" si="64"/>
        <v/>
      </c>
      <c r="P225" s="3" t="str">
        <f t="shared" si="65"/>
        <v/>
      </c>
      <c r="Q225" s="3" t="str">
        <f t="shared" si="70"/>
        <v/>
      </c>
      <c r="R225" s="3" t="str">
        <f t="shared" si="71"/>
        <v/>
      </c>
      <c r="S225" s="3" t="str">
        <f>IF($L225&lt;&gt;"",IF($A225="Prepago",0,IF(ROUND($H225*$U$6,2)&gt;ROUND(SUM($S$11:$S224)+$U$6,2),$U$6*2,$U$6)),"")</f>
        <v/>
      </c>
      <c r="T225" s="3" t="str">
        <f>IF($L225&lt;&gt;"",IF($A225="Prepago",0,IF(ROUND($H225*$U$7,2)&gt;ROUND(SUM($T$11:$T224)+$U$7,2),$U$7*2,$U$7)),"")</f>
        <v/>
      </c>
      <c r="U225" s="3" t="str">
        <f>IF($L225&lt;&gt;"",IF($A225="Prepago",0,IF(ROUND($H225*$U$8,2)&gt;ROUND(SUM($U$11:$U224)+$U$8,2),$U$8*2,$U$8)),"")</f>
        <v/>
      </c>
      <c r="V225" s="3" t="str">
        <f>IF($L225&lt;&gt;"",IF($A225="Prepago",0,IF(ROUND($H225*$U$9,2)&gt;ROUND(SUM($V$11:$V224)+$U$9,2),$U$9*2,$U$9)),"")</f>
        <v/>
      </c>
      <c r="W225" s="3" t="str">
        <f t="shared" si="61"/>
        <v/>
      </c>
      <c r="X225" s="3" t="str">
        <f t="shared" si="66"/>
        <v/>
      </c>
      <c r="Y225" s="3" t="str">
        <f t="shared" si="67"/>
        <v/>
      </c>
      <c r="Z225" s="3" t="str">
        <f t="shared" si="68"/>
        <v/>
      </c>
      <c r="AA225" s="3" t="str">
        <f>IF($L225&lt;&gt;"",IF($N225&gt;Z$11,IF($N225&lt;AA$11,$N225-Z$11,30),0)*ROUND(($O225+$X224+SUM($Z225:Z225))*$V$5/3000,2),"")</f>
        <v/>
      </c>
    </row>
    <row r="226" spans="5:27" x14ac:dyDescent="0.25">
      <c r="E226" s="5"/>
      <c r="F226" t="str">
        <f t="shared" si="76"/>
        <v/>
      </c>
      <c r="G226" s="5" t="str">
        <f t="shared" si="62"/>
        <v/>
      </c>
      <c r="H226" s="22" t="str">
        <f t="shared" si="77"/>
        <v/>
      </c>
      <c r="I226" s="22" t="str">
        <f t="shared" si="63"/>
        <v/>
      </c>
      <c r="J226" s="22" t="str">
        <f t="shared" si="78"/>
        <v/>
      </c>
      <c r="K226" s="22" t="str">
        <f t="shared" si="79"/>
        <v/>
      </c>
      <c r="L226" t="str">
        <f t="shared" si="59"/>
        <v/>
      </c>
      <c r="M226" s="5" t="str">
        <f t="shared" si="69"/>
        <v/>
      </c>
      <c r="N226" s="9" t="str">
        <f t="shared" si="60"/>
        <v/>
      </c>
      <c r="O226" s="3" t="str">
        <f t="shared" si="64"/>
        <v/>
      </c>
      <c r="P226" s="3" t="str">
        <f t="shared" si="65"/>
        <v/>
      </c>
      <c r="Q226" s="3" t="str">
        <f t="shared" si="70"/>
        <v/>
      </c>
      <c r="R226" s="3" t="str">
        <f t="shared" si="71"/>
        <v/>
      </c>
      <c r="S226" s="3" t="str">
        <f>IF($L226&lt;&gt;"",IF($A226="Prepago",0,IF(ROUND($H226*$U$6,2)&gt;ROUND(SUM($S$11:$S225)+$U$6,2),$U$6*2,$U$6)),"")</f>
        <v/>
      </c>
      <c r="T226" s="3" t="str">
        <f>IF($L226&lt;&gt;"",IF($A226="Prepago",0,IF(ROUND($H226*$U$7,2)&gt;ROUND(SUM($T$11:$T225)+$U$7,2),$U$7*2,$U$7)),"")</f>
        <v/>
      </c>
      <c r="U226" s="3" t="str">
        <f>IF($L226&lt;&gt;"",IF($A226="Prepago",0,IF(ROUND($H226*$U$8,2)&gt;ROUND(SUM($U$11:$U225)+$U$8,2),$U$8*2,$U$8)),"")</f>
        <v/>
      </c>
      <c r="V226" s="3" t="str">
        <f>IF($L226&lt;&gt;"",IF($A226="Prepago",0,IF(ROUND($H226*$U$9,2)&gt;ROUND(SUM($V$11:$V225)+$U$9,2),$U$9*2,$U$9)),"")</f>
        <v/>
      </c>
      <c r="W226" s="3" t="str">
        <f t="shared" si="61"/>
        <v/>
      </c>
      <c r="X226" s="3" t="str">
        <f t="shared" si="66"/>
        <v/>
      </c>
      <c r="Y226" s="3" t="str">
        <f t="shared" si="67"/>
        <v/>
      </c>
      <c r="Z226" s="3" t="str">
        <f t="shared" si="68"/>
        <v/>
      </c>
      <c r="AA226" s="3" t="str">
        <f>IF($L226&lt;&gt;"",IF($N226&gt;Z$11,IF($N226&lt;AA$11,$N226-Z$11,30),0)*ROUND(($O226+$X225+SUM($Z226:Z226))*$V$5/3000,2),"")</f>
        <v/>
      </c>
    </row>
    <row r="227" spans="5:27" x14ac:dyDescent="0.25">
      <c r="E227" s="5"/>
      <c r="F227" t="str">
        <f t="shared" si="76"/>
        <v/>
      </c>
      <c r="G227" s="5" t="str">
        <f t="shared" si="62"/>
        <v/>
      </c>
      <c r="H227" s="22" t="str">
        <f t="shared" si="77"/>
        <v/>
      </c>
      <c r="I227" s="22" t="str">
        <f t="shared" si="63"/>
        <v/>
      </c>
      <c r="J227" s="22" t="str">
        <f t="shared" si="78"/>
        <v/>
      </c>
      <c r="K227" s="22" t="str">
        <f t="shared" si="79"/>
        <v/>
      </c>
      <c r="L227" t="str">
        <f t="shared" si="59"/>
        <v/>
      </c>
      <c r="M227" s="5" t="str">
        <f t="shared" si="69"/>
        <v/>
      </c>
      <c r="N227" s="9" t="str">
        <f t="shared" si="60"/>
        <v/>
      </c>
      <c r="O227" s="3" t="str">
        <f t="shared" si="64"/>
        <v/>
      </c>
      <c r="P227" s="3" t="str">
        <f t="shared" si="65"/>
        <v/>
      </c>
      <c r="Q227" s="3" t="str">
        <f t="shared" si="70"/>
        <v/>
      </c>
      <c r="R227" s="3" t="str">
        <f t="shared" si="71"/>
        <v/>
      </c>
      <c r="S227" s="3" t="str">
        <f>IF($L227&lt;&gt;"",IF($A227="Prepago",0,IF(ROUND($H227*$U$6,2)&gt;ROUND(SUM($S$11:$S226)+$U$6,2),$U$6*2,$U$6)),"")</f>
        <v/>
      </c>
      <c r="T227" s="3" t="str">
        <f>IF($L227&lt;&gt;"",IF($A227="Prepago",0,IF(ROUND($H227*$U$7,2)&gt;ROUND(SUM($T$11:$T226)+$U$7,2),$U$7*2,$U$7)),"")</f>
        <v/>
      </c>
      <c r="U227" s="3" t="str">
        <f>IF($L227&lt;&gt;"",IF($A227="Prepago",0,IF(ROUND($H227*$U$8,2)&gt;ROUND(SUM($U$11:$U226)+$U$8,2),$U$8*2,$U$8)),"")</f>
        <v/>
      </c>
      <c r="V227" s="3" t="str">
        <f>IF($L227&lt;&gt;"",IF($A227="Prepago",0,IF(ROUND($H227*$U$9,2)&gt;ROUND(SUM($V$11:$V226)+$U$9,2),$U$9*2,$U$9)),"")</f>
        <v/>
      </c>
      <c r="W227" s="3" t="str">
        <f t="shared" si="61"/>
        <v/>
      </c>
      <c r="X227" s="3" t="str">
        <f t="shared" si="66"/>
        <v/>
      </c>
      <c r="Y227" s="3" t="str">
        <f t="shared" si="67"/>
        <v/>
      </c>
      <c r="Z227" s="3" t="str">
        <f t="shared" si="68"/>
        <v/>
      </c>
      <c r="AA227" s="3" t="str">
        <f>IF($L227&lt;&gt;"",IF($N227&gt;Z$11,IF($N227&lt;AA$11,$N227-Z$11,30),0)*ROUND(($O227+$X226+SUM($Z227:Z227))*$V$5/3000,2),"")</f>
        <v/>
      </c>
    </row>
    <row r="228" spans="5:27" x14ac:dyDescent="0.25">
      <c r="E228" s="5"/>
      <c r="F228" t="str">
        <f t="shared" si="76"/>
        <v/>
      </c>
      <c r="G228" s="5" t="str">
        <f t="shared" si="62"/>
        <v/>
      </c>
      <c r="H228" s="22" t="str">
        <f t="shared" si="77"/>
        <v/>
      </c>
      <c r="I228" s="22" t="str">
        <f t="shared" si="63"/>
        <v/>
      </c>
      <c r="J228" s="22" t="str">
        <f t="shared" si="78"/>
        <v/>
      </c>
      <c r="K228" s="22" t="str">
        <f t="shared" si="79"/>
        <v/>
      </c>
      <c r="L228" t="str">
        <f t="shared" si="59"/>
        <v/>
      </c>
      <c r="M228" s="5" t="str">
        <f t="shared" si="69"/>
        <v/>
      </c>
      <c r="N228" s="9" t="str">
        <f t="shared" si="60"/>
        <v/>
      </c>
      <c r="O228" s="3" t="str">
        <f t="shared" si="64"/>
        <v/>
      </c>
      <c r="P228" s="3" t="str">
        <f t="shared" si="65"/>
        <v/>
      </c>
      <c r="Q228" s="3" t="str">
        <f t="shared" si="70"/>
        <v/>
      </c>
      <c r="R228" s="3" t="str">
        <f t="shared" si="71"/>
        <v/>
      </c>
      <c r="S228" s="3" t="str">
        <f>IF($L228&lt;&gt;"",IF($A228="Prepago",0,IF(ROUND($H228*$U$6,2)&gt;ROUND(SUM($S$11:$S227)+$U$6,2),$U$6*2,$U$6)),"")</f>
        <v/>
      </c>
      <c r="T228" s="3" t="str">
        <f>IF($L228&lt;&gt;"",IF($A228="Prepago",0,IF(ROUND($H228*$U$7,2)&gt;ROUND(SUM($T$11:$T227)+$U$7,2),$U$7*2,$U$7)),"")</f>
        <v/>
      </c>
      <c r="U228" s="3" t="str">
        <f>IF($L228&lt;&gt;"",IF($A228="Prepago",0,IF(ROUND($H228*$U$8,2)&gt;ROUND(SUM($U$11:$U227)+$U$8,2),$U$8*2,$U$8)),"")</f>
        <v/>
      </c>
      <c r="V228" s="3" t="str">
        <f>IF($L228&lt;&gt;"",IF($A228="Prepago",0,IF(ROUND($H228*$U$9,2)&gt;ROUND(SUM($V$11:$V227)+$U$9,2),$U$9*2,$U$9)),"")</f>
        <v/>
      </c>
      <c r="W228" s="3" t="str">
        <f t="shared" si="61"/>
        <v/>
      </c>
      <c r="X228" s="3" t="str">
        <f t="shared" si="66"/>
        <v/>
      </c>
      <c r="Y228" s="3" t="str">
        <f t="shared" si="67"/>
        <v/>
      </c>
      <c r="Z228" s="3" t="str">
        <f t="shared" si="68"/>
        <v/>
      </c>
      <c r="AA228" s="3" t="str">
        <f>IF($L228&lt;&gt;"",IF($N228&gt;Z$11,IF($N228&lt;AA$11,$N228-Z$11,30),0)*ROUND(($O228+$X227+SUM($Z228:Z228))*$V$5/3000,2),"")</f>
        <v/>
      </c>
    </row>
    <row r="229" spans="5:27" x14ac:dyDescent="0.25">
      <c r="E229" s="5"/>
      <c r="F229" t="str">
        <f t="shared" si="76"/>
        <v/>
      </c>
      <c r="G229" s="5" t="str">
        <f t="shared" si="62"/>
        <v/>
      </c>
      <c r="H229" s="22" t="str">
        <f t="shared" si="77"/>
        <v/>
      </c>
      <c r="I229" s="22" t="str">
        <f t="shared" si="63"/>
        <v/>
      </c>
      <c r="J229" s="22" t="str">
        <f t="shared" si="78"/>
        <v/>
      </c>
      <c r="K229" s="22" t="str">
        <f t="shared" si="79"/>
        <v/>
      </c>
      <c r="L229" t="str">
        <f t="shared" si="59"/>
        <v/>
      </c>
      <c r="M229" s="5" t="str">
        <f t="shared" si="69"/>
        <v/>
      </c>
      <c r="N229" s="9" t="str">
        <f t="shared" si="60"/>
        <v/>
      </c>
      <c r="O229" s="3" t="str">
        <f t="shared" si="64"/>
        <v/>
      </c>
      <c r="P229" s="3" t="str">
        <f t="shared" si="65"/>
        <v/>
      </c>
      <c r="Q229" s="3" t="str">
        <f t="shared" si="70"/>
        <v/>
      </c>
      <c r="R229" s="3" t="str">
        <f t="shared" si="71"/>
        <v/>
      </c>
      <c r="S229" s="3" t="str">
        <f>IF($L229&lt;&gt;"",IF($A229="Prepago",0,IF(ROUND($H229*$U$6,2)&gt;ROUND(SUM($S$11:$S228)+$U$6,2),$U$6*2,$U$6)),"")</f>
        <v/>
      </c>
      <c r="T229" s="3" t="str">
        <f>IF($L229&lt;&gt;"",IF($A229="Prepago",0,IF(ROUND($H229*$U$7,2)&gt;ROUND(SUM($T$11:$T228)+$U$7,2),$U$7*2,$U$7)),"")</f>
        <v/>
      </c>
      <c r="U229" s="3" t="str">
        <f>IF($L229&lt;&gt;"",IF($A229="Prepago",0,IF(ROUND($H229*$U$8,2)&gt;ROUND(SUM($U$11:$U228)+$U$8,2),$U$8*2,$U$8)),"")</f>
        <v/>
      </c>
      <c r="V229" s="3" t="str">
        <f>IF($L229&lt;&gt;"",IF($A229="Prepago",0,IF(ROUND($H229*$U$9,2)&gt;ROUND(SUM($V$11:$V228)+$U$9,2),$U$9*2,$U$9)),"")</f>
        <v/>
      </c>
      <c r="W229" s="3" t="str">
        <f t="shared" si="61"/>
        <v/>
      </c>
      <c r="X229" s="3" t="str">
        <f t="shared" si="66"/>
        <v/>
      </c>
      <c r="Y229" s="3" t="str">
        <f t="shared" si="67"/>
        <v/>
      </c>
      <c r="Z229" s="3" t="str">
        <f t="shared" si="68"/>
        <v/>
      </c>
      <c r="AA229" s="3" t="str">
        <f>IF($L229&lt;&gt;"",IF($N229&gt;Z$11,IF($N229&lt;AA$11,$N229-Z$11,30),0)*ROUND(($O229+$X228+SUM($Z229:Z229))*$V$5/3000,2),"")</f>
        <v/>
      </c>
    </row>
    <row r="230" spans="5:27" x14ac:dyDescent="0.25">
      <c r="E230" s="5"/>
      <c r="F230" t="str">
        <f t="shared" si="76"/>
        <v/>
      </c>
      <c r="G230" s="5" t="str">
        <f t="shared" si="62"/>
        <v/>
      </c>
      <c r="H230" s="22" t="str">
        <f t="shared" si="77"/>
        <v/>
      </c>
      <c r="I230" s="22" t="str">
        <f t="shared" si="63"/>
        <v/>
      </c>
      <c r="J230" s="22" t="str">
        <f t="shared" si="78"/>
        <v/>
      </c>
      <c r="K230" s="22" t="str">
        <f t="shared" si="79"/>
        <v/>
      </c>
      <c r="L230" t="str">
        <f t="shared" si="59"/>
        <v/>
      </c>
      <c r="M230" s="5" t="str">
        <f t="shared" si="69"/>
        <v/>
      </c>
      <c r="N230" s="9" t="str">
        <f t="shared" si="60"/>
        <v/>
      </c>
      <c r="O230" s="3" t="str">
        <f t="shared" si="64"/>
        <v/>
      </c>
      <c r="P230" s="3" t="str">
        <f t="shared" si="65"/>
        <v/>
      </c>
      <c r="Q230" s="3" t="str">
        <f t="shared" si="70"/>
        <v/>
      </c>
      <c r="R230" s="3" t="str">
        <f t="shared" si="71"/>
        <v/>
      </c>
      <c r="S230" s="3" t="str">
        <f>IF($L230&lt;&gt;"",IF($A230="Prepago",0,IF(ROUND($H230*$U$6,2)&gt;ROUND(SUM($S$11:$S229)+$U$6,2),$U$6*2,$U$6)),"")</f>
        <v/>
      </c>
      <c r="T230" s="3" t="str">
        <f>IF($L230&lt;&gt;"",IF($A230="Prepago",0,IF(ROUND($H230*$U$7,2)&gt;ROUND(SUM($T$11:$T229)+$U$7,2),$U$7*2,$U$7)),"")</f>
        <v/>
      </c>
      <c r="U230" s="3" t="str">
        <f>IF($L230&lt;&gt;"",IF($A230="Prepago",0,IF(ROUND($H230*$U$8,2)&gt;ROUND(SUM($U$11:$U229)+$U$8,2),$U$8*2,$U$8)),"")</f>
        <v/>
      </c>
      <c r="V230" s="3" t="str">
        <f>IF($L230&lt;&gt;"",IF($A230="Prepago",0,IF(ROUND($H230*$U$9,2)&gt;ROUND(SUM($V$11:$V229)+$U$9,2),$U$9*2,$U$9)),"")</f>
        <v/>
      </c>
      <c r="W230" s="3" t="str">
        <f t="shared" si="61"/>
        <v/>
      </c>
      <c r="X230" s="3" t="str">
        <f t="shared" si="66"/>
        <v/>
      </c>
      <c r="Y230" s="3" t="str">
        <f t="shared" si="67"/>
        <v/>
      </c>
      <c r="Z230" s="3" t="str">
        <f t="shared" si="68"/>
        <v/>
      </c>
      <c r="AA230" s="3" t="str">
        <f>IF($L230&lt;&gt;"",IF($N230&gt;Z$11,IF($N230&lt;AA$11,$N230-Z$11,30),0)*ROUND(($O230+$X229+SUM($Z230:Z230))*$V$5/3000,2),"")</f>
        <v/>
      </c>
    </row>
    <row r="231" spans="5:27" x14ac:dyDescent="0.25">
      <c r="E231" s="5"/>
      <c r="F231" t="str">
        <f t="shared" si="76"/>
        <v/>
      </c>
      <c r="G231" s="5" t="str">
        <f t="shared" si="62"/>
        <v/>
      </c>
      <c r="H231" s="22" t="str">
        <f t="shared" si="77"/>
        <v/>
      </c>
      <c r="I231" s="22" t="str">
        <f t="shared" si="63"/>
        <v/>
      </c>
      <c r="J231" s="22" t="str">
        <f t="shared" si="78"/>
        <v/>
      </c>
      <c r="K231" s="22" t="str">
        <f t="shared" si="79"/>
        <v/>
      </c>
      <c r="L231" t="str">
        <f t="shared" si="59"/>
        <v/>
      </c>
      <c r="M231" s="5" t="str">
        <f t="shared" si="69"/>
        <v/>
      </c>
      <c r="N231" s="9" t="str">
        <f t="shared" si="60"/>
        <v/>
      </c>
      <c r="O231" s="3" t="str">
        <f t="shared" si="64"/>
        <v/>
      </c>
      <c r="P231" s="3" t="str">
        <f t="shared" si="65"/>
        <v/>
      </c>
      <c r="Q231" s="3" t="str">
        <f t="shared" si="70"/>
        <v/>
      </c>
      <c r="R231" s="3" t="str">
        <f t="shared" si="71"/>
        <v/>
      </c>
      <c r="S231" s="3" t="str">
        <f>IF($L231&lt;&gt;"",IF($A231="Prepago",0,IF(ROUND($H231*$U$6,2)&gt;ROUND(SUM($S$11:$S230)+$U$6,2),$U$6*2,$U$6)),"")</f>
        <v/>
      </c>
      <c r="T231" s="3" t="str">
        <f>IF($L231&lt;&gt;"",IF($A231="Prepago",0,IF(ROUND($H231*$U$7,2)&gt;ROUND(SUM($T$11:$T230)+$U$7,2),$U$7*2,$U$7)),"")</f>
        <v/>
      </c>
      <c r="U231" s="3" t="str">
        <f>IF($L231&lt;&gt;"",IF($A231="Prepago",0,IF(ROUND($H231*$U$8,2)&gt;ROUND(SUM($U$11:$U230)+$U$8,2),$U$8*2,$U$8)),"")</f>
        <v/>
      </c>
      <c r="V231" s="3" t="str">
        <f>IF($L231&lt;&gt;"",IF($A231="Prepago",0,IF(ROUND($H231*$U$9,2)&gt;ROUND(SUM($V$11:$V230)+$U$9,2),$U$9*2,$U$9)),"")</f>
        <v/>
      </c>
      <c r="W231" s="3" t="str">
        <f t="shared" si="61"/>
        <v/>
      </c>
      <c r="X231" s="3" t="str">
        <f t="shared" si="66"/>
        <v/>
      </c>
      <c r="Y231" s="3" t="str">
        <f t="shared" si="67"/>
        <v/>
      </c>
      <c r="Z231" s="3" t="str">
        <f t="shared" si="68"/>
        <v/>
      </c>
      <c r="AA231" s="3" t="str">
        <f>IF($L231&lt;&gt;"",IF($N231&gt;Z$11,IF($N231&lt;AA$11,$N231-Z$11,30),0)*ROUND(($O231+$X230+SUM($Z231:Z231))*$V$5/3000,2),"")</f>
        <v/>
      </c>
    </row>
    <row r="232" spans="5:27" x14ac:dyDescent="0.25">
      <c r="E232" s="5"/>
      <c r="F232" t="str">
        <f t="shared" si="76"/>
        <v/>
      </c>
      <c r="G232" s="5" t="str">
        <f t="shared" si="62"/>
        <v/>
      </c>
      <c r="H232" s="22" t="str">
        <f t="shared" si="77"/>
        <v/>
      </c>
      <c r="I232" s="22" t="str">
        <f t="shared" si="63"/>
        <v/>
      </c>
      <c r="J232" s="22" t="str">
        <f t="shared" si="78"/>
        <v/>
      </c>
      <c r="K232" s="22" t="str">
        <f t="shared" si="79"/>
        <v/>
      </c>
      <c r="L232" t="str">
        <f t="shared" si="59"/>
        <v/>
      </c>
      <c r="M232" s="5" t="str">
        <f t="shared" si="69"/>
        <v/>
      </c>
      <c r="N232" s="9" t="str">
        <f t="shared" si="60"/>
        <v/>
      </c>
      <c r="O232" s="3" t="str">
        <f t="shared" si="64"/>
        <v/>
      </c>
      <c r="P232" s="3" t="str">
        <f t="shared" si="65"/>
        <v/>
      </c>
      <c r="Q232" s="3" t="str">
        <f t="shared" si="70"/>
        <v/>
      </c>
      <c r="R232" s="3" t="str">
        <f t="shared" si="71"/>
        <v/>
      </c>
      <c r="S232" s="3" t="str">
        <f>IF($L232&lt;&gt;"",IF($A232="Prepago",0,IF(ROUND($H232*$U$6,2)&gt;ROUND(SUM($S$11:$S231)+$U$6,2),$U$6*2,$U$6)),"")</f>
        <v/>
      </c>
      <c r="T232" s="3" t="str">
        <f>IF($L232&lt;&gt;"",IF($A232="Prepago",0,IF(ROUND($H232*$U$7,2)&gt;ROUND(SUM($T$11:$T231)+$U$7,2),$U$7*2,$U$7)),"")</f>
        <v/>
      </c>
      <c r="U232" s="3" t="str">
        <f>IF($L232&lt;&gt;"",IF($A232="Prepago",0,IF(ROUND($H232*$U$8,2)&gt;ROUND(SUM($U$11:$U231)+$U$8,2),$U$8*2,$U$8)),"")</f>
        <v/>
      </c>
      <c r="V232" s="3" t="str">
        <f>IF($L232&lt;&gt;"",IF($A232="Prepago",0,IF(ROUND($H232*$U$9,2)&gt;ROUND(SUM($V$11:$V231)+$U$9,2),$U$9*2,$U$9)),"")</f>
        <v/>
      </c>
      <c r="W232" s="3" t="str">
        <f t="shared" si="61"/>
        <v/>
      </c>
      <c r="X232" s="3" t="str">
        <f t="shared" si="66"/>
        <v/>
      </c>
      <c r="Y232" s="3" t="str">
        <f t="shared" si="67"/>
        <v/>
      </c>
      <c r="Z232" s="3" t="str">
        <f t="shared" si="68"/>
        <v/>
      </c>
      <c r="AA232" s="3" t="str">
        <f>IF($L232&lt;&gt;"",IF($N232&gt;Z$11,IF($N232&lt;AA$11,$N232-Z$11,30),0)*ROUND(($O232+$X231+SUM($Z232:Z232))*$V$5/3000,2),"")</f>
        <v/>
      </c>
    </row>
    <row r="233" spans="5:27" x14ac:dyDescent="0.25">
      <c r="E233" s="5"/>
      <c r="F233" t="str">
        <f t="shared" si="76"/>
        <v/>
      </c>
      <c r="G233" s="5" t="str">
        <f t="shared" si="62"/>
        <v/>
      </c>
      <c r="H233" s="22" t="str">
        <f t="shared" si="77"/>
        <v/>
      </c>
      <c r="I233" s="22" t="str">
        <f t="shared" si="63"/>
        <v/>
      </c>
      <c r="J233" s="22" t="str">
        <f t="shared" si="78"/>
        <v/>
      </c>
      <c r="K233" s="22" t="str">
        <f t="shared" si="79"/>
        <v/>
      </c>
      <c r="L233" t="str">
        <f t="shared" si="59"/>
        <v/>
      </c>
      <c r="M233" s="5" t="str">
        <f t="shared" si="69"/>
        <v/>
      </c>
      <c r="N233" s="9" t="str">
        <f t="shared" si="60"/>
        <v/>
      </c>
      <c r="O233" s="3" t="str">
        <f t="shared" si="64"/>
        <v/>
      </c>
      <c r="P233" s="3" t="str">
        <f t="shared" si="65"/>
        <v/>
      </c>
      <c r="Q233" s="3" t="str">
        <f t="shared" si="70"/>
        <v/>
      </c>
      <c r="R233" s="3" t="str">
        <f t="shared" si="71"/>
        <v/>
      </c>
      <c r="S233" s="3" t="str">
        <f>IF($L233&lt;&gt;"",IF($A233="Prepago",0,IF(ROUND($H233*$U$6,2)&gt;ROUND(SUM($S$11:$S232)+$U$6,2),$U$6*2,$U$6)),"")</f>
        <v/>
      </c>
      <c r="T233" s="3" t="str">
        <f>IF($L233&lt;&gt;"",IF($A233="Prepago",0,IF(ROUND($H233*$U$7,2)&gt;ROUND(SUM($T$11:$T232)+$U$7,2),$U$7*2,$U$7)),"")</f>
        <v/>
      </c>
      <c r="U233" s="3" t="str">
        <f>IF($L233&lt;&gt;"",IF($A233="Prepago",0,IF(ROUND($H233*$U$8,2)&gt;ROUND(SUM($U$11:$U232)+$U$8,2),$U$8*2,$U$8)),"")</f>
        <v/>
      </c>
      <c r="V233" s="3" t="str">
        <f>IF($L233&lt;&gt;"",IF($A233="Prepago",0,IF(ROUND($H233*$U$9,2)&gt;ROUND(SUM($V$11:$V232)+$U$9,2),$U$9*2,$U$9)),"")</f>
        <v/>
      </c>
      <c r="W233" s="3" t="str">
        <f t="shared" si="61"/>
        <v/>
      </c>
      <c r="X233" s="3" t="str">
        <f t="shared" si="66"/>
        <v/>
      </c>
      <c r="Y233" s="3" t="str">
        <f t="shared" si="67"/>
        <v/>
      </c>
      <c r="Z233" s="3" t="str">
        <f t="shared" si="68"/>
        <v/>
      </c>
      <c r="AA233" s="3" t="str">
        <f>IF($L233&lt;&gt;"",IF($N233&gt;Z$11,IF($N233&lt;AA$11,$N233-Z$11,30),0)*ROUND(($O233+$X232+SUM($Z233:Z233))*$V$5/3000,2),"")</f>
        <v/>
      </c>
    </row>
    <row r="234" spans="5:27" x14ac:dyDescent="0.25">
      <c r="E234" s="5"/>
      <c r="F234" t="str">
        <f t="shared" si="76"/>
        <v/>
      </c>
      <c r="G234" s="5" t="str">
        <f t="shared" si="62"/>
        <v/>
      </c>
      <c r="H234" s="22" t="str">
        <f t="shared" si="77"/>
        <v/>
      </c>
      <c r="I234" s="22" t="str">
        <f t="shared" si="63"/>
        <v/>
      </c>
      <c r="J234" s="22" t="str">
        <f t="shared" si="78"/>
        <v/>
      </c>
      <c r="K234" s="22" t="str">
        <f t="shared" si="79"/>
        <v/>
      </c>
      <c r="L234" t="str">
        <f t="shared" si="59"/>
        <v/>
      </c>
      <c r="M234" s="5" t="str">
        <f t="shared" si="69"/>
        <v/>
      </c>
      <c r="N234" s="9" t="str">
        <f t="shared" si="60"/>
        <v/>
      </c>
      <c r="O234" s="3" t="str">
        <f t="shared" si="64"/>
        <v/>
      </c>
      <c r="P234" s="3" t="str">
        <f t="shared" si="65"/>
        <v/>
      </c>
      <c r="Q234" s="3" t="str">
        <f t="shared" si="70"/>
        <v/>
      </c>
      <c r="R234" s="3" t="str">
        <f t="shared" si="71"/>
        <v/>
      </c>
      <c r="S234" s="3" t="str">
        <f>IF($L234&lt;&gt;"",IF($A234="Prepago",0,IF(ROUND($H234*$U$6,2)&gt;ROUND(SUM($S$11:$S233)+$U$6,2),$U$6*2,$U$6)),"")</f>
        <v/>
      </c>
      <c r="T234" s="3" t="str">
        <f>IF($L234&lt;&gt;"",IF($A234="Prepago",0,IF(ROUND($H234*$U$7,2)&gt;ROUND(SUM($T$11:$T233)+$U$7,2),$U$7*2,$U$7)),"")</f>
        <v/>
      </c>
      <c r="U234" s="3" t="str">
        <f>IF($L234&lt;&gt;"",IF($A234="Prepago",0,IF(ROUND($H234*$U$8,2)&gt;ROUND(SUM($U$11:$U233)+$U$8,2),$U$8*2,$U$8)),"")</f>
        <v/>
      </c>
      <c r="V234" s="3" t="str">
        <f>IF($L234&lt;&gt;"",IF($A234="Prepago",0,IF(ROUND($H234*$U$9,2)&gt;ROUND(SUM($V$11:$V233)+$U$9,2),$U$9*2,$U$9)),"")</f>
        <v/>
      </c>
      <c r="W234" s="3" t="str">
        <f t="shared" si="61"/>
        <v/>
      </c>
      <c r="X234" s="3" t="str">
        <f t="shared" si="66"/>
        <v/>
      </c>
      <c r="Y234" s="3" t="str">
        <f t="shared" si="67"/>
        <v/>
      </c>
      <c r="Z234" s="3" t="str">
        <f t="shared" si="68"/>
        <v/>
      </c>
      <c r="AA234" s="3" t="str">
        <f>IF($L234&lt;&gt;"",IF($N234&gt;Z$11,IF($N234&lt;AA$11,$N234-Z$11,30),0)*ROUND(($O234+$X233+SUM($Z234:Z234))*$V$5/3000,2),"")</f>
        <v/>
      </c>
    </row>
    <row r="235" spans="5:27" x14ac:dyDescent="0.25">
      <c r="E235" s="5"/>
      <c r="F235" t="str">
        <f t="shared" si="76"/>
        <v/>
      </c>
      <c r="G235" s="5" t="str">
        <f t="shared" si="62"/>
        <v/>
      </c>
      <c r="H235" s="22" t="str">
        <f t="shared" si="77"/>
        <v/>
      </c>
      <c r="I235" s="22" t="str">
        <f t="shared" si="63"/>
        <v/>
      </c>
      <c r="J235" s="22" t="str">
        <f t="shared" si="78"/>
        <v/>
      </c>
      <c r="K235" s="22" t="str">
        <f t="shared" si="79"/>
        <v/>
      </c>
      <c r="L235" t="str">
        <f t="shared" si="59"/>
        <v/>
      </c>
      <c r="M235" s="5" t="str">
        <f t="shared" si="69"/>
        <v/>
      </c>
      <c r="N235" s="9" t="str">
        <f t="shared" si="60"/>
        <v/>
      </c>
      <c r="O235" s="3" t="str">
        <f t="shared" si="64"/>
        <v/>
      </c>
      <c r="P235" s="3" t="str">
        <f t="shared" si="65"/>
        <v/>
      </c>
      <c r="Q235" s="3" t="str">
        <f t="shared" si="70"/>
        <v/>
      </c>
      <c r="R235" s="3" t="str">
        <f t="shared" si="71"/>
        <v/>
      </c>
      <c r="S235" s="3" t="str">
        <f>IF($L235&lt;&gt;"",IF($A235="Prepago",0,IF(ROUND($H235*$U$6,2)&gt;ROUND(SUM($S$11:$S234)+$U$6,2),$U$6*2,$U$6)),"")</f>
        <v/>
      </c>
      <c r="T235" s="3" t="str">
        <f>IF($L235&lt;&gt;"",IF($A235="Prepago",0,IF(ROUND($H235*$U$7,2)&gt;ROUND(SUM($T$11:$T234)+$U$7,2),$U$7*2,$U$7)),"")</f>
        <v/>
      </c>
      <c r="U235" s="3" t="str">
        <f>IF($L235&lt;&gt;"",IF($A235="Prepago",0,IF(ROUND($H235*$U$8,2)&gt;ROUND(SUM($U$11:$U234)+$U$8,2),$U$8*2,$U$8)),"")</f>
        <v/>
      </c>
      <c r="V235" s="3" t="str">
        <f>IF($L235&lt;&gt;"",IF($A235="Prepago",0,IF(ROUND($H235*$U$9,2)&gt;ROUND(SUM($V$11:$V234)+$U$9,2),$U$9*2,$U$9)),"")</f>
        <v/>
      </c>
      <c r="W235" s="3" t="str">
        <f t="shared" si="61"/>
        <v/>
      </c>
      <c r="X235" s="3" t="str">
        <f t="shared" si="66"/>
        <v/>
      </c>
      <c r="Y235" s="3" t="str">
        <f t="shared" si="67"/>
        <v/>
      </c>
      <c r="Z235" s="3" t="str">
        <f t="shared" si="68"/>
        <v/>
      </c>
      <c r="AA235" s="3" t="str">
        <f>IF($L235&lt;&gt;"",IF($N235&gt;Z$11,IF($N235&lt;AA$11,$N235-Z$11,30),0)*ROUND(($O235+$X234+SUM($Z235:Z235))*$V$5/3000,2),"")</f>
        <v/>
      </c>
    </row>
    <row r="236" spans="5:27" x14ac:dyDescent="0.25">
      <c r="E236" s="5"/>
      <c r="F236" t="str">
        <f t="shared" si="76"/>
        <v/>
      </c>
      <c r="G236" s="5" t="str">
        <f t="shared" si="62"/>
        <v/>
      </c>
      <c r="H236" s="22" t="str">
        <f t="shared" si="77"/>
        <v/>
      </c>
      <c r="I236" s="22" t="str">
        <f t="shared" si="63"/>
        <v/>
      </c>
      <c r="J236" s="22" t="str">
        <f t="shared" si="78"/>
        <v/>
      </c>
      <c r="K236" s="22" t="str">
        <f t="shared" si="79"/>
        <v/>
      </c>
      <c r="L236" t="str">
        <f t="shared" ref="L236:L239" si="80">IF($L235&lt;NCUOTAS+CUOTAADICIONAL+NPREPAGO,$L235+1,"")</f>
        <v/>
      </c>
      <c r="M236" s="5" t="str">
        <f t="shared" si="69"/>
        <v/>
      </c>
      <c r="N236" s="9" t="str">
        <f t="shared" ref="N236:N239" si="81">IF($L236&lt;&gt;"",$M236-$M235,"")</f>
        <v/>
      </c>
      <c r="O236" s="3" t="str">
        <f t="shared" si="64"/>
        <v/>
      </c>
      <c r="P236" s="3" t="str">
        <f t="shared" si="65"/>
        <v/>
      </c>
      <c r="Q236" s="3" t="str">
        <f t="shared" si="70"/>
        <v/>
      </c>
      <c r="R236" s="3" t="str">
        <f t="shared" si="71"/>
        <v/>
      </c>
      <c r="S236" s="3" t="str">
        <f>IF($L236&lt;&gt;"",IF($A236="Prepago",0,IF(ROUND($H236*$U$6,2)&gt;ROUND(SUM($S$11:$S235)+$U$6,2),$U$6*2,$U$6)),"")</f>
        <v/>
      </c>
      <c r="T236" s="3" t="str">
        <f>IF($L236&lt;&gt;"",IF($A236="Prepago",0,IF(ROUND($H236*$U$7,2)&gt;ROUND(SUM($T$11:$T235)+$U$7,2),$U$7*2,$U$7)),"")</f>
        <v/>
      </c>
      <c r="U236" s="3" t="str">
        <f>IF($L236&lt;&gt;"",IF($A236="Prepago",0,IF(ROUND($H236*$U$8,2)&gt;ROUND(SUM($U$11:$U235)+$U$8,2),$U$8*2,$U$8)),"")</f>
        <v/>
      </c>
      <c r="V236" s="3" t="str">
        <f>IF($L236&lt;&gt;"",IF($A236="Prepago",0,IF(ROUND($H236*$U$9,2)&gt;ROUND(SUM($V$11:$V235)+$U$9,2),$U$9*2,$U$9)),"")</f>
        <v/>
      </c>
      <c r="W236" s="3" t="str">
        <f t="shared" ref="W236:W239" si="82">IF($L236&lt;&gt;"",$O236-$Q236,"")</f>
        <v/>
      </c>
      <c r="X236" s="3" t="str">
        <f t="shared" si="66"/>
        <v/>
      </c>
      <c r="Y236" s="3" t="str">
        <f t="shared" si="67"/>
        <v/>
      </c>
      <c r="Z236" s="3" t="str">
        <f t="shared" si="68"/>
        <v/>
      </c>
      <c r="AA236" s="3" t="str">
        <f>IF($L236&lt;&gt;"",IF($N236&gt;Z$11,IF($N236&lt;AA$11,$N236-Z$11,30),0)*ROUND(($O236+$X235+SUM($Z236:Z236))*$V$5/3000,2),"")</f>
        <v/>
      </c>
    </row>
    <row r="237" spans="5:27" x14ac:dyDescent="0.25">
      <c r="E237" s="5"/>
      <c r="F237" t="str">
        <f t="shared" si="76"/>
        <v/>
      </c>
      <c r="G237" s="5" t="str">
        <f t="shared" si="62"/>
        <v/>
      </c>
      <c r="H237" s="22" t="str">
        <f t="shared" si="77"/>
        <v/>
      </c>
      <c r="I237" s="22" t="str">
        <f t="shared" si="63"/>
        <v/>
      </c>
      <c r="J237" s="22" t="str">
        <f t="shared" si="78"/>
        <v/>
      </c>
      <c r="K237" s="22" t="str">
        <f t="shared" si="79"/>
        <v/>
      </c>
      <c r="L237" t="str">
        <f t="shared" si="80"/>
        <v/>
      </c>
      <c r="M237" s="5" t="str">
        <f t="shared" si="69"/>
        <v/>
      </c>
      <c r="N237" s="9" t="str">
        <f t="shared" si="81"/>
        <v/>
      </c>
      <c r="O237" s="3" t="str">
        <f t="shared" si="64"/>
        <v/>
      </c>
      <c r="P237" s="3" t="str">
        <f t="shared" si="65"/>
        <v/>
      </c>
      <c r="Q237" s="3" t="str">
        <f t="shared" si="70"/>
        <v/>
      </c>
      <c r="R237" s="3" t="str">
        <f t="shared" si="71"/>
        <v/>
      </c>
      <c r="S237" s="3" t="str">
        <f>IF($L237&lt;&gt;"",IF($A237="Prepago",0,IF(ROUND($H237*$U$6,2)&gt;ROUND(SUM($S$11:$S236)+$U$6,2),$U$6*2,$U$6)),"")</f>
        <v/>
      </c>
      <c r="T237" s="3" t="str">
        <f>IF($L237&lt;&gt;"",IF($A237="Prepago",0,IF(ROUND($H237*$U$7,2)&gt;ROUND(SUM($T$11:$T236)+$U$7,2),$U$7*2,$U$7)),"")</f>
        <v/>
      </c>
      <c r="U237" s="3" t="str">
        <f>IF($L237&lt;&gt;"",IF($A237="Prepago",0,IF(ROUND($H237*$U$8,2)&gt;ROUND(SUM($U$11:$U236)+$U$8,2),$U$8*2,$U$8)),"")</f>
        <v/>
      </c>
      <c r="V237" s="3" t="str">
        <f>IF($L237&lt;&gt;"",IF($A237="Prepago",0,IF(ROUND($H237*$U$9,2)&gt;ROUND(SUM($V$11:$V236)+$U$9,2),$U$9*2,$U$9)),"")</f>
        <v/>
      </c>
      <c r="W237" s="3" t="str">
        <f t="shared" si="82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/>
      </c>
      <c r="AA237" s="3" t="str">
        <f>IF($L237&lt;&gt;"",IF($N237&gt;Z$11,IF($N237&lt;AA$11,$N237-Z$11,30),0)*ROUND(($O237+$X236+SUM($Z237:Z237))*$V$5/3000,2),"")</f>
        <v/>
      </c>
    </row>
    <row r="238" spans="5:27" x14ac:dyDescent="0.25">
      <c r="E238" s="5"/>
      <c r="F238" t="str">
        <f t="shared" si="76"/>
        <v/>
      </c>
      <c r="G238" s="5" t="str">
        <f t="shared" si="62"/>
        <v/>
      </c>
      <c r="H238" s="22" t="str">
        <f t="shared" si="77"/>
        <v/>
      </c>
      <c r="I238" s="22" t="str">
        <f t="shared" si="63"/>
        <v/>
      </c>
      <c r="J238" s="22" t="str">
        <f t="shared" si="78"/>
        <v/>
      </c>
      <c r="K238" s="22" t="str">
        <f t="shared" si="79"/>
        <v/>
      </c>
      <c r="L238" t="str">
        <f t="shared" si="80"/>
        <v/>
      </c>
      <c r="M238" s="5" t="str">
        <f t="shared" si="69"/>
        <v/>
      </c>
      <c r="N238" s="9" t="str">
        <f t="shared" si="81"/>
        <v/>
      </c>
      <c r="O238" s="3" t="str">
        <f t="shared" si="64"/>
        <v/>
      </c>
      <c r="P238" s="3" t="str">
        <f t="shared" si="65"/>
        <v/>
      </c>
      <c r="Q238" s="3" t="str">
        <f t="shared" si="70"/>
        <v/>
      </c>
      <c r="R238" s="3" t="str">
        <f t="shared" si="71"/>
        <v/>
      </c>
      <c r="S238" s="3" t="str">
        <f>IF($L238&lt;&gt;"",IF($A238="Prepago",0,IF(ROUND($H238*$U$6,2)&gt;ROUND(SUM($S$11:$S237)+$U$6,2),$U$6*2,$U$6)),"")</f>
        <v/>
      </c>
      <c r="T238" s="3" t="str">
        <f>IF($L238&lt;&gt;"",IF($A238="Prepago",0,IF(ROUND($H238*$U$7,2)&gt;ROUND(SUM($T$11:$T237)+$U$7,2),$U$7*2,$U$7)),"")</f>
        <v/>
      </c>
      <c r="U238" s="3" t="str">
        <f>IF($L238&lt;&gt;"",IF($A238="Prepago",0,IF(ROUND($H238*$U$8,2)&gt;ROUND(SUM($U$11:$U237)+$U$8,2),$U$8*2,$U$8)),"")</f>
        <v/>
      </c>
      <c r="V238" s="3" t="str">
        <f>IF($L238&lt;&gt;"",IF($A238="Prepago",0,IF(ROUND($H238*$U$9,2)&gt;ROUND(SUM($V$11:$V237)+$U$9,2),$U$9*2,$U$9)),"")</f>
        <v/>
      </c>
      <c r="W238" s="3" t="str">
        <f t="shared" si="82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/>
      </c>
      <c r="AA238" s="3" t="str">
        <f>IF($L238&lt;&gt;"",IF($N238&gt;Z$11,IF($N238&lt;AA$11,$N238-Z$11,30),0)*ROUND(($O238+$X237+SUM($Z238:Z238))*$V$5/3000,2),"")</f>
        <v/>
      </c>
    </row>
    <row r="239" spans="5:27" x14ac:dyDescent="0.25">
      <c r="E239" s="5"/>
      <c r="F239" t="str">
        <f t="shared" si="76"/>
        <v/>
      </c>
      <c r="G239" s="5" t="str">
        <f t="shared" si="62"/>
        <v/>
      </c>
      <c r="H239" s="22" t="str">
        <f t="shared" si="77"/>
        <v/>
      </c>
      <c r="I239" s="22" t="str">
        <f t="shared" si="63"/>
        <v/>
      </c>
      <c r="J239" s="22" t="str">
        <f t="shared" si="78"/>
        <v/>
      </c>
      <c r="K239" s="22" t="str">
        <f t="shared" si="79"/>
        <v/>
      </c>
      <c r="L239" t="str">
        <f t="shared" si="80"/>
        <v/>
      </c>
      <c r="M239" s="5" t="str">
        <f t="shared" si="69"/>
        <v/>
      </c>
      <c r="N239" s="9" t="str">
        <f t="shared" si="81"/>
        <v/>
      </c>
      <c r="O239" s="3" t="str">
        <f t="shared" si="64"/>
        <v/>
      </c>
      <c r="P239" s="3" t="str">
        <f>IF($L239&lt;&gt;"",IF($A239="Gracia Parcial",IF(AND($C239&lt;$Y239+$S239+$T239+$V239+$X238,$C239&gt;0),$C239,$Y239+$S239+$T239+$V239+$X238),IF($A239="Gracia Total",0,IF($A239="Prepago",$C239,IF(ISNUMBER($C239),$C239*VALUE(MID($C$1,MONTH($M239),1)),$Q$5*VALUE(MID($C$1,MONTH($M239),1))))))-IF($L240="",ARREGLO,0),"")</f>
        <v/>
      </c>
      <c r="Q239" s="3" t="str">
        <f>IF($L239&lt;&gt;"",IF($P239-$R239&gt;0,IF($P239&gt;=$R239+$S239+$T239+$V239,$P239-$R239-$S239-$T239-$V239,P239),0),"")</f>
        <v/>
      </c>
      <c r="R239" s="3" t="str">
        <f>IF($L239&lt;&gt;"",IF($P239&gt;IF($D239="",$Y239,$D239)+$X238+$S239+$T239+$V239,IF($D239="",$Y239,$D239)+$X238,IF($P239&gt;=$S239+$T239+$V239,$P239-$S239-$T239-$V239,IF($D239="",$Y239,$D239)+$X238)),"")</f>
        <v/>
      </c>
      <c r="S239" s="3" t="str">
        <f>IF($L239&lt;&gt;"",IF($A239="Prepago",0,IF($H239*$U$6&gt;SUM($S$11:$S238)+$U$6,$U$6*2,$U$6)),"")</f>
        <v/>
      </c>
      <c r="T239" s="3" t="str">
        <f>IF($L239&lt;&gt;"",IF($A239="Prepago",0,IF($H239*$U$7&gt;SUM($T$11:$T238)+$U$7,$U$7*2,$U$7)),"")</f>
        <v/>
      </c>
      <c r="U239" s="3"/>
      <c r="V239" s="3" t="str">
        <f>IF($L239&lt;&gt;"",IF($A239="Prepago",0,IF($H239*$U$9&gt;SUM($V$11:$V238)+$U$9,$U$9*2,$U$9)),"")</f>
        <v/>
      </c>
      <c r="W239" s="3" t="str">
        <f t="shared" si="82"/>
        <v/>
      </c>
      <c r="X239" s="3" t="str">
        <f t="shared" si="66"/>
        <v/>
      </c>
      <c r="Y239" s="3" t="str">
        <f t="shared" si="67"/>
        <v/>
      </c>
      <c r="Z239" s="3" t="str">
        <f t="shared" si="68"/>
        <v/>
      </c>
      <c r="AA239" s="3" t="str">
        <f>IF($L239&lt;&gt;"",IF($N239&gt;Z$11,IF($N239&lt;AA$11,$N239-Z$11,30),0)*ROUND(($O239+$X238+SUM($Z239:Z239))*$V$5/3000,2),"")</f>
        <v/>
      </c>
    </row>
  </sheetData>
  <protectedRanges>
    <protectedRange algorithmName="SHA-512" hashValue="saOoXsqAoQxcXXYzXQIOV3/apjOtIOId7A6E3Kbbks0v/+hkXCO7VppjyeJOkYNfZLM9Y82SgohJPBHQ4upYMw==" saltValue="AI4kOYg9mvAOcytG4WhlkQ==" spinCount="100000" sqref="AD10:AE10 AX11 AZ11 BB11 BD11 BF11 BH11 BJ11 BL11 BN11 BP11 BR11 BT11 BV11 BX11 BZ11 CB11 CD11 CF11 CH11 AH11 AJ11 AL11 AN11 AP11 AR11 AT11 AV11 AF11 AD25:AE26 BX12:CH12 AD15:CH15 AG18:CH18 AI19:CH19 L10:AC11 AD23:AE23 AD49:CH60 AM48:CH48 AN47:CH47 BA13:CH13 W12:Z239 AL16:CH17 AJ16 AF22:CH26 AN20:CH21 AD28:CH35 AI27:CH27 AD40:CH46 AK39:CH39 AD37:CH38 BA36:CH36 L12:R239 AF14:CH14" name="Rango1"/>
    <protectedRange algorithmName="SHA-512" hashValue="saOoXsqAoQxcXXYzXQIOV3/apjOtIOId7A6E3Kbbks0v/+hkXCO7VppjyeJOkYNfZLM9Y82SgohJPBHQ4upYMw==" saltValue="AI4kOYg9mvAOcytG4WhlkQ==" spinCount="100000" sqref="AB24:AE24 AA12:BW12 AB18:AF18 AB23:AC23 AB22:AE22 AB25:AC26 AA16:AA239 AB48:AL48 AB47:AM47 AA13:AZ13 AB49:AC131 AA15:AC15 AK16:AK17 AB16:AI16 AB17:AJ17 AB19:AH19 AB20:AM21 AB28:AC35 AB27:AH27 AB134:AC206 AB133:AN133 AB132:AK132 AB40:AC46 AB39:AJ39 AB37:AC38 AB36:AZ36 AA14:AE14" name="Rango1_1"/>
    <protectedRange algorithmName="SHA-512" hashValue="saOoXsqAoQxcXXYzXQIOV3/apjOtIOId7A6E3Kbbks0v/+hkXCO7VppjyeJOkYNfZLM9Y82SgohJPBHQ4upYMw==" saltValue="AI4kOYg9mvAOcytG4WhlkQ==" spinCount="100000" sqref="S12:V239" name="Rango1_2"/>
  </protectedRanges>
  <mergeCells count="2">
    <mergeCell ref="AC6:AD6"/>
    <mergeCell ref="L1:L2"/>
  </mergeCells>
  <conditionalFormatting sqref="M11:Y239">
    <cfRule type="expression" dxfId="18" priority="52">
      <formula>AND($L11&lt;&gt;"")</formula>
    </cfRule>
  </conditionalFormatting>
  <conditionalFormatting sqref="M11:X239">
    <cfRule type="expression" dxfId="17" priority="40">
      <formula>AND(ROUND(M11,0)&lt;0)</formula>
    </cfRule>
  </conditionalFormatting>
  <conditionalFormatting sqref="AA7">
    <cfRule type="expression" dxfId="16" priority="39">
      <formula>AND($AA$7&lt;&gt;0)</formula>
    </cfRule>
  </conditionalFormatting>
  <conditionalFormatting sqref="AI7">
    <cfRule type="expression" dxfId="15" priority="37">
      <formula>AND($AI$7&lt;&gt;"OK")</formula>
    </cfRule>
  </conditionalFormatting>
  <conditionalFormatting sqref="AI6">
    <cfRule type="expression" dxfId="14" priority="36">
      <formula>AND($AI$6&lt;&gt;"OK")</formula>
    </cfRule>
  </conditionalFormatting>
  <conditionalFormatting sqref="H12:K239 A239:E239 A12:B15 D43:E60 D12:E17 D20:E40 E18:E19 A16 D15:D19 A17:B238 D62:E238">
    <cfRule type="expression" dxfId="13" priority="79">
      <formula>AND($L12&lt;&gt;"")</formula>
    </cfRule>
  </conditionalFormatting>
  <conditionalFormatting sqref="L10 F10:G10">
    <cfRule type="expression" dxfId="12" priority="84">
      <formula>AND(COUNTA($L:$L)-2&lt;$Q$6)</formula>
    </cfRule>
  </conditionalFormatting>
  <conditionalFormatting sqref="N12">
    <cfRule type="expression" dxfId="11" priority="31">
      <formula>AND($N$12&lt;15)</formula>
    </cfRule>
  </conditionalFormatting>
  <conditionalFormatting sqref="F240:G1048576 L240:L1048576">
    <cfRule type="expression" dxfId="10" priority="112">
      <formula>AND(COUNTA($Y240:$XFD240)*30&lt;$N240,$L240&lt;&gt;"")</formula>
    </cfRule>
  </conditionalFormatting>
  <conditionalFormatting sqref="V9">
    <cfRule type="expression" dxfId="9" priority="30">
      <formula>AND(ROUND($R$8*$U$9,2)&lt;&gt;ROUND($V$9,2))</formula>
    </cfRule>
  </conditionalFormatting>
  <conditionalFormatting sqref="V7:V8">
    <cfRule type="expression" dxfId="8" priority="29">
      <formula>AND(ROUND($R$8*$U$7,2)&lt;&gt;ROUND($V$7,2))</formula>
    </cfRule>
  </conditionalFormatting>
  <conditionalFormatting sqref="V6">
    <cfRule type="expression" dxfId="7" priority="28">
      <formula>AND(ROUND($R$8*$U$6,2)&lt;&gt;ROUND($V$6,2))</formula>
    </cfRule>
  </conditionalFormatting>
  <conditionalFormatting sqref="C12:C238">
    <cfRule type="expression" dxfId="6" priority="22">
      <formula>AND($K12&lt;&gt;"")</formula>
    </cfRule>
  </conditionalFormatting>
  <conditionalFormatting sqref="D61:E61">
    <cfRule type="expression" dxfId="5" priority="21">
      <formula>AND($L61&lt;&gt;"")</formula>
    </cfRule>
  </conditionalFormatting>
  <conditionalFormatting sqref="D41:E41">
    <cfRule type="expression" dxfId="4" priority="19">
      <formula>AND($L41&lt;&gt;"")</formula>
    </cfRule>
  </conditionalFormatting>
  <conditionalFormatting sqref="D42:E42">
    <cfRule type="expression" dxfId="3" priority="17">
      <formula>AND($L42&lt;&gt;"")</formula>
    </cfRule>
  </conditionalFormatting>
  <conditionalFormatting sqref="D18:D20">
    <cfRule type="expression" dxfId="2" priority="11">
      <formula>AND($L18&lt;&gt;"")</formula>
    </cfRule>
  </conditionalFormatting>
  <conditionalFormatting sqref="B16">
    <cfRule type="expression" dxfId="1" priority="5">
      <formula>AND($L16&lt;&gt;"")</formula>
    </cfRule>
  </conditionalFormatting>
  <conditionalFormatting sqref="F12:G239 L12:L239">
    <cfRule type="expression" dxfId="0" priority="120">
      <formula>AND(COUNTA($Z12:$XFD12)*30&lt;$N12,$L12&lt;&gt;"")</formula>
    </cfRule>
  </conditionalFormatting>
  <dataValidations count="7">
    <dataValidation type="decimal" operator="greaterThanOrEqual" allowBlank="1" showInputMessage="1" showErrorMessage="1" errorTitle="TEA" error="Debe ser un numero positivo" sqref="U5" xr:uid="{D7ED555F-00D4-476D-A988-76210F6B2E0B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239" xr:uid="{00000000-0002-0000-0000-000006000000}">
      <formula1>TIPO_CUOTAS</formula1>
    </dataValidation>
  </dataValidations>
  <hyperlinks>
    <hyperlink ref="A3" r:id="rId1" xr:uid="{425EC3DA-0F96-4410-A382-1E486371F83B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5" r:id="rId5" name="btnLimpiar">
          <controlPr defaultSize="0" autoLine="0" autoPict="0" r:id="rId6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4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5" r:id="rId5" name="btnLimpiar"/>
      </mc:Fallback>
    </mc:AlternateContent>
    <mc:AlternateContent xmlns:mc="http://schemas.openxmlformats.org/markup-compatibility/2006">
      <mc:Choice Requires="x14">
        <control shapeId="1027" r:id="rId7" name="btAjustar">
          <controlPr defaultSize="0" autoLine="0" autoPict="0" r:id="rId8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7" name="btAjust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0</xdr:col>
                <xdr:colOff>257175</xdr:colOff>
                <xdr:row>3</xdr:row>
                <xdr:rowOff>142875</xdr:rowOff>
              </from>
              <to>
                <xdr:col>2</xdr:col>
                <xdr:colOff>95250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9525</xdr:colOff>
                <xdr:row>3</xdr:row>
                <xdr:rowOff>161925</xdr:rowOff>
              </from>
              <to>
                <xdr:col>3</xdr:col>
                <xdr:colOff>209550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3</xdr:col>
                <xdr:colOff>142875</xdr:colOff>
                <xdr:row>3</xdr:row>
                <xdr:rowOff>152400</xdr:rowOff>
              </from>
              <to>
                <xdr:col>4</xdr:col>
                <xdr:colOff>314325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2" name="Button 19">
          <controlPr defaultSize="0" print="0" autoFill="0" autoPict="0" macro="[0]!GenerarCSV">
            <anchor moveWithCells="1" sizeWithCells="1">
              <from>
                <xdr:col>22</xdr:col>
                <xdr:colOff>333375</xdr:colOff>
                <xdr:row>4</xdr:row>
                <xdr:rowOff>66675</xdr:rowOff>
              </from>
              <to>
                <xdr:col>23</xdr:col>
                <xdr:colOff>685800</xdr:colOff>
                <xdr:row>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15</xdr:col>
                <xdr:colOff>66675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defaultColWidth="11.42578125" defaultRowHeight="15" x14ac:dyDescent="0.25"/>
  <cols>
    <col min="1" max="1" width="14.140625" customWidth="1"/>
  </cols>
  <sheetData>
    <row r="1" spans="1:1" x14ac:dyDescent="0.25">
      <c r="A1" t="s">
        <v>98</v>
      </c>
    </row>
    <row r="3" spans="1:1" x14ac:dyDescent="0.25">
      <c r="A3" t="s">
        <v>100</v>
      </c>
    </row>
    <row r="4" spans="1:1" x14ac:dyDescent="0.25">
      <c r="A4" t="s">
        <v>99</v>
      </c>
    </row>
    <row r="5" spans="1:1" x14ac:dyDescent="0.25">
      <c r="A5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Original 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2022-11-14T16:41:03Z</dcterms:modified>
</cp:coreProperties>
</file>