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Zona Trabajo\Excel Macro\Cronograma\"/>
    </mc:Choice>
  </mc:AlternateContent>
  <xr:revisionPtr revIDLastSave="0" documentId="13_ncr:1_{B2BD53E5-62DE-4308-9701-22073CE3A709}" xr6:coauthVersionLast="45" xr6:coauthVersionMax="45" xr10:uidLastSave="{00000000-0000-0000-0000-000000000000}"/>
  <bookViews>
    <workbookView xWindow="28680" yWindow="-45" windowWidth="29040" windowHeight="15840" xr2:uid="{00000000-000D-0000-FFFF-FFFF00000000}"/>
  </bookViews>
  <sheets>
    <sheet name="Hoja1" sheetId="1" r:id="rId1"/>
    <sheet name="Hoja2" sheetId="2" state="hidden" r:id="rId2"/>
  </sheets>
  <definedNames>
    <definedName name="areaFija">Hoja1!$C$11</definedName>
    <definedName name="ARREGLO">Hoja1!$U$8</definedName>
    <definedName name="CUOTA">Hoja1!$O$5</definedName>
    <definedName name="CUOTAADICIONAL">Hoja1!$O$7</definedName>
    <definedName name="dataGracia">Hoja1!$A$11</definedName>
    <definedName name="InicioLimpiar">Hoja1!$A$12</definedName>
    <definedName name="MONTO">Hoja1!$L$8</definedName>
    <definedName name="NCUOTAS">Hoja1!$O$6</definedName>
    <definedName name="OBJETIVO">Hoja1!$U$7</definedName>
    <definedName name="PAGO_SIN_FIJAR">Hoja1!$H$11</definedName>
    <definedName name="PGRACIA">Hoja1!$O$8</definedName>
    <definedName name="TIPO_CUOTAS">Hoja2!$A$2:$A$5</definedName>
    <definedName name="ULTIMODIA">Hoja1!$B$1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1" l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12" i="1"/>
  <c r="K13" i="1" l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12" i="1"/>
  <c r="E12" i="1" s="1"/>
  <c r="F11" i="1"/>
  <c r="O8" i="1" l="1"/>
  <c r="C11" i="1" l="1"/>
  <c r="O9" i="1"/>
  <c r="J12" i="1"/>
  <c r="J13" i="1" l="1"/>
  <c r="K11" i="1"/>
  <c r="T11" i="1"/>
  <c r="AD4" i="1"/>
  <c r="U6" i="1"/>
  <c r="S5" i="1"/>
  <c r="J14" i="1" l="1"/>
  <c r="J15" i="1" s="1"/>
  <c r="R12" i="1"/>
  <c r="S12" i="1"/>
  <c r="Q12" i="1"/>
  <c r="J16" i="1" l="1"/>
  <c r="S13" i="1"/>
  <c r="R13" i="1"/>
  <c r="Q13" i="1"/>
  <c r="J17" i="1" l="1"/>
  <c r="R14" i="1"/>
  <c r="S14" i="1"/>
  <c r="Q14" i="1"/>
  <c r="C1" i="1"/>
  <c r="J18" i="1" l="1"/>
  <c r="Q15" i="1"/>
  <c r="R15" i="1"/>
  <c r="S15" i="1"/>
  <c r="G12" i="1"/>
  <c r="J19" i="1" l="1"/>
  <c r="G13" i="1"/>
  <c r="R16" i="1"/>
  <c r="S16" i="1"/>
  <c r="Q16" i="1"/>
  <c r="S19" i="1" l="1"/>
  <c r="J20" i="1"/>
  <c r="R17" i="1"/>
  <c r="S17" i="1"/>
  <c r="Q17" i="1"/>
  <c r="J21" i="1" l="1"/>
  <c r="S20" i="1"/>
  <c r="S18" i="1"/>
  <c r="R18" i="1"/>
  <c r="Q18" i="1"/>
  <c r="M12" i="1"/>
  <c r="L12" i="1"/>
  <c r="S21" i="1" l="1"/>
  <c r="J22" i="1"/>
  <c r="R19" i="1"/>
  <c r="Q19" i="1"/>
  <c r="W12" i="1"/>
  <c r="J23" i="1" l="1"/>
  <c r="S22" i="1"/>
  <c r="X12" i="1"/>
  <c r="R20" i="1"/>
  <c r="Q20" i="1"/>
  <c r="G14" i="1"/>
  <c r="J24" i="1" l="1"/>
  <c r="E13" i="1"/>
  <c r="Y12" i="1"/>
  <c r="Z12" i="1" s="1"/>
  <c r="L13" i="1"/>
  <c r="Q21" i="1"/>
  <c r="R21" i="1"/>
  <c r="G15" i="1"/>
  <c r="N15" i="1" s="1"/>
  <c r="J25" i="1" l="1"/>
  <c r="E14" i="1"/>
  <c r="E15" i="1"/>
  <c r="AA12" i="1"/>
  <c r="L14" i="1"/>
  <c r="R22" i="1"/>
  <c r="Q22" i="1"/>
  <c r="L15" i="1"/>
  <c r="G16" i="1"/>
  <c r="J26" i="1" l="1"/>
  <c r="AB12" i="1"/>
  <c r="R23" i="1"/>
  <c r="Q23" i="1"/>
  <c r="S23" i="1"/>
  <c r="N16" i="1"/>
  <c r="G17" i="1"/>
  <c r="N17" i="1" s="1"/>
  <c r="J27" i="1" l="1"/>
  <c r="E16" i="1"/>
  <c r="E17" i="1"/>
  <c r="AC12" i="1"/>
  <c r="L16" i="1"/>
  <c r="S24" i="1"/>
  <c r="Q24" i="1"/>
  <c r="R24" i="1"/>
  <c r="L17" i="1"/>
  <c r="G18" i="1"/>
  <c r="E18" i="1" l="1"/>
  <c r="N18" i="1"/>
  <c r="J28" i="1"/>
  <c r="AD12" i="1"/>
  <c r="AE12" i="1" s="1"/>
  <c r="AF12" i="1" s="1"/>
  <c r="AG12" i="1" s="1"/>
  <c r="AH12" i="1" s="1"/>
  <c r="AI12" i="1" s="1"/>
  <c r="AJ12" i="1" s="1"/>
  <c r="AK12" i="1" s="1"/>
  <c r="AL12" i="1" s="1"/>
  <c r="AM12" i="1" s="1"/>
  <c r="AN12" i="1" s="1"/>
  <c r="AO12" i="1" s="1"/>
  <c r="AP12" i="1" s="1"/>
  <c r="AQ12" i="1" s="1"/>
  <c r="AR12" i="1" s="1"/>
  <c r="AS12" i="1" s="1"/>
  <c r="AT12" i="1" s="1"/>
  <c r="AU12" i="1" s="1"/>
  <c r="AV12" i="1" s="1"/>
  <c r="AW12" i="1" s="1"/>
  <c r="AX12" i="1" s="1"/>
  <c r="AY12" i="1" s="1"/>
  <c r="AZ12" i="1" s="1"/>
  <c r="BA12" i="1" s="1"/>
  <c r="BB12" i="1" s="1"/>
  <c r="BC12" i="1" s="1"/>
  <c r="BD12" i="1" s="1"/>
  <c r="BE12" i="1" s="1"/>
  <c r="BF12" i="1" s="1"/>
  <c r="BG12" i="1" s="1"/>
  <c r="BH12" i="1" s="1"/>
  <c r="BI12" i="1" s="1"/>
  <c r="BJ12" i="1" s="1"/>
  <c r="BK12" i="1" s="1"/>
  <c r="BL12" i="1" s="1"/>
  <c r="BM12" i="1" s="1"/>
  <c r="BN12" i="1" s="1"/>
  <c r="BO12" i="1" s="1"/>
  <c r="BP12" i="1" s="1"/>
  <c r="BQ12" i="1" s="1"/>
  <c r="BR12" i="1" s="1"/>
  <c r="BS12" i="1" s="1"/>
  <c r="BT12" i="1" s="1"/>
  <c r="I12" i="1" s="1"/>
  <c r="L18" i="1"/>
  <c r="S25" i="1"/>
  <c r="Q25" i="1"/>
  <c r="R25" i="1"/>
  <c r="G19" i="1"/>
  <c r="J29" i="1" l="1"/>
  <c r="E19" i="1"/>
  <c r="N19" i="1"/>
  <c r="L19" i="1"/>
  <c r="R26" i="1"/>
  <c r="S26" i="1"/>
  <c r="Q26" i="1"/>
  <c r="G20" i="1"/>
  <c r="J30" i="1" l="1"/>
  <c r="Q27" i="1"/>
  <c r="R27" i="1"/>
  <c r="S27" i="1"/>
  <c r="N20" i="1"/>
  <c r="G21" i="1"/>
  <c r="J31" i="1" l="1"/>
  <c r="E20" i="1"/>
  <c r="R28" i="1"/>
  <c r="S28" i="1"/>
  <c r="Q28" i="1"/>
  <c r="L20" i="1"/>
  <c r="N21" i="1"/>
  <c r="G22" i="1"/>
  <c r="N22" i="1" s="1"/>
  <c r="J32" i="1" l="1"/>
  <c r="E22" i="1"/>
  <c r="E21" i="1"/>
  <c r="R29" i="1"/>
  <c r="S29" i="1"/>
  <c r="Q29" i="1"/>
  <c r="L22" i="1"/>
  <c r="L21" i="1"/>
  <c r="G23" i="1"/>
  <c r="N23" i="1" s="1"/>
  <c r="J33" i="1" l="1"/>
  <c r="E23" i="1"/>
  <c r="S30" i="1"/>
  <c r="Q30" i="1"/>
  <c r="R30" i="1"/>
  <c r="L23" i="1"/>
  <c r="G24" i="1"/>
  <c r="N24" i="1" s="1"/>
  <c r="J34" i="1" l="1"/>
  <c r="E24" i="1"/>
  <c r="L24" i="1"/>
  <c r="S31" i="1"/>
  <c r="Q31" i="1"/>
  <c r="R31" i="1"/>
  <c r="G25" i="1"/>
  <c r="N25" i="1" s="1"/>
  <c r="V12" i="1"/>
  <c r="N12" i="1" s="1"/>
  <c r="P12" i="1" s="1"/>
  <c r="J35" i="1" l="1"/>
  <c r="E25" i="1"/>
  <c r="U12" i="1"/>
  <c r="R32" i="1"/>
  <c r="S32" i="1"/>
  <c r="Q32" i="1"/>
  <c r="L25" i="1"/>
  <c r="G26" i="1"/>
  <c r="J36" i="1" l="1"/>
  <c r="Q33" i="1"/>
  <c r="R33" i="1"/>
  <c r="S33" i="1"/>
  <c r="O12" i="1"/>
  <c r="N26" i="1"/>
  <c r="G27" i="1"/>
  <c r="J37" i="1" l="1"/>
  <c r="E26" i="1"/>
  <c r="T12" i="1"/>
  <c r="H12" i="1"/>
  <c r="R34" i="1"/>
  <c r="S34" i="1"/>
  <c r="Q34" i="1"/>
  <c r="L26" i="1"/>
  <c r="N27" i="1"/>
  <c r="G28" i="1"/>
  <c r="G29" i="1" s="1"/>
  <c r="N29" i="1" s="1"/>
  <c r="J38" i="1" l="1"/>
  <c r="E29" i="1"/>
  <c r="E27" i="1"/>
  <c r="R35" i="1"/>
  <c r="S35" i="1"/>
  <c r="Q35" i="1"/>
  <c r="L27" i="1"/>
  <c r="M13" i="1"/>
  <c r="W13" i="1" s="1"/>
  <c r="N28" i="1"/>
  <c r="G30" i="1"/>
  <c r="N30" i="1" s="1"/>
  <c r="J39" i="1" l="1"/>
  <c r="E30" i="1"/>
  <c r="E28" i="1"/>
  <c r="L30" i="1"/>
  <c r="S36" i="1"/>
  <c r="R36" i="1"/>
  <c r="Q36" i="1"/>
  <c r="L28" i="1"/>
  <c r="X13" i="1"/>
  <c r="I13" i="1" s="1"/>
  <c r="L29" i="1"/>
  <c r="G31" i="1"/>
  <c r="N31" i="1" s="1"/>
  <c r="J40" i="1" l="1"/>
  <c r="E31" i="1"/>
  <c r="L31" i="1"/>
  <c r="S37" i="1"/>
  <c r="Q37" i="1"/>
  <c r="R37" i="1"/>
  <c r="G32" i="1"/>
  <c r="V13" i="1"/>
  <c r="N13" i="1" s="1"/>
  <c r="J41" i="1" l="1"/>
  <c r="P13" i="1"/>
  <c r="U13" i="1" s="1"/>
  <c r="R38" i="1"/>
  <c r="S38" i="1"/>
  <c r="Q38" i="1"/>
  <c r="G33" i="1"/>
  <c r="N33" i="1" s="1"/>
  <c r="J42" i="1" l="1"/>
  <c r="E33" i="1"/>
  <c r="Q39" i="1"/>
  <c r="R39" i="1"/>
  <c r="S39" i="1"/>
  <c r="O13" i="1"/>
  <c r="G34" i="1"/>
  <c r="N34" i="1" s="1"/>
  <c r="J43" i="1" l="1"/>
  <c r="E34" i="1"/>
  <c r="L34" i="1"/>
  <c r="T13" i="1"/>
  <c r="H13" i="1"/>
  <c r="R40" i="1"/>
  <c r="S40" i="1"/>
  <c r="Q40" i="1"/>
  <c r="G35" i="1"/>
  <c r="N35" i="1" s="1"/>
  <c r="J44" i="1" l="1"/>
  <c r="E35" i="1"/>
  <c r="L35" i="1"/>
  <c r="R41" i="1"/>
  <c r="Q41" i="1"/>
  <c r="S41" i="1"/>
  <c r="G36" i="1"/>
  <c r="N36" i="1" s="1"/>
  <c r="J45" i="1" l="1"/>
  <c r="E36" i="1"/>
  <c r="L36" i="1"/>
  <c r="S42" i="1"/>
  <c r="R42" i="1"/>
  <c r="Q42" i="1"/>
  <c r="G37" i="1"/>
  <c r="N37" i="1" s="1"/>
  <c r="J46" i="1" l="1"/>
  <c r="E37" i="1"/>
  <c r="L37" i="1"/>
  <c r="S43" i="1"/>
  <c r="R43" i="1"/>
  <c r="Q43" i="1"/>
  <c r="G38" i="1"/>
  <c r="N38" i="1" s="1"/>
  <c r="J47" i="1" l="1"/>
  <c r="E38" i="1"/>
  <c r="L38" i="1"/>
  <c r="R44" i="1"/>
  <c r="S44" i="1"/>
  <c r="Q44" i="1"/>
  <c r="G39" i="1"/>
  <c r="N39" i="1" s="1"/>
  <c r="M14" i="1"/>
  <c r="J48" i="1" l="1"/>
  <c r="E39" i="1"/>
  <c r="L39" i="1"/>
  <c r="Q45" i="1"/>
  <c r="R45" i="1"/>
  <c r="S45" i="1"/>
  <c r="G40" i="1"/>
  <c r="N40" i="1" s="1"/>
  <c r="W14" i="1"/>
  <c r="J49" i="1" l="1"/>
  <c r="E40" i="1"/>
  <c r="L40" i="1"/>
  <c r="R46" i="1"/>
  <c r="S46" i="1"/>
  <c r="Q46" i="1"/>
  <c r="X14" i="1"/>
  <c r="G41" i="1"/>
  <c r="N41" i="1" s="1"/>
  <c r="J50" i="1" l="1"/>
  <c r="E41" i="1"/>
  <c r="L41" i="1"/>
  <c r="R47" i="1"/>
  <c r="S47" i="1"/>
  <c r="Q47" i="1"/>
  <c r="I14" i="1"/>
  <c r="G42" i="1"/>
  <c r="N42" i="1" s="1"/>
  <c r="J51" i="1" l="1"/>
  <c r="E42" i="1"/>
  <c r="L42" i="1"/>
  <c r="S48" i="1"/>
  <c r="Q48" i="1"/>
  <c r="R48" i="1"/>
  <c r="G43" i="1"/>
  <c r="N43" i="1" s="1"/>
  <c r="J52" i="1" l="1"/>
  <c r="E43" i="1"/>
  <c r="L43" i="1"/>
  <c r="S49" i="1"/>
  <c r="Q49" i="1"/>
  <c r="R49" i="1"/>
  <c r="G44" i="1"/>
  <c r="N44" i="1" s="1"/>
  <c r="J53" i="1" l="1"/>
  <c r="E44" i="1"/>
  <c r="L44" i="1"/>
  <c r="R50" i="1"/>
  <c r="S50" i="1"/>
  <c r="Q50" i="1"/>
  <c r="G45" i="1"/>
  <c r="N45" i="1" s="1"/>
  <c r="J54" i="1" l="1"/>
  <c r="E45" i="1"/>
  <c r="L45" i="1"/>
  <c r="Q51" i="1"/>
  <c r="R51" i="1"/>
  <c r="S51" i="1"/>
  <c r="G46" i="1"/>
  <c r="N46" i="1" s="1"/>
  <c r="J55" i="1" l="1"/>
  <c r="E46" i="1"/>
  <c r="L46" i="1"/>
  <c r="R52" i="1"/>
  <c r="S52" i="1"/>
  <c r="Q52" i="1"/>
  <c r="G47" i="1"/>
  <c r="N47" i="1" s="1"/>
  <c r="J56" i="1" l="1"/>
  <c r="E47" i="1"/>
  <c r="L47" i="1"/>
  <c r="R53" i="1"/>
  <c r="S53" i="1"/>
  <c r="Q53" i="1"/>
  <c r="G48" i="1"/>
  <c r="N48" i="1" s="1"/>
  <c r="J57" i="1" l="1"/>
  <c r="E48" i="1"/>
  <c r="L48" i="1"/>
  <c r="S54" i="1"/>
  <c r="R54" i="1"/>
  <c r="Q54" i="1"/>
  <c r="G49" i="1"/>
  <c r="N49" i="1" s="1"/>
  <c r="V14" i="1"/>
  <c r="N14" i="1" s="1"/>
  <c r="J58" i="1" l="1"/>
  <c r="E49" i="1"/>
  <c r="L49" i="1"/>
  <c r="P14" i="1"/>
  <c r="U14" i="1" s="1"/>
  <c r="S55" i="1"/>
  <c r="R55" i="1"/>
  <c r="Q55" i="1"/>
  <c r="G50" i="1"/>
  <c r="N50" i="1" s="1"/>
  <c r="J59" i="1" l="1"/>
  <c r="E50" i="1"/>
  <c r="L50" i="1"/>
  <c r="R56" i="1"/>
  <c r="S56" i="1"/>
  <c r="Q56" i="1"/>
  <c r="O14" i="1"/>
  <c r="G51" i="1"/>
  <c r="N51" i="1" s="1"/>
  <c r="J60" i="1" l="1"/>
  <c r="E51" i="1"/>
  <c r="L51" i="1"/>
  <c r="T14" i="1"/>
  <c r="M15" i="1" s="1"/>
  <c r="H14" i="1"/>
  <c r="Q57" i="1"/>
  <c r="R57" i="1"/>
  <c r="S57" i="1"/>
  <c r="G52" i="1"/>
  <c r="N52" i="1" s="1"/>
  <c r="J61" i="1" l="1"/>
  <c r="E52" i="1"/>
  <c r="L52" i="1"/>
  <c r="R58" i="1"/>
  <c r="S58" i="1"/>
  <c r="Q58" i="1"/>
  <c r="W15" i="1"/>
  <c r="G53" i="1"/>
  <c r="N53" i="1" s="1"/>
  <c r="J62" i="1" l="1"/>
  <c r="E53" i="1"/>
  <c r="L53" i="1"/>
  <c r="R59" i="1"/>
  <c r="Q59" i="1"/>
  <c r="S59" i="1"/>
  <c r="X15" i="1"/>
  <c r="G54" i="1"/>
  <c r="N54" i="1" s="1"/>
  <c r="J63" i="1" l="1"/>
  <c r="E54" i="1"/>
  <c r="L54" i="1"/>
  <c r="S60" i="1"/>
  <c r="Q60" i="1"/>
  <c r="R60" i="1"/>
  <c r="I15" i="1"/>
  <c r="G55" i="1"/>
  <c r="N55" i="1" s="1"/>
  <c r="J64" i="1" l="1"/>
  <c r="E55" i="1"/>
  <c r="L55" i="1"/>
  <c r="S61" i="1"/>
  <c r="Q61" i="1"/>
  <c r="R61" i="1"/>
  <c r="G56" i="1"/>
  <c r="N56" i="1" s="1"/>
  <c r="J65" i="1" l="1"/>
  <c r="E56" i="1"/>
  <c r="L56" i="1"/>
  <c r="R62" i="1"/>
  <c r="S62" i="1"/>
  <c r="Q62" i="1"/>
  <c r="G57" i="1"/>
  <c r="N57" i="1" s="1"/>
  <c r="J66" i="1" l="1"/>
  <c r="E57" i="1"/>
  <c r="L57" i="1"/>
  <c r="Q63" i="1"/>
  <c r="R63" i="1"/>
  <c r="S63" i="1"/>
  <c r="G58" i="1"/>
  <c r="N58" i="1" s="1"/>
  <c r="J67" i="1" l="1"/>
  <c r="E58" i="1"/>
  <c r="L58" i="1"/>
  <c r="R64" i="1"/>
  <c r="S64" i="1"/>
  <c r="Q64" i="1"/>
  <c r="G59" i="1"/>
  <c r="N59" i="1" s="1"/>
  <c r="V15" i="1"/>
  <c r="J68" i="1" l="1"/>
  <c r="E59" i="1"/>
  <c r="L59" i="1"/>
  <c r="P15" i="1"/>
  <c r="U15" i="1" s="1"/>
  <c r="R65" i="1"/>
  <c r="S65" i="1"/>
  <c r="Q65" i="1"/>
  <c r="G60" i="1"/>
  <c r="N60" i="1" s="1"/>
  <c r="J69" i="1" l="1"/>
  <c r="E60" i="1"/>
  <c r="L60" i="1"/>
  <c r="S66" i="1"/>
  <c r="Q66" i="1"/>
  <c r="R66" i="1"/>
  <c r="O15" i="1"/>
  <c r="G61" i="1"/>
  <c r="N61" i="1" s="1"/>
  <c r="J70" i="1" l="1"/>
  <c r="E61" i="1"/>
  <c r="L61" i="1"/>
  <c r="T15" i="1"/>
  <c r="H15" i="1"/>
  <c r="S67" i="1"/>
  <c r="Q67" i="1"/>
  <c r="R67" i="1"/>
  <c r="G62" i="1"/>
  <c r="N62" i="1" s="1"/>
  <c r="J71" i="1" l="1"/>
  <c r="E62" i="1"/>
  <c r="L62" i="1"/>
  <c r="R68" i="1"/>
  <c r="S68" i="1"/>
  <c r="Q68" i="1"/>
  <c r="M16" i="1"/>
  <c r="G63" i="1"/>
  <c r="N63" i="1" s="1"/>
  <c r="J72" i="1" l="1"/>
  <c r="E63" i="1"/>
  <c r="L63" i="1"/>
  <c r="Q69" i="1"/>
  <c r="R69" i="1"/>
  <c r="S69" i="1"/>
  <c r="W16" i="1"/>
  <c r="G64" i="1"/>
  <c r="N64" i="1" s="1"/>
  <c r="J73" i="1" l="1"/>
  <c r="E64" i="1"/>
  <c r="L64" i="1"/>
  <c r="R70" i="1"/>
  <c r="S70" i="1"/>
  <c r="Q70" i="1"/>
  <c r="X16" i="1"/>
  <c r="V16" i="1" s="1"/>
  <c r="G65" i="1"/>
  <c r="N65" i="1" s="1"/>
  <c r="J74" i="1" l="1"/>
  <c r="E65" i="1"/>
  <c r="L65" i="1"/>
  <c r="P16" i="1"/>
  <c r="U16" i="1" s="1"/>
  <c r="R71" i="1"/>
  <c r="S71" i="1"/>
  <c r="Q71" i="1"/>
  <c r="I16" i="1"/>
  <c r="G66" i="1"/>
  <c r="N66" i="1" s="1"/>
  <c r="J75" i="1" l="1"/>
  <c r="E66" i="1"/>
  <c r="L66" i="1"/>
  <c r="S72" i="1"/>
  <c r="R72" i="1"/>
  <c r="Q72" i="1"/>
  <c r="O16" i="1"/>
  <c r="G67" i="1"/>
  <c r="N67" i="1" s="1"/>
  <c r="J76" i="1" l="1"/>
  <c r="E67" i="1"/>
  <c r="L67" i="1"/>
  <c r="T16" i="1"/>
  <c r="M17" i="1" s="1"/>
  <c r="W17" i="1" s="1"/>
  <c r="H16" i="1"/>
  <c r="S73" i="1"/>
  <c r="Q73" i="1"/>
  <c r="R73" i="1"/>
  <c r="G68" i="1"/>
  <c r="N68" i="1" s="1"/>
  <c r="J77" i="1" l="1"/>
  <c r="E68" i="1"/>
  <c r="L68" i="1"/>
  <c r="R74" i="1"/>
  <c r="S74" i="1"/>
  <c r="Q74" i="1"/>
  <c r="X17" i="1"/>
  <c r="G69" i="1"/>
  <c r="N69" i="1" s="1"/>
  <c r="J78" i="1" l="1"/>
  <c r="E69" i="1"/>
  <c r="L69" i="1"/>
  <c r="Q75" i="1"/>
  <c r="S75" i="1"/>
  <c r="R75" i="1"/>
  <c r="G70" i="1"/>
  <c r="N70" i="1" s="1"/>
  <c r="J79" i="1" l="1"/>
  <c r="E70" i="1"/>
  <c r="L70" i="1"/>
  <c r="R76" i="1"/>
  <c r="S76" i="1"/>
  <c r="Q76" i="1"/>
  <c r="G71" i="1"/>
  <c r="N71" i="1" s="1"/>
  <c r="J80" i="1" l="1"/>
  <c r="E71" i="1"/>
  <c r="V17" i="1"/>
  <c r="I17" i="1"/>
  <c r="L71" i="1"/>
  <c r="R77" i="1"/>
  <c r="Q77" i="1"/>
  <c r="S77" i="1"/>
  <c r="G72" i="1"/>
  <c r="N72" i="1" s="1"/>
  <c r="J81" i="1" l="1"/>
  <c r="E72" i="1"/>
  <c r="P17" i="1"/>
  <c r="U17" i="1" s="1"/>
  <c r="L72" i="1"/>
  <c r="S78" i="1"/>
  <c r="R78" i="1"/>
  <c r="Q78" i="1"/>
  <c r="G73" i="1"/>
  <c r="N73" i="1" s="1"/>
  <c r="J82" i="1" l="1"/>
  <c r="E73" i="1"/>
  <c r="O17" i="1"/>
  <c r="T17" i="1" s="1"/>
  <c r="M18" i="1" s="1"/>
  <c r="W18" i="1" s="1"/>
  <c r="X18" i="1" s="1"/>
  <c r="V18" i="1" s="1"/>
  <c r="L73" i="1"/>
  <c r="S79" i="1"/>
  <c r="R79" i="1"/>
  <c r="Q79" i="1"/>
  <c r="G74" i="1"/>
  <c r="N74" i="1" s="1"/>
  <c r="J83" i="1" l="1"/>
  <c r="E74" i="1"/>
  <c r="H17" i="1"/>
  <c r="P18" i="1"/>
  <c r="L74" i="1"/>
  <c r="I18" i="1"/>
  <c r="R80" i="1"/>
  <c r="S80" i="1"/>
  <c r="Q80" i="1"/>
  <c r="G75" i="1"/>
  <c r="N75" i="1" s="1"/>
  <c r="J84" i="1" l="1"/>
  <c r="E75" i="1"/>
  <c r="U18" i="1"/>
  <c r="O18" i="1"/>
  <c r="T18" i="1" s="1"/>
  <c r="M19" i="1" s="1"/>
  <c r="L75" i="1"/>
  <c r="Q81" i="1"/>
  <c r="S81" i="1"/>
  <c r="R81" i="1"/>
  <c r="G76" i="1"/>
  <c r="N76" i="1" s="1"/>
  <c r="J85" i="1" l="1"/>
  <c r="E76" i="1"/>
  <c r="H18" i="1"/>
  <c r="L76" i="1"/>
  <c r="W19" i="1"/>
  <c r="X19" i="1" s="1"/>
  <c r="R82" i="1"/>
  <c r="S82" i="1"/>
  <c r="Q82" i="1"/>
  <c r="G77" i="1"/>
  <c r="N77" i="1" s="1"/>
  <c r="J86" i="1" l="1"/>
  <c r="E77" i="1"/>
  <c r="L77" i="1"/>
  <c r="R83" i="1"/>
  <c r="S83" i="1"/>
  <c r="Q83" i="1"/>
  <c r="G78" i="1"/>
  <c r="N78" i="1" s="1"/>
  <c r="J87" i="1" l="1"/>
  <c r="E78" i="1"/>
  <c r="L78" i="1"/>
  <c r="S84" i="1"/>
  <c r="R84" i="1"/>
  <c r="Q84" i="1"/>
  <c r="G79" i="1"/>
  <c r="N79" i="1" s="1"/>
  <c r="J88" i="1" l="1"/>
  <c r="E79" i="1"/>
  <c r="L79" i="1"/>
  <c r="I19" i="1"/>
  <c r="S85" i="1"/>
  <c r="R85" i="1"/>
  <c r="Q85" i="1"/>
  <c r="G80" i="1"/>
  <c r="N80" i="1" s="1"/>
  <c r="J89" i="1" l="1"/>
  <c r="E80" i="1"/>
  <c r="L80" i="1"/>
  <c r="V19" i="1"/>
  <c r="R86" i="1"/>
  <c r="S86" i="1"/>
  <c r="Q86" i="1"/>
  <c r="G81" i="1"/>
  <c r="N81" i="1" s="1"/>
  <c r="J90" i="1" l="1"/>
  <c r="E81" i="1"/>
  <c r="P19" i="1"/>
  <c r="L81" i="1"/>
  <c r="Q87" i="1"/>
  <c r="S87" i="1"/>
  <c r="R87" i="1"/>
  <c r="G82" i="1"/>
  <c r="N82" i="1" s="1"/>
  <c r="J91" i="1" l="1"/>
  <c r="E82" i="1"/>
  <c r="O19" i="1"/>
  <c r="U19" i="1"/>
  <c r="L82" i="1"/>
  <c r="R88" i="1"/>
  <c r="S88" i="1"/>
  <c r="Q88" i="1"/>
  <c r="G83" i="1"/>
  <c r="N83" i="1" s="1"/>
  <c r="J92" i="1" l="1"/>
  <c r="E83" i="1"/>
  <c r="T19" i="1"/>
  <c r="M20" i="1" s="1"/>
  <c r="W20" i="1" s="1"/>
  <c r="X20" i="1" s="1"/>
  <c r="I20" i="1" s="1"/>
  <c r="H19" i="1"/>
  <c r="L83" i="1"/>
  <c r="R89" i="1"/>
  <c r="S89" i="1"/>
  <c r="Q89" i="1"/>
  <c r="G84" i="1"/>
  <c r="N84" i="1" s="1"/>
  <c r="J93" i="1" l="1"/>
  <c r="E84" i="1"/>
  <c r="V20" i="1"/>
  <c r="P20" i="1" s="1"/>
  <c r="U20" i="1" s="1"/>
  <c r="L84" i="1"/>
  <c r="S90" i="1"/>
  <c r="R90" i="1"/>
  <c r="Q90" i="1"/>
  <c r="G85" i="1"/>
  <c r="N85" i="1" s="1"/>
  <c r="J94" i="1" l="1"/>
  <c r="E85" i="1"/>
  <c r="O20" i="1"/>
  <c r="H20" i="1" s="1"/>
  <c r="L85" i="1"/>
  <c r="S91" i="1"/>
  <c r="Q91" i="1"/>
  <c r="R91" i="1"/>
  <c r="G86" i="1"/>
  <c r="N86" i="1" s="1"/>
  <c r="J95" i="1" l="1"/>
  <c r="E86" i="1"/>
  <c r="T20" i="1"/>
  <c r="M21" i="1" s="1"/>
  <c r="W21" i="1" s="1"/>
  <c r="X21" i="1" s="1"/>
  <c r="L86" i="1"/>
  <c r="R92" i="1"/>
  <c r="S92" i="1"/>
  <c r="Q92" i="1"/>
  <c r="G87" i="1"/>
  <c r="N87" i="1" s="1"/>
  <c r="J96" i="1" l="1"/>
  <c r="E87" i="1"/>
  <c r="L87" i="1"/>
  <c r="V21" i="1"/>
  <c r="P21" i="1" s="1"/>
  <c r="U21" i="1" s="1"/>
  <c r="I21" i="1"/>
  <c r="Q93" i="1"/>
  <c r="S93" i="1"/>
  <c r="R93" i="1"/>
  <c r="G88" i="1"/>
  <c r="N88" i="1" s="1"/>
  <c r="J97" i="1" l="1"/>
  <c r="E88" i="1"/>
  <c r="O21" i="1"/>
  <c r="T21" i="1" s="1"/>
  <c r="M22" i="1" s="1"/>
  <c r="L88" i="1"/>
  <c r="R94" i="1"/>
  <c r="S94" i="1"/>
  <c r="Q94" i="1"/>
  <c r="G89" i="1"/>
  <c r="N89" i="1" s="1"/>
  <c r="J98" i="1" l="1"/>
  <c r="E89" i="1"/>
  <c r="H21" i="1"/>
  <c r="L89" i="1"/>
  <c r="W22" i="1"/>
  <c r="X22" i="1" s="1"/>
  <c r="V22" i="1" s="1"/>
  <c r="R95" i="1"/>
  <c r="Q95" i="1"/>
  <c r="S95" i="1"/>
  <c r="G90" i="1"/>
  <c r="N90" i="1" s="1"/>
  <c r="J99" i="1" l="1"/>
  <c r="E90" i="1"/>
  <c r="L90" i="1"/>
  <c r="P22" i="1"/>
  <c r="O22" i="1" s="1"/>
  <c r="T22" i="1" s="1"/>
  <c r="M23" i="1" s="1"/>
  <c r="I22" i="1"/>
  <c r="S96" i="1"/>
  <c r="R96" i="1"/>
  <c r="Q96" i="1"/>
  <c r="G91" i="1"/>
  <c r="N91" i="1" s="1"/>
  <c r="J100" i="1" l="1"/>
  <c r="E91" i="1"/>
  <c r="U22" i="1"/>
  <c r="W23" i="1" s="1"/>
  <c r="X23" i="1" s="1"/>
  <c r="V23" i="1" s="1"/>
  <c r="P23" i="1" s="1"/>
  <c r="L91" i="1"/>
  <c r="H22" i="1"/>
  <c r="S97" i="1"/>
  <c r="R97" i="1"/>
  <c r="Q97" i="1"/>
  <c r="G92" i="1"/>
  <c r="N92" i="1" s="1"/>
  <c r="J101" i="1" l="1"/>
  <c r="E92" i="1"/>
  <c r="L92" i="1"/>
  <c r="O23" i="1"/>
  <c r="T23" i="1" s="1"/>
  <c r="M24" i="1" s="1"/>
  <c r="U23" i="1"/>
  <c r="I23" i="1"/>
  <c r="R98" i="1"/>
  <c r="S98" i="1"/>
  <c r="Q98" i="1"/>
  <c r="G93" i="1"/>
  <c r="N93" i="1" s="1"/>
  <c r="J102" i="1" l="1"/>
  <c r="E93" i="1"/>
  <c r="H23" i="1"/>
  <c r="L93" i="1"/>
  <c r="W24" i="1"/>
  <c r="X24" i="1" s="1"/>
  <c r="I24" i="1" s="1"/>
  <c r="Q99" i="1"/>
  <c r="S99" i="1"/>
  <c r="R99" i="1"/>
  <c r="G94" i="1"/>
  <c r="N94" i="1" s="1"/>
  <c r="J103" i="1" l="1"/>
  <c r="E94" i="1"/>
  <c r="L94" i="1"/>
  <c r="R100" i="1"/>
  <c r="S100" i="1"/>
  <c r="Q100" i="1"/>
  <c r="V24" i="1"/>
  <c r="G95" i="1"/>
  <c r="N95" i="1" s="1"/>
  <c r="J104" i="1" l="1"/>
  <c r="E95" i="1"/>
  <c r="L95" i="1"/>
  <c r="R101" i="1"/>
  <c r="S101" i="1"/>
  <c r="Q101" i="1"/>
  <c r="P24" i="1"/>
  <c r="U24" i="1" s="1"/>
  <c r="G96" i="1"/>
  <c r="N96" i="1" s="1"/>
  <c r="J105" i="1" l="1"/>
  <c r="E96" i="1"/>
  <c r="L96" i="1"/>
  <c r="O24" i="1"/>
  <c r="S102" i="1"/>
  <c r="Q102" i="1"/>
  <c r="R102" i="1"/>
  <c r="G97" i="1"/>
  <c r="N97" i="1" s="1"/>
  <c r="J106" i="1" l="1"/>
  <c r="E97" i="1"/>
  <c r="L97" i="1"/>
  <c r="T24" i="1"/>
  <c r="M25" i="1" s="1"/>
  <c r="H24" i="1"/>
  <c r="S103" i="1"/>
  <c r="Q103" i="1"/>
  <c r="R103" i="1"/>
  <c r="G98" i="1"/>
  <c r="N98" i="1" s="1"/>
  <c r="J107" i="1" l="1"/>
  <c r="E98" i="1"/>
  <c r="L98" i="1"/>
  <c r="W25" i="1"/>
  <c r="X25" i="1" s="1"/>
  <c r="R104" i="1"/>
  <c r="S104" i="1"/>
  <c r="Q104" i="1"/>
  <c r="G99" i="1"/>
  <c r="N99" i="1" s="1"/>
  <c r="J108" i="1" l="1"/>
  <c r="E99" i="1"/>
  <c r="L99" i="1"/>
  <c r="Q105" i="1"/>
  <c r="S105" i="1"/>
  <c r="R105" i="1"/>
  <c r="V25" i="1"/>
  <c r="G100" i="1"/>
  <c r="N100" i="1" s="1"/>
  <c r="J109" i="1" l="1"/>
  <c r="E100" i="1"/>
  <c r="L100" i="1"/>
  <c r="S106" i="1"/>
  <c r="R106" i="1"/>
  <c r="Q106" i="1"/>
  <c r="P25" i="1"/>
  <c r="O25" i="1" s="1"/>
  <c r="T25" i="1" s="1"/>
  <c r="M26" i="1" s="1"/>
  <c r="I25" i="1"/>
  <c r="G101" i="1"/>
  <c r="N101" i="1" s="1"/>
  <c r="J110" i="1" l="1"/>
  <c r="E101" i="1"/>
  <c r="L101" i="1"/>
  <c r="H25" i="1"/>
  <c r="U25" i="1"/>
  <c r="R107" i="1"/>
  <c r="S107" i="1"/>
  <c r="Q107" i="1"/>
  <c r="G102" i="1"/>
  <c r="N102" i="1" s="1"/>
  <c r="J111" i="1" l="1"/>
  <c r="E102" i="1"/>
  <c r="L102" i="1"/>
  <c r="W26" i="1"/>
  <c r="S108" i="1"/>
  <c r="R108" i="1"/>
  <c r="Q108" i="1"/>
  <c r="G103" i="1"/>
  <c r="N103" i="1" s="1"/>
  <c r="J112" i="1" l="1"/>
  <c r="E103" i="1"/>
  <c r="L103" i="1"/>
  <c r="X26" i="1"/>
  <c r="I26" i="1" s="1"/>
  <c r="S109" i="1"/>
  <c r="Q109" i="1"/>
  <c r="R109" i="1"/>
  <c r="G104" i="1"/>
  <c r="N104" i="1" s="1"/>
  <c r="J113" i="1" l="1"/>
  <c r="E104" i="1"/>
  <c r="L104" i="1"/>
  <c r="V26" i="1"/>
  <c r="P26" i="1" s="1"/>
  <c r="R110" i="1"/>
  <c r="S110" i="1"/>
  <c r="Q110" i="1"/>
  <c r="G105" i="1"/>
  <c r="N105" i="1" s="1"/>
  <c r="J114" i="1" l="1"/>
  <c r="E105" i="1"/>
  <c r="L105" i="1"/>
  <c r="U26" i="1"/>
  <c r="O26" i="1"/>
  <c r="Q111" i="1"/>
  <c r="S111" i="1"/>
  <c r="R111" i="1"/>
  <c r="G106" i="1"/>
  <c r="N106" i="1" s="1"/>
  <c r="J115" i="1" l="1"/>
  <c r="E106" i="1"/>
  <c r="L106" i="1"/>
  <c r="T26" i="1"/>
  <c r="M27" i="1" s="1"/>
  <c r="H26" i="1"/>
  <c r="S112" i="1"/>
  <c r="R112" i="1"/>
  <c r="Q112" i="1"/>
  <c r="G107" i="1"/>
  <c r="N107" i="1" s="1"/>
  <c r="J116" i="1" l="1"/>
  <c r="E107" i="1"/>
  <c r="L107" i="1"/>
  <c r="W27" i="1"/>
  <c r="X27" i="1" s="1"/>
  <c r="R113" i="1"/>
  <c r="Q113" i="1"/>
  <c r="S113" i="1"/>
  <c r="G108" i="1"/>
  <c r="N108" i="1" s="1"/>
  <c r="J117" i="1" l="1"/>
  <c r="E108" i="1"/>
  <c r="L108" i="1"/>
  <c r="I27" i="1"/>
  <c r="V27" i="1"/>
  <c r="P27" i="1" s="1"/>
  <c r="O27" i="1" s="1"/>
  <c r="S114" i="1"/>
  <c r="R114" i="1"/>
  <c r="Q114" i="1"/>
  <c r="G109" i="1"/>
  <c r="N109" i="1" s="1"/>
  <c r="J118" i="1" l="1"/>
  <c r="E109" i="1"/>
  <c r="L109" i="1"/>
  <c r="T27" i="1"/>
  <c r="M28" i="1" s="1"/>
  <c r="H27" i="1"/>
  <c r="U27" i="1"/>
  <c r="S115" i="1"/>
  <c r="R115" i="1"/>
  <c r="Q115" i="1"/>
  <c r="G110" i="1"/>
  <c r="N110" i="1" s="1"/>
  <c r="J119" i="1" l="1"/>
  <c r="E110" i="1"/>
  <c r="L110" i="1"/>
  <c r="W28" i="1"/>
  <c r="X28" i="1" s="1"/>
  <c r="R116" i="1"/>
  <c r="S116" i="1"/>
  <c r="Q116" i="1"/>
  <c r="G111" i="1"/>
  <c r="N111" i="1" s="1"/>
  <c r="J120" i="1" l="1"/>
  <c r="E111" i="1"/>
  <c r="L111" i="1"/>
  <c r="I28" i="1"/>
  <c r="V28" i="1"/>
  <c r="P28" i="1" s="1"/>
  <c r="O28" i="1" s="1"/>
  <c r="Q117" i="1"/>
  <c r="S117" i="1"/>
  <c r="R117" i="1"/>
  <c r="G112" i="1"/>
  <c r="N112" i="1" s="1"/>
  <c r="J121" i="1" l="1"/>
  <c r="E112" i="1"/>
  <c r="L112" i="1"/>
  <c r="U28" i="1"/>
  <c r="T28" i="1"/>
  <c r="M29" i="1" s="1"/>
  <c r="H28" i="1"/>
  <c r="S118" i="1"/>
  <c r="Q118" i="1"/>
  <c r="R118" i="1"/>
  <c r="G113" i="1"/>
  <c r="N113" i="1" s="1"/>
  <c r="J122" i="1" l="1"/>
  <c r="E113" i="1"/>
  <c r="L113" i="1"/>
  <c r="W29" i="1"/>
  <c r="X29" i="1" s="1"/>
  <c r="R119" i="1"/>
  <c r="S119" i="1"/>
  <c r="Q119" i="1"/>
  <c r="G114" i="1"/>
  <c r="N114" i="1" s="1"/>
  <c r="J123" i="1" l="1"/>
  <c r="E114" i="1"/>
  <c r="L114" i="1"/>
  <c r="V29" i="1"/>
  <c r="P29" i="1" s="1"/>
  <c r="O29" i="1" s="1"/>
  <c r="I29" i="1"/>
  <c r="S120" i="1"/>
  <c r="R120" i="1"/>
  <c r="Q120" i="1"/>
  <c r="G115" i="1"/>
  <c r="N115" i="1" s="1"/>
  <c r="J124" i="1" l="1"/>
  <c r="E115" i="1"/>
  <c r="U29" i="1"/>
  <c r="L115" i="1"/>
  <c r="T29" i="1"/>
  <c r="M30" i="1" s="1"/>
  <c r="H29" i="1"/>
  <c r="S121" i="1"/>
  <c r="R121" i="1"/>
  <c r="Q121" i="1"/>
  <c r="G116" i="1"/>
  <c r="N116" i="1" s="1"/>
  <c r="J125" i="1" l="1"/>
  <c r="E116" i="1"/>
  <c r="L116" i="1"/>
  <c r="W30" i="1"/>
  <c r="X30" i="1" s="1"/>
  <c r="R122" i="1"/>
  <c r="S122" i="1"/>
  <c r="Q122" i="1"/>
  <c r="G117" i="1"/>
  <c r="N117" i="1" s="1"/>
  <c r="J126" i="1" l="1"/>
  <c r="E117" i="1"/>
  <c r="L117" i="1"/>
  <c r="V30" i="1"/>
  <c r="P30" i="1" s="1"/>
  <c r="I30" i="1"/>
  <c r="Q123" i="1"/>
  <c r="S123" i="1"/>
  <c r="R123" i="1"/>
  <c r="G118" i="1"/>
  <c r="N118" i="1" s="1"/>
  <c r="J127" i="1" l="1"/>
  <c r="E118" i="1"/>
  <c r="L118" i="1"/>
  <c r="U30" i="1"/>
  <c r="O30" i="1"/>
  <c r="S124" i="1"/>
  <c r="R124" i="1"/>
  <c r="Q124" i="1"/>
  <c r="G119" i="1"/>
  <c r="N119" i="1" s="1"/>
  <c r="J128" i="1" l="1"/>
  <c r="E119" i="1"/>
  <c r="L119" i="1"/>
  <c r="H30" i="1"/>
  <c r="T30" i="1"/>
  <c r="M31" i="1" s="1"/>
  <c r="R125" i="1"/>
  <c r="S125" i="1"/>
  <c r="Q125" i="1"/>
  <c r="G120" i="1"/>
  <c r="N120" i="1" s="1"/>
  <c r="J129" i="1" l="1"/>
  <c r="E120" i="1"/>
  <c r="L120" i="1"/>
  <c r="W31" i="1"/>
  <c r="X31" i="1" s="1"/>
  <c r="S126" i="1"/>
  <c r="R126" i="1"/>
  <c r="Q126" i="1"/>
  <c r="G121" i="1"/>
  <c r="N121" i="1" s="1"/>
  <c r="J130" i="1" l="1"/>
  <c r="E121" i="1"/>
  <c r="L121" i="1"/>
  <c r="V31" i="1"/>
  <c r="P31" i="1" s="1"/>
  <c r="O31" i="1" s="1"/>
  <c r="I31" i="1"/>
  <c r="S127" i="1"/>
  <c r="R127" i="1"/>
  <c r="Q127" i="1"/>
  <c r="G122" i="1"/>
  <c r="N122" i="1" s="1"/>
  <c r="J131" i="1" l="1"/>
  <c r="E122" i="1"/>
  <c r="U31" i="1"/>
  <c r="L122" i="1"/>
  <c r="T31" i="1"/>
  <c r="M32" i="1" s="1"/>
  <c r="H31" i="1"/>
  <c r="R128" i="1"/>
  <c r="S128" i="1"/>
  <c r="Q128" i="1"/>
  <c r="G123" i="1"/>
  <c r="N123" i="1" s="1"/>
  <c r="J132" i="1" l="1"/>
  <c r="E123" i="1"/>
  <c r="L123" i="1"/>
  <c r="S129" i="1"/>
  <c r="R129" i="1"/>
  <c r="Q129" i="1"/>
  <c r="G124" i="1"/>
  <c r="N124" i="1" s="1"/>
  <c r="J133" i="1" l="1"/>
  <c r="E124" i="1"/>
  <c r="L124" i="1"/>
  <c r="S130" i="1"/>
  <c r="Q130" i="1"/>
  <c r="R130" i="1"/>
  <c r="G125" i="1"/>
  <c r="N125" i="1" s="1"/>
  <c r="J134" i="1" l="1"/>
  <c r="E125" i="1"/>
  <c r="L125" i="1"/>
  <c r="R131" i="1"/>
  <c r="Q131" i="1"/>
  <c r="S131" i="1"/>
  <c r="G126" i="1"/>
  <c r="N126" i="1" s="1"/>
  <c r="J135" i="1" l="1"/>
  <c r="E126" i="1"/>
  <c r="L126" i="1"/>
  <c r="S132" i="1"/>
  <c r="R132" i="1"/>
  <c r="Q132" i="1"/>
  <c r="G127" i="1"/>
  <c r="N127" i="1" s="1"/>
  <c r="J136" i="1" l="1"/>
  <c r="E127" i="1"/>
  <c r="L127" i="1"/>
  <c r="S133" i="1"/>
  <c r="R133" i="1"/>
  <c r="Q133" i="1"/>
  <c r="G128" i="1"/>
  <c r="N128" i="1" s="1"/>
  <c r="J137" i="1" l="1"/>
  <c r="E128" i="1"/>
  <c r="L128" i="1"/>
  <c r="R134" i="1"/>
  <c r="S134" i="1"/>
  <c r="Q134" i="1"/>
  <c r="G129" i="1"/>
  <c r="N129" i="1" s="1"/>
  <c r="J138" i="1" l="1"/>
  <c r="E129" i="1"/>
  <c r="L129" i="1"/>
  <c r="S135" i="1"/>
  <c r="R135" i="1"/>
  <c r="Q135" i="1"/>
  <c r="G130" i="1"/>
  <c r="N130" i="1" s="1"/>
  <c r="J139" i="1" l="1"/>
  <c r="E130" i="1"/>
  <c r="L130" i="1"/>
  <c r="S136" i="1"/>
  <c r="Q136" i="1"/>
  <c r="R136" i="1"/>
  <c r="G131" i="1"/>
  <c r="N131" i="1" s="1"/>
  <c r="J140" i="1" l="1"/>
  <c r="E131" i="1"/>
  <c r="L131" i="1"/>
  <c r="R137" i="1"/>
  <c r="Q137" i="1"/>
  <c r="S137" i="1"/>
  <c r="G132" i="1"/>
  <c r="N132" i="1" s="1"/>
  <c r="J141" i="1" l="1"/>
  <c r="E132" i="1"/>
  <c r="L132" i="1"/>
  <c r="S138" i="1"/>
  <c r="R138" i="1"/>
  <c r="Q138" i="1"/>
  <c r="G133" i="1"/>
  <c r="N133" i="1" s="1"/>
  <c r="J142" i="1" l="1"/>
  <c r="E133" i="1"/>
  <c r="L133" i="1"/>
  <c r="S139" i="1"/>
  <c r="Q139" i="1"/>
  <c r="R139" i="1"/>
  <c r="G134" i="1"/>
  <c r="N134" i="1" s="1"/>
  <c r="J143" i="1" l="1"/>
  <c r="E134" i="1"/>
  <c r="L134" i="1"/>
  <c r="R140" i="1"/>
  <c r="S140" i="1"/>
  <c r="Q140" i="1"/>
  <c r="G135" i="1"/>
  <c r="N135" i="1" s="1"/>
  <c r="J144" i="1" l="1"/>
  <c r="E135" i="1"/>
  <c r="L135" i="1"/>
  <c r="S141" i="1"/>
  <c r="Q141" i="1"/>
  <c r="R141" i="1"/>
  <c r="G136" i="1"/>
  <c r="N136" i="1" s="1"/>
  <c r="J145" i="1" l="1"/>
  <c r="E136" i="1"/>
  <c r="L136" i="1"/>
  <c r="S142" i="1"/>
  <c r="R142" i="1"/>
  <c r="Q142" i="1"/>
  <c r="G137" i="1"/>
  <c r="N137" i="1" s="1"/>
  <c r="J146" i="1" l="1"/>
  <c r="E137" i="1"/>
  <c r="L137" i="1"/>
  <c r="R143" i="1"/>
  <c r="Q143" i="1"/>
  <c r="S143" i="1"/>
  <c r="G138" i="1"/>
  <c r="N138" i="1" s="1"/>
  <c r="J147" i="1" l="1"/>
  <c r="E138" i="1"/>
  <c r="L138" i="1"/>
  <c r="W36" i="1"/>
  <c r="X36" i="1" s="1"/>
  <c r="S144" i="1"/>
  <c r="R144" i="1"/>
  <c r="Q144" i="1"/>
  <c r="G139" i="1"/>
  <c r="N139" i="1" s="1"/>
  <c r="J148" i="1" l="1"/>
  <c r="E139" i="1"/>
  <c r="L139" i="1"/>
  <c r="V36" i="1"/>
  <c r="P36" i="1" s="1"/>
  <c r="I36" i="1"/>
  <c r="S145" i="1"/>
  <c r="R145" i="1"/>
  <c r="Q145" i="1"/>
  <c r="G140" i="1"/>
  <c r="N140" i="1" s="1"/>
  <c r="J149" i="1" l="1"/>
  <c r="E140" i="1"/>
  <c r="L140" i="1"/>
  <c r="U36" i="1"/>
  <c r="O36" i="1"/>
  <c r="R146" i="1"/>
  <c r="S146" i="1"/>
  <c r="Q146" i="1"/>
  <c r="G141" i="1"/>
  <c r="N141" i="1" s="1"/>
  <c r="J150" i="1" l="1"/>
  <c r="E141" i="1"/>
  <c r="L141" i="1"/>
  <c r="H36" i="1"/>
  <c r="T36" i="1"/>
  <c r="M37" i="1" s="1"/>
  <c r="S147" i="1"/>
  <c r="R147" i="1"/>
  <c r="Q147" i="1"/>
  <c r="G142" i="1"/>
  <c r="N142" i="1" s="1"/>
  <c r="J151" i="1" l="1"/>
  <c r="E142" i="1"/>
  <c r="L142" i="1"/>
  <c r="W37" i="1"/>
  <c r="X37" i="1" s="1"/>
  <c r="S148" i="1"/>
  <c r="Q148" i="1"/>
  <c r="R148" i="1"/>
  <c r="G143" i="1"/>
  <c r="N143" i="1" s="1"/>
  <c r="J152" i="1" l="1"/>
  <c r="E143" i="1"/>
  <c r="L143" i="1"/>
  <c r="V37" i="1"/>
  <c r="P37" i="1" s="1"/>
  <c r="O37" i="1" s="1"/>
  <c r="I37" i="1"/>
  <c r="R149" i="1"/>
  <c r="Q149" i="1"/>
  <c r="S149" i="1"/>
  <c r="G144" i="1"/>
  <c r="N144" i="1" s="1"/>
  <c r="J153" i="1" l="1"/>
  <c r="E144" i="1"/>
  <c r="L144" i="1"/>
  <c r="T37" i="1"/>
  <c r="M38" i="1" s="1"/>
  <c r="H37" i="1"/>
  <c r="U37" i="1"/>
  <c r="S150" i="1"/>
  <c r="Q150" i="1"/>
  <c r="R150" i="1"/>
  <c r="G145" i="1"/>
  <c r="N145" i="1" s="1"/>
  <c r="J154" i="1" l="1"/>
  <c r="E145" i="1"/>
  <c r="L145" i="1"/>
  <c r="W38" i="1"/>
  <c r="X38" i="1" s="1"/>
  <c r="S151" i="1"/>
  <c r="R151" i="1"/>
  <c r="Q151" i="1"/>
  <c r="G146" i="1"/>
  <c r="N146" i="1" s="1"/>
  <c r="J155" i="1" l="1"/>
  <c r="E146" i="1"/>
  <c r="L146" i="1"/>
  <c r="I38" i="1"/>
  <c r="V38" i="1"/>
  <c r="P38" i="1" s="1"/>
  <c r="O38" i="1" s="1"/>
  <c r="R152" i="1"/>
  <c r="S152" i="1"/>
  <c r="Q152" i="1"/>
  <c r="G147" i="1"/>
  <c r="N147" i="1" s="1"/>
  <c r="J156" i="1" l="1"/>
  <c r="E147" i="1"/>
  <c r="L147" i="1"/>
  <c r="U38" i="1"/>
  <c r="T38" i="1"/>
  <c r="M39" i="1" s="1"/>
  <c r="H38" i="1"/>
  <c r="S153" i="1"/>
  <c r="R153" i="1"/>
  <c r="Q153" i="1"/>
  <c r="G148" i="1"/>
  <c r="N148" i="1" s="1"/>
  <c r="J157" i="1" l="1"/>
  <c r="E148" i="1"/>
  <c r="L148" i="1"/>
  <c r="W39" i="1"/>
  <c r="X39" i="1" s="1"/>
  <c r="I39" i="1" s="1"/>
  <c r="S154" i="1"/>
  <c r="Q154" i="1"/>
  <c r="R154" i="1"/>
  <c r="G149" i="1"/>
  <c r="N149" i="1" s="1"/>
  <c r="J158" i="1" l="1"/>
  <c r="E149" i="1"/>
  <c r="L149" i="1"/>
  <c r="V39" i="1"/>
  <c r="P39" i="1" s="1"/>
  <c r="O39" i="1" s="1"/>
  <c r="T39" i="1" s="1"/>
  <c r="M40" i="1" s="1"/>
  <c r="R155" i="1"/>
  <c r="S155" i="1"/>
  <c r="Q155" i="1"/>
  <c r="G150" i="1"/>
  <c r="N150" i="1" s="1"/>
  <c r="J159" i="1" l="1"/>
  <c r="E150" i="1"/>
  <c r="H39" i="1"/>
  <c r="U39" i="1"/>
  <c r="W40" i="1" s="1"/>
  <c r="X40" i="1" s="1"/>
  <c r="I40" i="1" s="1"/>
  <c r="L150" i="1"/>
  <c r="S156" i="1"/>
  <c r="R156" i="1"/>
  <c r="Q156" i="1"/>
  <c r="G151" i="1"/>
  <c r="N151" i="1" s="1"/>
  <c r="J160" i="1" l="1"/>
  <c r="E151" i="1"/>
  <c r="L151" i="1"/>
  <c r="V40" i="1"/>
  <c r="S157" i="1"/>
  <c r="Q157" i="1"/>
  <c r="R157" i="1"/>
  <c r="G152" i="1"/>
  <c r="N152" i="1" s="1"/>
  <c r="J161" i="1" l="1"/>
  <c r="E152" i="1"/>
  <c r="L152" i="1"/>
  <c r="P40" i="1"/>
  <c r="R158" i="1"/>
  <c r="S158" i="1"/>
  <c r="Q158" i="1"/>
  <c r="G153" i="1"/>
  <c r="N153" i="1" s="1"/>
  <c r="J162" i="1" l="1"/>
  <c r="E153" i="1"/>
  <c r="L153" i="1"/>
  <c r="O40" i="1"/>
  <c r="U40" i="1"/>
  <c r="S159" i="1"/>
  <c r="R159" i="1"/>
  <c r="Q159" i="1"/>
  <c r="G154" i="1"/>
  <c r="N154" i="1" s="1"/>
  <c r="J163" i="1" l="1"/>
  <c r="E154" i="1"/>
  <c r="L154" i="1"/>
  <c r="T40" i="1"/>
  <c r="M41" i="1" s="1"/>
  <c r="H40" i="1"/>
  <c r="S160" i="1"/>
  <c r="R160" i="1"/>
  <c r="Q160" i="1"/>
  <c r="G155" i="1"/>
  <c r="N155" i="1" s="1"/>
  <c r="J164" i="1" l="1"/>
  <c r="E155" i="1"/>
  <c r="L155" i="1"/>
  <c r="W41" i="1"/>
  <c r="X41" i="1" s="1"/>
  <c r="V41" i="1" s="1"/>
  <c r="R161" i="1"/>
  <c r="S161" i="1"/>
  <c r="Q161" i="1"/>
  <c r="G156" i="1"/>
  <c r="N156" i="1" s="1"/>
  <c r="J165" i="1" l="1"/>
  <c r="E156" i="1"/>
  <c r="L156" i="1"/>
  <c r="I41" i="1"/>
  <c r="P41" i="1"/>
  <c r="S162" i="1"/>
  <c r="R162" i="1"/>
  <c r="Q162" i="1"/>
  <c r="G157" i="1"/>
  <c r="N157" i="1" s="1"/>
  <c r="J166" i="1" l="1"/>
  <c r="E157" i="1"/>
  <c r="L157" i="1"/>
  <c r="O41" i="1"/>
  <c r="U41" i="1"/>
  <c r="S163" i="1"/>
  <c r="R163" i="1"/>
  <c r="Q163" i="1"/>
  <c r="G158" i="1"/>
  <c r="N158" i="1" s="1"/>
  <c r="J167" i="1" l="1"/>
  <c r="E158" i="1"/>
  <c r="L158" i="1"/>
  <c r="T41" i="1"/>
  <c r="M42" i="1" s="1"/>
  <c r="H41" i="1"/>
  <c r="R164" i="1"/>
  <c r="S164" i="1"/>
  <c r="Q164" i="1"/>
  <c r="G159" i="1"/>
  <c r="N159" i="1" s="1"/>
  <c r="J168" i="1" l="1"/>
  <c r="E159" i="1"/>
  <c r="L159" i="1"/>
  <c r="W42" i="1"/>
  <c r="X42" i="1" s="1"/>
  <c r="I42" i="1" s="1"/>
  <c r="S165" i="1"/>
  <c r="R165" i="1"/>
  <c r="Q165" i="1"/>
  <c r="G160" i="1"/>
  <c r="N160" i="1" s="1"/>
  <c r="J169" i="1" l="1"/>
  <c r="E160" i="1"/>
  <c r="L160" i="1"/>
  <c r="V42" i="1"/>
  <c r="P42" i="1" s="1"/>
  <c r="O42" i="1" s="1"/>
  <c r="T42" i="1" s="1"/>
  <c r="M43" i="1" s="1"/>
  <c r="S166" i="1"/>
  <c r="Q166" i="1"/>
  <c r="R166" i="1"/>
  <c r="G161" i="1"/>
  <c r="N161" i="1" s="1"/>
  <c r="J170" i="1" l="1"/>
  <c r="E161" i="1"/>
  <c r="L161" i="1"/>
  <c r="H42" i="1"/>
  <c r="U42" i="1"/>
  <c r="W43" i="1" s="1"/>
  <c r="X43" i="1" s="1"/>
  <c r="I43" i="1" s="1"/>
  <c r="R167" i="1"/>
  <c r="S167" i="1"/>
  <c r="Q167" i="1"/>
  <c r="G162" i="1"/>
  <c r="N162" i="1" s="1"/>
  <c r="J171" i="1" l="1"/>
  <c r="E162" i="1"/>
  <c r="L162" i="1"/>
  <c r="V43" i="1"/>
  <c r="P43" i="1" s="1"/>
  <c r="S168" i="1"/>
  <c r="R168" i="1"/>
  <c r="Q168" i="1"/>
  <c r="G163" i="1"/>
  <c r="N163" i="1" s="1"/>
  <c r="J172" i="1" l="1"/>
  <c r="E163" i="1"/>
  <c r="L163" i="1"/>
  <c r="O43" i="1"/>
  <c r="U43" i="1"/>
  <c r="S169" i="1"/>
  <c r="R169" i="1"/>
  <c r="Q169" i="1"/>
  <c r="G164" i="1"/>
  <c r="N164" i="1" s="1"/>
  <c r="J173" i="1" l="1"/>
  <c r="E164" i="1"/>
  <c r="L164" i="1"/>
  <c r="T43" i="1"/>
  <c r="M44" i="1" s="1"/>
  <c r="H43" i="1"/>
  <c r="R170" i="1"/>
  <c r="S170" i="1"/>
  <c r="Q170" i="1"/>
  <c r="G165" i="1"/>
  <c r="N165" i="1" s="1"/>
  <c r="J174" i="1" l="1"/>
  <c r="E165" i="1"/>
  <c r="L165" i="1"/>
  <c r="W44" i="1"/>
  <c r="X44" i="1" s="1"/>
  <c r="V44" i="1" s="1"/>
  <c r="S171" i="1"/>
  <c r="R171" i="1"/>
  <c r="Q171" i="1"/>
  <c r="G166" i="1"/>
  <c r="N166" i="1" s="1"/>
  <c r="J175" i="1" l="1"/>
  <c r="E166" i="1"/>
  <c r="L166" i="1"/>
  <c r="P44" i="1"/>
  <c r="O44" i="1" s="1"/>
  <c r="T44" i="1" s="1"/>
  <c r="M45" i="1" s="1"/>
  <c r="I44" i="1"/>
  <c r="S172" i="1"/>
  <c r="Q172" i="1"/>
  <c r="R172" i="1"/>
  <c r="G167" i="1"/>
  <c r="N167" i="1" s="1"/>
  <c r="J176" i="1" l="1"/>
  <c r="E167" i="1"/>
  <c r="L167" i="1"/>
  <c r="U44" i="1"/>
  <c r="W45" i="1" s="1"/>
  <c r="X45" i="1" s="1"/>
  <c r="H44" i="1"/>
  <c r="S173" i="1"/>
  <c r="R173" i="1"/>
  <c r="Q173" i="1"/>
  <c r="G168" i="1"/>
  <c r="N168" i="1" s="1"/>
  <c r="J177" i="1" l="1"/>
  <c r="E168" i="1"/>
  <c r="L168" i="1"/>
  <c r="I45" i="1"/>
  <c r="V45" i="1"/>
  <c r="S174" i="1"/>
  <c r="R174" i="1"/>
  <c r="Q174" i="1"/>
  <c r="G169" i="1"/>
  <c r="N169" i="1" s="1"/>
  <c r="J178" i="1" l="1"/>
  <c r="E169" i="1"/>
  <c r="L169" i="1"/>
  <c r="P45" i="1"/>
  <c r="S175" i="1"/>
  <c r="Q175" i="1"/>
  <c r="R175" i="1"/>
  <c r="G170" i="1"/>
  <c r="N170" i="1" s="1"/>
  <c r="J179" i="1" l="1"/>
  <c r="E170" i="1"/>
  <c r="L170" i="1"/>
  <c r="O45" i="1"/>
  <c r="U45" i="1"/>
  <c r="R176" i="1"/>
  <c r="S176" i="1"/>
  <c r="Q176" i="1"/>
  <c r="G171" i="1"/>
  <c r="N171" i="1" s="1"/>
  <c r="J180" i="1" l="1"/>
  <c r="E171" i="1"/>
  <c r="L171" i="1"/>
  <c r="T45" i="1"/>
  <c r="M46" i="1" s="1"/>
  <c r="H45" i="1"/>
  <c r="S177" i="1"/>
  <c r="R177" i="1"/>
  <c r="Q177" i="1"/>
  <c r="G172" i="1"/>
  <c r="N172" i="1" s="1"/>
  <c r="J181" i="1" l="1"/>
  <c r="E172" i="1"/>
  <c r="L172" i="1"/>
  <c r="W46" i="1"/>
  <c r="X46" i="1" s="1"/>
  <c r="V46" i="1" s="1"/>
  <c r="S178" i="1"/>
  <c r="Q178" i="1"/>
  <c r="R178" i="1"/>
  <c r="G173" i="1"/>
  <c r="N173" i="1" s="1"/>
  <c r="J182" i="1" l="1"/>
  <c r="E173" i="1"/>
  <c r="L173" i="1"/>
  <c r="P46" i="1"/>
  <c r="O46" i="1" s="1"/>
  <c r="T46" i="1" s="1"/>
  <c r="M47" i="1" s="1"/>
  <c r="I46" i="1"/>
  <c r="R179" i="1"/>
  <c r="S179" i="1"/>
  <c r="Q179" i="1"/>
  <c r="G174" i="1"/>
  <c r="N174" i="1" s="1"/>
  <c r="J183" i="1" l="1"/>
  <c r="E174" i="1"/>
  <c r="L174" i="1"/>
  <c r="U46" i="1"/>
  <c r="W47" i="1" s="1"/>
  <c r="X47" i="1" s="1"/>
  <c r="H46" i="1"/>
  <c r="S180" i="1"/>
  <c r="R180" i="1"/>
  <c r="Q180" i="1"/>
  <c r="G175" i="1"/>
  <c r="N175" i="1" s="1"/>
  <c r="J184" i="1" l="1"/>
  <c r="E175" i="1"/>
  <c r="L175" i="1"/>
  <c r="V47" i="1"/>
  <c r="S181" i="1"/>
  <c r="R181" i="1"/>
  <c r="Q181" i="1"/>
  <c r="G176" i="1"/>
  <c r="N176" i="1" s="1"/>
  <c r="J185" i="1" l="1"/>
  <c r="E176" i="1"/>
  <c r="L176" i="1"/>
  <c r="I47" i="1"/>
  <c r="P47" i="1"/>
  <c r="R182" i="1"/>
  <c r="S182" i="1"/>
  <c r="Q182" i="1"/>
  <c r="G177" i="1"/>
  <c r="N177" i="1" s="1"/>
  <c r="J186" i="1" l="1"/>
  <c r="E177" i="1"/>
  <c r="L177" i="1"/>
  <c r="O47" i="1"/>
  <c r="U47" i="1"/>
  <c r="S183" i="1"/>
  <c r="R183" i="1"/>
  <c r="Q183" i="1"/>
  <c r="G178" i="1"/>
  <c r="N178" i="1" s="1"/>
  <c r="J187" i="1" l="1"/>
  <c r="E178" i="1"/>
  <c r="L178" i="1"/>
  <c r="T47" i="1"/>
  <c r="M48" i="1" s="1"/>
  <c r="H47" i="1"/>
  <c r="S184" i="1"/>
  <c r="R184" i="1"/>
  <c r="Q184" i="1"/>
  <c r="G179" i="1"/>
  <c r="N179" i="1" s="1"/>
  <c r="J188" i="1" l="1"/>
  <c r="E179" i="1"/>
  <c r="L179" i="1"/>
  <c r="W48" i="1"/>
  <c r="X48" i="1" s="1"/>
  <c r="V48" i="1" s="1"/>
  <c r="R185" i="1"/>
  <c r="Q185" i="1"/>
  <c r="S185" i="1"/>
  <c r="G180" i="1"/>
  <c r="N180" i="1" s="1"/>
  <c r="J189" i="1" l="1"/>
  <c r="E180" i="1"/>
  <c r="L180" i="1"/>
  <c r="I48" i="1"/>
  <c r="P48" i="1"/>
  <c r="O48" i="1" s="1"/>
  <c r="T48" i="1" s="1"/>
  <c r="M49" i="1" s="1"/>
  <c r="S186" i="1"/>
  <c r="R186" i="1"/>
  <c r="Q186" i="1"/>
  <c r="G181" i="1"/>
  <c r="N181" i="1" s="1"/>
  <c r="J190" i="1" l="1"/>
  <c r="E181" i="1"/>
  <c r="L181" i="1"/>
  <c r="H48" i="1"/>
  <c r="U48" i="1"/>
  <c r="W49" i="1" s="1"/>
  <c r="S187" i="1"/>
  <c r="R187" i="1"/>
  <c r="Q187" i="1"/>
  <c r="G182" i="1"/>
  <c r="N182" i="1" s="1"/>
  <c r="J191" i="1" l="1"/>
  <c r="E182" i="1"/>
  <c r="L182" i="1"/>
  <c r="X49" i="1"/>
  <c r="I49" i="1" s="1"/>
  <c r="R188" i="1"/>
  <c r="S188" i="1"/>
  <c r="Q188" i="1"/>
  <c r="G183" i="1"/>
  <c r="N183" i="1" s="1"/>
  <c r="J192" i="1" l="1"/>
  <c r="E183" i="1"/>
  <c r="L183" i="1"/>
  <c r="V49" i="1"/>
  <c r="P49" i="1" s="1"/>
  <c r="S189" i="1"/>
  <c r="R189" i="1"/>
  <c r="Q189" i="1"/>
  <c r="G184" i="1"/>
  <c r="N184" i="1" s="1"/>
  <c r="N192" i="1" l="1"/>
  <c r="J193" i="1"/>
  <c r="E184" i="1"/>
  <c r="L184" i="1"/>
  <c r="O49" i="1"/>
  <c r="U49" i="1"/>
  <c r="S190" i="1"/>
  <c r="Q190" i="1"/>
  <c r="R190" i="1"/>
  <c r="G185" i="1"/>
  <c r="N185" i="1" s="1"/>
  <c r="N193" i="1" l="1"/>
  <c r="J194" i="1"/>
  <c r="E185" i="1"/>
  <c r="L185" i="1"/>
  <c r="T49" i="1"/>
  <c r="M50" i="1" s="1"/>
  <c r="H49" i="1"/>
  <c r="S191" i="1"/>
  <c r="R191" i="1"/>
  <c r="Q191" i="1"/>
  <c r="G186" i="1"/>
  <c r="N186" i="1" s="1"/>
  <c r="N194" i="1" l="1"/>
  <c r="J195" i="1"/>
  <c r="E186" i="1"/>
  <c r="L186" i="1"/>
  <c r="W50" i="1"/>
  <c r="X50" i="1" s="1"/>
  <c r="V50" i="1" s="1"/>
  <c r="S192" i="1"/>
  <c r="R192" i="1"/>
  <c r="Q192" i="1"/>
  <c r="G187" i="1"/>
  <c r="N187" i="1" s="1"/>
  <c r="N195" i="1" l="1"/>
  <c r="E195" i="1"/>
  <c r="W195" i="1"/>
  <c r="J196" i="1"/>
  <c r="H195" i="1"/>
  <c r="U195" i="1"/>
  <c r="X195" i="1"/>
  <c r="E187" i="1"/>
  <c r="L187" i="1"/>
  <c r="I50" i="1"/>
  <c r="P50" i="1"/>
  <c r="S193" i="1"/>
  <c r="R193" i="1"/>
  <c r="Q193" i="1"/>
  <c r="G188" i="1"/>
  <c r="N188" i="1" s="1"/>
  <c r="N196" i="1" l="1"/>
  <c r="E196" i="1"/>
  <c r="W196" i="1"/>
  <c r="X196" i="1"/>
  <c r="H196" i="1"/>
  <c r="J197" i="1"/>
  <c r="U196" i="1"/>
  <c r="E188" i="1"/>
  <c r="L188" i="1"/>
  <c r="O50" i="1"/>
  <c r="U50" i="1"/>
  <c r="R194" i="1"/>
  <c r="S194" i="1"/>
  <c r="Q194" i="1"/>
  <c r="G189" i="1"/>
  <c r="N189" i="1" s="1"/>
  <c r="N197" i="1" l="1"/>
  <c r="E197" i="1"/>
  <c r="U197" i="1"/>
  <c r="J198" i="1"/>
  <c r="X197" i="1"/>
  <c r="H197" i="1"/>
  <c r="W197" i="1"/>
  <c r="E189" i="1"/>
  <c r="L189" i="1"/>
  <c r="T50" i="1"/>
  <c r="M51" i="1" s="1"/>
  <c r="H50" i="1"/>
  <c r="S195" i="1"/>
  <c r="P195" i="1"/>
  <c r="R195" i="1"/>
  <c r="Q195" i="1"/>
  <c r="M195" i="1"/>
  <c r="T195" i="1"/>
  <c r="O195" i="1"/>
  <c r="L195" i="1"/>
  <c r="G190" i="1"/>
  <c r="N190" i="1" s="1"/>
  <c r="N198" i="1" l="1"/>
  <c r="W198" i="1"/>
  <c r="H198" i="1"/>
  <c r="X198" i="1"/>
  <c r="U198" i="1"/>
  <c r="E198" i="1"/>
  <c r="J199" i="1"/>
  <c r="E190" i="1"/>
  <c r="L190" i="1"/>
  <c r="W51" i="1"/>
  <c r="X51" i="1" s="1"/>
  <c r="S196" i="1"/>
  <c r="Q196" i="1"/>
  <c r="R196" i="1"/>
  <c r="P196" i="1"/>
  <c r="M196" i="1"/>
  <c r="O196" i="1"/>
  <c r="T196" i="1"/>
  <c r="L196" i="1"/>
  <c r="G191" i="1"/>
  <c r="N191" i="1" s="1"/>
  <c r="N199" i="1" l="1"/>
  <c r="U199" i="1"/>
  <c r="X199" i="1"/>
  <c r="E199" i="1"/>
  <c r="H199" i="1"/>
  <c r="W199" i="1"/>
  <c r="J200" i="1"/>
  <c r="E191" i="1"/>
  <c r="L191" i="1"/>
  <c r="I51" i="1"/>
  <c r="V51" i="1"/>
  <c r="S197" i="1"/>
  <c r="P197" i="1"/>
  <c r="Q197" i="1"/>
  <c r="R197" i="1"/>
  <c r="T197" i="1"/>
  <c r="L197" i="1"/>
  <c r="M197" i="1"/>
  <c r="O197" i="1"/>
  <c r="G192" i="1"/>
  <c r="N200" i="1" l="1"/>
  <c r="J201" i="1"/>
  <c r="H200" i="1"/>
  <c r="X200" i="1"/>
  <c r="U200" i="1"/>
  <c r="W200" i="1"/>
  <c r="E200" i="1"/>
  <c r="E192" i="1"/>
  <c r="L192" i="1"/>
  <c r="P51" i="1"/>
  <c r="S198" i="1"/>
  <c r="R198" i="1"/>
  <c r="Q198" i="1"/>
  <c r="P198" i="1"/>
  <c r="T198" i="1"/>
  <c r="L198" i="1"/>
  <c r="M198" i="1"/>
  <c r="O198" i="1"/>
  <c r="I197" i="1"/>
  <c r="G193" i="1"/>
  <c r="N201" i="1" l="1"/>
  <c r="J202" i="1"/>
  <c r="X201" i="1"/>
  <c r="W201" i="1"/>
  <c r="H201" i="1"/>
  <c r="E201" i="1"/>
  <c r="U201" i="1"/>
  <c r="E193" i="1"/>
  <c r="L193" i="1"/>
  <c r="O51" i="1"/>
  <c r="U51" i="1"/>
  <c r="S199" i="1"/>
  <c r="R199" i="1"/>
  <c r="Q199" i="1"/>
  <c r="P199" i="1"/>
  <c r="T199" i="1"/>
  <c r="O199" i="1"/>
  <c r="L199" i="1"/>
  <c r="M199" i="1"/>
  <c r="I198" i="1"/>
  <c r="G194" i="1"/>
  <c r="N202" i="1" l="1"/>
  <c r="W202" i="1"/>
  <c r="X202" i="1"/>
  <c r="J203" i="1"/>
  <c r="E202" i="1"/>
  <c r="H202" i="1"/>
  <c r="U202" i="1"/>
  <c r="E194" i="1"/>
  <c r="U3" i="1"/>
  <c r="L194" i="1"/>
  <c r="T51" i="1"/>
  <c r="M52" i="1" s="1"/>
  <c r="W52" i="1" s="1"/>
  <c r="X52" i="1" s="1"/>
  <c r="H51" i="1"/>
  <c r="R200" i="1"/>
  <c r="S200" i="1"/>
  <c r="P200" i="1"/>
  <c r="Q200" i="1"/>
  <c r="M200" i="1"/>
  <c r="T200" i="1"/>
  <c r="O200" i="1"/>
  <c r="L200" i="1"/>
  <c r="I199" i="1"/>
  <c r="G195" i="1"/>
  <c r="N203" i="1" l="1"/>
  <c r="H203" i="1"/>
  <c r="J204" i="1"/>
  <c r="W203" i="1"/>
  <c r="E203" i="1"/>
  <c r="X203" i="1"/>
  <c r="I52" i="1"/>
  <c r="V52" i="1"/>
  <c r="S201" i="1"/>
  <c r="P201" i="1"/>
  <c r="R201" i="1"/>
  <c r="Q201" i="1"/>
  <c r="M201" i="1"/>
  <c r="T201" i="1"/>
  <c r="O201" i="1"/>
  <c r="L201" i="1"/>
  <c r="I200" i="1"/>
  <c r="G196" i="1"/>
  <c r="N204" i="1" l="1"/>
  <c r="H204" i="1"/>
  <c r="J205" i="1"/>
  <c r="X204" i="1"/>
  <c r="W204" i="1"/>
  <c r="E204" i="1"/>
  <c r="P52" i="1"/>
  <c r="S202" i="1"/>
  <c r="Q202" i="1"/>
  <c r="R202" i="1"/>
  <c r="P202" i="1"/>
  <c r="T202" i="1"/>
  <c r="M202" i="1"/>
  <c r="O202" i="1"/>
  <c r="L202" i="1"/>
  <c r="I201" i="1"/>
  <c r="G197" i="1"/>
  <c r="N205" i="1" l="1"/>
  <c r="X205" i="1"/>
  <c r="H205" i="1"/>
  <c r="W205" i="1"/>
  <c r="E205" i="1"/>
  <c r="J206" i="1"/>
  <c r="O52" i="1"/>
  <c r="U52" i="1"/>
  <c r="S203" i="1"/>
  <c r="R203" i="1"/>
  <c r="Q203" i="1"/>
  <c r="P203" i="1"/>
  <c r="U203" i="1"/>
  <c r="T203" i="1"/>
  <c r="O203" i="1"/>
  <c r="L203" i="1"/>
  <c r="M203" i="1"/>
  <c r="I202" i="1"/>
  <c r="G198" i="1"/>
  <c r="N206" i="1" l="1"/>
  <c r="E206" i="1"/>
  <c r="W206" i="1"/>
  <c r="X206" i="1"/>
  <c r="J207" i="1"/>
  <c r="H206" i="1"/>
  <c r="T52" i="1"/>
  <c r="M53" i="1" s="1"/>
  <c r="H52" i="1"/>
  <c r="W53" i="1"/>
  <c r="X53" i="1" s="1"/>
  <c r="S204" i="1"/>
  <c r="R204" i="1"/>
  <c r="Q204" i="1"/>
  <c r="P204" i="1"/>
  <c r="U204" i="1"/>
  <c r="T204" i="1"/>
  <c r="M204" i="1"/>
  <c r="L204" i="1"/>
  <c r="O204" i="1"/>
  <c r="I203" i="1"/>
  <c r="G199" i="1"/>
  <c r="N207" i="1" l="1"/>
  <c r="X207" i="1"/>
  <c r="E207" i="1"/>
  <c r="W207" i="1"/>
  <c r="J208" i="1"/>
  <c r="H207" i="1"/>
  <c r="Z6" i="1"/>
  <c r="I53" i="1"/>
  <c r="V53" i="1"/>
  <c r="S205" i="1"/>
  <c r="R205" i="1"/>
  <c r="Q205" i="1"/>
  <c r="P205" i="1"/>
  <c r="U205" i="1"/>
  <c r="O205" i="1"/>
  <c r="T205" i="1"/>
  <c r="M205" i="1"/>
  <c r="L205" i="1"/>
  <c r="I204" i="1"/>
  <c r="G200" i="1"/>
  <c r="N208" i="1" l="1"/>
  <c r="E208" i="1"/>
  <c r="H208" i="1"/>
  <c r="W208" i="1"/>
  <c r="X208" i="1"/>
  <c r="P53" i="1"/>
  <c r="R206" i="1"/>
  <c r="S206" i="1"/>
  <c r="P206" i="1"/>
  <c r="Q206" i="1"/>
  <c r="M206" i="1"/>
  <c r="U206" i="1"/>
  <c r="O206" i="1"/>
  <c r="T206" i="1"/>
  <c r="L206" i="1"/>
  <c r="I205" i="1"/>
  <c r="G201" i="1"/>
  <c r="O53" i="1" l="1"/>
  <c r="U53" i="1"/>
  <c r="S207" i="1"/>
  <c r="P207" i="1"/>
  <c r="R207" i="1"/>
  <c r="Q207" i="1"/>
  <c r="U207" i="1"/>
  <c r="T207" i="1"/>
  <c r="M207" i="1"/>
  <c r="O207" i="1"/>
  <c r="L207" i="1"/>
  <c r="I206" i="1"/>
  <c r="G202" i="1"/>
  <c r="T53" i="1" l="1"/>
  <c r="M54" i="1" s="1"/>
  <c r="H53" i="1"/>
  <c r="W54" i="1"/>
  <c r="X54" i="1" s="1"/>
  <c r="S208" i="1"/>
  <c r="S8" i="1" s="1"/>
  <c r="Q208" i="1"/>
  <c r="S6" i="1" s="1"/>
  <c r="R208" i="1"/>
  <c r="S7" i="1" s="1"/>
  <c r="P208" i="1"/>
  <c r="T208" i="1"/>
  <c r="U208" i="1"/>
  <c r="M208" i="1"/>
  <c r="O208" i="1"/>
  <c r="L208" i="1"/>
  <c r="I207" i="1"/>
  <c r="G203" i="1"/>
  <c r="V54" i="1" l="1"/>
  <c r="I54" i="1"/>
  <c r="I208" i="1"/>
  <c r="G204" i="1"/>
  <c r="P54" i="1" l="1"/>
  <c r="G205" i="1"/>
  <c r="O54" i="1" l="1"/>
  <c r="U54" i="1"/>
  <c r="G206" i="1"/>
  <c r="T54" i="1" l="1"/>
  <c r="M55" i="1" s="1"/>
  <c r="W55" i="1" s="1"/>
  <c r="X55" i="1" s="1"/>
  <c r="H54" i="1"/>
  <c r="G207" i="1"/>
  <c r="V55" i="1" l="1"/>
  <c r="I55" i="1"/>
  <c r="G208" i="1"/>
  <c r="P55" i="1" l="1"/>
  <c r="O55" i="1" l="1"/>
  <c r="U55" i="1"/>
  <c r="T55" i="1" l="1"/>
  <c r="M56" i="1" s="1"/>
  <c r="W56" i="1" s="1"/>
  <c r="X56" i="1" s="1"/>
  <c r="H55" i="1"/>
  <c r="V56" i="1" l="1"/>
  <c r="I56" i="1"/>
  <c r="P56" i="1" l="1"/>
  <c r="O56" i="1" l="1"/>
  <c r="U56" i="1"/>
  <c r="T56" i="1" l="1"/>
  <c r="M57" i="1" s="1"/>
  <c r="W57" i="1" s="1"/>
  <c r="X57" i="1" s="1"/>
  <c r="H56" i="1"/>
  <c r="I57" i="1" l="1"/>
  <c r="V57" i="1"/>
  <c r="P57" i="1" l="1"/>
  <c r="O57" i="1" l="1"/>
  <c r="U57" i="1"/>
  <c r="T57" i="1" l="1"/>
  <c r="M58" i="1" s="1"/>
  <c r="W58" i="1" s="1"/>
  <c r="X58" i="1" s="1"/>
  <c r="H57" i="1"/>
  <c r="V58" i="1" l="1"/>
  <c r="I58" i="1"/>
  <c r="P58" i="1" l="1"/>
  <c r="O58" i="1" l="1"/>
  <c r="U58" i="1"/>
  <c r="T58" i="1" l="1"/>
  <c r="M59" i="1" s="1"/>
  <c r="W59" i="1" s="1"/>
  <c r="H58" i="1"/>
  <c r="X59" i="1" l="1"/>
  <c r="I59" i="1" s="1"/>
  <c r="V59" i="1" l="1"/>
  <c r="P59" i="1" l="1"/>
  <c r="O59" i="1" l="1"/>
  <c r="U59" i="1"/>
  <c r="T59" i="1" l="1"/>
  <c r="M60" i="1" s="1"/>
  <c r="H59" i="1"/>
  <c r="W60" i="1"/>
  <c r="X60" i="1" l="1"/>
  <c r="I60" i="1" s="1"/>
  <c r="V60" i="1" l="1"/>
  <c r="P60" i="1" l="1"/>
  <c r="O60" i="1" l="1"/>
  <c r="U60" i="1"/>
  <c r="T60" i="1" l="1"/>
  <c r="M61" i="1" s="1"/>
  <c r="H60" i="1"/>
  <c r="W61" i="1"/>
  <c r="X61" i="1" s="1"/>
  <c r="V61" i="1" l="1"/>
  <c r="I61" i="1"/>
  <c r="P61" i="1" l="1"/>
  <c r="O61" i="1" l="1"/>
  <c r="U61" i="1"/>
  <c r="T61" i="1" l="1"/>
  <c r="M62" i="1" s="1"/>
  <c r="W62" i="1" s="1"/>
  <c r="X62" i="1" s="1"/>
  <c r="H61" i="1"/>
  <c r="V62" i="1" l="1"/>
  <c r="I62" i="1"/>
  <c r="P62" i="1" l="1"/>
  <c r="O62" i="1" l="1"/>
  <c r="U62" i="1"/>
  <c r="T62" i="1" l="1"/>
  <c r="M63" i="1" s="1"/>
  <c r="W63" i="1" s="1"/>
  <c r="X63" i="1" s="1"/>
  <c r="H62" i="1"/>
  <c r="V63" i="1" l="1"/>
  <c r="I63" i="1"/>
  <c r="P63" i="1" l="1"/>
  <c r="O63" i="1" l="1"/>
  <c r="U63" i="1"/>
  <c r="T63" i="1" l="1"/>
  <c r="M64" i="1" s="1"/>
  <c r="W64" i="1" s="1"/>
  <c r="H63" i="1"/>
  <c r="X64" i="1" l="1"/>
  <c r="V64" i="1" s="1"/>
  <c r="P64" i="1" l="1"/>
  <c r="O64" i="1" s="1"/>
  <c r="T64" i="1" s="1"/>
  <c r="M65" i="1" s="1"/>
  <c r="I64" i="1"/>
  <c r="U64" i="1" l="1"/>
  <c r="H64" i="1"/>
  <c r="W65" i="1"/>
  <c r="X65" i="1" l="1"/>
  <c r="I65" i="1" l="1"/>
  <c r="V65" i="1"/>
  <c r="P65" i="1" l="1"/>
  <c r="O65" i="1" l="1"/>
  <c r="U65" i="1"/>
  <c r="T65" i="1" l="1"/>
  <c r="M66" i="1" s="1"/>
  <c r="W66" i="1" s="1"/>
  <c r="H65" i="1"/>
  <c r="X66" i="1" l="1"/>
  <c r="I66" i="1" s="1"/>
  <c r="V66" i="1" l="1"/>
  <c r="P66" i="1" l="1"/>
  <c r="O66" i="1" l="1"/>
  <c r="U66" i="1"/>
  <c r="T66" i="1" l="1"/>
  <c r="M67" i="1" s="1"/>
  <c r="W67" i="1" s="1"/>
  <c r="X67" i="1" s="1"/>
  <c r="H66" i="1"/>
  <c r="I67" i="1" l="1"/>
  <c r="V67" i="1"/>
  <c r="P67" i="1" l="1"/>
  <c r="O67" i="1" l="1"/>
  <c r="U67" i="1"/>
  <c r="T67" i="1" l="1"/>
  <c r="M68" i="1" s="1"/>
  <c r="W68" i="1" s="1"/>
  <c r="H67" i="1"/>
  <c r="X68" i="1" l="1"/>
  <c r="I68" i="1" s="1"/>
  <c r="V68" i="1" l="1"/>
  <c r="P68" i="1" l="1"/>
  <c r="O68" i="1" l="1"/>
  <c r="U68" i="1"/>
  <c r="T68" i="1" l="1"/>
  <c r="M69" i="1" s="1"/>
  <c r="H68" i="1"/>
  <c r="W69" i="1"/>
  <c r="X69" i="1" s="1"/>
  <c r="V69" i="1" l="1"/>
  <c r="I69" i="1"/>
  <c r="P69" i="1" l="1"/>
  <c r="O69" i="1" l="1"/>
  <c r="U69" i="1"/>
  <c r="T69" i="1" l="1"/>
  <c r="M70" i="1" s="1"/>
  <c r="H69" i="1"/>
  <c r="W70" i="1"/>
  <c r="X70" i="1" l="1"/>
  <c r="V70" i="1" s="1"/>
  <c r="P70" i="1" l="1"/>
  <c r="O70" i="1" s="1"/>
  <c r="T70" i="1" s="1"/>
  <c r="M71" i="1" s="1"/>
  <c r="I70" i="1"/>
  <c r="H70" i="1" l="1"/>
  <c r="U70" i="1"/>
  <c r="W71" i="1" l="1"/>
  <c r="X71" i="1" l="1"/>
  <c r="V71" i="1" l="1"/>
  <c r="I71" i="1"/>
  <c r="P71" i="1" l="1"/>
  <c r="O71" i="1" l="1"/>
  <c r="U71" i="1"/>
  <c r="T71" i="1" l="1"/>
  <c r="M72" i="1" s="1"/>
  <c r="W72" i="1" s="1"/>
  <c r="X72" i="1" s="1"/>
  <c r="H71" i="1"/>
  <c r="V72" i="1" l="1"/>
  <c r="I72" i="1"/>
  <c r="P72" i="1" l="1"/>
  <c r="O72" i="1" l="1"/>
  <c r="U72" i="1"/>
  <c r="T72" i="1" l="1"/>
  <c r="M73" i="1" s="1"/>
  <c r="W73" i="1" s="1"/>
  <c r="X73" i="1" s="1"/>
  <c r="H72" i="1"/>
  <c r="I73" i="1" l="1"/>
  <c r="V73" i="1"/>
  <c r="P73" i="1" l="1"/>
  <c r="O73" i="1" l="1"/>
  <c r="U73" i="1"/>
  <c r="T73" i="1" l="1"/>
  <c r="M74" i="1" s="1"/>
  <c r="H73" i="1"/>
  <c r="W74" i="1"/>
  <c r="X74" i="1" s="1"/>
  <c r="I74" i="1" l="1"/>
  <c r="V74" i="1"/>
  <c r="P74" i="1" l="1"/>
  <c r="O74" i="1" l="1"/>
  <c r="U74" i="1"/>
  <c r="T74" i="1" l="1"/>
  <c r="M75" i="1" s="1"/>
  <c r="W75" i="1" s="1"/>
  <c r="H74" i="1"/>
  <c r="X75" i="1" l="1"/>
  <c r="V75" i="1" s="1"/>
  <c r="P75" i="1" l="1"/>
  <c r="O75" i="1" s="1"/>
  <c r="T75" i="1" s="1"/>
  <c r="M76" i="1" s="1"/>
  <c r="I75" i="1"/>
  <c r="H75" i="1" l="1"/>
  <c r="U75" i="1"/>
  <c r="W76" i="1" s="1"/>
  <c r="X76" i="1" s="1"/>
  <c r="I76" i="1" l="1"/>
  <c r="V76" i="1"/>
  <c r="P76" i="1" l="1"/>
  <c r="O76" i="1" l="1"/>
  <c r="U76" i="1"/>
  <c r="T76" i="1" l="1"/>
  <c r="M77" i="1" s="1"/>
  <c r="W77" i="1" s="1"/>
  <c r="X77" i="1" s="1"/>
  <c r="H76" i="1"/>
  <c r="V77" i="1" l="1"/>
  <c r="I77" i="1"/>
  <c r="P77" i="1" l="1"/>
  <c r="O77" i="1" l="1"/>
  <c r="U77" i="1"/>
  <c r="T77" i="1" l="1"/>
  <c r="M78" i="1" s="1"/>
  <c r="H77" i="1"/>
  <c r="W78" i="1"/>
  <c r="X78" i="1" s="1"/>
  <c r="I78" i="1" l="1"/>
  <c r="V78" i="1"/>
  <c r="P78" i="1" l="1"/>
  <c r="O78" i="1" l="1"/>
  <c r="U78" i="1"/>
  <c r="T78" i="1" l="1"/>
  <c r="M79" i="1" s="1"/>
  <c r="W79" i="1" s="1"/>
  <c r="H78" i="1"/>
  <c r="X79" i="1" l="1"/>
  <c r="I79" i="1" s="1"/>
  <c r="V79" i="1" l="1"/>
  <c r="P79" i="1" l="1"/>
  <c r="O79" i="1" l="1"/>
  <c r="U79" i="1"/>
  <c r="T79" i="1" l="1"/>
  <c r="M80" i="1" s="1"/>
  <c r="W80" i="1" s="1"/>
  <c r="H79" i="1"/>
  <c r="X80" i="1" l="1"/>
  <c r="I80" i="1" s="1"/>
  <c r="V80" i="1" l="1"/>
  <c r="P80" i="1" l="1"/>
  <c r="O80" i="1" l="1"/>
  <c r="U80" i="1"/>
  <c r="T80" i="1" l="1"/>
  <c r="M81" i="1" s="1"/>
  <c r="W81" i="1" s="1"/>
  <c r="H80" i="1"/>
  <c r="X81" i="1" l="1"/>
  <c r="V81" i="1" s="1"/>
  <c r="P81" i="1" l="1"/>
  <c r="O81" i="1" s="1"/>
  <c r="T81" i="1" s="1"/>
  <c r="M82" i="1" s="1"/>
  <c r="I81" i="1"/>
  <c r="H81" i="1" l="1"/>
  <c r="U81" i="1"/>
  <c r="W82" i="1" s="1"/>
  <c r="X82" i="1" l="1"/>
  <c r="V82" i="1" s="1"/>
  <c r="P82" i="1" l="1"/>
  <c r="O82" i="1" s="1"/>
  <c r="T82" i="1" s="1"/>
  <c r="M83" i="1" s="1"/>
  <c r="I82" i="1"/>
  <c r="H82" i="1" l="1"/>
  <c r="U82" i="1"/>
  <c r="W83" i="1" s="1"/>
  <c r="X83" i="1" l="1"/>
  <c r="V83" i="1" s="1"/>
  <c r="P83" i="1" l="1"/>
  <c r="O83" i="1" s="1"/>
  <c r="T83" i="1" s="1"/>
  <c r="M84" i="1" s="1"/>
  <c r="I83" i="1"/>
  <c r="H83" i="1" l="1"/>
  <c r="U83" i="1"/>
  <c r="W84" i="1" s="1"/>
  <c r="X84" i="1" l="1"/>
  <c r="V84" i="1" s="1"/>
  <c r="P84" i="1" l="1"/>
  <c r="O84" i="1" s="1"/>
  <c r="T84" i="1" s="1"/>
  <c r="M85" i="1" s="1"/>
  <c r="I84" i="1"/>
  <c r="H84" i="1" l="1"/>
  <c r="U84" i="1"/>
  <c r="W85" i="1" l="1"/>
  <c r="X85" i="1" l="1"/>
  <c r="V85" i="1" s="1"/>
  <c r="P85" i="1" l="1"/>
  <c r="O85" i="1" s="1"/>
  <c r="T85" i="1" s="1"/>
  <c r="M86" i="1" s="1"/>
  <c r="I85" i="1"/>
  <c r="H85" i="1" l="1"/>
  <c r="U85" i="1"/>
  <c r="W86" i="1" s="1"/>
  <c r="X86" i="1" s="1"/>
  <c r="V86" i="1" l="1"/>
  <c r="I86" i="1"/>
  <c r="P86" i="1" l="1"/>
  <c r="O86" i="1" l="1"/>
  <c r="U86" i="1"/>
  <c r="T86" i="1" l="1"/>
  <c r="M87" i="1" s="1"/>
  <c r="H86" i="1"/>
  <c r="W87" i="1"/>
  <c r="X87" i="1" s="1"/>
  <c r="V87" i="1" l="1"/>
  <c r="I87" i="1"/>
  <c r="P87" i="1" l="1"/>
  <c r="O87" i="1" l="1"/>
  <c r="U87" i="1"/>
  <c r="T87" i="1" l="1"/>
  <c r="M88" i="1" s="1"/>
  <c r="W88" i="1" s="1"/>
  <c r="X88" i="1" s="1"/>
  <c r="H87" i="1"/>
  <c r="V88" i="1" l="1"/>
  <c r="I88" i="1"/>
  <c r="P88" i="1" l="1"/>
  <c r="O88" i="1" l="1"/>
  <c r="U88" i="1"/>
  <c r="T88" i="1" l="1"/>
  <c r="M89" i="1" s="1"/>
  <c r="H88" i="1"/>
  <c r="W89" i="1"/>
  <c r="X89" i="1" s="1"/>
  <c r="V89" i="1" l="1"/>
  <c r="I89" i="1"/>
  <c r="P89" i="1" l="1"/>
  <c r="O89" i="1" l="1"/>
  <c r="U89" i="1"/>
  <c r="T89" i="1" l="1"/>
  <c r="M90" i="1" s="1"/>
  <c r="H89" i="1"/>
  <c r="W90" i="1"/>
  <c r="X90" i="1" l="1"/>
  <c r="I90" i="1" s="1"/>
  <c r="V90" i="1" l="1"/>
  <c r="P90" i="1" l="1"/>
  <c r="O90" i="1" l="1"/>
  <c r="U90" i="1"/>
  <c r="T90" i="1" l="1"/>
  <c r="M91" i="1" s="1"/>
  <c r="H90" i="1"/>
  <c r="W91" i="1"/>
  <c r="X91" i="1" s="1"/>
  <c r="V91" i="1" l="1"/>
  <c r="I91" i="1"/>
  <c r="P91" i="1" l="1"/>
  <c r="O91" i="1" l="1"/>
  <c r="U91" i="1"/>
  <c r="T91" i="1" l="1"/>
  <c r="M92" i="1" s="1"/>
  <c r="H91" i="1"/>
  <c r="W92" i="1"/>
  <c r="X92" i="1" s="1"/>
  <c r="I92" i="1" l="1"/>
  <c r="V92" i="1"/>
  <c r="P92" i="1" l="1"/>
  <c r="O92" i="1" l="1"/>
  <c r="U92" i="1"/>
  <c r="T92" i="1" l="1"/>
  <c r="M93" i="1" s="1"/>
  <c r="H92" i="1"/>
  <c r="W93" i="1"/>
  <c r="X93" i="1" s="1"/>
  <c r="V93" i="1" l="1"/>
  <c r="I93" i="1"/>
  <c r="P93" i="1" l="1"/>
  <c r="O93" i="1" l="1"/>
  <c r="U93" i="1"/>
  <c r="T93" i="1" l="1"/>
  <c r="M94" i="1" s="1"/>
  <c r="W94" i="1" s="1"/>
  <c r="X94" i="1" s="1"/>
  <c r="H93" i="1"/>
  <c r="I94" i="1" l="1"/>
  <c r="V94" i="1"/>
  <c r="P94" i="1" l="1"/>
  <c r="O94" i="1" l="1"/>
  <c r="U94" i="1"/>
  <c r="T94" i="1" l="1"/>
  <c r="M95" i="1" s="1"/>
  <c r="H94" i="1"/>
  <c r="W95" i="1"/>
  <c r="X95" i="1" s="1"/>
  <c r="V95" i="1" l="1"/>
  <c r="I95" i="1"/>
  <c r="P95" i="1" l="1"/>
  <c r="O95" i="1" l="1"/>
  <c r="U95" i="1"/>
  <c r="T95" i="1" l="1"/>
  <c r="M96" i="1" s="1"/>
  <c r="H95" i="1"/>
  <c r="W96" i="1"/>
  <c r="X96" i="1" s="1"/>
  <c r="V96" i="1" l="1"/>
  <c r="I96" i="1"/>
  <c r="P96" i="1" l="1"/>
  <c r="O96" i="1" l="1"/>
  <c r="U96" i="1"/>
  <c r="T96" i="1" l="1"/>
  <c r="M97" i="1" s="1"/>
  <c r="W97" i="1" s="1"/>
  <c r="X97" i="1" s="1"/>
  <c r="H96" i="1"/>
  <c r="I97" i="1" l="1"/>
  <c r="V97" i="1"/>
  <c r="P97" i="1" l="1"/>
  <c r="O97" i="1" l="1"/>
  <c r="U97" i="1"/>
  <c r="T97" i="1" l="1"/>
  <c r="M98" i="1" s="1"/>
  <c r="W98" i="1" s="1"/>
  <c r="H97" i="1"/>
  <c r="X98" i="1" l="1"/>
  <c r="V98" i="1" s="1"/>
  <c r="P98" i="1" l="1"/>
  <c r="O98" i="1" s="1"/>
  <c r="T98" i="1" s="1"/>
  <c r="M99" i="1" s="1"/>
  <c r="I98" i="1"/>
  <c r="H98" i="1" l="1"/>
  <c r="U98" i="1"/>
  <c r="W99" i="1" s="1"/>
  <c r="X99" i="1" s="1"/>
  <c r="I99" i="1" l="1"/>
  <c r="V99" i="1"/>
  <c r="P99" i="1" l="1"/>
  <c r="O99" i="1" l="1"/>
  <c r="U99" i="1"/>
  <c r="T99" i="1" l="1"/>
  <c r="M100" i="1" s="1"/>
  <c r="W100" i="1" s="1"/>
  <c r="H99" i="1"/>
  <c r="X100" i="1" l="1"/>
  <c r="I100" i="1" s="1"/>
  <c r="V100" i="1" l="1"/>
  <c r="P100" i="1" l="1"/>
  <c r="O100" i="1" l="1"/>
  <c r="U100" i="1"/>
  <c r="T100" i="1" l="1"/>
  <c r="M101" i="1" s="1"/>
  <c r="H100" i="1"/>
  <c r="W101" i="1"/>
  <c r="X101" i="1" l="1"/>
  <c r="I101" i="1" s="1"/>
  <c r="V101" i="1" l="1"/>
  <c r="P101" i="1" l="1"/>
  <c r="O101" i="1" l="1"/>
  <c r="U101" i="1"/>
  <c r="T101" i="1" l="1"/>
  <c r="M102" i="1" s="1"/>
  <c r="H101" i="1"/>
  <c r="W102" i="1"/>
  <c r="X102" i="1" s="1"/>
  <c r="I102" i="1" l="1"/>
  <c r="V102" i="1"/>
  <c r="P102" i="1" l="1"/>
  <c r="O102" i="1" l="1"/>
  <c r="U102" i="1"/>
  <c r="T102" i="1" l="1"/>
  <c r="M103" i="1" s="1"/>
  <c r="H102" i="1"/>
  <c r="W103" i="1"/>
  <c r="X103" i="1" s="1"/>
  <c r="V103" i="1" l="1"/>
  <c r="I103" i="1"/>
  <c r="P103" i="1" l="1"/>
  <c r="O103" i="1" l="1"/>
  <c r="U103" i="1"/>
  <c r="T103" i="1" l="1"/>
  <c r="M104" i="1" s="1"/>
  <c r="H103" i="1"/>
  <c r="W104" i="1"/>
  <c r="X104" i="1" l="1"/>
  <c r="V104" i="1" s="1"/>
  <c r="P104" i="1" l="1"/>
  <c r="O104" i="1" s="1"/>
  <c r="T104" i="1" s="1"/>
  <c r="M105" i="1" s="1"/>
  <c r="I104" i="1"/>
  <c r="H104" i="1" l="1"/>
  <c r="U104" i="1"/>
  <c r="W105" i="1" l="1"/>
  <c r="X105" i="1" l="1"/>
  <c r="I105" i="1" s="1"/>
  <c r="V105" i="1" l="1"/>
  <c r="P105" i="1" l="1"/>
  <c r="O105" i="1" l="1"/>
  <c r="U105" i="1"/>
  <c r="T105" i="1" l="1"/>
  <c r="M106" i="1" s="1"/>
  <c r="W106" i="1" s="1"/>
  <c r="H105" i="1"/>
  <c r="X106" i="1" l="1"/>
  <c r="V106" i="1" s="1"/>
  <c r="P106" i="1" l="1"/>
  <c r="O106" i="1" s="1"/>
  <c r="T106" i="1" s="1"/>
  <c r="M107" i="1" s="1"/>
  <c r="I106" i="1"/>
  <c r="H106" i="1" l="1"/>
  <c r="U106" i="1"/>
  <c r="W107" i="1" l="1"/>
  <c r="X107" i="1" l="1"/>
  <c r="V107" i="1" s="1"/>
  <c r="P107" i="1" l="1"/>
  <c r="O107" i="1" s="1"/>
  <c r="T107" i="1" s="1"/>
  <c r="M108" i="1" s="1"/>
  <c r="I107" i="1"/>
  <c r="H107" i="1" l="1"/>
  <c r="U107" i="1"/>
  <c r="W108" i="1" s="1"/>
  <c r="X108" i="1" l="1"/>
  <c r="I108" i="1" s="1"/>
  <c r="V108" i="1" l="1"/>
  <c r="V195" i="1"/>
  <c r="P108" i="1" l="1"/>
  <c r="I195" i="1"/>
  <c r="O108" i="1" l="1"/>
  <c r="U108" i="1"/>
  <c r="V196" i="1"/>
  <c r="T108" i="1" l="1"/>
  <c r="M109" i="1" s="1"/>
  <c r="W109" i="1" s="1"/>
  <c r="H108" i="1"/>
  <c r="I196" i="1"/>
  <c r="X109" i="1" l="1"/>
  <c r="I109" i="1" s="1"/>
  <c r="V197" i="1"/>
  <c r="V109" i="1" l="1"/>
  <c r="V198" i="1"/>
  <c r="P109" i="1" l="1"/>
  <c r="V199" i="1"/>
  <c r="O109" i="1" l="1"/>
  <c r="U109" i="1"/>
  <c r="V200" i="1"/>
  <c r="T109" i="1" l="1"/>
  <c r="M110" i="1" s="1"/>
  <c r="H109" i="1"/>
  <c r="W110" i="1"/>
  <c r="V201" i="1"/>
  <c r="X110" i="1" l="1"/>
  <c r="V110" i="1" s="1"/>
  <c r="V202" i="1"/>
  <c r="P110" i="1" l="1"/>
  <c r="O110" i="1" s="1"/>
  <c r="T110" i="1" s="1"/>
  <c r="M111" i="1" s="1"/>
  <c r="I110" i="1"/>
  <c r="V203" i="1"/>
  <c r="H110" i="1" l="1"/>
  <c r="U110" i="1"/>
  <c r="V204" i="1"/>
  <c r="W111" i="1" l="1"/>
  <c r="X111" i="1" s="1"/>
  <c r="V205" i="1"/>
  <c r="V111" i="1" l="1"/>
  <c r="I111" i="1"/>
  <c r="V206" i="1"/>
  <c r="P111" i="1" l="1"/>
  <c r="V207" i="1"/>
  <c r="O111" i="1" l="1"/>
  <c r="U111" i="1"/>
  <c r="V208" i="1"/>
  <c r="T111" i="1" l="1"/>
  <c r="M112" i="1" s="1"/>
  <c r="W112" i="1" s="1"/>
  <c r="X112" i="1" s="1"/>
  <c r="H111" i="1"/>
  <c r="I112" i="1" l="1"/>
  <c r="V112" i="1"/>
  <c r="P112" i="1" l="1"/>
  <c r="O112" i="1" l="1"/>
  <c r="U112" i="1"/>
  <c r="T112" i="1" l="1"/>
  <c r="M113" i="1" s="1"/>
  <c r="H112" i="1"/>
  <c r="W113" i="1"/>
  <c r="X113" i="1" s="1"/>
  <c r="I113" i="1" l="1"/>
  <c r="V113" i="1"/>
  <c r="P113" i="1" l="1"/>
  <c r="O113" i="1" l="1"/>
  <c r="U113" i="1"/>
  <c r="T113" i="1" l="1"/>
  <c r="M114" i="1" s="1"/>
  <c r="W114" i="1" s="1"/>
  <c r="X114" i="1" s="1"/>
  <c r="H113" i="1"/>
  <c r="I114" i="1" l="1"/>
  <c r="V114" i="1"/>
  <c r="P114" i="1" l="1"/>
  <c r="O114" i="1" l="1"/>
  <c r="U114" i="1"/>
  <c r="T114" i="1" l="1"/>
  <c r="M115" i="1" s="1"/>
  <c r="W115" i="1" s="1"/>
  <c r="H114" i="1"/>
  <c r="X115" i="1" l="1"/>
  <c r="V115" i="1" s="1"/>
  <c r="P115" i="1" l="1"/>
  <c r="O115" i="1" s="1"/>
  <c r="T115" i="1" s="1"/>
  <c r="M116" i="1" s="1"/>
  <c r="I115" i="1"/>
  <c r="U115" i="1" l="1"/>
  <c r="H115" i="1"/>
  <c r="W116" i="1"/>
  <c r="X116" i="1" s="1"/>
  <c r="V116" i="1" l="1"/>
  <c r="I116" i="1"/>
  <c r="P116" i="1" l="1"/>
  <c r="O116" i="1" l="1"/>
  <c r="U116" i="1"/>
  <c r="T116" i="1" l="1"/>
  <c r="M117" i="1" s="1"/>
  <c r="W117" i="1" s="1"/>
  <c r="X117" i="1" s="1"/>
  <c r="H116" i="1"/>
  <c r="V117" i="1" l="1"/>
  <c r="I117" i="1"/>
  <c r="P117" i="1" l="1"/>
  <c r="O117" i="1" l="1"/>
  <c r="U117" i="1"/>
  <c r="T117" i="1" l="1"/>
  <c r="M118" i="1" s="1"/>
  <c r="H117" i="1"/>
  <c r="W118" i="1"/>
  <c r="X118" i="1" l="1"/>
  <c r="V118" i="1" s="1"/>
  <c r="P118" i="1" l="1"/>
  <c r="O118" i="1" s="1"/>
  <c r="T118" i="1" s="1"/>
  <c r="M119" i="1" s="1"/>
  <c r="I118" i="1"/>
  <c r="H118" i="1" l="1"/>
  <c r="U118" i="1"/>
  <c r="W119" i="1" l="1"/>
  <c r="X119" i="1" l="1"/>
  <c r="V119" i="1" s="1"/>
  <c r="P119" i="1" l="1"/>
  <c r="O119" i="1" s="1"/>
  <c r="T119" i="1" s="1"/>
  <c r="M120" i="1" s="1"/>
  <c r="I119" i="1"/>
  <c r="U119" i="1" l="1"/>
  <c r="H119" i="1"/>
  <c r="W120" i="1"/>
  <c r="X120" i="1" l="1"/>
  <c r="I120" i="1" s="1"/>
  <c r="V120" i="1" l="1"/>
  <c r="P120" i="1" l="1"/>
  <c r="O120" i="1" l="1"/>
  <c r="U120" i="1"/>
  <c r="T120" i="1" l="1"/>
  <c r="M121" i="1" s="1"/>
  <c r="W121" i="1" s="1"/>
  <c r="X121" i="1" s="1"/>
  <c r="H120" i="1"/>
  <c r="I121" i="1" l="1"/>
  <c r="V121" i="1"/>
  <c r="P121" i="1" l="1"/>
  <c r="O121" i="1" l="1"/>
  <c r="U121" i="1"/>
  <c r="T121" i="1" l="1"/>
  <c r="M122" i="1" s="1"/>
  <c r="W122" i="1" s="1"/>
  <c r="H121" i="1"/>
  <c r="X122" i="1" l="1"/>
  <c r="V122" i="1" s="1"/>
  <c r="P122" i="1" l="1"/>
  <c r="O122" i="1" s="1"/>
  <c r="T122" i="1" s="1"/>
  <c r="M123" i="1" s="1"/>
  <c r="I122" i="1"/>
  <c r="H122" i="1" l="1"/>
  <c r="U122" i="1"/>
  <c r="W123" i="1" s="1"/>
  <c r="X123" i="1" l="1"/>
  <c r="I123" i="1" s="1"/>
  <c r="V123" i="1" l="1"/>
  <c r="P123" i="1" l="1"/>
  <c r="O123" i="1" l="1"/>
  <c r="U123" i="1"/>
  <c r="T123" i="1" l="1"/>
  <c r="M124" i="1" s="1"/>
  <c r="H123" i="1"/>
  <c r="W124" i="1"/>
  <c r="X124" i="1" l="1"/>
  <c r="V124" i="1" s="1"/>
  <c r="P124" i="1" l="1"/>
  <c r="O124" i="1" s="1"/>
  <c r="T124" i="1" s="1"/>
  <c r="M125" i="1" s="1"/>
  <c r="I124" i="1"/>
  <c r="H124" i="1" l="1"/>
  <c r="U124" i="1"/>
  <c r="W125" i="1" l="1"/>
  <c r="X125" i="1" l="1"/>
  <c r="I125" i="1" s="1"/>
  <c r="V125" i="1" l="1"/>
  <c r="P125" i="1" l="1"/>
  <c r="O125" i="1" l="1"/>
  <c r="U125" i="1"/>
  <c r="T125" i="1" l="1"/>
  <c r="M126" i="1" s="1"/>
  <c r="H125" i="1"/>
  <c r="W126" i="1"/>
  <c r="X126" i="1" l="1"/>
  <c r="V126" i="1" s="1"/>
  <c r="P126" i="1" l="1"/>
  <c r="O126" i="1" s="1"/>
  <c r="T126" i="1" s="1"/>
  <c r="M127" i="1" s="1"/>
  <c r="I126" i="1"/>
  <c r="H126" i="1" l="1"/>
  <c r="U126" i="1"/>
  <c r="W127" i="1" s="1"/>
  <c r="X127" i="1" s="1"/>
  <c r="I127" i="1" l="1"/>
  <c r="V127" i="1"/>
  <c r="P127" i="1" l="1"/>
  <c r="O127" i="1" l="1"/>
  <c r="U127" i="1"/>
  <c r="T127" i="1" l="1"/>
  <c r="M128" i="1" s="1"/>
  <c r="H127" i="1"/>
  <c r="W128" i="1"/>
  <c r="X128" i="1" s="1"/>
  <c r="I128" i="1" l="1"/>
  <c r="V128" i="1"/>
  <c r="P128" i="1" l="1"/>
  <c r="O128" i="1" l="1"/>
  <c r="U128" i="1"/>
  <c r="T128" i="1" l="1"/>
  <c r="M129" i="1" s="1"/>
  <c r="H128" i="1"/>
  <c r="W129" i="1"/>
  <c r="X129" i="1" s="1"/>
  <c r="V129" i="1" l="1"/>
  <c r="I129" i="1"/>
  <c r="P129" i="1" l="1"/>
  <c r="O129" i="1" l="1"/>
  <c r="U129" i="1"/>
  <c r="T129" i="1" l="1"/>
  <c r="M130" i="1" s="1"/>
  <c r="H129" i="1"/>
  <c r="W130" i="1"/>
  <c r="X130" i="1" l="1"/>
  <c r="I130" i="1" s="1"/>
  <c r="V130" i="1" l="1"/>
  <c r="P130" i="1" l="1"/>
  <c r="O130" i="1" l="1"/>
  <c r="U130" i="1"/>
  <c r="T130" i="1" l="1"/>
  <c r="M131" i="1" s="1"/>
  <c r="H130" i="1"/>
  <c r="W131" i="1"/>
  <c r="X131" i="1" l="1"/>
  <c r="V131" i="1" s="1"/>
  <c r="P131" i="1" l="1"/>
  <c r="O131" i="1" s="1"/>
  <c r="T131" i="1" s="1"/>
  <c r="M132" i="1" s="1"/>
  <c r="I131" i="1"/>
  <c r="H131" i="1" l="1"/>
  <c r="U131" i="1"/>
  <c r="W132" i="1" s="1"/>
  <c r="X132" i="1" l="1"/>
  <c r="I132" i="1" s="1"/>
  <c r="V132" i="1" l="1"/>
  <c r="P132" i="1" l="1"/>
  <c r="O132" i="1" l="1"/>
  <c r="U132" i="1"/>
  <c r="T132" i="1" l="1"/>
  <c r="M133" i="1" s="1"/>
  <c r="H132" i="1"/>
  <c r="W133" i="1"/>
  <c r="X133" i="1" l="1"/>
  <c r="I133" i="1" s="1"/>
  <c r="V133" i="1" l="1"/>
  <c r="P133" i="1" l="1"/>
  <c r="O133" i="1" l="1"/>
  <c r="U133" i="1"/>
  <c r="T133" i="1" l="1"/>
  <c r="M134" i="1" s="1"/>
  <c r="H133" i="1"/>
  <c r="W134" i="1"/>
  <c r="X134" i="1" l="1"/>
  <c r="V134" i="1" s="1"/>
  <c r="P134" i="1" l="1"/>
  <c r="O134" i="1" s="1"/>
  <c r="T134" i="1" s="1"/>
  <c r="M135" i="1" s="1"/>
  <c r="I134" i="1"/>
  <c r="H134" i="1" l="1"/>
  <c r="U134" i="1"/>
  <c r="W135" i="1" l="1"/>
  <c r="X135" i="1" s="1"/>
  <c r="V135" i="1" l="1"/>
  <c r="I135" i="1"/>
  <c r="P135" i="1" l="1"/>
  <c r="O135" i="1" l="1"/>
  <c r="U135" i="1"/>
  <c r="T135" i="1" l="1"/>
  <c r="M136" i="1" s="1"/>
  <c r="H135" i="1"/>
  <c r="W136" i="1"/>
  <c r="X136" i="1" s="1"/>
  <c r="I136" i="1" l="1"/>
  <c r="V136" i="1"/>
  <c r="P136" i="1" l="1"/>
  <c r="O136" i="1" l="1"/>
  <c r="U136" i="1"/>
  <c r="T136" i="1" l="1"/>
  <c r="M137" i="1" s="1"/>
  <c r="H136" i="1"/>
  <c r="W137" i="1"/>
  <c r="X137" i="1" s="1"/>
  <c r="V137" i="1" l="1"/>
  <c r="I137" i="1"/>
  <c r="P137" i="1" l="1"/>
  <c r="O137" i="1" l="1"/>
  <c r="U137" i="1"/>
  <c r="T137" i="1" l="1"/>
  <c r="M138" i="1" s="1"/>
  <c r="H137" i="1"/>
  <c r="W138" i="1"/>
  <c r="X138" i="1" s="1"/>
  <c r="I138" i="1" l="1"/>
  <c r="V138" i="1"/>
  <c r="P138" i="1" l="1"/>
  <c r="O138" i="1" l="1"/>
  <c r="U138" i="1"/>
  <c r="T138" i="1" l="1"/>
  <c r="M139" i="1" s="1"/>
  <c r="H138" i="1"/>
  <c r="W139" i="1"/>
  <c r="X139" i="1" l="1"/>
  <c r="V139" i="1" s="1"/>
  <c r="P139" i="1" l="1"/>
  <c r="O139" i="1" s="1"/>
  <c r="T139" i="1" s="1"/>
  <c r="M140" i="1" s="1"/>
  <c r="I139" i="1"/>
  <c r="H139" i="1" l="1"/>
  <c r="U139" i="1"/>
  <c r="W140" i="1" l="1"/>
  <c r="X140" i="1" s="1"/>
  <c r="V140" i="1" l="1"/>
  <c r="I140" i="1"/>
  <c r="P140" i="1" l="1"/>
  <c r="O140" i="1" l="1"/>
  <c r="U140" i="1"/>
  <c r="T140" i="1" l="1"/>
  <c r="M141" i="1" s="1"/>
  <c r="W141" i="1" s="1"/>
  <c r="H140" i="1"/>
  <c r="X141" i="1" l="1"/>
  <c r="I141" i="1" s="1"/>
  <c r="V141" i="1" l="1"/>
  <c r="P141" i="1" l="1"/>
  <c r="O141" i="1" l="1"/>
  <c r="U141" i="1"/>
  <c r="T141" i="1" l="1"/>
  <c r="M142" i="1" s="1"/>
  <c r="W142" i="1" s="1"/>
  <c r="X142" i="1" s="1"/>
  <c r="H141" i="1"/>
  <c r="V142" i="1" l="1"/>
  <c r="I142" i="1"/>
  <c r="P142" i="1" l="1"/>
  <c r="O142" i="1" l="1"/>
  <c r="U142" i="1"/>
  <c r="T142" i="1" l="1"/>
  <c r="M143" i="1" s="1"/>
  <c r="W143" i="1" s="1"/>
  <c r="X143" i="1" s="1"/>
  <c r="H142" i="1"/>
  <c r="I143" i="1" l="1"/>
  <c r="V143" i="1"/>
  <c r="P143" i="1" l="1"/>
  <c r="O143" i="1" l="1"/>
  <c r="U143" i="1"/>
  <c r="T143" i="1" l="1"/>
  <c r="M144" i="1" s="1"/>
  <c r="W144" i="1" s="1"/>
  <c r="H143" i="1"/>
  <c r="X144" i="1" l="1"/>
  <c r="I144" i="1" s="1"/>
  <c r="V144" i="1" l="1"/>
  <c r="P144" i="1" l="1"/>
  <c r="O144" i="1" l="1"/>
  <c r="U144" i="1"/>
  <c r="T144" i="1" l="1"/>
  <c r="M145" i="1" s="1"/>
  <c r="H144" i="1"/>
  <c r="W145" i="1"/>
  <c r="X145" i="1" l="1"/>
  <c r="I145" i="1" s="1"/>
  <c r="V145" i="1" l="1"/>
  <c r="P145" i="1" l="1"/>
  <c r="O145" i="1" l="1"/>
  <c r="U145" i="1"/>
  <c r="T145" i="1" l="1"/>
  <c r="M146" i="1" s="1"/>
  <c r="W146" i="1" s="1"/>
  <c r="X146" i="1" s="1"/>
  <c r="H145" i="1"/>
  <c r="I146" i="1" l="1"/>
  <c r="V146" i="1"/>
  <c r="P146" i="1" l="1"/>
  <c r="O146" i="1" l="1"/>
  <c r="U146" i="1"/>
  <c r="T146" i="1" l="1"/>
  <c r="M147" i="1" s="1"/>
  <c r="W147" i="1" s="1"/>
  <c r="H146" i="1"/>
  <c r="X147" i="1" l="1"/>
  <c r="I147" i="1" s="1"/>
  <c r="V147" i="1" l="1"/>
  <c r="P147" i="1" l="1"/>
  <c r="O147" i="1" l="1"/>
  <c r="U147" i="1"/>
  <c r="T147" i="1" l="1"/>
  <c r="M148" i="1" s="1"/>
  <c r="W148" i="1" s="1"/>
  <c r="H147" i="1"/>
  <c r="X148" i="1" l="1"/>
  <c r="V148" i="1" s="1"/>
  <c r="P148" i="1" l="1"/>
  <c r="O148" i="1" s="1"/>
  <c r="T148" i="1" s="1"/>
  <c r="M149" i="1" s="1"/>
  <c r="I148" i="1"/>
  <c r="H148" i="1" l="1"/>
  <c r="U148" i="1"/>
  <c r="W149" i="1" l="1"/>
  <c r="X149" i="1" l="1"/>
  <c r="V149" i="1" s="1"/>
  <c r="P149" i="1" l="1"/>
  <c r="O149" i="1" s="1"/>
  <c r="T149" i="1" s="1"/>
  <c r="M150" i="1" s="1"/>
  <c r="I149" i="1"/>
  <c r="H149" i="1" l="1"/>
  <c r="U149" i="1"/>
  <c r="W150" i="1" s="1"/>
  <c r="X150" i="1" l="1"/>
  <c r="V150" i="1" s="1"/>
  <c r="P150" i="1" l="1"/>
  <c r="O150" i="1" s="1"/>
  <c r="T150" i="1" s="1"/>
  <c r="M151" i="1" s="1"/>
  <c r="I150" i="1"/>
  <c r="H150" i="1" l="1"/>
  <c r="U150" i="1"/>
  <c r="W151" i="1" s="1"/>
  <c r="X151" i="1" l="1"/>
  <c r="I151" i="1" s="1"/>
  <c r="V151" i="1" l="1"/>
  <c r="P151" i="1" l="1"/>
  <c r="O151" i="1" l="1"/>
  <c r="U151" i="1"/>
  <c r="T151" i="1" l="1"/>
  <c r="M152" i="1" s="1"/>
  <c r="W152" i="1" s="1"/>
  <c r="H151" i="1"/>
  <c r="X152" i="1" l="1"/>
  <c r="V152" i="1" s="1"/>
  <c r="P152" i="1" l="1"/>
  <c r="O152" i="1" s="1"/>
  <c r="T152" i="1" s="1"/>
  <c r="M153" i="1" s="1"/>
  <c r="I152" i="1"/>
  <c r="H152" i="1" l="1"/>
  <c r="U152" i="1"/>
  <c r="W153" i="1" l="1"/>
  <c r="X153" i="1" s="1"/>
  <c r="I153" i="1" l="1"/>
  <c r="V153" i="1"/>
  <c r="P153" i="1" l="1"/>
  <c r="O153" i="1" l="1"/>
  <c r="U153" i="1"/>
  <c r="T153" i="1" l="1"/>
  <c r="M154" i="1" s="1"/>
  <c r="H153" i="1"/>
  <c r="W154" i="1"/>
  <c r="X154" i="1" s="1"/>
  <c r="I154" i="1" l="1"/>
  <c r="V154" i="1"/>
  <c r="P154" i="1" l="1"/>
  <c r="O154" i="1" l="1"/>
  <c r="U154" i="1"/>
  <c r="T154" i="1" l="1"/>
  <c r="M155" i="1" s="1"/>
  <c r="W155" i="1" s="1"/>
  <c r="H154" i="1"/>
  <c r="X155" i="1" l="1"/>
  <c r="I155" i="1" s="1"/>
  <c r="V155" i="1" l="1"/>
  <c r="P155" i="1" l="1"/>
  <c r="O155" i="1" l="1"/>
  <c r="U155" i="1"/>
  <c r="T155" i="1" l="1"/>
  <c r="M156" i="1" s="1"/>
  <c r="H155" i="1"/>
  <c r="W156" i="1"/>
  <c r="X156" i="1" s="1"/>
  <c r="V156" i="1" l="1"/>
  <c r="I156" i="1"/>
  <c r="P156" i="1" l="1"/>
  <c r="O156" i="1" l="1"/>
  <c r="U156" i="1"/>
  <c r="T156" i="1" l="1"/>
  <c r="M157" i="1" s="1"/>
  <c r="H156" i="1"/>
  <c r="W157" i="1"/>
  <c r="X157" i="1" l="1"/>
  <c r="I157" i="1" s="1"/>
  <c r="V157" i="1" l="1"/>
  <c r="P157" i="1" l="1"/>
  <c r="O157" i="1" l="1"/>
  <c r="U157" i="1"/>
  <c r="T157" i="1" l="1"/>
  <c r="M158" i="1" s="1"/>
  <c r="W158" i="1" s="1"/>
  <c r="H157" i="1"/>
  <c r="X158" i="1" l="1"/>
  <c r="V158" i="1" s="1"/>
  <c r="P158" i="1" l="1"/>
  <c r="O158" i="1" s="1"/>
  <c r="T158" i="1" s="1"/>
  <c r="M159" i="1" s="1"/>
  <c r="I158" i="1"/>
  <c r="H158" i="1" l="1"/>
  <c r="U158" i="1"/>
  <c r="W159" i="1" l="1"/>
  <c r="X159" i="1" s="1"/>
  <c r="I159" i="1" l="1"/>
  <c r="V159" i="1"/>
  <c r="P159" i="1" l="1"/>
  <c r="O159" i="1" l="1"/>
  <c r="U159" i="1"/>
  <c r="T159" i="1" l="1"/>
  <c r="M160" i="1" s="1"/>
  <c r="W160" i="1" s="1"/>
  <c r="X160" i="1" s="1"/>
  <c r="H159" i="1"/>
  <c r="I160" i="1" l="1"/>
  <c r="V160" i="1"/>
  <c r="P160" i="1" l="1"/>
  <c r="O160" i="1" l="1"/>
  <c r="U160" i="1"/>
  <c r="T160" i="1" l="1"/>
  <c r="M161" i="1" s="1"/>
  <c r="H160" i="1"/>
  <c r="W161" i="1"/>
  <c r="X161" i="1" s="1"/>
  <c r="I161" i="1" l="1"/>
  <c r="V161" i="1"/>
  <c r="P161" i="1" l="1"/>
  <c r="O161" i="1" l="1"/>
  <c r="U161" i="1"/>
  <c r="T161" i="1" l="1"/>
  <c r="M162" i="1" s="1"/>
  <c r="W162" i="1" s="1"/>
  <c r="X162" i="1" s="1"/>
  <c r="H161" i="1"/>
  <c r="V162" i="1" l="1"/>
  <c r="I162" i="1"/>
  <c r="P162" i="1" l="1"/>
  <c r="O162" i="1" l="1"/>
  <c r="U162" i="1"/>
  <c r="T162" i="1" l="1"/>
  <c r="M163" i="1" s="1"/>
  <c r="W163" i="1" s="1"/>
  <c r="H162" i="1"/>
  <c r="X163" i="1" l="1"/>
  <c r="I163" i="1" s="1"/>
  <c r="V163" i="1" l="1"/>
  <c r="P163" i="1" l="1"/>
  <c r="O163" i="1" l="1"/>
  <c r="U163" i="1"/>
  <c r="T163" i="1" l="1"/>
  <c r="M164" i="1" s="1"/>
  <c r="W164" i="1" s="1"/>
  <c r="H163" i="1"/>
  <c r="X164" i="1" l="1"/>
  <c r="V164" i="1" s="1"/>
  <c r="P164" i="1" l="1"/>
  <c r="O164" i="1" s="1"/>
  <c r="T164" i="1" s="1"/>
  <c r="M165" i="1" s="1"/>
  <c r="I164" i="1"/>
  <c r="H164" i="1" l="1"/>
  <c r="U164" i="1"/>
  <c r="W165" i="1" s="1"/>
  <c r="X165" i="1" l="1"/>
  <c r="V165" i="1" s="1"/>
  <c r="H165" i="1" l="1"/>
  <c r="P165" i="1"/>
  <c r="O165" i="1" s="1"/>
  <c r="T165" i="1" s="1"/>
  <c r="M166" i="1" s="1"/>
  <c r="I165" i="1"/>
  <c r="U165" i="1" l="1"/>
  <c r="W166" i="1" l="1"/>
  <c r="X166" i="1" l="1"/>
  <c r="I166" i="1" s="1"/>
  <c r="V166" i="1" l="1"/>
  <c r="H166" i="1" l="1"/>
  <c r="P166" i="1"/>
  <c r="O166" i="1" l="1"/>
  <c r="T166" i="1" s="1"/>
  <c r="M167" i="1" s="1"/>
  <c r="U166" i="1"/>
  <c r="W167" i="1" l="1"/>
  <c r="X167" i="1" l="1"/>
  <c r="V167" i="1" s="1"/>
  <c r="H167" i="1" l="1"/>
  <c r="P167" i="1"/>
  <c r="O167" i="1" s="1"/>
  <c r="T167" i="1" s="1"/>
  <c r="M168" i="1" s="1"/>
  <c r="I167" i="1"/>
  <c r="U167" i="1" l="1"/>
  <c r="W168" i="1" s="1"/>
  <c r="X168" i="1" l="1"/>
  <c r="I168" i="1" s="1"/>
  <c r="V168" i="1" l="1"/>
  <c r="H168" i="1" l="1"/>
  <c r="P168" i="1"/>
  <c r="O168" i="1" l="1"/>
  <c r="T168" i="1" s="1"/>
  <c r="U168" i="1"/>
  <c r="M169" i="1" l="1"/>
  <c r="W169" i="1" l="1"/>
  <c r="X169" i="1" s="1"/>
  <c r="V169" i="1" l="1"/>
  <c r="I169" i="1"/>
  <c r="H169" i="1" l="1"/>
  <c r="P169" i="1"/>
  <c r="O169" i="1" l="1"/>
  <c r="T169" i="1" s="1"/>
  <c r="M170" i="1" s="1"/>
  <c r="U169" i="1"/>
  <c r="W170" i="1" l="1"/>
  <c r="X170" i="1" s="1"/>
  <c r="I170" i="1" l="1"/>
  <c r="V170" i="1"/>
  <c r="H170" i="1" l="1"/>
  <c r="P170" i="1"/>
  <c r="O170" i="1" l="1"/>
  <c r="T170" i="1" s="1"/>
  <c r="M171" i="1" s="1"/>
  <c r="U170" i="1"/>
  <c r="W171" i="1" l="1"/>
  <c r="X171" i="1" s="1"/>
  <c r="I171" i="1" l="1"/>
  <c r="V171" i="1"/>
  <c r="H171" i="1" l="1"/>
  <c r="P171" i="1"/>
  <c r="O171" i="1" l="1"/>
  <c r="T171" i="1" s="1"/>
  <c r="M172" i="1" s="1"/>
  <c r="U171" i="1"/>
  <c r="W172" i="1" l="1"/>
  <c r="X172" i="1" s="1"/>
  <c r="I172" i="1" l="1"/>
  <c r="V172" i="1"/>
  <c r="H172" i="1" l="1"/>
  <c r="P172" i="1"/>
  <c r="O172" i="1" l="1"/>
  <c r="T172" i="1" s="1"/>
  <c r="M173" i="1" s="1"/>
  <c r="U172" i="1"/>
  <c r="W173" i="1" l="1"/>
  <c r="X173" i="1" s="1"/>
  <c r="I173" i="1" l="1"/>
  <c r="V173" i="1"/>
  <c r="H173" i="1" l="1"/>
  <c r="P173" i="1"/>
  <c r="O173" i="1" l="1"/>
  <c r="T173" i="1" s="1"/>
  <c r="M174" i="1" s="1"/>
  <c r="U173" i="1"/>
  <c r="W174" i="1" l="1"/>
  <c r="X174" i="1" l="1"/>
  <c r="V174" i="1" s="1"/>
  <c r="H174" i="1" l="1"/>
  <c r="P174" i="1"/>
  <c r="O174" i="1" s="1"/>
  <c r="T174" i="1" s="1"/>
  <c r="M175" i="1" s="1"/>
  <c r="I174" i="1"/>
  <c r="U174" i="1" l="1"/>
  <c r="W175" i="1" s="1"/>
  <c r="X175" i="1" l="1"/>
  <c r="V175" i="1" s="1"/>
  <c r="H175" i="1" l="1"/>
  <c r="P175" i="1"/>
  <c r="O175" i="1" s="1"/>
  <c r="T175" i="1" s="1"/>
  <c r="M176" i="1" s="1"/>
  <c r="I175" i="1"/>
  <c r="U175" i="1" l="1"/>
  <c r="W176" i="1" l="1"/>
  <c r="X176" i="1" l="1"/>
  <c r="V176" i="1" s="1"/>
  <c r="H176" i="1" l="1"/>
  <c r="P176" i="1"/>
  <c r="O176" i="1" s="1"/>
  <c r="T176" i="1" s="1"/>
  <c r="M177" i="1" s="1"/>
  <c r="I176" i="1"/>
  <c r="U176" i="1" l="1"/>
  <c r="W177" i="1" s="1"/>
  <c r="X177" i="1" s="1"/>
  <c r="I177" i="1" l="1"/>
  <c r="V177" i="1"/>
  <c r="H177" i="1" l="1"/>
  <c r="P177" i="1"/>
  <c r="O177" i="1" l="1"/>
  <c r="T177" i="1" s="1"/>
  <c r="M178" i="1" s="1"/>
  <c r="U177" i="1"/>
  <c r="W178" i="1" l="1"/>
  <c r="X178" i="1" s="1"/>
  <c r="V178" i="1" l="1"/>
  <c r="I178" i="1"/>
  <c r="H178" i="1" l="1"/>
  <c r="P178" i="1"/>
  <c r="O178" i="1" l="1"/>
  <c r="T178" i="1" s="1"/>
  <c r="M179" i="1" s="1"/>
  <c r="U178" i="1"/>
  <c r="W179" i="1" l="1"/>
  <c r="X179" i="1" l="1"/>
  <c r="V179" i="1" s="1"/>
  <c r="H179" i="1" l="1"/>
  <c r="P179" i="1"/>
  <c r="O179" i="1" s="1"/>
  <c r="T179" i="1" s="1"/>
  <c r="M180" i="1" s="1"/>
  <c r="I179" i="1"/>
  <c r="U179" i="1" l="1"/>
  <c r="W180" i="1" s="1"/>
  <c r="X180" i="1" s="1"/>
  <c r="I180" i="1" l="1"/>
  <c r="V180" i="1"/>
  <c r="H180" i="1" l="1"/>
  <c r="P180" i="1"/>
  <c r="O180" i="1" l="1"/>
  <c r="T180" i="1" s="1"/>
  <c r="M181" i="1" s="1"/>
  <c r="U180" i="1"/>
  <c r="W181" i="1" l="1"/>
  <c r="X181" i="1" s="1"/>
  <c r="V181" i="1" l="1"/>
  <c r="I181" i="1"/>
  <c r="H181" i="1" l="1"/>
  <c r="P181" i="1"/>
  <c r="O181" i="1" l="1"/>
  <c r="T181" i="1" s="1"/>
  <c r="M182" i="1" s="1"/>
  <c r="U181" i="1"/>
  <c r="W182" i="1" l="1"/>
  <c r="X182" i="1" l="1"/>
  <c r="V182" i="1" s="1"/>
  <c r="H182" i="1" l="1"/>
  <c r="P182" i="1"/>
  <c r="O182" i="1" s="1"/>
  <c r="T182" i="1" s="1"/>
  <c r="M183" i="1" s="1"/>
  <c r="I182" i="1"/>
  <c r="U182" i="1" l="1"/>
  <c r="W183" i="1" l="1"/>
  <c r="X183" i="1" l="1"/>
  <c r="V183" i="1" s="1"/>
  <c r="H183" i="1" l="1"/>
  <c r="P183" i="1"/>
  <c r="O183" i="1" s="1"/>
  <c r="T183" i="1" s="1"/>
  <c r="M184" i="1" s="1"/>
  <c r="I183" i="1"/>
  <c r="U183" i="1" l="1"/>
  <c r="W184" i="1" s="1"/>
  <c r="X184" i="1" l="1"/>
  <c r="I184" i="1" s="1"/>
  <c r="V184" i="1" l="1"/>
  <c r="H184" i="1" l="1"/>
  <c r="P184" i="1"/>
  <c r="O184" i="1" l="1"/>
  <c r="T184" i="1" s="1"/>
  <c r="M185" i="1" s="1"/>
  <c r="U184" i="1"/>
  <c r="W185" i="1" l="1"/>
  <c r="X185" i="1" l="1"/>
  <c r="V185" i="1" s="1"/>
  <c r="H185" i="1" l="1"/>
  <c r="P185" i="1"/>
  <c r="O185" i="1" s="1"/>
  <c r="T185" i="1" s="1"/>
  <c r="M186" i="1" s="1"/>
  <c r="I185" i="1"/>
  <c r="U185" i="1" l="1"/>
  <c r="W186" i="1" s="1"/>
  <c r="X186" i="1" l="1"/>
  <c r="I186" i="1" s="1"/>
  <c r="V186" i="1" l="1"/>
  <c r="H186" i="1" l="1"/>
  <c r="P186" i="1"/>
  <c r="O186" i="1" l="1"/>
  <c r="T186" i="1" s="1"/>
  <c r="M187" i="1" s="1"/>
  <c r="U186" i="1"/>
  <c r="W187" i="1" l="1"/>
  <c r="X187" i="1" l="1"/>
  <c r="I187" i="1" s="1"/>
  <c r="V187" i="1" l="1"/>
  <c r="H187" i="1" l="1"/>
  <c r="P187" i="1"/>
  <c r="O187" i="1" l="1"/>
  <c r="T187" i="1" s="1"/>
  <c r="M188" i="1" s="1"/>
  <c r="U187" i="1"/>
  <c r="W188" i="1" l="1"/>
  <c r="X188" i="1" s="1"/>
  <c r="V188" i="1" l="1"/>
  <c r="I188" i="1"/>
  <c r="H188" i="1" l="1"/>
  <c r="P188" i="1"/>
  <c r="O188" i="1" l="1"/>
  <c r="T188" i="1" s="1"/>
  <c r="M189" i="1" s="1"/>
  <c r="U188" i="1"/>
  <c r="W189" i="1" l="1"/>
  <c r="X189" i="1" s="1"/>
  <c r="V189" i="1" l="1"/>
  <c r="I189" i="1"/>
  <c r="H189" i="1" l="1"/>
  <c r="P189" i="1"/>
  <c r="O189" i="1" l="1"/>
  <c r="T189" i="1" s="1"/>
  <c r="M190" i="1" s="1"/>
  <c r="U189" i="1"/>
  <c r="W190" i="1" l="1"/>
  <c r="X190" i="1" s="1"/>
  <c r="V190" i="1" l="1"/>
  <c r="I190" i="1"/>
  <c r="H190" i="1" l="1"/>
  <c r="P190" i="1"/>
  <c r="O190" i="1" l="1"/>
  <c r="T190" i="1" s="1"/>
  <c r="M191" i="1" s="1"/>
  <c r="U190" i="1"/>
  <c r="W191" i="1" l="1"/>
  <c r="X191" i="1" l="1"/>
  <c r="I191" i="1" s="1"/>
  <c r="V191" i="1" l="1"/>
  <c r="H191" i="1" l="1"/>
  <c r="P191" i="1"/>
  <c r="O191" i="1" l="1"/>
  <c r="T191" i="1" s="1"/>
  <c r="U191" i="1"/>
  <c r="M192" i="1" l="1"/>
  <c r="W192" i="1" l="1"/>
  <c r="X192" i="1" s="1"/>
  <c r="V192" i="1" l="1"/>
  <c r="I192" i="1"/>
  <c r="H192" i="1" l="1"/>
  <c r="P192" i="1"/>
  <c r="O192" i="1" l="1"/>
  <c r="T192" i="1" s="1"/>
  <c r="U192" i="1"/>
  <c r="M193" i="1" l="1"/>
  <c r="W193" i="1" l="1"/>
  <c r="X193" i="1" l="1"/>
  <c r="V193" i="1" s="1"/>
  <c r="H193" i="1" l="1"/>
  <c r="P193" i="1"/>
  <c r="U193" i="1" s="1"/>
  <c r="I193" i="1"/>
  <c r="O193" i="1" l="1"/>
  <c r="T193" i="1" s="1"/>
  <c r="M194" i="1" l="1"/>
  <c r="W194" i="1" l="1"/>
  <c r="X194" i="1" s="1"/>
  <c r="V194" i="1" l="1"/>
  <c r="I194" i="1"/>
  <c r="H194" i="1" l="1"/>
  <c r="P194" i="1"/>
  <c r="O194" i="1" l="1"/>
  <c r="T194" i="1" s="1"/>
  <c r="U194" i="1"/>
  <c r="M36" i="1"/>
  <c r="N32" i="1"/>
  <c r="U5" i="1" l="1"/>
  <c r="L33" i="1"/>
  <c r="E32" i="1"/>
  <c r="L32" i="1"/>
  <c r="W32" i="1" l="1"/>
  <c r="X32" i="1" s="1"/>
  <c r="V32" i="1" l="1"/>
  <c r="I32" i="1"/>
  <c r="H32" i="1" l="1"/>
  <c r="P32" i="1"/>
  <c r="O32" i="1" l="1"/>
  <c r="T32" i="1" s="1"/>
  <c r="M33" i="1" s="1"/>
  <c r="U32" i="1"/>
  <c r="W33" i="1" l="1"/>
  <c r="X33" i="1" l="1"/>
  <c r="V33" i="1" s="1"/>
  <c r="H33" i="1" l="1"/>
  <c r="P33" i="1"/>
  <c r="I33" i="1"/>
  <c r="O33" i="1" l="1"/>
  <c r="T33" i="1" s="1"/>
  <c r="M34" i="1" s="1"/>
  <c r="U33" i="1"/>
  <c r="W34" i="1" l="1"/>
  <c r="X34" i="1" l="1"/>
  <c r="V34" i="1" s="1"/>
  <c r="H34" i="1" l="1"/>
  <c r="P34" i="1"/>
  <c r="I34" i="1"/>
  <c r="O34" i="1" l="1"/>
  <c r="T34" i="1" s="1"/>
  <c r="M35" i="1" s="1"/>
  <c r="U34" i="1"/>
  <c r="W35" i="1" l="1"/>
  <c r="X35" i="1" s="1"/>
  <c r="I35" i="1" l="1"/>
  <c r="Z7" i="1" s="1"/>
  <c r="V35" i="1"/>
  <c r="P35" i="1" l="1"/>
  <c r="H35" i="1"/>
  <c r="H11" i="1" s="1"/>
  <c r="O35" i="1" l="1"/>
  <c r="T35" i="1" s="1"/>
  <c r="U7" i="1" s="1"/>
  <c r="U4" i="1"/>
  <c r="U3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Kenji Jhoncon</author>
  </authors>
  <commentList>
    <comment ref="O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Cuota Original</t>
        </r>
      </text>
    </comment>
    <comment ref="O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Cuotas Adicionales por reprogramacion.
Ampliacion de Plazo</t>
        </r>
      </text>
    </comment>
    <comment ref="O8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Nro de Gracia Parcial</t>
        </r>
      </text>
    </comment>
    <comment ref="O9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Nro de Gracia Total</t>
        </r>
      </text>
    </comment>
    <comment ref="A10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En blanco es cuota Regular
</t>
        </r>
      </text>
    </comment>
    <comment ref="B10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Gracia Total
Valor numerico</t>
        </r>
      </text>
    </comment>
  </commentList>
</comments>
</file>

<file path=xl/sharedStrings.xml><?xml version="1.0" encoding="utf-8"?>
<sst xmlns="http://schemas.openxmlformats.org/spreadsheetml/2006/main" count="121" uniqueCount="120">
  <si>
    <t>ENE</t>
  </si>
  <si>
    <t>MAR</t>
  </si>
  <si>
    <t>MAY</t>
  </si>
  <si>
    <t>JUL</t>
  </si>
  <si>
    <t>SET</t>
  </si>
  <si>
    <t>NOV</t>
  </si>
  <si>
    <t>FEB</t>
  </si>
  <si>
    <t>ABR</t>
  </si>
  <si>
    <t>JUN</t>
  </si>
  <si>
    <t>AGO</t>
  </si>
  <si>
    <t>OCT</t>
  </si>
  <si>
    <t>DIC</t>
  </si>
  <si>
    <t>Desembolso</t>
  </si>
  <si>
    <t>Cuota</t>
  </si>
  <si>
    <t>sd</t>
  </si>
  <si>
    <t>Objetivo</t>
  </si>
  <si>
    <t>1ra Cuota</t>
  </si>
  <si>
    <t>Ncuotas</t>
  </si>
  <si>
    <t>sb</t>
  </si>
  <si>
    <t>Monto</t>
  </si>
  <si>
    <t>a</t>
  </si>
  <si>
    <t>c</t>
  </si>
  <si>
    <t>f</t>
  </si>
  <si>
    <t>d</t>
  </si>
  <si>
    <t>si</t>
  </si>
  <si>
    <t>k</t>
  </si>
  <si>
    <t>i</t>
  </si>
  <si>
    <t>sf</t>
  </si>
  <si>
    <t>sfi</t>
  </si>
  <si>
    <t>I 1TRAMO</t>
  </si>
  <si>
    <t>I 2TRAMO</t>
  </si>
  <si>
    <t>I 3TRAMO</t>
  </si>
  <si>
    <t>I 4TRAMO</t>
  </si>
  <si>
    <t>I 5TRAMO</t>
  </si>
  <si>
    <t>Aportes</t>
  </si>
  <si>
    <t>Desgrav</t>
  </si>
  <si>
    <t>Seguro</t>
  </si>
  <si>
    <t>Total Intereses</t>
  </si>
  <si>
    <t>I 6TRAMO</t>
  </si>
  <si>
    <t>Dia de Pago</t>
  </si>
  <si>
    <t>T.E.A.</t>
  </si>
  <si>
    <t>interes</t>
  </si>
  <si>
    <t>Prepago</t>
  </si>
  <si>
    <t>I 7TRAMO</t>
  </si>
  <si>
    <t>I 8TRAMO</t>
  </si>
  <si>
    <t>I 9TRAMO</t>
  </si>
  <si>
    <t>I 10TRAMO</t>
  </si>
  <si>
    <t>I 11TRAMO</t>
  </si>
  <si>
    <t>I 12TRAMO</t>
  </si>
  <si>
    <t>I 13TRAMO</t>
  </si>
  <si>
    <t>I 14TRAMO</t>
  </si>
  <si>
    <t>I 15TRAMO</t>
  </si>
  <si>
    <t>I 16TRAMO</t>
  </si>
  <si>
    <t>I 17TRAMO</t>
  </si>
  <si>
    <t>I 18TRAMO</t>
  </si>
  <si>
    <t>I 19TRAMO</t>
  </si>
  <si>
    <t>I 20TRAMO</t>
  </si>
  <si>
    <t>I 21TRAMO</t>
  </si>
  <si>
    <t>I 22TRAMO</t>
  </si>
  <si>
    <t>I 23TRAMO</t>
  </si>
  <si>
    <t>I 24TRAMO</t>
  </si>
  <si>
    <t>Total Pago</t>
  </si>
  <si>
    <t>I 25TRAMO</t>
  </si>
  <si>
    <t>I 26TRAMO</t>
  </si>
  <si>
    <t>I 27TRAMO</t>
  </si>
  <si>
    <t>I 28TRAMO</t>
  </si>
  <si>
    <t>I 29TRAMO</t>
  </si>
  <si>
    <t>I 30TRAMO</t>
  </si>
  <si>
    <t>I 31TRAMO</t>
  </si>
  <si>
    <t>I 32TRAMO</t>
  </si>
  <si>
    <t>I 33TRAMO</t>
  </si>
  <si>
    <t>I 34TRAMO</t>
  </si>
  <si>
    <t>I 35TRAMO</t>
  </si>
  <si>
    <t>I 36TRAMO</t>
  </si>
  <si>
    <t>I 37TRAMO</t>
  </si>
  <si>
    <t>I 38TRAMO</t>
  </si>
  <si>
    <t>I 39TRAMO</t>
  </si>
  <si>
    <t>I 40TRAMO</t>
  </si>
  <si>
    <t>I 41TRAMO</t>
  </si>
  <si>
    <t>I 42TRAMO</t>
  </si>
  <si>
    <t>I 43TRAMO</t>
  </si>
  <si>
    <t>I 44TRAMO</t>
  </si>
  <si>
    <t>I 45TRAMO</t>
  </si>
  <si>
    <t>I 46TRAMO</t>
  </si>
  <si>
    <t>I 47TRAMO</t>
  </si>
  <si>
    <t>I 48TRAMO</t>
  </si>
  <si>
    <t>I 49TRAMO</t>
  </si>
  <si>
    <t>I 50TRAMO</t>
  </si>
  <si>
    <t>I 51TRAMO</t>
  </si>
  <si>
    <t>I 52TRAMO</t>
  </si>
  <si>
    <t>I 53TRAMO</t>
  </si>
  <si>
    <t>I 54TRAMO</t>
  </si>
  <si>
    <t>I 55TRAMO</t>
  </si>
  <si>
    <t>I 56TRAMO</t>
  </si>
  <si>
    <t>I 57TRAMO</t>
  </si>
  <si>
    <t>I 58TRAMO</t>
  </si>
  <si>
    <t>I 59TRAMO</t>
  </si>
  <si>
    <t>I 60TRAMO</t>
  </si>
  <si>
    <t>I 61TRAMO</t>
  </si>
  <si>
    <t>Fijar Pago</t>
  </si>
  <si>
    <t>Tipo Cuota</t>
  </si>
  <si>
    <t>TIPO_CUOTAS</t>
  </si>
  <si>
    <t>Gracia Parcial</t>
  </si>
  <si>
    <t>Regular</t>
  </si>
  <si>
    <t>NCuotas Sin Contar Prepagos</t>
  </si>
  <si>
    <t>Arreglo</t>
  </si>
  <si>
    <t>CheckList Formulas</t>
  </si>
  <si>
    <t>Numero de cuotas</t>
  </si>
  <si>
    <t>Numero de tramos</t>
  </si>
  <si>
    <t>TramoCheck</t>
  </si>
  <si>
    <t>Fijar Fecha</t>
  </si>
  <si>
    <t>PagoSinFijar</t>
  </si>
  <si>
    <t>Gtotal</t>
  </si>
  <si>
    <t>cAdicional</t>
  </si>
  <si>
    <t>Ultima Cuota</t>
  </si>
  <si>
    <t>Dia</t>
  </si>
  <si>
    <t>Nprepago</t>
  </si>
  <si>
    <t>GraciaTotal</t>
  </si>
  <si>
    <t>UltimoDia</t>
  </si>
  <si>
    <t>v6.4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</si>
</sst>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 * #,##0.00_ ;_ * \-#,##0.00_ ;_ * &quot;-&quot;??_ ;_ @_ 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sz val="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1">
    <xf numFmtId="0" fontId="0" fillId="0" borderId="0" xfId="0"/>
    <xf numFmtId="0" fontId="2" fillId="0" borderId="0" xfId="0" applyFont="1"/>
    <xf numFmtId="0" fontId="0" fillId="0" borderId="1" xfId="0" applyBorder="1" applyAlignment="1">
      <alignment horizontal="left" indent="1"/>
    </xf>
    <xf numFmtId="4" fontId="0" fillId="0" borderId="0" xfId="0" applyNumberFormat="1"/>
    <xf numFmtId="14" fontId="2" fillId="0" borderId="0" xfId="0" applyNumberFormat="1" applyFont="1" applyFill="1"/>
    <xf numFmtId="14" fontId="0" fillId="0" borderId="0" xfId="0" applyNumberFormat="1"/>
    <xf numFmtId="164" fontId="0" fillId="0" borderId="0" xfId="0" applyNumberFormat="1"/>
    <xf numFmtId="14" fontId="0" fillId="0" borderId="0" xfId="0" applyNumberFormat="1" applyFill="1"/>
    <xf numFmtId="4" fontId="0" fillId="0" borderId="0" xfId="0" applyNumberFormat="1" applyFill="1"/>
    <xf numFmtId="3" fontId="0" fillId="0" borderId="0" xfId="0" applyNumberFormat="1" applyAlignment="1">
      <alignment horizontal="center"/>
    </xf>
    <xf numFmtId="0" fontId="0" fillId="0" borderId="0" xfId="0" applyFill="1"/>
    <xf numFmtId="0" fontId="0" fillId="2" borderId="1" xfId="0" applyFill="1" applyBorder="1" applyAlignment="1">
      <alignment horizontal="center"/>
    </xf>
    <xf numFmtId="14" fontId="0" fillId="2" borderId="0" xfId="0" applyNumberFormat="1" applyFill="1"/>
    <xf numFmtId="164" fontId="0" fillId="2" borderId="0" xfId="1" applyFont="1" applyFill="1"/>
    <xf numFmtId="0" fontId="0" fillId="2" borderId="0" xfId="0" applyFill="1"/>
    <xf numFmtId="2" fontId="0" fillId="2" borderId="0" xfId="0" applyNumberFormat="1" applyFill="1"/>
    <xf numFmtId="10" fontId="0" fillId="2" borderId="0" xfId="2" applyNumberFormat="1" applyFont="1" applyFill="1"/>
    <xf numFmtId="0" fontId="0" fillId="0" borderId="0" xfId="0" applyAlignment="1">
      <alignment horizontal="right"/>
    </xf>
    <xf numFmtId="0" fontId="0" fillId="0" borderId="0" xfId="1" applyNumberFormat="1" applyFont="1" applyAlignment="1">
      <alignment horizontal="center"/>
    </xf>
    <xf numFmtId="164" fontId="2" fillId="0" borderId="0" xfId="1" applyFont="1" applyFill="1"/>
    <xf numFmtId="164" fontId="0" fillId="0" borderId="0" xfId="1" applyFont="1"/>
    <xf numFmtId="0" fontId="2" fillId="0" borderId="0" xfId="0" applyNumberFormat="1" applyFont="1" applyFill="1"/>
    <xf numFmtId="0" fontId="0" fillId="0" borderId="0" xfId="0" applyNumberFormat="1"/>
    <xf numFmtId="19" fontId="0" fillId="0" borderId="0" xfId="0" applyNumberFormat="1"/>
    <xf numFmtId="164" fontId="1" fillId="0" borderId="0" xfId="1" applyFont="1" applyFill="1"/>
    <xf numFmtId="0" fontId="5" fillId="0" borderId="0" xfId="0" applyFont="1"/>
    <xf numFmtId="0" fontId="0" fillId="0" borderId="0" xfId="0" applyAlignment="1">
      <alignment horizontal="left" indent="2"/>
    </xf>
    <xf numFmtId="0" fontId="0" fillId="0" borderId="0" xfId="0" applyFill="1" applyAlignment="1"/>
    <xf numFmtId="9" fontId="0" fillId="0" borderId="0" xfId="2" applyFont="1"/>
    <xf numFmtId="0" fontId="4" fillId="0" borderId="0" xfId="0" applyNumberFormat="1" applyFont="1" applyAlignment="1"/>
    <xf numFmtId="0" fontId="0" fillId="0" borderId="0" xfId="0" applyAlignment="1">
      <alignment horizontal="left" indent="2"/>
    </xf>
  </cellXfs>
  <cellStyles count="3">
    <cellStyle name="Millares" xfId="1" builtinId="3"/>
    <cellStyle name="Normal" xfId="0" builtinId="0"/>
    <cellStyle name="Porcentaje" xfId="2" builtinId="5"/>
  </cellStyles>
  <dxfs count="8">
    <dxf>
      <fill>
        <patternFill>
          <bgColor theme="7" tint="0.39994506668294322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theme="7" tint="0.39994506668294322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theme="6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Radio" checked="Checked" firstButton="1" fmlaLink="$A$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7</xdr:row>
          <xdr:rowOff>28575</xdr:rowOff>
        </xdr:from>
        <xdr:to>
          <xdr:col>3</xdr:col>
          <xdr:colOff>219075</xdr:colOff>
          <xdr:row>8</xdr:row>
          <xdr:rowOff>133350</xdr:rowOff>
        </xdr:to>
        <xdr:sp macro="" textlink="">
          <xdr:nvSpPr>
            <xdr:cNvPr id="1025" name="btnLimpia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</xdr:colOff>
          <xdr:row>4</xdr:row>
          <xdr:rowOff>66675</xdr:rowOff>
        </xdr:from>
        <xdr:to>
          <xdr:col>15</xdr:col>
          <xdr:colOff>866775</xdr:colOff>
          <xdr:row>6</xdr:row>
          <xdr:rowOff>114300</xdr:rowOff>
        </xdr:to>
        <xdr:sp macro="" textlink="">
          <xdr:nvSpPr>
            <xdr:cNvPr id="1027" name="btAjustar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</xdr:row>
          <xdr:rowOff>47625</xdr:rowOff>
        </xdr:from>
        <xdr:to>
          <xdr:col>3</xdr:col>
          <xdr:colOff>647700</xdr:colOff>
          <xdr:row>2</xdr:row>
          <xdr:rowOff>123825</xdr:rowOff>
        </xdr:to>
        <xdr:sp macro="" textlink="">
          <xdr:nvSpPr>
            <xdr:cNvPr id="1029" name="Option Button 5" descr="Mensual Fijo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Mensual Fijo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</xdr:row>
          <xdr:rowOff>123825</xdr:rowOff>
        </xdr:from>
        <xdr:to>
          <xdr:col>3</xdr:col>
          <xdr:colOff>628650</xdr:colOff>
          <xdr:row>4</xdr:row>
          <xdr:rowOff>28575</xdr:rowOff>
        </xdr:to>
        <xdr:sp macro="" textlink="">
          <xdr:nvSpPr>
            <xdr:cNvPr id="1030" name="Option Button 6" descr="Mensual Fij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Bimensual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</xdr:row>
          <xdr:rowOff>47625</xdr:rowOff>
        </xdr:from>
        <xdr:to>
          <xdr:col>3</xdr:col>
          <xdr:colOff>647700</xdr:colOff>
          <xdr:row>5</xdr:row>
          <xdr:rowOff>123825</xdr:rowOff>
        </xdr:to>
        <xdr:sp macro="" textlink="">
          <xdr:nvSpPr>
            <xdr:cNvPr id="1031" name="Option Button 7" descr="Mensual Fij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Trimestrual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5</xdr:row>
          <xdr:rowOff>161925</xdr:rowOff>
        </xdr:from>
        <xdr:to>
          <xdr:col>12</xdr:col>
          <xdr:colOff>981075</xdr:colOff>
          <xdr:row>7</xdr:row>
          <xdr:rowOff>19050</xdr:rowOff>
        </xdr:to>
        <xdr:sp macro="" textlink="">
          <xdr:nvSpPr>
            <xdr:cNvPr id="1042" name="cbUltimoDia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CE208"/>
  <sheetViews>
    <sheetView tabSelected="1" zoomScale="80" zoomScaleNormal="80" workbookViewId="0">
      <pane ySplit="10" topLeftCell="A11" activePane="bottomLeft" state="frozen"/>
      <selection pane="bottomLeft"/>
    </sheetView>
  </sheetViews>
  <sheetFormatPr baseColWidth="10" defaultRowHeight="15" x14ac:dyDescent="0.25"/>
  <cols>
    <col min="1" max="1" width="16.28515625" customWidth="1"/>
    <col min="2" max="2" width="5.42578125" customWidth="1"/>
    <col min="3" max="3" width="13" style="20" customWidth="1"/>
    <col min="4" max="4" width="12.28515625" customWidth="1"/>
    <col min="5" max="5" width="6.28515625" hidden="1" customWidth="1"/>
    <col min="6" max="6" width="12.7109375" style="22" hidden="1" customWidth="1"/>
    <col min="7" max="9" width="9.28515625" style="22" hidden="1" customWidth="1"/>
    <col min="10" max="10" width="7.42578125" customWidth="1"/>
    <col min="11" max="11" width="13.7109375" customWidth="1"/>
    <col min="12" max="12" width="17.28515625" customWidth="1"/>
    <col min="13" max="13" width="15" customWidth="1"/>
    <col min="14" max="14" width="14.5703125" customWidth="1"/>
    <col min="15" max="15" width="14.7109375" customWidth="1"/>
    <col min="16" max="19" width="13.7109375" customWidth="1"/>
    <col min="20" max="20" width="20.7109375" customWidth="1"/>
    <col min="21" max="21" width="14.140625" customWidth="1"/>
    <col min="22" max="22" width="15.5703125" hidden="1" customWidth="1"/>
    <col min="23" max="23" width="13.7109375" customWidth="1"/>
    <col min="24" max="24" width="14.7109375" customWidth="1"/>
    <col min="25" max="25" width="15.5703125" customWidth="1"/>
  </cols>
  <sheetData>
    <row r="1" spans="1:83" x14ac:dyDescent="0.25">
      <c r="A1" s="1">
        <v>1</v>
      </c>
      <c r="B1" s="1">
        <v>0</v>
      </c>
      <c r="C1" s="19" t="str">
        <f>CONCATENATE($L$1,$L$2,$N$1,$N$2,$P$1,$P$2,$R$1,$R$2,$T$1,$T$2,$W$1,$W$2)</f>
        <v>111111111111</v>
      </c>
      <c r="D1" s="4"/>
      <c r="G1" s="21"/>
      <c r="H1" s="21"/>
      <c r="I1" s="21"/>
      <c r="K1" s="2" t="s">
        <v>0</v>
      </c>
      <c r="L1" s="11">
        <v>1</v>
      </c>
      <c r="M1" s="2" t="s">
        <v>1</v>
      </c>
      <c r="N1" s="11">
        <v>1</v>
      </c>
      <c r="O1" s="2" t="s">
        <v>2</v>
      </c>
      <c r="P1" s="11">
        <v>1</v>
      </c>
      <c r="Q1" s="2" t="s">
        <v>3</v>
      </c>
      <c r="R1" s="11">
        <v>1</v>
      </c>
      <c r="S1" s="2" t="s">
        <v>4</v>
      </c>
      <c r="T1" s="11">
        <v>1</v>
      </c>
      <c r="U1" s="2" t="s">
        <v>5</v>
      </c>
      <c r="V1" s="2"/>
      <c r="W1" s="11">
        <v>1</v>
      </c>
    </row>
    <row r="2" spans="1:83" x14ac:dyDescent="0.25">
      <c r="A2" t="s">
        <v>119</v>
      </c>
      <c r="K2" s="2" t="s">
        <v>6</v>
      </c>
      <c r="L2" s="11">
        <v>1</v>
      </c>
      <c r="M2" s="2" t="s">
        <v>7</v>
      </c>
      <c r="N2" s="11">
        <v>1</v>
      </c>
      <c r="O2" s="2" t="s">
        <v>8</v>
      </c>
      <c r="P2" s="11">
        <v>1</v>
      </c>
      <c r="Q2" s="2" t="s">
        <v>9</v>
      </c>
      <c r="R2" s="11">
        <v>1</v>
      </c>
      <c r="S2" s="2" t="s">
        <v>10</v>
      </c>
      <c r="T2" s="11">
        <v>1</v>
      </c>
      <c r="U2" s="2" t="s">
        <v>11</v>
      </c>
      <c r="V2" s="2"/>
      <c r="W2" s="11">
        <v>1</v>
      </c>
      <c r="Y2" s="27"/>
      <c r="Z2" s="27"/>
    </row>
    <row r="3" spans="1:83" x14ac:dyDescent="0.25">
      <c r="T3" s="17" t="s">
        <v>114</v>
      </c>
      <c r="U3" s="3">
        <f>INDEX($N$12:$N1000,+NCUOTAS+CUOTAADICIONAL+PGRACIA)</f>
        <v>278.98</v>
      </c>
      <c r="AA3" s="3"/>
    </row>
    <row r="4" spans="1:83" x14ac:dyDescent="0.25">
      <c r="T4" s="17" t="s">
        <v>37</v>
      </c>
      <c r="U4" s="3">
        <f>SUM($P$12:$P1048576)</f>
        <v>636.21</v>
      </c>
      <c r="X4" s="25" t="s">
        <v>106</v>
      </c>
      <c r="AA4" s="3"/>
      <c r="AD4" s="28">
        <f>ROUND(($AD$5/100+1)^12-1,2)</f>
        <v>0.18</v>
      </c>
    </row>
    <row r="5" spans="1:83" x14ac:dyDescent="0.25">
      <c r="M5" s="5"/>
      <c r="N5" t="s">
        <v>13</v>
      </c>
      <c r="O5" s="8">
        <v>279.01</v>
      </c>
      <c r="Q5" t="s">
        <v>40</v>
      </c>
      <c r="R5" s="16">
        <v>0.1</v>
      </c>
      <c r="S5" s="18">
        <f>ROUND(((1+$R$5)^(1/12)-1)*100,6)</f>
        <v>0.79741399999999996</v>
      </c>
      <c r="T5" s="17" t="s">
        <v>61</v>
      </c>
      <c r="U5" s="3">
        <f>SUM($N$12:$N1048576)</f>
        <v>6696.2100000000028</v>
      </c>
      <c r="AA5" s="3"/>
      <c r="AD5" s="14">
        <v>1.388843</v>
      </c>
    </row>
    <row r="6" spans="1:83" x14ac:dyDescent="0.25">
      <c r="K6" t="s">
        <v>12</v>
      </c>
      <c r="L6" s="12">
        <v>43584</v>
      </c>
      <c r="M6" s="23"/>
      <c r="N6" t="s">
        <v>17</v>
      </c>
      <c r="O6" s="14">
        <v>24</v>
      </c>
      <c r="Q6" t="s">
        <v>35</v>
      </c>
      <c r="R6" s="15">
        <v>0</v>
      </c>
      <c r="S6" s="3">
        <f>SUM($Q$12:$Q10000)</f>
        <v>0</v>
      </c>
      <c r="T6" s="17" t="s">
        <v>39</v>
      </c>
      <c r="U6">
        <f>DAY($L$7)</f>
        <v>31</v>
      </c>
      <c r="V6" s="3"/>
      <c r="X6" s="30" t="s">
        <v>107</v>
      </c>
      <c r="Y6" s="30"/>
      <c r="Z6" t="str">
        <f>IF(COUNTA($J$12:$J3000)&lt;$O$6,"Falta Extender la formula hacia abajo","OK")</f>
        <v>OK</v>
      </c>
    </row>
    <row r="7" spans="1:83" x14ac:dyDescent="0.25">
      <c r="K7" t="s">
        <v>16</v>
      </c>
      <c r="L7" s="12">
        <v>43616</v>
      </c>
      <c r="N7" s="3" t="s">
        <v>113</v>
      </c>
      <c r="O7" s="14">
        <v>0</v>
      </c>
      <c r="Q7" t="s">
        <v>36</v>
      </c>
      <c r="R7" s="15">
        <v>0</v>
      </c>
      <c r="S7" s="3">
        <f>SUM($R$12:$R10000)</f>
        <v>0</v>
      </c>
      <c r="T7" s="17" t="s">
        <v>15</v>
      </c>
      <c r="U7" s="3">
        <f>ROUND(INDEX($T$12:$T1000,+NCUOTAS+CUOTAADICIONAL+PGRACIA),2)</f>
        <v>0</v>
      </c>
      <c r="V7" s="8"/>
      <c r="X7" s="26" t="s">
        <v>108</v>
      </c>
      <c r="Y7" s="26"/>
      <c r="Z7" t="str">
        <f>IF(SUM($I$12:$I3000)&gt;0,"Falta Extender la formula hacia la derecha","OK")</f>
        <v>OK</v>
      </c>
    </row>
    <row r="8" spans="1:83" x14ac:dyDescent="0.25">
      <c r="K8" t="s">
        <v>19</v>
      </c>
      <c r="L8" s="13">
        <v>6060</v>
      </c>
      <c r="N8" s="3" t="s">
        <v>116</v>
      </c>
      <c r="O8">
        <f>COUNTIF($A$12:$A1048576,"Prepago")</f>
        <v>0</v>
      </c>
      <c r="Q8" t="s">
        <v>34</v>
      </c>
      <c r="R8" s="15">
        <v>0</v>
      </c>
      <c r="S8" s="3">
        <f>SUM($S$12:$S10000)</f>
        <v>0</v>
      </c>
      <c r="T8" s="17" t="s">
        <v>105</v>
      </c>
      <c r="U8" s="8">
        <v>0.03</v>
      </c>
      <c r="V8" s="3"/>
      <c r="AA8" s="3"/>
    </row>
    <row r="9" spans="1:83" x14ac:dyDescent="0.25">
      <c r="K9" s="5"/>
      <c r="L9" s="6"/>
      <c r="N9" t="s">
        <v>117</v>
      </c>
      <c r="O9">
        <f>SUM($B$12:$B1048576)</f>
        <v>0</v>
      </c>
    </row>
    <row r="10" spans="1:83" x14ac:dyDescent="0.25">
      <c r="A10" t="s">
        <v>100</v>
      </c>
      <c r="B10" t="s">
        <v>112</v>
      </c>
      <c r="C10" s="24" t="s">
        <v>99</v>
      </c>
      <c r="D10" t="s">
        <v>110</v>
      </c>
      <c r="E10" t="s">
        <v>115</v>
      </c>
      <c r="F10" s="22" t="s">
        <v>118</v>
      </c>
      <c r="G10" s="22" t="s">
        <v>104</v>
      </c>
      <c r="H10" s="22" t="s">
        <v>111</v>
      </c>
      <c r="I10" s="22" t="s">
        <v>109</v>
      </c>
      <c r="J10" t="s">
        <v>21</v>
      </c>
      <c r="K10" t="s">
        <v>22</v>
      </c>
      <c r="L10" t="s">
        <v>23</v>
      </c>
      <c r="M10" t="s">
        <v>24</v>
      </c>
      <c r="N10" t="s">
        <v>21</v>
      </c>
      <c r="O10" t="s">
        <v>25</v>
      </c>
      <c r="P10" t="s">
        <v>26</v>
      </c>
      <c r="Q10" t="s">
        <v>14</v>
      </c>
      <c r="R10" t="s">
        <v>18</v>
      </c>
      <c r="S10" t="s">
        <v>20</v>
      </c>
      <c r="T10" t="s">
        <v>27</v>
      </c>
      <c r="U10" t="s">
        <v>28</v>
      </c>
      <c r="V10" t="s">
        <v>41</v>
      </c>
      <c r="W10" t="s">
        <v>29</v>
      </c>
      <c r="X10" t="s">
        <v>30</v>
      </c>
      <c r="Y10" t="s">
        <v>31</v>
      </c>
      <c r="Z10" t="s">
        <v>32</v>
      </c>
      <c r="AA10" t="s">
        <v>33</v>
      </c>
      <c r="AB10" t="s">
        <v>38</v>
      </c>
      <c r="AC10" t="s">
        <v>43</v>
      </c>
      <c r="AD10" t="s">
        <v>44</v>
      </c>
      <c r="AE10" t="s">
        <v>45</v>
      </c>
      <c r="AF10" t="s">
        <v>46</v>
      </c>
      <c r="AG10" t="s">
        <v>47</v>
      </c>
      <c r="AH10" t="s">
        <v>48</v>
      </c>
      <c r="AI10" t="s">
        <v>49</v>
      </c>
      <c r="AJ10" t="s">
        <v>50</v>
      </c>
      <c r="AK10" t="s">
        <v>51</v>
      </c>
      <c r="AL10" t="s">
        <v>52</v>
      </c>
      <c r="AM10" t="s">
        <v>53</v>
      </c>
      <c r="AN10" t="s">
        <v>54</v>
      </c>
      <c r="AO10" t="s">
        <v>55</v>
      </c>
      <c r="AP10" t="s">
        <v>56</v>
      </c>
      <c r="AQ10" t="s">
        <v>57</v>
      </c>
      <c r="AR10" t="s">
        <v>58</v>
      </c>
      <c r="AS10" t="s">
        <v>59</v>
      </c>
      <c r="AT10" t="s">
        <v>60</v>
      </c>
      <c r="AU10" t="s">
        <v>62</v>
      </c>
      <c r="AV10" t="s">
        <v>63</v>
      </c>
      <c r="AW10" t="s">
        <v>64</v>
      </c>
      <c r="AX10" t="s">
        <v>65</v>
      </c>
      <c r="AY10" t="s">
        <v>66</v>
      </c>
      <c r="AZ10" t="s">
        <v>67</v>
      </c>
      <c r="BA10" t="s">
        <v>68</v>
      </c>
      <c r="BB10" t="s">
        <v>69</v>
      </c>
      <c r="BC10" t="s">
        <v>70</v>
      </c>
      <c r="BD10" t="s">
        <v>71</v>
      </c>
      <c r="BE10" t="s">
        <v>72</v>
      </c>
      <c r="BF10" t="s">
        <v>73</v>
      </c>
      <c r="BG10" t="s">
        <v>74</v>
      </c>
      <c r="BH10" t="s">
        <v>75</v>
      </c>
      <c r="BI10" t="s">
        <v>76</v>
      </c>
      <c r="BJ10" t="s">
        <v>77</v>
      </c>
      <c r="BK10" t="s">
        <v>78</v>
      </c>
      <c r="BL10" t="s">
        <v>79</v>
      </c>
      <c r="BM10" t="s">
        <v>80</v>
      </c>
      <c r="BN10" t="s">
        <v>81</v>
      </c>
      <c r="BO10" t="s">
        <v>82</v>
      </c>
      <c r="BP10" t="s">
        <v>83</v>
      </c>
      <c r="BQ10" t="s">
        <v>84</v>
      </c>
      <c r="BR10" t="s">
        <v>85</v>
      </c>
      <c r="BS10" t="s">
        <v>86</v>
      </c>
      <c r="BT10" t="s">
        <v>87</v>
      </c>
      <c r="BU10" t="s">
        <v>88</v>
      </c>
      <c r="BV10" t="s">
        <v>89</v>
      </c>
      <c r="BW10" t="s">
        <v>90</v>
      </c>
      <c r="BX10" t="s">
        <v>91</v>
      </c>
      <c r="BY10" t="s">
        <v>92</v>
      </c>
      <c r="BZ10" t="s">
        <v>93</v>
      </c>
      <c r="CA10" t="s">
        <v>94</v>
      </c>
      <c r="CB10" t="s">
        <v>95</v>
      </c>
      <c r="CC10" t="s">
        <v>96</v>
      </c>
      <c r="CD10" t="s">
        <v>97</v>
      </c>
      <c r="CE10" t="s">
        <v>98</v>
      </c>
    </row>
    <row r="11" spans="1:83" x14ac:dyDescent="0.25">
      <c r="A11" s="29"/>
      <c r="B11" s="29"/>
      <c r="C11" s="29">
        <f>COUNTA($C$12:$C10000)</f>
        <v>0</v>
      </c>
      <c r="D11" s="29"/>
      <c r="F11" s="22">
        <f>MONTH(L6)</f>
        <v>4</v>
      </c>
      <c r="G11" s="22">
        <v>0</v>
      </c>
      <c r="H11" s="22">
        <f>SUM($H$12:$H208)</f>
        <v>636.21</v>
      </c>
      <c r="J11">
        <v>0</v>
      </c>
      <c r="K11" s="7">
        <f>$L$6</f>
        <v>43584</v>
      </c>
      <c r="T11" s="8">
        <f>$L$8</f>
        <v>6060</v>
      </c>
      <c r="W11">
        <v>30</v>
      </c>
      <c r="X11">
        <v>60</v>
      </c>
      <c r="Y11">
        <v>90</v>
      </c>
      <c r="Z11">
        <v>120</v>
      </c>
      <c r="AA11">
        <v>150</v>
      </c>
      <c r="AB11">
        <v>180</v>
      </c>
      <c r="AC11">
        <v>210</v>
      </c>
      <c r="AD11">
        <v>240</v>
      </c>
      <c r="AE11">
        <v>270</v>
      </c>
      <c r="AF11">
        <v>300</v>
      </c>
      <c r="AG11">
        <v>330</v>
      </c>
      <c r="AH11">
        <v>360</v>
      </c>
      <c r="AI11">
        <v>390</v>
      </c>
      <c r="AJ11">
        <v>420</v>
      </c>
      <c r="AK11">
        <v>450</v>
      </c>
      <c r="AL11">
        <v>480</v>
      </c>
      <c r="AM11">
        <v>510</v>
      </c>
      <c r="AN11">
        <v>540</v>
      </c>
      <c r="AO11">
        <v>570</v>
      </c>
      <c r="AP11">
        <v>600</v>
      </c>
      <c r="AQ11">
        <v>630</v>
      </c>
      <c r="AR11">
        <v>660</v>
      </c>
      <c r="AS11">
        <v>690</v>
      </c>
      <c r="AT11">
        <v>720</v>
      </c>
      <c r="AU11">
        <v>750</v>
      </c>
      <c r="AV11">
        <v>780</v>
      </c>
      <c r="AW11">
        <v>810</v>
      </c>
      <c r="AX11">
        <v>840</v>
      </c>
      <c r="AY11">
        <v>870</v>
      </c>
      <c r="AZ11">
        <v>900</v>
      </c>
      <c r="BA11">
        <v>930</v>
      </c>
      <c r="BB11">
        <v>960</v>
      </c>
      <c r="BC11">
        <v>990</v>
      </c>
      <c r="BD11">
        <v>1020</v>
      </c>
      <c r="BE11">
        <v>1050</v>
      </c>
      <c r="BF11">
        <v>1080</v>
      </c>
      <c r="BG11">
        <v>1110</v>
      </c>
      <c r="BH11">
        <v>1140</v>
      </c>
      <c r="BI11">
        <v>1170</v>
      </c>
      <c r="BJ11">
        <v>1200</v>
      </c>
      <c r="BK11">
        <v>1230</v>
      </c>
      <c r="BL11">
        <v>1260</v>
      </c>
      <c r="BM11">
        <v>1290</v>
      </c>
      <c r="BN11">
        <v>1320</v>
      </c>
      <c r="BO11">
        <v>1350</v>
      </c>
      <c r="BP11">
        <v>1380</v>
      </c>
      <c r="BQ11">
        <v>1410</v>
      </c>
      <c r="BR11">
        <v>1440</v>
      </c>
      <c r="BS11">
        <v>1470</v>
      </c>
      <c r="BT11">
        <v>1500</v>
      </c>
      <c r="BU11">
        <v>1530</v>
      </c>
      <c r="BV11">
        <v>1560</v>
      </c>
      <c r="BW11">
        <v>1590</v>
      </c>
      <c r="BX11">
        <v>1620</v>
      </c>
      <c r="BY11">
        <v>1650</v>
      </c>
      <c r="BZ11">
        <v>1680</v>
      </c>
      <c r="CA11">
        <v>1710</v>
      </c>
      <c r="CB11">
        <v>1740</v>
      </c>
      <c r="CC11">
        <v>1770</v>
      </c>
      <c r="CD11">
        <v>1800</v>
      </c>
      <c r="CE11">
        <v>1830</v>
      </c>
    </row>
    <row r="12" spans="1:83" x14ac:dyDescent="0.25">
      <c r="D12" s="5"/>
      <c r="E12" t="str">
        <f t="shared" ref="E12:E43" si="0">IF($J12&lt;&gt;"",TEXT(K12,"DDD"),"")</f>
        <v>vi</v>
      </c>
      <c r="F12" s="5">
        <f>IF($J12&lt;&gt;"",EOMONTH(DATE(YEAR($L$6),$F$11+J12+SUM($B$12:B12),1),0),"")</f>
        <v>43616</v>
      </c>
      <c r="G12" s="22">
        <f t="shared" ref="G12:G43" si="1">IF($J12&lt;&gt;"",IF($A12="Prepago",$G11,$G11+1),"")</f>
        <v>1</v>
      </c>
      <c r="H12" s="22">
        <f t="shared" ref="H12:H43" si="2">IF($J12&lt;&gt;"",IF(ISNUMBER($C12),-$O12+$V12-$P12,ABS($V12)+$Q12+$R12+$S12),"")</f>
        <v>51.540000000000006</v>
      </c>
      <c r="I12" s="22">
        <f t="shared" ref="I12:I43" si="3">IF(J12&lt;&gt;"",IF(COUNTA($W12:$XFD12)*30&lt;$L12,1,0),"")</f>
        <v>0</v>
      </c>
      <c r="J12">
        <f t="shared" ref="J12:J43" si="4">IF($J11&lt;NCUOTAS+CUOTAADICIONAL+PGRACIA,$J11+1,"")</f>
        <v>1</v>
      </c>
      <c r="K12" s="5">
        <f>IF($J12&lt;&gt;"",IF(ULTIMODIA=0,IF($D12="",DATE(YEAR($L$7),MONTH($L$7)+($A$1*($G12-1))+SUM($B$12:$B12),DAY($L$7)),$D12),F12),"")</f>
        <v>43616</v>
      </c>
      <c r="L12" s="9">
        <f t="shared" ref="L12:L43" si="5">IF($J12&lt;&gt;"",$K12-$K11,"")</f>
        <v>32</v>
      </c>
      <c r="M12" s="3">
        <f t="shared" ref="M12:M43" si="6">IF($J12&lt;&gt;"",$T11,"")</f>
        <v>6060</v>
      </c>
      <c r="N12" s="3">
        <f t="shared" ref="N12:N43" si="7">IF($J12&lt;&gt;"",IF($A12="Gracia Parcial",IF(AND($C12&lt;$V12+$Q12+$R12+$S12+$U11,$C12&gt;0),$C12,$V12+$Q12+$R12+$S12+$U11),IF($A12="Gracia Total",0,IF($A12="Prepago",$C12,IF(ISNUMBER($C12),$C12*VALUE(MID($C$1,MONTH($K12),1)),$O$5*VALUE(MID($C$1,MONTH($K12),1))))))-IF($J13="",ARREGLO,0),"")</f>
        <v>279.01</v>
      </c>
      <c r="O12" s="3">
        <f t="shared" ref="O12:O43" si="8">IF($J12&lt;&gt;"",IF($N12-$P12&gt;0,$N12-$P12-$Q12-$R12-$S12,0),"")</f>
        <v>227.46999999999997</v>
      </c>
      <c r="P12" s="3">
        <f t="shared" ref="P12:P43" si="9">IF($J12&lt;&gt;"",IF($N12&gt;=$V12+$U11+$Q12+$R12+$S12,$V12+$U11,$N12-$Q12-$R12-$S12),"")</f>
        <v>51.540000000000006</v>
      </c>
      <c r="Q12" s="8">
        <f t="shared" ref="Q12:Q43" si="10">IF($J12&lt;&gt;"",IF($A12="Prepago",0,$R$6+$R$6*$B12),"")</f>
        <v>0</v>
      </c>
      <c r="R12" s="8">
        <f t="shared" ref="R12:R43" si="11">IF($J12&lt;&gt;"",IF($A12="Prepago",0,$R$7+$R$7*$B12),"")</f>
        <v>0</v>
      </c>
      <c r="S12" s="3">
        <f t="shared" ref="S12:S43" si="12">IF($J12&lt;&gt;"",IF($A12="Prepago",0,$R$8+$R$8*$B12),"")</f>
        <v>0</v>
      </c>
      <c r="T12" s="3">
        <f t="shared" ref="T12:T43" si="13">IF($J12&lt;&gt;"",$M12-$O12,"")</f>
        <v>5832.53</v>
      </c>
      <c r="U12" s="3">
        <f t="shared" ref="U12:U43" si="14">IF($J12&lt;&gt;"",+$U11+SUM($W12:$CE12)-$P12,"")</f>
        <v>0</v>
      </c>
      <c r="V12" s="3">
        <f t="shared" ref="V12:V43" si="15">IF($J12&lt;&gt;"",SUM($W12:$XFD12),"")</f>
        <v>51.540000000000006</v>
      </c>
      <c r="W12" s="3">
        <f t="shared" ref="W12:W43" si="16">IF($J12&lt;&gt;"",IF($L12&gt;W$11,30,$L12)*ROUND(($M12+$U11)*$S$5/3000,2),"")</f>
        <v>48.300000000000004</v>
      </c>
      <c r="X12" s="3">
        <f>IF($J12&lt;&gt;"",IF($L12&gt;W$11,IF($L12&lt;X$11,$L12-W$11,30),0)*ROUND(($M12+$U11+SUM($W12:W12))*$S$5/3000,2),"")</f>
        <v>3.24</v>
      </c>
      <c r="Y12" s="3">
        <f>IF($J12&lt;&gt;"",IF($L12&gt;X$11,IF($L12&lt;Y$11,$L12-X$11,30),0)*ROUND(($M12+$U11+SUM($W12:X12))*$S$5/3000,2),"")</f>
        <v>0</v>
      </c>
      <c r="Z12" s="3">
        <f>IF($J12&lt;&gt;"",IF($L12&gt;Y$11,IF($L12&lt;Z$11,$L12-Y$11,30),0)*ROUND(($M12+$U11+SUM($W12:Y12))*$S$5/3000,2),"")</f>
        <v>0</v>
      </c>
      <c r="AA12" s="3">
        <f>IF($J12&lt;&gt;"",IF($L12&gt;Z$11,IF($L12&lt;AA$11,$L12-Z$11,30),0)*ROUND(($M12+$U11+SUM($W12:Z12))*$S$5/3000,2),"")</f>
        <v>0</v>
      </c>
      <c r="AB12" s="3">
        <f>IF($J12&lt;&gt;"",IF($L12&gt;AA$11,IF($L12&lt;AB$11,$L12-AA$11,30),0)*ROUND(($M12+$U11+SUM($W12:AA12))*$S$5/3000,2),"")</f>
        <v>0</v>
      </c>
      <c r="AC12" s="3">
        <f>IF($J12&lt;&gt;"",IF($L12&gt;AB$11,IF($L12&lt;AC$11,$L12-AB$11,30),0)*ROUND(($M12+$U11+SUM($W12:AB12))*$S$5/3000,2),"")</f>
        <v>0</v>
      </c>
      <c r="AD12" s="3">
        <f>IF($J12&lt;&gt;"",IF($L12&gt;AC$11,IF($L12&lt;AD$11,$L12-AC$11,30),0)*ROUND(($M12+$U11+SUM($W12:AC12))*$S$5/3000,2),"")</f>
        <v>0</v>
      </c>
      <c r="AE12" s="3">
        <f>IF($J12&lt;&gt;"",IF($L12&gt;AD$11,IF($L12&lt;AE$11,$L12-AD$11,30),0)*ROUND(($M12+$U11+SUM($W12:AD12))*$S$5/3000,2),"")</f>
        <v>0</v>
      </c>
      <c r="AF12" s="3">
        <f>IF($J12&lt;&gt;"",IF($L12&gt;AE$11,IF($L12&lt;AF$11,$L12-AE$11,30),0)*ROUND(($M12+$U11+SUM($W12:AE12))*$S$5/3000,2),"")</f>
        <v>0</v>
      </c>
      <c r="AG12" s="3">
        <f>IF($J12&lt;&gt;"",IF($L12&gt;AF$11,IF($L12&lt;AG$11,$L12-AF$11,30),0)*ROUND(($M12+$U11+SUM($W12:AF12))*$S$5/3000,2),"")</f>
        <v>0</v>
      </c>
      <c r="AH12" s="3">
        <f>IF($J12&lt;&gt;"",IF($L12&gt;AG$11,IF($L12&lt;AH$11,$L12-AG$11,30),0)*ROUND(($M12+$U11+SUM($W12:AG12))*$S$5/3000,2),"")</f>
        <v>0</v>
      </c>
      <c r="AI12" s="3">
        <f>IF($J12&lt;&gt;"",IF($L12&gt;AH$11,IF($L12&lt;AI$11,$L12-AH$11,30),0)*ROUND(($M12+$U11+SUM($W12:AH12))*$S$5/3000,2),"")</f>
        <v>0</v>
      </c>
      <c r="AJ12" s="3">
        <f>IF($J12&lt;&gt;"",IF($L12&gt;AI$11,IF($L12&lt;AJ$11,$L12-AI$11,30),0)*ROUND(($M12+$U11+SUM($W12:AI12))*$S$5/3000,2),"")</f>
        <v>0</v>
      </c>
      <c r="AK12" s="3">
        <f>IF($J12&lt;&gt;"",IF($L12&gt;AJ$11,IF($L12&lt;AK$11,$L12-AJ$11,30),0)*ROUND(($M12+$U11+SUM($W12:AJ12))*$S$5/3000,2),"")</f>
        <v>0</v>
      </c>
      <c r="AL12" s="3">
        <f>IF($J12&lt;&gt;"",IF($L12&gt;AK$11,IF($L12&lt;AL$11,$L12-AK$11,30),0)*ROUND(($M12+$U11+SUM($W12:AK12))*$S$5/3000,2),"")</f>
        <v>0</v>
      </c>
      <c r="AM12" s="3">
        <f>IF($J12&lt;&gt;"",IF($L12&gt;AL$11,IF($L12&lt;AM$11,$L12-AL$11,30),0)*ROUND(($M12+$U11+SUM($W12:AL12))*$S$5/3000,2),"")</f>
        <v>0</v>
      </c>
      <c r="AN12" s="3">
        <f>IF($J12&lt;&gt;"",IF($L12&gt;AM$11,IF($L12&lt;AN$11,$L12-AM$11,30),0)*ROUND(($M12+$U11+SUM($W12:AM12))*$S$5/3000,2),"")</f>
        <v>0</v>
      </c>
      <c r="AO12" s="3">
        <f>IF($J12&lt;&gt;"",IF($L12&gt;AN$11,IF($L12&lt;AO$11,$L12-AN$11,30),0)*ROUND(($M12+$U11+SUM($W12:AN12))*$S$5/3000,2),"")</f>
        <v>0</v>
      </c>
      <c r="AP12" s="3">
        <f>IF($J12&lt;&gt;"",IF($L12&gt;AO$11,IF($L12&lt;AP$11,$L12-AO$11,30),0)*ROUND(($M12+$U11+SUM($W12:AO12))*$S$5/3000,2),"")</f>
        <v>0</v>
      </c>
      <c r="AQ12" s="3">
        <f>IF($J12&lt;&gt;"",IF($L12&gt;AP$11,IF($L12&lt;AQ$11,$L12-AP$11,30),0)*ROUND(($M12+$U11+SUM($W12:AP12))*$S$5/3000,2),"")</f>
        <v>0</v>
      </c>
      <c r="AR12" s="3">
        <f>IF($J12&lt;&gt;"",IF($L12&gt;AQ$11,IF($L12&lt;AR$11,$L12-AQ$11,30),0)*ROUND(($M12+$U11+SUM($W12:AQ12))*$S$5/3000,2),"")</f>
        <v>0</v>
      </c>
      <c r="AS12" s="3">
        <f>IF($J12&lt;&gt;"",IF($L12&gt;AR$11,IF($L12&lt;AS$11,$L12-AR$11,30),0)*ROUND(($M12+$U11+SUM($W12:AR12))*$S$5/3000,2),"")</f>
        <v>0</v>
      </c>
      <c r="AT12" s="3">
        <f>IF($J12&lt;&gt;"",IF($L12&gt;AS$11,IF($L12&lt;AT$11,$L12-AS$11,30),0)*ROUND(($M12+$U11+SUM($W12:AS12))*$S$5/3000,2),"")</f>
        <v>0</v>
      </c>
      <c r="AU12" s="3">
        <f>IF($J12&lt;&gt;"",IF($L12&gt;AT$11,IF($L12&lt;AU$11,$L12-AT$11,30),0)*ROUND(($M12+$U11+SUM($W12:AT12))*$S$5/3000,2),"")</f>
        <v>0</v>
      </c>
      <c r="AV12" s="3">
        <f>IF($J12&lt;&gt;"",IF($L12&gt;AU$11,IF($L12&lt;AV$11,$L12-AU$11,30),0)*ROUND(($M12+$U11+SUM($W12:AU12))*$S$5/3000,2),"")</f>
        <v>0</v>
      </c>
      <c r="AW12" s="3">
        <f>IF($J12&lt;&gt;"",IF($L12&gt;AV$11,IF($L12&lt;AW$11,$L12-AV$11,30),0)*ROUND(($M12+$U11+SUM($W12:AV12))*$S$5/3000,2),"")</f>
        <v>0</v>
      </c>
      <c r="AX12" s="3">
        <f>IF($J12&lt;&gt;"",IF($L12&gt;AW$11,IF($L12&lt;AX$11,$L12-AW$11,30),0)*ROUND(($M12+$U11+SUM($W12:AW12))*$S$5/3000,2),"")</f>
        <v>0</v>
      </c>
      <c r="AY12" s="3">
        <f>IF($J12&lt;&gt;"",IF($L12&gt;AX$11,IF($L12&lt;AY$11,$L12-AX$11,30),0)*ROUND(($M12+$U11+SUM($W12:AX12))*$S$5/3000,2),"")</f>
        <v>0</v>
      </c>
      <c r="AZ12" s="3">
        <f>IF($J12&lt;&gt;"",IF($L12&gt;AY$11,IF($L12&lt;AZ$11,$L12-AY$11,30),0)*ROUND(($M12+$U11+SUM($W12:AY12))*$S$5/3000,2),"")</f>
        <v>0</v>
      </c>
      <c r="BA12" s="3">
        <f>IF($J12&lt;&gt;"",IF($L12&gt;AZ$11,IF($L12&lt;BA$11,$L12-AZ$11,30),0)*ROUND(($M12+$U11+SUM($W12:AZ12))*$S$5/3000,2),"")</f>
        <v>0</v>
      </c>
      <c r="BB12" s="3">
        <f>IF($J12&lt;&gt;"",IF($L12&gt;BA$11,IF($L12&lt;BB$11,$L12-BA$11,30),0)*ROUND(($M12+$U11+SUM($W12:BA12))*$S$5/3000,2),"")</f>
        <v>0</v>
      </c>
      <c r="BC12" s="3">
        <f>IF($J12&lt;&gt;"",IF($L12&gt;BB$11,IF($L12&lt;BC$11,$L12-BB$11,30),0)*ROUND(($M12+$U11+SUM($W12:BB12))*$S$5/3000,2),"")</f>
        <v>0</v>
      </c>
      <c r="BD12" s="3">
        <f>IF($J12&lt;&gt;"",IF($L12&gt;BC$11,IF($L12&lt;BD$11,$L12-BC$11,30),0)*ROUND(($M12+$U11+SUM($W12:BC12))*$S$5/3000,2),"")</f>
        <v>0</v>
      </c>
      <c r="BE12" s="3">
        <f>IF($J12&lt;&gt;"",IF($L12&gt;BD$11,IF($L12&lt;BE$11,$L12-BD$11,30),0)*ROUND(($M12+$U11+SUM($W12:BD12))*$S$5/3000,2),"")</f>
        <v>0</v>
      </c>
      <c r="BF12" s="3">
        <f>IF($J12&lt;&gt;"",IF($L12&gt;BE$11,IF($L12&lt;BF$11,$L12-BE$11,30),0)*ROUND(($M12+$U11+SUM($W12:BE12))*$S$5/3000,2),"")</f>
        <v>0</v>
      </c>
      <c r="BG12" s="3">
        <f>IF($J12&lt;&gt;"",IF($L12&gt;BF$11,IF($L12&lt;BG$11,$L12-BF$11,30),0)*ROUND(($M12+$U11+SUM($W12:BF12))*$S$5/3000,2),"")</f>
        <v>0</v>
      </c>
      <c r="BH12" s="3">
        <f>IF($J12&lt;&gt;"",IF($L12&gt;BG$11,IF($L12&lt;BH$11,$L12-BG$11,30),0)*ROUND(($M12+$U11+SUM($W12:BG12))*$S$5/3000,2),"")</f>
        <v>0</v>
      </c>
      <c r="BI12" s="3">
        <f>IF($J12&lt;&gt;"",IF($L12&gt;BH$11,IF($L12&lt;BI$11,$L12-BH$11,30),0)*ROUND(($M12+$U11+SUM($W12:BH12))*$S$5/3000,2),"")</f>
        <v>0</v>
      </c>
      <c r="BJ12" s="3">
        <f>IF($J12&lt;&gt;"",IF($L12&gt;BI$11,IF($L12&lt;BJ$11,$L12-BI$11,30),0)*ROUND(($M12+$U11+SUM($W12:BI12))*$S$5/3000,2),"")</f>
        <v>0</v>
      </c>
      <c r="BK12" s="3">
        <f>IF($J12&lt;&gt;"",IF($L12&gt;BJ$11,IF($L12&lt;BK$11,$L12-BJ$11,30),0)*ROUND(($M12+$U11+SUM($W12:BJ12))*$S$5/3000,2),"")</f>
        <v>0</v>
      </c>
      <c r="BL12" s="3">
        <f>IF($J12&lt;&gt;"",IF($L12&gt;BK$11,IF($L12&lt;BL$11,$L12-BK$11,30),0)*ROUND(($M12+$U11+SUM($W12:BK12))*$S$5/3000,2),"")</f>
        <v>0</v>
      </c>
      <c r="BM12" s="3">
        <f>IF($J12&lt;&gt;"",IF($L12&gt;BL$11,IF($L12&lt;BM$11,$L12-BL$11,30),0)*ROUND(($M12+$U11+SUM($W12:BL12))*$S$5/3000,2),"")</f>
        <v>0</v>
      </c>
      <c r="BN12" s="3">
        <f>IF($J12&lt;&gt;"",IF($L12&gt;BM$11,IF($L12&lt;BN$11,$L12-BM$11,30),0)*ROUND(($M12+$U11+SUM($W12:BM12))*$S$5/3000,2),"")</f>
        <v>0</v>
      </c>
      <c r="BO12" s="3">
        <f>IF($J12&lt;&gt;"",IF($L12&gt;BN$11,IF($L12&lt;BO$11,$L12-BN$11,30),0)*ROUND(($M12+$U11+SUM($W12:BN12))*$S$5/3000,2),"")</f>
        <v>0</v>
      </c>
      <c r="BP12" s="3">
        <f>IF($J12&lt;&gt;"",IF($L12&gt;BO$11,IF($L12&lt;BP$11,$L12-BO$11,30),0)*ROUND(($M12+$U11+SUM($W12:BO12))*$S$5/3000,2),"")</f>
        <v>0</v>
      </c>
      <c r="BQ12" s="3">
        <f>IF($J12&lt;&gt;"",IF($L12&gt;BP$11,IF($L12&lt;BQ$11,$L12-BP$11,30),0)*ROUND(($M12+$U11+SUM($W12:BP12))*$S$5/3000,2),"")</f>
        <v>0</v>
      </c>
      <c r="BR12" s="3">
        <f>IF($J12&lt;&gt;"",IF($L12&gt;BQ$11,IF($L12&lt;BR$11,$L12-BQ$11,30),0)*ROUND(($M12+$U11+SUM($W12:BQ12))*$S$5/3000,2),"")</f>
        <v>0</v>
      </c>
      <c r="BS12" s="3">
        <f>IF($J12&lt;&gt;"",IF($L12&gt;BR$11,IF($L12&lt;BS$11,$L12-BR$11,30),0)*ROUND(($M12+$U11+SUM($W12:BR12))*$S$5/3000,2),"")</f>
        <v>0</v>
      </c>
      <c r="BT12" s="3">
        <f>IF($J12&lt;&gt;"",IF($L12&gt;BS$11,IF($L12&lt;BT$11,$L12-BS$11,30),0)*ROUND(($M12+$U11+SUM($W12:BS12))*$S$5/3000,2),"")</f>
        <v>0</v>
      </c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</row>
    <row r="13" spans="1:83" x14ac:dyDescent="0.25">
      <c r="D13" s="5"/>
      <c r="E13" t="str">
        <f t="shared" si="0"/>
        <v>lu</v>
      </c>
      <c r="F13" s="5">
        <f>IF($J13&lt;&gt;"",EOMONTH(DATE(YEAR($L$6),$F$11+J13+SUM($B$12:B13),1),0),"")</f>
        <v>43646</v>
      </c>
      <c r="G13" s="22">
        <f t="shared" si="1"/>
        <v>2</v>
      </c>
      <c r="H13" s="22">
        <f t="shared" si="2"/>
        <v>48.06</v>
      </c>
      <c r="I13" s="22">
        <f t="shared" si="3"/>
        <v>0</v>
      </c>
      <c r="J13">
        <f t="shared" si="4"/>
        <v>2</v>
      </c>
      <c r="K13" s="5">
        <f>IF($J13&lt;&gt;"",IF(ULTIMODIA=0,IF($D13="",DATE(YEAR($L$7),MONTH($L$7)+($A$1*($G13-1))+SUM($B$12:$B13),DAY($L$7)),$D13),F13),"")</f>
        <v>43647</v>
      </c>
      <c r="L13" s="9">
        <f t="shared" si="5"/>
        <v>31</v>
      </c>
      <c r="M13" s="3">
        <f t="shared" si="6"/>
        <v>5832.53</v>
      </c>
      <c r="N13" s="3">
        <f t="shared" si="7"/>
        <v>279.01</v>
      </c>
      <c r="O13" s="3">
        <f t="shared" si="8"/>
        <v>230.95</v>
      </c>
      <c r="P13" s="3">
        <f t="shared" si="9"/>
        <v>48.06</v>
      </c>
      <c r="Q13" s="8">
        <f t="shared" si="10"/>
        <v>0</v>
      </c>
      <c r="R13" s="8">
        <f t="shared" si="11"/>
        <v>0</v>
      </c>
      <c r="S13" s="3">
        <f t="shared" si="12"/>
        <v>0</v>
      </c>
      <c r="T13" s="3">
        <f t="shared" si="13"/>
        <v>5601.58</v>
      </c>
      <c r="U13" s="3">
        <f t="shared" si="14"/>
        <v>0</v>
      </c>
      <c r="V13" s="3">
        <f t="shared" si="15"/>
        <v>48.06</v>
      </c>
      <c r="W13" s="3">
        <f t="shared" si="16"/>
        <v>46.5</v>
      </c>
      <c r="X13" s="3">
        <f>IF($J13&lt;&gt;"",IF($L13&gt;W$11,IF($L13&lt;X$11,$L13-W$11,30),0)*ROUND(($M13+$U12+SUM($W13:W13))*$S$5/3000,2),"")</f>
        <v>1.56</v>
      </c>
      <c r="Y13" s="3"/>
      <c r="Z13" s="3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</row>
    <row r="14" spans="1:83" x14ac:dyDescent="0.25">
      <c r="D14" s="5"/>
      <c r="E14" t="str">
        <f t="shared" si="0"/>
        <v>mi</v>
      </c>
      <c r="F14" s="5">
        <f>IF($J14&lt;&gt;"",EOMONTH(DATE(YEAR($L$6),$F$11+J14+SUM($B$12:B14),1),0),"")</f>
        <v>43677</v>
      </c>
      <c r="G14" s="22">
        <f t="shared" si="1"/>
        <v>3</v>
      </c>
      <c r="H14" s="22">
        <f t="shared" si="2"/>
        <v>44.7</v>
      </c>
      <c r="I14" s="22">
        <f t="shared" si="3"/>
        <v>0</v>
      </c>
      <c r="J14">
        <f t="shared" si="4"/>
        <v>3</v>
      </c>
      <c r="K14" s="5">
        <f>IF($J14&lt;&gt;"",IF(ULTIMODIA=0,IF($D14="",DATE(YEAR($L$7),MONTH($L$7)+($A$1*($G14-1))+SUM($B$12:$B14),DAY($L$7)),$D14),F14),"")</f>
        <v>43677</v>
      </c>
      <c r="L14" s="9">
        <f t="shared" si="5"/>
        <v>30</v>
      </c>
      <c r="M14" s="3">
        <f t="shared" si="6"/>
        <v>5601.58</v>
      </c>
      <c r="N14" s="3">
        <f t="shared" si="7"/>
        <v>279.01</v>
      </c>
      <c r="O14" s="3">
        <f t="shared" si="8"/>
        <v>234.31</v>
      </c>
      <c r="P14" s="3">
        <f t="shared" si="9"/>
        <v>44.7</v>
      </c>
      <c r="Q14" s="8">
        <f t="shared" si="10"/>
        <v>0</v>
      </c>
      <c r="R14" s="8">
        <f t="shared" si="11"/>
        <v>0</v>
      </c>
      <c r="S14" s="3">
        <f t="shared" si="12"/>
        <v>0</v>
      </c>
      <c r="T14" s="3">
        <f t="shared" si="13"/>
        <v>5367.2699999999995</v>
      </c>
      <c r="U14" s="3">
        <f t="shared" si="14"/>
        <v>0</v>
      </c>
      <c r="V14" s="3">
        <f t="shared" si="15"/>
        <v>44.7</v>
      </c>
      <c r="W14" s="3">
        <f t="shared" si="16"/>
        <v>44.7</v>
      </c>
      <c r="X14" s="3">
        <f>IF($J14&lt;&gt;"",IF($L14&gt;W$11,IF($L14&lt;X$11,$L14-W$11,30),0)*ROUND(($M14+$U13+SUM($W14:W14))*$S$5/3000,2),"")</f>
        <v>0</v>
      </c>
      <c r="Y14" s="3"/>
      <c r="Z14" s="3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</row>
    <row r="15" spans="1:83" x14ac:dyDescent="0.25">
      <c r="D15" s="5"/>
      <c r="E15" t="str">
        <f t="shared" si="0"/>
        <v>sá</v>
      </c>
      <c r="F15" s="5">
        <f>IF($J15&lt;&gt;"",EOMONTH(DATE(YEAR($L$6),$F$11+J15+SUM($B$12:B15),1),0),"")</f>
        <v>43708</v>
      </c>
      <c r="G15" s="22">
        <f t="shared" si="1"/>
        <v>4</v>
      </c>
      <c r="H15" s="22">
        <f t="shared" si="2"/>
        <v>44.339999999999996</v>
      </c>
      <c r="I15" s="22">
        <f t="shared" si="3"/>
        <v>0</v>
      </c>
      <c r="J15">
        <f t="shared" si="4"/>
        <v>4</v>
      </c>
      <c r="K15" s="5">
        <f>IF($J15&lt;&gt;"",IF(ULTIMODIA=0,IF($D15="",DATE(YEAR($L$7),MONTH($L$7)+($A$1*($G15-1))+SUM($B$12:$B15),DAY($L$7)),$D15),F15),"")</f>
        <v>43708</v>
      </c>
      <c r="L15" s="9">
        <f t="shared" si="5"/>
        <v>31</v>
      </c>
      <c r="M15" s="3">
        <f t="shared" si="6"/>
        <v>5367.2699999999995</v>
      </c>
      <c r="N15" s="3">
        <f t="shared" si="7"/>
        <v>279.01</v>
      </c>
      <c r="O15" s="3">
        <f t="shared" si="8"/>
        <v>234.67</v>
      </c>
      <c r="P15" s="3">
        <f t="shared" si="9"/>
        <v>44.339999999999996</v>
      </c>
      <c r="Q15" s="8">
        <f t="shared" si="10"/>
        <v>0</v>
      </c>
      <c r="R15" s="8">
        <f t="shared" si="11"/>
        <v>0</v>
      </c>
      <c r="S15" s="3">
        <f t="shared" si="12"/>
        <v>0</v>
      </c>
      <c r="T15" s="3">
        <f t="shared" si="13"/>
        <v>5132.5999999999995</v>
      </c>
      <c r="U15" s="3">
        <f t="shared" si="14"/>
        <v>0</v>
      </c>
      <c r="V15" s="3">
        <f t="shared" si="15"/>
        <v>44.339999999999996</v>
      </c>
      <c r="W15" s="3">
        <f t="shared" si="16"/>
        <v>42.9</v>
      </c>
      <c r="X15" s="3">
        <f>IF($J15&lt;&gt;"",IF($L15&gt;W$11,IF($L15&lt;X$11,$L15-W$11,30),0)*ROUND(($M15+$U14+SUM($W15:W15))*$S$5/3000,2),"")</f>
        <v>1.44</v>
      </c>
      <c r="Y15" s="3"/>
      <c r="Z15" s="3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</row>
    <row r="16" spans="1:83" x14ac:dyDescent="0.25">
      <c r="D16" s="5"/>
      <c r="E16" t="str">
        <f t="shared" si="0"/>
        <v>ma</v>
      </c>
      <c r="F16" s="5">
        <f>IF($J16&lt;&gt;"",EOMONTH(DATE(YEAR($L$6),$F$11+J16+SUM($B$12:B16),1),0),"")</f>
        <v>43738</v>
      </c>
      <c r="G16" s="22">
        <f t="shared" si="1"/>
        <v>5</v>
      </c>
      <c r="H16" s="22">
        <f t="shared" si="2"/>
        <v>42.180000000000007</v>
      </c>
      <c r="I16" s="22">
        <f t="shared" si="3"/>
        <v>0</v>
      </c>
      <c r="J16">
        <f t="shared" si="4"/>
        <v>5</v>
      </c>
      <c r="K16" s="5">
        <f>IF($J16&lt;&gt;"",IF(ULTIMODIA=0,IF($D16="",DATE(YEAR($L$7),MONTH($L$7)+($A$1*($G16-1))+SUM($B$12:$B16),DAY($L$7)),$D16),F16),"")</f>
        <v>43739</v>
      </c>
      <c r="L16" s="9">
        <f t="shared" si="5"/>
        <v>31</v>
      </c>
      <c r="M16" s="3">
        <f t="shared" si="6"/>
        <v>5132.5999999999995</v>
      </c>
      <c r="N16" s="3">
        <f t="shared" si="7"/>
        <v>279.01</v>
      </c>
      <c r="O16" s="3">
        <f t="shared" si="8"/>
        <v>236.82999999999998</v>
      </c>
      <c r="P16" s="3">
        <f t="shared" si="9"/>
        <v>42.180000000000007</v>
      </c>
      <c r="Q16" s="8">
        <f t="shared" si="10"/>
        <v>0</v>
      </c>
      <c r="R16" s="8">
        <f t="shared" si="11"/>
        <v>0</v>
      </c>
      <c r="S16" s="3">
        <f t="shared" si="12"/>
        <v>0</v>
      </c>
      <c r="T16" s="3">
        <f t="shared" si="13"/>
        <v>4895.7699999999995</v>
      </c>
      <c r="U16" s="3">
        <f t="shared" si="14"/>
        <v>0</v>
      </c>
      <c r="V16" s="3">
        <f t="shared" si="15"/>
        <v>42.180000000000007</v>
      </c>
      <c r="W16" s="3">
        <f t="shared" si="16"/>
        <v>40.800000000000004</v>
      </c>
      <c r="X16" s="3">
        <f>IF($J16&lt;&gt;"",IF($L16&gt;W$11,IF($L16&lt;X$11,$L16-W$11,30),0)*ROUND(($M16+$U15+SUM($W16:W16))*$S$5/3000,2),"")</f>
        <v>1.38</v>
      </c>
      <c r="Y16" s="3"/>
      <c r="Z16" s="3"/>
      <c r="AA16" s="3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</row>
    <row r="17" spans="1:83" x14ac:dyDescent="0.25">
      <c r="D17" s="5"/>
      <c r="E17" t="str">
        <f t="shared" si="0"/>
        <v>ju</v>
      </c>
      <c r="F17" s="5">
        <f>IF($J17&lt;&gt;"",EOMONTH(DATE(YEAR($L$6),$F$11+J17+SUM($B$12:B17),1),0),"")</f>
        <v>43769</v>
      </c>
      <c r="G17" s="22">
        <f t="shared" si="1"/>
        <v>6</v>
      </c>
      <c r="H17" s="22">
        <f t="shared" si="2"/>
        <v>39</v>
      </c>
      <c r="I17" s="22">
        <f t="shared" si="3"/>
        <v>0</v>
      </c>
      <c r="J17">
        <f t="shared" si="4"/>
        <v>6</v>
      </c>
      <c r="K17" s="5">
        <f>IF($J17&lt;&gt;"",IF(ULTIMODIA=0,IF($D17="",DATE(YEAR($L$7),MONTH($L$7)+($A$1*($G17-1))+SUM($B$12:$B17),DAY($L$7)),$D17),F17),"")</f>
        <v>43769</v>
      </c>
      <c r="L17" s="9">
        <f t="shared" si="5"/>
        <v>30</v>
      </c>
      <c r="M17" s="3">
        <f t="shared" si="6"/>
        <v>4895.7699999999995</v>
      </c>
      <c r="N17" s="3">
        <f t="shared" si="7"/>
        <v>279.01</v>
      </c>
      <c r="O17" s="3">
        <f t="shared" si="8"/>
        <v>240.01</v>
      </c>
      <c r="P17" s="3">
        <f t="shared" si="9"/>
        <v>39</v>
      </c>
      <c r="Q17" s="8">
        <f t="shared" si="10"/>
        <v>0</v>
      </c>
      <c r="R17" s="8">
        <f t="shared" si="11"/>
        <v>0</v>
      </c>
      <c r="S17" s="3">
        <f t="shared" si="12"/>
        <v>0</v>
      </c>
      <c r="T17" s="3">
        <f t="shared" si="13"/>
        <v>4655.7599999999993</v>
      </c>
      <c r="U17" s="3">
        <f t="shared" si="14"/>
        <v>0</v>
      </c>
      <c r="V17" s="3">
        <f t="shared" si="15"/>
        <v>39</v>
      </c>
      <c r="W17" s="3">
        <f t="shared" si="16"/>
        <v>39</v>
      </c>
      <c r="X17" s="3">
        <f>IF($J17&lt;&gt;"",IF($L17&gt;W$11,IF($L17&lt;X$11,$L17-W$11,30),0)*ROUND(($M17+$U16+SUM($W17:W17))*$S$5/3000,2),"")</f>
        <v>0</v>
      </c>
      <c r="Y17" s="3"/>
      <c r="Z17" s="3"/>
      <c r="AA17" s="3"/>
      <c r="AB17" s="3"/>
      <c r="AC17" s="3"/>
      <c r="AD17" s="3"/>
      <c r="AE17" s="3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</row>
    <row r="18" spans="1:83" x14ac:dyDescent="0.25">
      <c r="D18" s="5"/>
      <c r="E18" t="str">
        <f t="shared" si="0"/>
        <v>do</v>
      </c>
      <c r="F18" s="5">
        <f>IF($J18&lt;&gt;"",EOMONTH(DATE(YEAR($L$6),$F$11+J18+SUM($B$12:B18),1),0),"")</f>
        <v>43799</v>
      </c>
      <c r="G18" s="22">
        <f t="shared" si="1"/>
        <v>7</v>
      </c>
      <c r="H18" s="22">
        <f t="shared" si="2"/>
        <v>38.450000000000003</v>
      </c>
      <c r="I18" s="22">
        <f t="shared" si="3"/>
        <v>0</v>
      </c>
      <c r="J18">
        <f t="shared" si="4"/>
        <v>7</v>
      </c>
      <c r="K18" s="5">
        <f>IF($J18&lt;&gt;"",IF(ULTIMODIA=0,IF($D18="",DATE(YEAR($L$7),MONTH($L$7)+($A$1*($G18-1))+SUM($B$12:$B18),DAY($L$7)),$D18),F18),"")</f>
        <v>43800</v>
      </c>
      <c r="L18" s="9">
        <f t="shared" si="5"/>
        <v>31</v>
      </c>
      <c r="M18" s="3">
        <f t="shared" si="6"/>
        <v>4655.7599999999993</v>
      </c>
      <c r="N18" s="3">
        <f t="shared" si="7"/>
        <v>279.01</v>
      </c>
      <c r="O18" s="3">
        <f t="shared" si="8"/>
        <v>240.56</v>
      </c>
      <c r="P18" s="3">
        <f t="shared" si="9"/>
        <v>38.450000000000003</v>
      </c>
      <c r="Q18" s="8">
        <f t="shared" si="10"/>
        <v>0</v>
      </c>
      <c r="R18" s="8">
        <f t="shared" si="11"/>
        <v>0</v>
      </c>
      <c r="S18" s="3">
        <f t="shared" si="12"/>
        <v>0</v>
      </c>
      <c r="T18" s="3">
        <f t="shared" si="13"/>
        <v>4415.1999999999989</v>
      </c>
      <c r="U18" s="3">
        <f t="shared" si="14"/>
        <v>0</v>
      </c>
      <c r="V18" s="3">
        <f t="shared" si="15"/>
        <v>38.450000000000003</v>
      </c>
      <c r="W18" s="3">
        <f t="shared" si="16"/>
        <v>37.200000000000003</v>
      </c>
      <c r="X18" s="3">
        <f>IF($J18&lt;&gt;"",IF($L18&gt;W$11,IF($L18&lt;X$11,$L18-W$11,30),0)*ROUND(($M18+$U17+SUM($W18:W18))*$S$5/3000,2),"")</f>
        <v>1.25</v>
      </c>
      <c r="Y18" s="3"/>
      <c r="Z18" s="3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</row>
    <row r="19" spans="1:83" x14ac:dyDescent="0.25">
      <c r="D19" s="5"/>
      <c r="E19" t="str">
        <f t="shared" si="0"/>
        <v>ma</v>
      </c>
      <c r="F19" s="5">
        <f>IF($J19&lt;&gt;"",EOMONTH(DATE(YEAR($L$6),$F$11+J19+SUM($B$12:B19),1),0),"")</f>
        <v>43830</v>
      </c>
      <c r="G19" s="22">
        <f t="shared" si="1"/>
        <v>8</v>
      </c>
      <c r="H19" s="22">
        <f t="shared" si="2"/>
        <v>35.099999999999994</v>
      </c>
      <c r="I19" s="22">
        <f t="shared" si="3"/>
        <v>0</v>
      </c>
      <c r="J19">
        <f t="shared" si="4"/>
        <v>8</v>
      </c>
      <c r="K19" s="5">
        <f>IF($J19&lt;&gt;"",IF(ULTIMODIA=0,IF($D19="",DATE(YEAR($L$7),MONTH($L$7)+($A$1*($G19-1))+SUM($B$12:$B19),DAY($L$7)),$D19),F19),"")</f>
        <v>43830</v>
      </c>
      <c r="L19" s="9">
        <f t="shared" si="5"/>
        <v>30</v>
      </c>
      <c r="M19" s="3">
        <f t="shared" si="6"/>
        <v>4415.1999999999989</v>
      </c>
      <c r="N19" s="3">
        <f t="shared" si="7"/>
        <v>279.01</v>
      </c>
      <c r="O19" s="3">
        <f t="shared" si="8"/>
        <v>243.91</v>
      </c>
      <c r="P19" s="3">
        <f t="shared" si="9"/>
        <v>35.099999999999994</v>
      </c>
      <c r="Q19" s="8">
        <f t="shared" si="10"/>
        <v>0</v>
      </c>
      <c r="R19" s="8">
        <f t="shared" si="11"/>
        <v>0</v>
      </c>
      <c r="S19" s="3">
        <f t="shared" si="12"/>
        <v>0</v>
      </c>
      <c r="T19" s="3">
        <f t="shared" si="13"/>
        <v>4171.2899999999991</v>
      </c>
      <c r="U19" s="3">
        <f t="shared" si="14"/>
        <v>0</v>
      </c>
      <c r="V19" s="3">
        <f t="shared" si="15"/>
        <v>35.099999999999994</v>
      </c>
      <c r="W19" s="3">
        <f t="shared" si="16"/>
        <v>35.099999999999994</v>
      </c>
      <c r="X19" s="3">
        <f>IF($J19&lt;&gt;"",IF($L19&gt;W$11,IF($L19&lt;X$11,$L19-W$11,30),0)*ROUND(($M19+$U18+SUM($W19:W19))*$S$5/3000,2),"")</f>
        <v>0</v>
      </c>
      <c r="Y19" s="3"/>
      <c r="Z19" s="3"/>
      <c r="AA19" s="3"/>
      <c r="AB19" s="3"/>
      <c r="AC19" s="3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</row>
    <row r="20" spans="1:83" s="10" customFormat="1" x14ac:dyDescent="0.25">
      <c r="A20"/>
      <c r="B20"/>
      <c r="C20" s="20"/>
      <c r="D20" s="5"/>
      <c r="E20" t="str">
        <f t="shared" si="0"/>
        <v>vi</v>
      </c>
      <c r="F20" s="5">
        <f>IF($J20&lt;&gt;"",EOMONTH(DATE(YEAR($L$6),$F$11+J20+SUM($B$12:B20),1),0),"")</f>
        <v>43861</v>
      </c>
      <c r="G20" s="22">
        <f t="shared" si="1"/>
        <v>9</v>
      </c>
      <c r="H20" s="22">
        <f t="shared" si="2"/>
        <v>34.42</v>
      </c>
      <c r="I20" s="22">
        <f t="shared" si="3"/>
        <v>0</v>
      </c>
      <c r="J20">
        <f t="shared" si="4"/>
        <v>9</v>
      </c>
      <c r="K20" s="5">
        <f>IF($J20&lt;&gt;"",IF(ULTIMODIA=0,IF($D20="",DATE(YEAR($L$7),MONTH($L$7)+($A$1*($G20-1))+SUM($B$12:$B20),DAY($L$7)),$D20),F20),"")</f>
        <v>43861</v>
      </c>
      <c r="L20" s="9">
        <f t="shared" si="5"/>
        <v>31</v>
      </c>
      <c r="M20" s="3">
        <f t="shared" si="6"/>
        <v>4171.2899999999991</v>
      </c>
      <c r="N20" s="3">
        <f t="shared" si="7"/>
        <v>279.01</v>
      </c>
      <c r="O20" s="3">
        <f t="shared" si="8"/>
        <v>244.58999999999997</v>
      </c>
      <c r="P20" s="3">
        <f t="shared" si="9"/>
        <v>34.42</v>
      </c>
      <c r="Q20" s="8">
        <f t="shared" si="10"/>
        <v>0</v>
      </c>
      <c r="R20" s="8">
        <f t="shared" si="11"/>
        <v>0</v>
      </c>
      <c r="S20" s="3">
        <f t="shared" si="12"/>
        <v>0</v>
      </c>
      <c r="T20" s="3">
        <f t="shared" si="13"/>
        <v>3926.6999999999989</v>
      </c>
      <c r="U20" s="3">
        <f t="shared" si="14"/>
        <v>0</v>
      </c>
      <c r="V20" s="3">
        <f t="shared" si="15"/>
        <v>34.42</v>
      </c>
      <c r="W20" s="3">
        <f t="shared" si="16"/>
        <v>33.300000000000004</v>
      </c>
      <c r="X20" s="3">
        <f>IF($J20&lt;&gt;"",IF($L20&gt;W$11,IF($L20&lt;X$11,$L20-W$11,30),0)*ROUND(($M20+$U19+SUM($W20:W20))*$S$5/3000,2),"")</f>
        <v>1.1200000000000001</v>
      </c>
      <c r="Y20" s="3"/>
      <c r="Z20" s="3"/>
      <c r="AA20" s="3"/>
      <c r="AB20" s="3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</row>
    <row r="21" spans="1:83" x14ac:dyDescent="0.25">
      <c r="D21" s="5"/>
      <c r="E21" t="str">
        <f t="shared" si="0"/>
        <v>lu</v>
      </c>
      <c r="F21" s="5">
        <f>IF($J21&lt;&gt;"",EOMONTH(DATE(YEAR($L$6),$F$11+J21+SUM($B$12:B21),1),0),"")</f>
        <v>43890</v>
      </c>
      <c r="G21" s="22">
        <f t="shared" si="1"/>
        <v>10</v>
      </c>
      <c r="H21" s="22">
        <f t="shared" si="2"/>
        <v>32.25</v>
      </c>
      <c r="I21" s="22">
        <f t="shared" si="3"/>
        <v>0</v>
      </c>
      <c r="J21">
        <f t="shared" si="4"/>
        <v>10</v>
      </c>
      <c r="K21" s="5">
        <f>IF($J21&lt;&gt;"",IF(ULTIMODIA=0,IF($D21="",DATE(YEAR($L$7),MONTH($L$7)+($A$1*($G21-1))+SUM($B$12:$B21),DAY($L$7)),$D21),F21),"")</f>
        <v>43892</v>
      </c>
      <c r="L21" s="9">
        <f t="shared" si="5"/>
        <v>31</v>
      </c>
      <c r="M21" s="3">
        <f t="shared" si="6"/>
        <v>3926.6999999999989</v>
      </c>
      <c r="N21" s="3">
        <f t="shared" si="7"/>
        <v>279.01</v>
      </c>
      <c r="O21" s="3">
        <f t="shared" si="8"/>
        <v>246.76</v>
      </c>
      <c r="P21" s="3">
        <f t="shared" si="9"/>
        <v>32.25</v>
      </c>
      <c r="Q21" s="8">
        <f t="shared" si="10"/>
        <v>0</v>
      </c>
      <c r="R21" s="8">
        <f t="shared" si="11"/>
        <v>0</v>
      </c>
      <c r="S21" s="3">
        <f t="shared" si="12"/>
        <v>0</v>
      </c>
      <c r="T21" s="3">
        <f t="shared" si="13"/>
        <v>3679.9399999999987</v>
      </c>
      <c r="U21" s="3">
        <f t="shared" si="14"/>
        <v>0</v>
      </c>
      <c r="V21" s="3">
        <f t="shared" si="15"/>
        <v>32.25</v>
      </c>
      <c r="W21" s="3">
        <f t="shared" si="16"/>
        <v>31.200000000000003</v>
      </c>
      <c r="X21" s="3">
        <f>IF($J21&lt;&gt;"",IF($L21&gt;W$11,IF($L21&lt;X$11,$L21-W$11,30),0)*ROUND(($M21+$U20+SUM($W21:W21))*$S$5/3000,2),"")</f>
        <v>1.05</v>
      </c>
      <c r="Y21" s="3"/>
      <c r="Z21" s="3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</row>
    <row r="22" spans="1:83" x14ac:dyDescent="0.25">
      <c r="D22" s="5"/>
      <c r="E22" t="str">
        <f t="shared" si="0"/>
        <v>ma</v>
      </c>
      <c r="F22" s="5">
        <f>IF($J22&lt;&gt;"",EOMONTH(DATE(YEAR($L$6),$F$11+J22+SUM($B$12:B22),1),0),"")</f>
        <v>43921</v>
      </c>
      <c r="G22" s="22">
        <f t="shared" si="1"/>
        <v>11</v>
      </c>
      <c r="H22" s="22">
        <f t="shared" si="2"/>
        <v>28.419999999999998</v>
      </c>
      <c r="I22" s="22">
        <f t="shared" si="3"/>
        <v>0</v>
      </c>
      <c r="J22">
        <f t="shared" si="4"/>
        <v>11</v>
      </c>
      <c r="K22" s="5">
        <f>IF($J22&lt;&gt;"",IF(ULTIMODIA=0,IF($D22="",DATE(YEAR($L$7),MONTH($L$7)+($A$1*($G22-1))+SUM($B$12:$B22),DAY($L$7)),$D22),F22),"")</f>
        <v>43921</v>
      </c>
      <c r="L22" s="9">
        <f t="shared" si="5"/>
        <v>29</v>
      </c>
      <c r="M22" s="3">
        <f t="shared" si="6"/>
        <v>3679.9399999999987</v>
      </c>
      <c r="N22" s="3">
        <f t="shared" si="7"/>
        <v>279.01</v>
      </c>
      <c r="O22" s="3">
        <f t="shared" si="8"/>
        <v>250.59</v>
      </c>
      <c r="P22" s="3">
        <f t="shared" si="9"/>
        <v>28.419999999999998</v>
      </c>
      <c r="Q22" s="8">
        <f t="shared" si="10"/>
        <v>0</v>
      </c>
      <c r="R22" s="8">
        <f t="shared" si="11"/>
        <v>0</v>
      </c>
      <c r="S22" s="3">
        <f t="shared" si="12"/>
        <v>0</v>
      </c>
      <c r="T22" s="3">
        <f t="shared" si="13"/>
        <v>3429.3499999999985</v>
      </c>
      <c r="U22" s="3">
        <f t="shared" si="14"/>
        <v>0</v>
      </c>
      <c r="V22" s="3">
        <f t="shared" si="15"/>
        <v>28.419999999999998</v>
      </c>
      <c r="W22" s="3">
        <f t="shared" si="16"/>
        <v>28.419999999999998</v>
      </c>
      <c r="X22" s="3">
        <f>IF($J22&lt;&gt;"",IF($L22&gt;W$11,IF($L22&lt;X$11,$L22-W$11,30),0)*ROUND(($M22+$U21+SUM($W22:W22))*$S$5/3000,2),"")</f>
        <v>0</v>
      </c>
      <c r="Y22" s="3"/>
      <c r="Z22" s="3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</row>
    <row r="23" spans="1:83" x14ac:dyDescent="0.25">
      <c r="D23" s="5"/>
      <c r="E23" t="str">
        <f t="shared" si="0"/>
        <v>vi</v>
      </c>
      <c r="F23" s="5">
        <f>IF($J23&lt;&gt;"",EOMONTH(DATE(YEAR($L$6),$F$11+J23+SUM($B$12:B23),1),0),"")</f>
        <v>43951</v>
      </c>
      <c r="G23" s="22">
        <f t="shared" si="1"/>
        <v>12</v>
      </c>
      <c r="H23" s="22">
        <f t="shared" si="2"/>
        <v>28.220000000000002</v>
      </c>
      <c r="I23" s="22">
        <f t="shared" si="3"/>
        <v>0</v>
      </c>
      <c r="J23">
        <f t="shared" si="4"/>
        <v>12</v>
      </c>
      <c r="K23" s="5">
        <f>IF($J23&lt;&gt;"",IF(ULTIMODIA=0,IF($D23="",DATE(YEAR($L$7),MONTH($L$7)+($A$1*($G23-1))+SUM($B$12:$B23),DAY($L$7)),$D23),F23),"")</f>
        <v>43952</v>
      </c>
      <c r="L23" s="9">
        <f t="shared" si="5"/>
        <v>31</v>
      </c>
      <c r="M23" s="3">
        <f t="shared" si="6"/>
        <v>3429.3499999999985</v>
      </c>
      <c r="N23" s="3">
        <f t="shared" si="7"/>
        <v>279.01</v>
      </c>
      <c r="O23" s="3">
        <f t="shared" si="8"/>
        <v>250.79</v>
      </c>
      <c r="P23" s="3">
        <f t="shared" si="9"/>
        <v>28.220000000000002</v>
      </c>
      <c r="Q23" s="8">
        <f t="shared" si="10"/>
        <v>0</v>
      </c>
      <c r="R23" s="8">
        <f t="shared" si="11"/>
        <v>0</v>
      </c>
      <c r="S23" s="3">
        <f t="shared" si="12"/>
        <v>0</v>
      </c>
      <c r="T23" s="3">
        <f t="shared" si="13"/>
        <v>3178.5599999999986</v>
      </c>
      <c r="U23" s="3">
        <f t="shared" si="14"/>
        <v>0</v>
      </c>
      <c r="V23" s="3">
        <f t="shared" si="15"/>
        <v>28.220000000000002</v>
      </c>
      <c r="W23" s="3">
        <f t="shared" si="16"/>
        <v>27.3</v>
      </c>
      <c r="X23" s="3">
        <f>IF($J23&lt;&gt;"",IF($L23&gt;W$11,IF($L23&lt;X$11,$L23-W$11,30),0)*ROUND(($M23+$U22+SUM($W23:W23))*$S$5/3000,2),"")</f>
        <v>0.92</v>
      </c>
      <c r="Y23" s="3"/>
      <c r="Z23" s="3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</row>
    <row r="24" spans="1:83" x14ac:dyDescent="0.25">
      <c r="D24" s="5"/>
      <c r="E24" t="str">
        <f t="shared" si="0"/>
        <v>do</v>
      </c>
      <c r="F24" s="5">
        <f>IF($J24&lt;&gt;"",EOMONTH(DATE(YEAR($L$6),$F$11+J24+SUM($B$12:B24),1),0),"")</f>
        <v>43982</v>
      </c>
      <c r="G24" s="22">
        <f t="shared" si="1"/>
        <v>13</v>
      </c>
      <c r="H24" s="22">
        <f t="shared" si="2"/>
        <v>25.2</v>
      </c>
      <c r="I24" s="22">
        <f t="shared" si="3"/>
        <v>0</v>
      </c>
      <c r="J24">
        <f t="shared" si="4"/>
        <v>13</v>
      </c>
      <c r="K24" s="5">
        <f>IF($J24&lt;&gt;"",IF(ULTIMODIA=0,IF($D24="",DATE(YEAR($L$7),MONTH($L$7)+($A$1*($G24-1))+SUM($B$12:$B24),DAY($L$7)),$D24),F24),"")</f>
        <v>43982</v>
      </c>
      <c r="L24" s="9">
        <f t="shared" si="5"/>
        <v>30</v>
      </c>
      <c r="M24" s="3">
        <f t="shared" si="6"/>
        <v>3178.5599999999986</v>
      </c>
      <c r="N24" s="3">
        <f t="shared" si="7"/>
        <v>279.01</v>
      </c>
      <c r="O24" s="3">
        <f t="shared" si="8"/>
        <v>253.81</v>
      </c>
      <c r="P24" s="3">
        <f t="shared" si="9"/>
        <v>25.2</v>
      </c>
      <c r="Q24" s="8">
        <f t="shared" si="10"/>
        <v>0</v>
      </c>
      <c r="R24" s="8">
        <f t="shared" si="11"/>
        <v>0</v>
      </c>
      <c r="S24" s="3">
        <f t="shared" si="12"/>
        <v>0</v>
      </c>
      <c r="T24" s="3">
        <f t="shared" si="13"/>
        <v>2924.7499999999986</v>
      </c>
      <c r="U24" s="3">
        <f t="shared" si="14"/>
        <v>0</v>
      </c>
      <c r="V24" s="3">
        <f t="shared" si="15"/>
        <v>25.2</v>
      </c>
      <c r="W24" s="3">
        <f t="shared" si="16"/>
        <v>25.2</v>
      </c>
      <c r="X24" s="3">
        <f>IF($J24&lt;&gt;"",IF($L24&gt;W$11,IF($L24&lt;X$11,$L24-W$11,30),0)*ROUND(($M24+$U23+SUM($W24:W24))*$S$5/3000,2),"")</f>
        <v>0</v>
      </c>
      <c r="Y24" s="3"/>
      <c r="Z24" s="3"/>
      <c r="AA24" s="3"/>
      <c r="AB24" s="3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</row>
    <row r="25" spans="1:83" x14ac:dyDescent="0.25">
      <c r="D25" s="5"/>
      <c r="E25" t="str">
        <f t="shared" si="0"/>
        <v>mi</v>
      </c>
      <c r="F25" s="5">
        <f>IF($J25&lt;&gt;"",EOMONTH(DATE(YEAR($L$6),$F$11+J25+SUM($B$12:B25),1),0),"")</f>
        <v>44012</v>
      </c>
      <c r="G25" s="22">
        <f t="shared" si="1"/>
        <v>14</v>
      </c>
      <c r="H25" s="22">
        <f t="shared" si="2"/>
        <v>24.180000000000003</v>
      </c>
      <c r="I25" s="22">
        <f t="shared" si="3"/>
        <v>0</v>
      </c>
      <c r="J25">
        <f t="shared" si="4"/>
        <v>14</v>
      </c>
      <c r="K25" s="5">
        <f>IF($J25&lt;&gt;"",IF(ULTIMODIA=0,IF($D25="",DATE(YEAR($L$7),MONTH($L$7)+($A$1*($G25-1))+SUM($B$12:$B25),DAY($L$7)),$D25),F25),"")</f>
        <v>44013</v>
      </c>
      <c r="L25" s="9">
        <f t="shared" si="5"/>
        <v>31</v>
      </c>
      <c r="M25" s="3">
        <f t="shared" si="6"/>
        <v>2924.7499999999986</v>
      </c>
      <c r="N25" s="3">
        <f t="shared" si="7"/>
        <v>279.01</v>
      </c>
      <c r="O25" s="3">
        <f t="shared" si="8"/>
        <v>254.82999999999998</v>
      </c>
      <c r="P25" s="3">
        <f t="shared" si="9"/>
        <v>24.180000000000003</v>
      </c>
      <c r="Q25" s="8">
        <f t="shared" si="10"/>
        <v>0</v>
      </c>
      <c r="R25" s="8">
        <f t="shared" si="11"/>
        <v>0</v>
      </c>
      <c r="S25" s="3">
        <f t="shared" si="12"/>
        <v>0</v>
      </c>
      <c r="T25" s="3">
        <f t="shared" si="13"/>
        <v>2669.9199999999987</v>
      </c>
      <c r="U25" s="3">
        <f t="shared" si="14"/>
        <v>0</v>
      </c>
      <c r="V25" s="3">
        <f t="shared" si="15"/>
        <v>24.180000000000003</v>
      </c>
      <c r="W25" s="3">
        <f t="shared" si="16"/>
        <v>23.400000000000002</v>
      </c>
      <c r="X25" s="3">
        <f>IF($J25&lt;&gt;"",IF($L25&gt;W$11,IF($L25&lt;X$11,$L25-W$11,30),0)*ROUND(($M25+$U24+SUM($W25:W25))*$S$5/3000,2),"")</f>
        <v>0.78</v>
      </c>
      <c r="Y25" s="3"/>
      <c r="Z25" s="3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</row>
    <row r="26" spans="1:83" x14ac:dyDescent="0.25">
      <c r="D26" s="5"/>
      <c r="E26" t="str">
        <f t="shared" si="0"/>
        <v>vi</v>
      </c>
      <c r="F26" s="5">
        <f>IF($J26&lt;&gt;"",EOMONTH(DATE(YEAR($L$6),$F$11+J26+SUM($B$12:B26),1),0),"")</f>
        <v>44043</v>
      </c>
      <c r="G26" s="22">
        <f t="shared" si="1"/>
        <v>15</v>
      </c>
      <c r="H26" s="22">
        <f t="shared" si="2"/>
        <v>21.299999999999997</v>
      </c>
      <c r="I26" s="22">
        <f t="shared" si="3"/>
        <v>0</v>
      </c>
      <c r="J26">
        <f t="shared" si="4"/>
        <v>15</v>
      </c>
      <c r="K26" s="5">
        <f>IF($J26&lt;&gt;"",IF(ULTIMODIA=0,IF($D26="",DATE(YEAR($L$7),MONTH($L$7)+($A$1*($G26-1))+SUM($B$12:$B26),DAY($L$7)),$D26),F26),"")</f>
        <v>44043</v>
      </c>
      <c r="L26" s="9">
        <f t="shared" si="5"/>
        <v>30</v>
      </c>
      <c r="M26" s="3">
        <f t="shared" si="6"/>
        <v>2669.9199999999987</v>
      </c>
      <c r="N26" s="3">
        <f t="shared" si="7"/>
        <v>279.01</v>
      </c>
      <c r="O26" s="3">
        <f t="shared" si="8"/>
        <v>257.70999999999998</v>
      </c>
      <c r="P26" s="3">
        <f t="shared" si="9"/>
        <v>21.299999999999997</v>
      </c>
      <c r="Q26" s="8">
        <f t="shared" si="10"/>
        <v>0</v>
      </c>
      <c r="R26" s="8">
        <f t="shared" si="11"/>
        <v>0</v>
      </c>
      <c r="S26" s="3">
        <f t="shared" si="12"/>
        <v>0</v>
      </c>
      <c r="T26" s="3">
        <f t="shared" si="13"/>
        <v>2412.2099999999987</v>
      </c>
      <c r="U26" s="3">
        <f t="shared" si="14"/>
        <v>0</v>
      </c>
      <c r="V26" s="3">
        <f t="shared" si="15"/>
        <v>21.299999999999997</v>
      </c>
      <c r="W26" s="3">
        <f t="shared" si="16"/>
        <v>21.299999999999997</v>
      </c>
      <c r="X26" s="3">
        <f>IF($J26&lt;&gt;"",IF($L26&gt;W$11,IF($L26&lt;X$11,$L26-W$11,30),0)*ROUND(($M26+$U25+SUM($W26:W26))*$S$5/3000,2),"")</f>
        <v>0</v>
      </c>
      <c r="Y26" s="3"/>
      <c r="Z26" s="3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</row>
    <row r="27" spans="1:83" x14ac:dyDescent="0.25">
      <c r="D27" s="5"/>
      <c r="E27" t="str">
        <f t="shared" si="0"/>
        <v>lu</v>
      </c>
      <c r="F27" s="5">
        <f>IF($J27&lt;&gt;"",EOMONTH(DATE(YEAR($L$6),$F$11+J27+SUM($B$12:B27),1),0),"")</f>
        <v>44074</v>
      </c>
      <c r="G27" s="22">
        <f t="shared" si="1"/>
        <v>16</v>
      </c>
      <c r="H27" s="22">
        <f t="shared" si="2"/>
        <v>19.849999999999998</v>
      </c>
      <c r="I27" s="22">
        <f t="shared" si="3"/>
        <v>0</v>
      </c>
      <c r="J27">
        <f t="shared" si="4"/>
        <v>16</v>
      </c>
      <c r="K27" s="5">
        <f>IF($J27&lt;&gt;"",IF(ULTIMODIA=0,IF($D27="",DATE(YEAR($L$7),MONTH($L$7)+($A$1*($G27-1))+SUM($B$12:$B27),DAY($L$7)),$D27),F27),"")</f>
        <v>44074</v>
      </c>
      <c r="L27" s="9">
        <f t="shared" si="5"/>
        <v>31</v>
      </c>
      <c r="M27" s="3">
        <f t="shared" si="6"/>
        <v>2412.2099999999987</v>
      </c>
      <c r="N27" s="3">
        <f t="shared" si="7"/>
        <v>279.01</v>
      </c>
      <c r="O27" s="3">
        <f t="shared" si="8"/>
        <v>259.15999999999997</v>
      </c>
      <c r="P27" s="3">
        <f t="shared" si="9"/>
        <v>19.849999999999998</v>
      </c>
      <c r="Q27" s="8">
        <f t="shared" si="10"/>
        <v>0</v>
      </c>
      <c r="R27" s="8">
        <f t="shared" si="11"/>
        <v>0</v>
      </c>
      <c r="S27" s="3">
        <f t="shared" si="12"/>
        <v>0</v>
      </c>
      <c r="T27" s="3">
        <f t="shared" si="13"/>
        <v>2153.0499999999988</v>
      </c>
      <c r="U27" s="3">
        <f t="shared" si="14"/>
        <v>0</v>
      </c>
      <c r="V27" s="3">
        <f t="shared" si="15"/>
        <v>19.849999999999998</v>
      </c>
      <c r="W27" s="3">
        <f t="shared" si="16"/>
        <v>19.2</v>
      </c>
      <c r="X27" s="3">
        <f>IF($J27&lt;&gt;"",IF($L27&gt;W$11,IF($L27&lt;X$11,$L27-W$11,30),0)*ROUND(($M27+$U26+SUM($W27:W27))*$S$5/3000,2),"")</f>
        <v>0.65</v>
      </c>
      <c r="Y27" s="3"/>
      <c r="Z27" s="3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</row>
    <row r="28" spans="1:83" x14ac:dyDescent="0.25">
      <c r="D28" s="5"/>
      <c r="E28" t="str">
        <f t="shared" si="0"/>
        <v>ju</v>
      </c>
      <c r="F28" s="5">
        <f>IF($J28&lt;&gt;"",EOMONTH(DATE(YEAR($L$6),$F$11+J28+SUM($B$12:B28),1),0),"")</f>
        <v>44104</v>
      </c>
      <c r="G28" s="22">
        <f t="shared" si="1"/>
        <v>17</v>
      </c>
      <c r="H28" s="22">
        <f t="shared" si="2"/>
        <v>17.679999999999996</v>
      </c>
      <c r="I28" s="22">
        <f t="shared" si="3"/>
        <v>0</v>
      </c>
      <c r="J28">
        <f t="shared" si="4"/>
        <v>17</v>
      </c>
      <c r="K28" s="5">
        <f>IF($J28&lt;&gt;"",IF(ULTIMODIA=0,IF($D28="",DATE(YEAR($L$7),MONTH($L$7)+($A$1*($G28-1))+SUM($B$12:$B28),DAY($L$7)),$D28),F28),"")</f>
        <v>44105</v>
      </c>
      <c r="L28" s="9">
        <f t="shared" si="5"/>
        <v>31</v>
      </c>
      <c r="M28" s="3">
        <f t="shared" si="6"/>
        <v>2153.0499999999988</v>
      </c>
      <c r="N28" s="3">
        <f t="shared" si="7"/>
        <v>279.01</v>
      </c>
      <c r="O28" s="3">
        <f t="shared" si="8"/>
        <v>261.33</v>
      </c>
      <c r="P28" s="3">
        <f t="shared" si="9"/>
        <v>17.679999999999996</v>
      </c>
      <c r="Q28" s="8">
        <f t="shared" si="10"/>
        <v>0</v>
      </c>
      <c r="R28" s="8">
        <f t="shared" si="11"/>
        <v>0</v>
      </c>
      <c r="S28" s="3">
        <f t="shared" si="12"/>
        <v>0</v>
      </c>
      <c r="T28" s="3">
        <f t="shared" si="13"/>
        <v>1891.7199999999989</v>
      </c>
      <c r="U28" s="3">
        <f t="shared" si="14"/>
        <v>0</v>
      </c>
      <c r="V28" s="3">
        <f t="shared" si="15"/>
        <v>17.679999999999996</v>
      </c>
      <c r="W28" s="3">
        <f t="shared" si="16"/>
        <v>17.099999999999998</v>
      </c>
      <c r="X28" s="3">
        <f>IF($J28&lt;&gt;"",IF($L28&gt;W$11,IF($L28&lt;X$11,$L28-W$11,30),0)*ROUND(($M28+$U27+SUM($W28:W28))*$S$5/3000,2),"")</f>
        <v>0.57999999999999996</v>
      </c>
      <c r="Y28" s="3"/>
      <c r="Z28" s="3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</row>
    <row r="29" spans="1:83" x14ac:dyDescent="0.25">
      <c r="D29" s="5"/>
      <c r="E29" t="str">
        <f t="shared" si="0"/>
        <v>sá</v>
      </c>
      <c r="F29" s="5">
        <f>IF($J29&lt;&gt;"",EOMONTH(DATE(YEAR($L$6),$F$11+J29+SUM($B$12:B29),1),0),"")</f>
        <v>44135</v>
      </c>
      <c r="G29" s="22">
        <f t="shared" si="1"/>
        <v>18</v>
      </c>
      <c r="H29" s="22">
        <f t="shared" si="2"/>
        <v>15</v>
      </c>
      <c r="I29" s="22">
        <f t="shared" si="3"/>
        <v>0</v>
      </c>
      <c r="J29">
        <f t="shared" si="4"/>
        <v>18</v>
      </c>
      <c r="K29" s="5">
        <f>IF($J29&lt;&gt;"",IF(ULTIMODIA=0,IF($D29="",DATE(YEAR($L$7),MONTH($L$7)+($A$1*($G29-1))+SUM($B$12:$B29),DAY($L$7)),$D29),F29),"")</f>
        <v>44135</v>
      </c>
      <c r="L29" s="9">
        <f t="shared" si="5"/>
        <v>30</v>
      </c>
      <c r="M29" s="3">
        <f t="shared" si="6"/>
        <v>1891.7199999999989</v>
      </c>
      <c r="N29" s="3">
        <f t="shared" si="7"/>
        <v>279.01</v>
      </c>
      <c r="O29" s="3">
        <f t="shared" si="8"/>
        <v>264.01</v>
      </c>
      <c r="P29" s="3">
        <f t="shared" si="9"/>
        <v>15</v>
      </c>
      <c r="Q29" s="8">
        <f t="shared" si="10"/>
        <v>0</v>
      </c>
      <c r="R29" s="8">
        <f t="shared" si="11"/>
        <v>0</v>
      </c>
      <c r="S29" s="3">
        <f t="shared" si="12"/>
        <v>0</v>
      </c>
      <c r="T29" s="3">
        <f t="shared" si="13"/>
        <v>1627.7099999999989</v>
      </c>
      <c r="U29" s="3">
        <f t="shared" si="14"/>
        <v>0</v>
      </c>
      <c r="V29" s="3">
        <f t="shared" si="15"/>
        <v>15</v>
      </c>
      <c r="W29" s="3">
        <f t="shared" si="16"/>
        <v>15</v>
      </c>
      <c r="X29" s="3">
        <f>IF($J29&lt;&gt;"",IF($L29&gt;W$11,IF($L29&lt;X$11,$L29-W$11,30),0)*ROUND(($M29+$U28+SUM($W29:W29))*$S$5/3000,2),"")</f>
        <v>0</v>
      </c>
      <c r="Y29" s="3"/>
      <c r="Z29" s="3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</row>
    <row r="30" spans="1:83" x14ac:dyDescent="0.25">
      <c r="D30" s="5"/>
      <c r="E30" t="str">
        <f t="shared" si="0"/>
        <v>ma</v>
      </c>
      <c r="F30" s="5">
        <f>IF($J30&lt;&gt;"",EOMONTH(DATE(YEAR($L$6),$F$11+J30+SUM($B$12:B30),1),0),"")</f>
        <v>44165</v>
      </c>
      <c r="G30" s="22">
        <f t="shared" si="1"/>
        <v>19</v>
      </c>
      <c r="H30" s="22">
        <f t="shared" si="2"/>
        <v>13.34</v>
      </c>
      <c r="I30" s="22">
        <f t="shared" si="3"/>
        <v>0</v>
      </c>
      <c r="J30">
        <f t="shared" si="4"/>
        <v>19</v>
      </c>
      <c r="K30" s="5">
        <f>IF($J30&lt;&gt;"",IF(ULTIMODIA=0,IF($D30="",DATE(YEAR($L$7),MONTH($L$7)+($A$1*($G30-1))+SUM($B$12:$B30),DAY($L$7)),$D30),F30),"")</f>
        <v>44166</v>
      </c>
      <c r="L30" s="9">
        <f t="shared" si="5"/>
        <v>31</v>
      </c>
      <c r="M30" s="3">
        <f t="shared" si="6"/>
        <v>1627.7099999999989</v>
      </c>
      <c r="N30" s="3">
        <f t="shared" si="7"/>
        <v>279.01</v>
      </c>
      <c r="O30" s="3">
        <f t="shared" si="8"/>
        <v>265.67</v>
      </c>
      <c r="P30" s="3">
        <f t="shared" si="9"/>
        <v>13.34</v>
      </c>
      <c r="Q30" s="8">
        <f t="shared" si="10"/>
        <v>0</v>
      </c>
      <c r="R30" s="8">
        <f t="shared" si="11"/>
        <v>0</v>
      </c>
      <c r="S30" s="3">
        <f t="shared" si="12"/>
        <v>0</v>
      </c>
      <c r="T30" s="3">
        <f t="shared" si="13"/>
        <v>1362.0399999999988</v>
      </c>
      <c r="U30" s="3">
        <f t="shared" si="14"/>
        <v>0</v>
      </c>
      <c r="V30" s="3">
        <f t="shared" si="15"/>
        <v>13.34</v>
      </c>
      <c r="W30" s="3">
        <f t="shared" si="16"/>
        <v>12.9</v>
      </c>
      <c r="X30" s="3">
        <f>IF($J30&lt;&gt;"",IF($L30&gt;W$11,IF($L30&lt;X$11,$L30-W$11,30),0)*ROUND(($M30+$U29+SUM($W30:W30))*$S$5/3000,2),"")</f>
        <v>0.44</v>
      </c>
      <c r="Y30" s="3"/>
      <c r="Z30" s="3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</row>
    <row r="31" spans="1:83" x14ac:dyDescent="0.25">
      <c r="D31" s="5"/>
      <c r="E31" t="str">
        <f t="shared" si="0"/>
        <v>ju</v>
      </c>
      <c r="F31" s="5">
        <f>IF($J31&lt;&gt;"",EOMONTH(DATE(YEAR($L$6),$F$11+J31+SUM($B$12:B31),1),0),"")</f>
        <v>44196</v>
      </c>
      <c r="G31" s="22">
        <f t="shared" si="1"/>
        <v>20</v>
      </c>
      <c r="H31" s="22">
        <f t="shared" si="2"/>
        <v>10.799999999999999</v>
      </c>
      <c r="I31" s="22">
        <f t="shared" si="3"/>
        <v>0</v>
      </c>
      <c r="J31">
        <f t="shared" si="4"/>
        <v>20</v>
      </c>
      <c r="K31" s="5">
        <f>IF($J31&lt;&gt;"",IF(ULTIMODIA=0,IF($D31="",DATE(YEAR($L$7),MONTH($L$7)+($A$1*($G31-1))+SUM($B$12:$B31),DAY($L$7)),$D31),F31),"")</f>
        <v>44196</v>
      </c>
      <c r="L31" s="9">
        <f t="shared" si="5"/>
        <v>30</v>
      </c>
      <c r="M31" s="3">
        <f t="shared" si="6"/>
        <v>1362.0399999999988</v>
      </c>
      <c r="N31" s="3">
        <f t="shared" si="7"/>
        <v>279.01</v>
      </c>
      <c r="O31" s="3">
        <f t="shared" si="8"/>
        <v>268.20999999999998</v>
      </c>
      <c r="P31" s="3">
        <f t="shared" si="9"/>
        <v>10.799999999999999</v>
      </c>
      <c r="Q31" s="8">
        <f t="shared" si="10"/>
        <v>0</v>
      </c>
      <c r="R31" s="8">
        <f t="shared" si="11"/>
        <v>0</v>
      </c>
      <c r="S31" s="3">
        <f t="shared" si="12"/>
        <v>0</v>
      </c>
      <c r="T31" s="3">
        <f t="shared" si="13"/>
        <v>1093.8299999999988</v>
      </c>
      <c r="U31" s="3">
        <f t="shared" si="14"/>
        <v>0</v>
      </c>
      <c r="V31" s="3">
        <f t="shared" si="15"/>
        <v>10.799999999999999</v>
      </c>
      <c r="W31" s="3">
        <f t="shared" si="16"/>
        <v>10.799999999999999</v>
      </c>
      <c r="X31" s="3">
        <f>IF($J31&lt;&gt;"",IF($L31&gt;W$11,IF($L31&lt;X$11,$L31-W$11,30),0)*ROUND(($M31+$U30+SUM($W31:W31))*$S$5/3000,2),"")</f>
        <v>0</v>
      </c>
      <c r="Y31" s="3"/>
      <c r="Z31" s="3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</row>
    <row r="32" spans="1:83" x14ac:dyDescent="0.25">
      <c r="D32" s="5"/>
      <c r="E32" t="str">
        <f t="shared" si="0"/>
        <v>do</v>
      </c>
      <c r="F32" s="5">
        <f>IF($J32&lt;&gt;"",EOMONTH(DATE(YEAR($L$6),$F$11+J32+SUM($B$12:B32),1),0),"")</f>
        <v>44227</v>
      </c>
      <c r="G32" s="22">
        <f t="shared" si="1"/>
        <v>21</v>
      </c>
      <c r="H32" s="22">
        <f t="shared" si="2"/>
        <v>8.9899999999999984</v>
      </c>
      <c r="I32" s="22">
        <f t="shared" si="3"/>
        <v>0</v>
      </c>
      <c r="J32">
        <f t="shared" si="4"/>
        <v>21</v>
      </c>
      <c r="K32" s="5">
        <f>IF($J32&lt;&gt;"",IF(ULTIMODIA=0,IF($D32="",DATE(YEAR($L$7),MONTH($L$7)+($A$1*($G32-1))+SUM($B$12:$B32),DAY($L$7)),$D32),F32),"")</f>
        <v>44227</v>
      </c>
      <c r="L32" s="9">
        <f t="shared" si="5"/>
        <v>31</v>
      </c>
      <c r="M32" s="3">
        <f t="shared" si="6"/>
        <v>1093.8299999999988</v>
      </c>
      <c r="N32" s="3">
        <f t="shared" si="7"/>
        <v>279.01</v>
      </c>
      <c r="O32" s="3">
        <f t="shared" si="8"/>
        <v>270.02</v>
      </c>
      <c r="P32" s="3">
        <f t="shared" si="9"/>
        <v>8.9899999999999984</v>
      </c>
      <c r="Q32" s="8">
        <f t="shared" si="10"/>
        <v>0</v>
      </c>
      <c r="R32" s="8">
        <f t="shared" si="11"/>
        <v>0</v>
      </c>
      <c r="S32" s="3">
        <f t="shared" si="12"/>
        <v>0</v>
      </c>
      <c r="T32" s="3">
        <f t="shared" si="13"/>
        <v>823.80999999999881</v>
      </c>
      <c r="U32" s="3">
        <f t="shared" si="14"/>
        <v>0</v>
      </c>
      <c r="V32" s="3">
        <f t="shared" si="15"/>
        <v>8.9899999999999984</v>
      </c>
      <c r="W32" s="3">
        <f t="shared" si="16"/>
        <v>8.6999999999999993</v>
      </c>
      <c r="X32" s="3">
        <f>IF($J32&lt;&gt;"",IF($L32&gt;W$11,IF($L32&lt;X$11,$L32-W$11,30),0)*ROUND(($M32+$U31+SUM($W32:W32))*$S$5/3000,2),"")</f>
        <v>0.28999999999999998</v>
      </c>
      <c r="Y32" s="3"/>
      <c r="Z32" s="3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</row>
    <row r="33" spans="4:83" x14ac:dyDescent="0.25">
      <c r="D33" s="5"/>
      <c r="E33" t="str">
        <f t="shared" si="0"/>
        <v>mi</v>
      </c>
      <c r="F33" s="5">
        <f>IF($J33&lt;&gt;"",EOMONTH(DATE(YEAR($L$6),$F$11+J33+SUM($B$12:B33),1),0),"")</f>
        <v>44255</v>
      </c>
      <c r="G33" s="22">
        <f t="shared" si="1"/>
        <v>22</v>
      </c>
      <c r="H33" s="22">
        <f t="shared" si="2"/>
        <v>6.8199999999999994</v>
      </c>
      <c r="I33" s="22">
        <f t="shared" si="3"/>
        <v>0</v>
      </c>
      <c r="J33">
        <f t="shared" si="4"/>
        <v>22</v>
      </c>
      <c r="K33" s="5">
        <f>IF($J33&lt;&gt;"",IF(ULTIMODIA=0,IF($D33="",DATE(YEAR($L$7),MONTH($L$7)+($A$1*($G33-1))+SUM($B$12:$B33),DAY($L$7)),$D33),F33),"")</f>
        <v>44258</v>
      </c>
      <c r="L33" s="9">
        <f t="shared" si="5"/>
        <v>31</v>
      </c>
      <c r="M33" s="3">
        <f t="shared" si="6"/>
        <v>823.80999999999881</v>
      </c>
      <c r="N33" s="3">
        <f t="shared" si="7"/>
        <v>279.01</v>
      </c>
      <c r="O33" s="3">
        <f t="shared" si="8"/>
        <v>272.19</v>
      </c>
      <c r="P33" s="3">
        <f t="shared" si="9"/>
        <v>6.8199999999999994</v>
      </c>
      <c r="Q33" s="8">
        <f t="shared" si="10"/>
        <v>0</v>
      </c>
      <c r="R33" s="8">
        <f t="shared" si="11"/>
        <v>0</v>
      </c>
      <c r="S33" s="3">
        <f t="shared" si="12"/>
        <v>0</v>
      </c>
      <c r="T33" s="3">
        <f t="shared" si="13"/>
        <v>551.61999999999875</v>
      </c>
      <c r="U33" s="3">
        <f t="shared" si="14"/>
        <v>0</v>
      </c>
      <c r="V33" s="3">
        <f t="shared" si="15"/>
        <v>6.8199999999999994</v>
      </c>
      <c r="W33" s="3">
        <f t="shared" si="16"/>
        <v>6.6</v>
      </c>
      <c r="X33" s="3">
        <f>IF($J33&lt;&gt;"",IF($L33&gt;W$11,IF($L33&lt;X$11,$L33-W$11,30),0)*ROUND(($M33+$U32+SUM($W33:W33))*$S$5/3000,2),"")</f>
        <v>0.22</v>
      </c>
      <c r="Y33" s="3"/>
      <c r="Z33" s="3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</row>
    <row r="34" spans="4:83" x14ac:dyDescent="0.25">
      <c r="D34" s="5"/>
      <c r="E34" t="str">
        <f t="shared" si="0"/>
        <v>mi</v>
      </c>
      <c r="F34" s="5">
        <f>IF($J34&lt;&gt;"",EOMONTH(DATE(YEAR($L$6),$F$11+J34+SUM($B$12:B34),1),0),"")</f>
        <v>44286</v>
      </c>
      <c r="G34" s="22">
        <f t="shared" si="1"/>
        <v>23</v>
      </c>
      <c r="H34" s="22">
        <f t="shared" si="2"/>
        <v>4.2</v>
      </c>
      <c r="I34" s="22">
        <f t="shared" si="3"/>
        <v>0</v>
      </c>
      <c r="J34">
        <f t="shared" si="4"/>
        <v>23</v>
      </c>
      <c r="K34" s="5">
        <f>IF($J34&lt;&gt;"",IF(ULTIMODIA=0,IF($D34="",DATE(YEAR($L$7),MONTH($L$7)+($A$1*($G34-1))+SUM($B$12:$B34),DAY($L$7)),$D34),F34),"")</f>
        <v>44286</v>
      </c>
      <c r="L34" s="9">
        <f t="shared" si="5"/>
        <v>28</v>
      </c>
      <c r="M34" s="3">
        <f t="shared" si="6"/>
        <v>551.61999999999875</v>
      </c>
      <c r="N34" s="3">
        <f t="shared" si="7"/>
        <v>279.01</v>
      </c>
      <c r="O34" s="3">
        <f t="shared" si="8"/>
        <v>274.81</v>
      </c>
      <c r="P34" s="3">
        <f t="shared" si="9"/>
        <v>4.2</v>
      </c>
      <c r="Q34" s="8">
        <f t="shared" si="10"/>
        <v>0</v>
      </c>
      <c r="R34" s="8">
        <f t="shared" si="11"/>
        <v>0</v>
      </c>
      <c r="S34" s="3">
        <f t="shared" si="12"/>
        <v>0</v>
      </c>
      <c r="T34" s="3">
        <f t="shared" si="13"/>
        <v>276.80999999999875</v>
      </c>
      <c r="U34" s="3">
        <f t="shared" si="14"/>
        <v>0</v>
      </c>
      <c r="V34" s="3">
        <f t="shared" si="15"/>
        <v>4.2</v>
      </c>
      <c r="W34" s="3">
        <f t="shared" si="16"/>
        <v>4.2</v>
      </c>
      <c r="X34" s="3">
        <f>IF($J34&lt;&gt;"",IF($L34&gt;W$11,IF($L34&lt;X$11,$L34-W$11,30),0)*ROUND(($M34+$U33+SUM($W34:W34))*$S$5/3000,2),"")</f>
        <v>0</v>
      </c>
      <c r="Y34" s="3"/>
      <c r="Z34" s="3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</row>
    <row r="35" spans="4:83" x14ac:dyDescent="0.25">
      <c r="D35" s="5"/>
      <c r="E35" t="str">
        <f t="shared" si="0"/>
        <v>sá</v>
      </c>
      <c r="F35" s="5">
        <f>IF($J35&lt;&gt;"",EOMONTH(DATE(YEAR($L$6),$F$11+J35+SUM($B$12:B35),1),0),"")</f>
        <v>44316</v>
      </c>
      <c r="G35" s="22">
        <f t="shared" si="1"/>
        <v>24</v>
      </c>
      <c r="H35" s="22">
        <f t="shared" si="2"/>
        <v>2.17</v>
      </c>
      <c r="I35" s="22">
        <f t="shared" si="3"/>
        <v>0</v>
      </c>
      <c r="J35">
        <f t="shared" si="4"/>
        <v>24</v>
      </c>
      <c r="K35" s="5">
        <f>IF($J35&lt;&gt;"",IF(ULTIMODIA=0,IF($D35="",DATE(YEAR($L$7),MONTH($L$7)+($A$1*($G35-1))+SUM($B$12:$B35),DAY($L$7)),$D35),F35),"")</f>
        <v>44317</v>
      </c>
      <c r="L35" s="9">
        <f t="shared" si="5"/>
        <v>31</v>
      </c>
      <c r="M35" s="3">
        <f t="shared" si="6"/>
        <v>276.80999999999875</v>
      </c>
      <c r="N35" s="3">
        <f t="shared" si="7"/>
        <v>278.98</v>
      </c>
      <c r="O35" s="3">
        <f t="shared" si="8"/>
        <v>276.81</v>
      </c>
      <c r="P35" s="3">
        <f t="shared" si="9"/>
        <v>2.17</v>
      </c>
      <c r="Q35" s="8">
        <f t="shared" si="10"/>
        <v>0</v>
      </c>
      <c r="R35" s="8">
        <f t="shared" si="11"/>
        <v>0</v>
      </c>
      <c r="S35" s="3">
        <f t="shared" si="12"/>
        <v>0</v>
      </c>
      <c r="T35" s="3">
        <f t="shared" si="13"/>
        <v>-1.2505552149377763E-12</v>
      </c>
      <c r="U35" s="3">
        <f t="shared" si="14"/>
        <v>0</v>
      </c>
      <c r="V35" s="3">
        <f t="shared" si="15"/>
        <v>2.17</v>
      </c>
      <c r="W35" s="3">
        <f t="shared" si="16"/>
        <v>2.1</v>
      </c>
      <c r="X35" s="3">
        <f>IF($J35&lt;&gt;"",IF($L35&gt;W$11,IF($L35&lt;X$11,$L35-W$11,30),0)*ROUND(($M35+$U34+SUM($W35:W35))*$S$5/3000,2),"")</f>
        <v>7.0000000000000007E-2</v>
      </c>
      <c r="Y35" s="3"/>
      <c r="Z35" s="3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</row>
    <row r="36" spans="4:83" x14ac:dyDescent="0.25">
      <c r="D36" s="5"/>
      <c r="E36" t="str">
        <f t="shared" si="0"/>
        <v/>
      </c>
      <c r="F36" s="5" t="str">
        <f>IF($J36&lt;&gt;"",EOMONTH(DATE(YEAR($L$6),$F$11+J36+SUM($B$12:B36),1),0),"")</f>
        <v/>
      </c>
      <c r="G36" s="22" t="str">
        <f t="shared" si="1"/>
        <v/>
      </c>
      <c r="H36" s="22" t="str">
        <f t="shared" si="2"/>
        <v/>
      </c>
      <c r="I36" s="22" t="str">
        <f t="shared" si="3"/>
        <v/>
      </c>
      <c r="J36" t="str">
        <f t="shared" si="4"/>
        <v/>
      </c>
      <c r="K36" s="5" t="str">
        <f>IF($J36&lt;&gt;"",IF(ULTIMODIA=0,IF($D36="",DATE(YEAR($L$7),MONTH($L$7)+($A$1*($G36-1))+SUM($B$12:$B36),DAY($L$7)),$D36),F36),"")</f>
        <v/>
      </c>
      <c r="L36" s="9" t="str">
        <f t="shared" si="5"/>
        <v/>
      </c>
      <c r="M36" s="3" t="str">
        <f t="shared" si="6"/>
        <v/>
      </c>
      <c r="N36" s="3" t="str">
        <f t="shared" si="7"/>
        <v/>
      </c>
      <c r="O36" s="3" t="str">
        <f t="shared" si="8"/>
        <v/>
      </c>
      <c r="P36" s="3" t="str">
        <f t="shared" si="9"/>
        <v/>
      </c>
      <c r="Q36" s="8" t="str">
        <f t="shared" si="10"/>
        <v/>
      </c>
      <c r="R36" s="8" t="str">
        <f t="shared" si="11"/>
        <v/>
      </c>
      <c r="S36" s="3" t="str">
        <f t="shared" si="12"/>
        <v/>
      </c>
      <c r="T36" s="3" t="str">
        <f t="shared" si="13"/>
        <v/>
      </c>
      <c r="U36" s="3" t="str">
        <f t="shared" si="14"/>
        <v/>
      </c>
      <c r="V36" s="3" t="str">
        <f t="shared" si="15"/>
        <v/>
      </c>
      <c r="W36" s="3" t="str">
        <f t="shared" si="16"/>
        <v/>
      </c>
      <c r="X36" s="3" t="str">
        <f>IF($J36&lt;&gt;"",IF($L36&gt;W$11,IF($L36&lt;X$11,$L36-W$11,30),0)*ROUND(($M36+$U35+SUM($W36:W36))*$S$5/3000,2),"")</f>
        <v/>
      </c>
      <c r="Y36" s="3"/>
      <c r="Z36" s="3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</row>
    <row r="37" spans="4:83" x14ac:dyDescent="0.25">
      <c r="D37" s="5"/>
      <c r="E37" t="str">
        <f t="shared" si="0"/>
        <v/>
      </c>
      <c r="F37" s="5" t="str">
        <f>IF($J37&lt;&gt;"",EOMONTH(DATE(YEAR($L$6),$F$11+J37+SUM($B$12:B37),1),0),"")</f>
        <v/>
      </c>
      <c r="G37" s="22" t="str">
        <f t="shared" si="1"/>
        <v/>
      </c>
      <c r="H37" s="22" t="str">
        <f t="shared" si="2"/>
        <v/>
      </c>
      <c r="I37" s="22" t="str">
        <f t="shared" si="3"/>
        <v/>
      </c>
      <c r="J37" t="str">
        <f t="shared" si="4"/>
        <v/>
      </c>
      <c r="K37" s="5" t="str">
        <f>IF($J37&lt;&gt;"",IF(ULTIMODIA=0,IF($D37="",DATE(YEAR($L$7),MONTH($L$7)+($A$1*($G37-1))+SUM($B$12:$B37),DAY($L$7)),$D37),F37),"")</f>
        <v/>
      </c>
      <c r="L37" s="9" t="str">
        <f t="shared" si="5"/>
        <v/>
      </c>
      <c r="M37" s="3" t="str">
        <f t="shared" si="6"/>
        <v/>
      </c>
      <c r="N37" s="3" t="str">
        <f t="shared" si="7"/>
        <v/>
      </c>
      <c r="O37" s="3" t="str">
        <f t="shared" si="8"/>
        <v/>
      </c>
      <c r="P37" s="3" t="str">
        <f t="shared" si="9"/>
        <v/>
      </c>
      <c r="Q37" s="8" t="str">
        <f t="shared" si="10"/>
        <v/>
      </c>
      <c r="R37" s="8" t="str">
        <f t="shared" si="11"/>
        <v/>
      </c>
      <c r="S37" s="3" t="str">
        <f t="shared" si="12"/>
        <v/>
      </c>
      <c r="T37" s="3" t="str">
        <f t="shared" si="13"/>
        <v/>
      </c>
      <c r="U37" s="3" t="str">
        <f t="shared" si="14"/>
        <v/>
      </c>
      <c r="V37" s="3" t="str">
        <f t="shared" si="15"/>
        <v/>
      </c>
      <c r="W37" s="3" t="str">
        <f t="shared" si="16"/>
        <v/>
      </c>
      <c r="X37" s="3" t="str">
        <f>IF($J37&lt;&gt;"",IF($L37&gt;W$11,IF($L37&lt;X$11,$L37-W$11,30),0)*ROUND(($M37+$U36+SUM($W37:W37))*$S$5/3000,2),"")</f>
        <v/>
      </c>
      <c r="Y37" s="3"/>
      <c r="Z37" s="3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</row>
    <row r="38" spans="4:83" x14ac:dyDescent="0.25">
      <c r="D38" s="5"/>
      <c r="E38" t="str">
        <f t="shared" si="0"/>
        <v/>
      </c>
      <c r="F38" s="5" t="str">
        <f>IF($J38&lt;&gt;"",EOMONTH(DATE(YEAR($L$6),$F$11+J38+SUM($B$12:B38),1),0),"")</f>
        <v/>
      </c>
      <c r="G38" s="22" t="str">
        <f t="shared" si="1"/>
        <v/>
      </c>
      <c r="H38" s="22" t="str">
        <f t="shared" si="2"/>
        <v/>
      </c>
      <c r="I38" s="22" t="str">
        <f t="shared" si="3"/>
        <v/>
      </c>
      <c r="J38" t="str">
        <f t="shared" si="4"/>
        <v/>
      </c>
      <c r="K38" s="5" t="str">
        <f>IF($J38&lt;&gt;"",IF(ULTIMODIA=0,IF($D38="",DATE(YEAR($L$7),MONTH($L$7)+($A$1*($G38-1))+SUM($B$12:$B38),DAY($L$7)),$D38),F38),"")</f>
        <v/>
      </c>
      <c r="L38" s="9" t="str">
        <f t="shared" si="5"/>
        <v/>
      </c>
      <c r="M38" s="3" t="str">
        <f t="shared" si="6"/>
        <v/>
      </c>
      <c r="N38" s="3" t="str">
        <f t="shared" si="7"/>
        <v/>
      </c>
      <c r="O38" s="3" t="str">
        <f t="shared" si="8"/>
        <v/>
      </c>
      <c r="P38" s="3" t="str">
        <f t="shared" si="9"/>
        <v/>
      </c>
      <c r="Q38" s="8" t="str">
        <f t="shared" si="10"/>
        <v/>
      </c>
      <c r="R38" s="8" t="str">
        <f t="shared" si="11"/>
        <v/>
      </c>
      <c r="S38" s="3" t="str">
        <f t="shared" si="12"/>
        <v/>
      </c>
      <c r="T38" s="3" t="str">
        <f t="shared" si="13"/>
        <v/>
      </c>
      <c r="U38" s="3" t="str">
        <f t="shared" si="14"/>
        <v/>
      </c>
      <c r="V38" s="3" t="str">
        <f t="shared" si="15"/>
        <v/>
      </c>
      <c r="W38" s="3" t="str">
        <f t="shared" si="16"/>
        <v/>
      </c>
      <c r="X38" s="3" t="str">
        <f>IF($J38&lt;&gt;"",IF($L38&gt;W$11,IF($L38&lt;X$11,$L38-W$11,30),0)*ROUND(($M38+$U37+SUM($W38:W38))*$S$5/3000,2),"")</f>
        <v/>
      </c>
      <c r="Y38" s="3"/>
      <c r="Z38" s="3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</row>
    <row r="39" spans="4:83" x14ac:dyDescent="0.25">
      <c r="D39" s="5"/>
      <c r="E39" t="str">
        <f t="shared" si="0"/>
        <v/>
      </c>
      <c r="F39" s="5" t="str">
        <f>IF($J39&lt;&gt;"",EOMONTH(DATE(YEAR($L$6),$F$11+J39+SUM($B$12:B39),1),0),"")</f>
        <v/>
      </c>
      <c r="G39" s="22" t="str">
        <f t="shared" si="1"/>
        <v/>
      </c>
      <c r="H39" s="22" t="str">
        <f t="shared" si="2"/>
        <v/>
      </c>
      <c r="I39" s="22" t="str">
        <f t="shared" si="3"/>
        <v/>
      </c>
      <c r="J39" t="str">
        <f t="shared" si="4"/>
        <v/>
      </c>
      <c r="K39" s="5" t="str">
        <f>IF($J39&lt;&gt;"",IF(ULTIMODIA=0,IF($D39="",DATE(YEAR($L$7),MONTH($L$7)+($A$1*($G39-1))+SUM($B$12:$B39),DAY($L$7)),$D39),F39),"")</f>
        <v/>
      </c>
      <c r="L39" s="9" t="str">
        <f t="shared" si="5"/>
        <v/>
      </c>
      <c r="M39" s="3" t="str">
        <f t="shared" si="6"/>
        <v/>
      </c>
      <c r="N39" s="3" t="str">
        <f t="shared" si="7"/>
        <v/>
      </c>
      <c r="O39" s="3" t="str">
        <f t="shared" si="8"/>
        <v/>
      </c>
      <c r="P39" s="3" t="str">
        <f t="shared" si="9"/>
        <v/>
      </c>
      <c r="Q39" s="8" t="str">
        <f t="shared" si="10"/>
        <v/>
      </c>
      <c r="R39" s="8" t="str">
        <f t="shared" si="11"/>
        <v/>
      </c>
      <c r="S39" s="3" t="str">
        <f t="shared" si="12"/>
        <v/>
      </c>
      <c r="T39" s="3" t="str">
        <f t="shared" si="13"/>
        <v/>
      </c>
      <c r="U39" s="3" t="str">
        <f t="shared" si="14"/>
        <v/>
      </c>
      <c r="V39" s="3" t="str">
        <f t="shared" si="15"/>
        <v/>
      </c>
      <c r="W39" s="3" t="str">
        <f t="shared" si="16"/>
        <v/>
      </c>
      <c r="X39" s="3" t="str">
        <f>IF($J39&lt;&gt;"",IF($L39&gt;W$11,IF($L39&lt;X$11,$L39-W$11,30),0)*ROUND(($M39+$U38+SUM($W39:W39))*$S$5/3000,2),"")</f>
        <v/>
      </c>
      <c r="Y39" s="3"/>
      <c r="Z39" s="3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</row>
    <row r="40" spans="4:83" x14ac:dyDescent="0.25">
      <c r="D40" s="5"/>
      <c r="E40" t="str">
        <f t="shared" si="0"/>
        <v/>
      </c>
      <c r="F40" s="5" t="str">
        <f>IF($J40&lt;&gt;"",EOMONTH(DATE(YEAR($L$6),$F$11+J40+SUM($B$12:B40),1),0),"")</f>
        <v/>
      </c>
      <c r="G40" s="22" t="str">
        <f t="shared" si="1"/>
        <v/>
      </c>
      <c r="H40" s="22" t="str">
        <f t="shared" si="2"/>
        <v/>
      </c>
      <c r="I40" s="22" t="str">
        <f t="shared" si="3"/>
        <v/>
      </c>
      <c r="J40" t="str">
        <f t="shared" si="4"/>
        <v/>
      </c>
      <c r="K40" s="5" t="str">
        <f>IF($J40&lt;&gt;"",IF(ULTIMODIA=0,IF($D40="",DATE(YEAR($L$7),MONTH($L$7)+($A$1*($G40-1))+SUM($B$12:$B40),DAY($L$7)),$D40),F40),"")</f>
        <v/>
      </c>
      <c r="L40" s="9" t="str">
        <f t="shared" si="5"/>
        <v/>
      </c>
      <c r="M40" s="3" t="str">
        <f t="shared" si="6"/>
        <v/>
      </c>
      <c r="N40" s="3" t="str">
        <f t="shared" si="7"/>
        <v/>
      </c>
      <c r="O40" s="3" t="str">
        <f t="shared" si="8"/>
        <v/>
      </c>
      <c r="P40" s="3" t="str">
        <f t="shared" si="9"/>
        <v/>
      </c>
      <c r="Q40" s="8" t="str">
        <f t="shared" si="10"/>
        <v/>
      </c>
      <c r="R40" s="8" t="str">
        <f t="shared" si="11"/>
        <v/>
      </c>
      <c r="S40" s="3" t="str">
        <f t="shared" si="12"/>
        <v/>
      </c>
      <c r="T40" s="3" t="str">
        <f t="shared" si="13"/>
        <v/>
      </c>
      <c r="U40" s="3" t="str">
        <f t="shared" si="14"/>
        <v/>
      </c>
      <c r="V40" s="3" t="str">
        <f t="shared" si="15"/>
        <v/>
      </c>
      <c r="W40" s="3" t="str">
        <f t="shared" si="16"/>
        <v/>
      </c>
      <c r="X40" s="3" t="str">
        <f>IF($J40&lt;&gt;"",IF($L40&gt;W$11,IF($L40&lt;X$11,$L40-W$11,30),0)*ROUND(($M40+$U39+SUM($W40:W40))*$S$5/3000,2),"")</f>
        <v/>
      </c>
      <c r="Y40" s="3"/>
      <c r="Z40" s="3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</row>
    <row r="41" spans="4:83" x14ac:dyDescent="0.25">
      <c r="D41" s="5"/>
      <c r="E41" t="str">
        <f t="shared" si="0"/>
        <v/>
      </c>
      <c r="F41" s="5" t="str">
        <f>IF($J41&lt;&gt;"",EOMONTH(DATE(YEAR($L$6),$F$11+J41+SUM($B$12:B41),1),0),"")</f>
        <v/>
      </c>
      <c r="G41" s="22" t="str">
        <f t="shared" si="1"/>
        <v/>
      </c>
      <c r="H41" s="22" t="str">
        <f t="shared" si="2"/>
        <v/>
      </c>
      <c r="I41" s="22" t="str">
        <f t="shared" si="3"/>
        <v/>
      </c>
      <c r="J41" t="str">
        <f t="shared" si="4"/>
        <v/>
      </c>
      <c r="K41" s="5" t="str">
        <f>IF($J41&lt;&gt;"",IF(ULTIMODIA=0,IF($D41="",DATE(YEAR($L$7),MONTH($L$7)+($A$1*($G41-1))+SUM($B$12:$B41),DAY($L$7)),$D41),F41),"")</f>
        <v/>
      </c>
      <c r="L41" s="9" t="str">
        <f t="shared" si="5"/>
        <v/>
      </c>
      <c r="M41" s="3" t="str">
        <f t="shared" si="6"/>
        <v/>
      </c>
      <c r="N41" s="3" t="str">
        <f t="shared" si="7"/>
        <v/>
      </c>
      <c r="O41" s="3" t="str">
        <f t="shared" si="8"/>
        <v/>
      </c>
      <c r="P41" s="3" t="str">
        <f t="shared" si="9"/>
        <v/>
      </c>
      <c r="Q41" s="8" t="str">
        <f t="shared" si="10"/>
        <v/>
      </c>
      <c r="R41" s="8" t="str">
        <f t="shared" si="11"/>
        <v/>
      </c>
      <c r="S41" s="3" t="str">
        <f t="shared" si="12"/>
        <v/>
      </c>
      <c r="T41" s="3" t="str">
        <f t="shared" si="13"/>
        <v/>
      </c>
      <c r="U41" s="3" t="str">
        <f t="shared" si="14"/>
        <v/>
      </c>
      <c r="V41" s="3" t="str">
        <f t="shared" si="15"/>
        <v/>
      </c>
      <c r="W41" s="3" t="str">
        <f t="shared" si="16"/>
        <v/>
      </c>
      <c r="X41" s="3" t="str">
        <f>IF($J41&lt;&gt;"",IF($L41&gt;W$11,IF($L41&lt;X$11,$L41-W$11,30),0)*ROUND(($M41+$U40+SUM($W41:W41))*$S$5/3000,2),"")</f>
        <v/>
      </c>
      <c r="Y41" s="3"/>
      <c r="Z41" s="3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</row>
    <row r="42" spans="4:83" x14ac:dyDescent="0.25">
      <c r="D42" s="5"/>
      <c r="E42" t="str">
        <f t="shared" si="0"/>
        <v/>
      </c>
      <c r="F42" s="5" t="str">
        <f>IF($J42&lt;&gt;"",EOMONTH(DATE(YEAR($L$6),$F$11+J42+SUM($B$12:B42),1),0),"")</f>
        <v/>
      </c>
      <c r="G42" s="22" t="str">
        <f t="shared" si="1"/>
        <v/>
      </c>
      <c r="H42" s="22" t="str">
        <f t="shared" si="2"/>
        <v/>
      </c>
      <c r="I42" s="22" t="str">
        <f t="shared" si="3"/>
        <v/>
      </c>
      <c r="J42" t="str">
        <f t="shared" si="4"/>
        <v/>
      </c>
      <c r="K42" s="5" t="str">
        <f>IF($J42&lt;&gt;"",IF(ULTIMODIA=0,IF($D42="",DATE(YEAR($L$7),MONTH($L$7)+($A$1*($G42-1))+SUM($B$12:$B42),DAY($L$7)),$D42),F42),"")</f>
        <v/>
      </c>
      <c r="L42" s="9" t="str">
        <f t="shared" si="5"/>
        <v/>
      </c>
      <c r="M42" s="3" t="str">
        <f t="shared" si="6"/>
        <v/>
      </c>
      <c r="N42" s="3" t="str">
        <f t="shared" si="7"/>
        <v/>
      </c>
      <c r="O42" s="3" t="str">
        <f t="shared" si="8"/>
        <v/>
      </c>
      <c r="P42" s="3" t="str">
        <f t="shared" si="9"/>
        <v/>
      </c>
      <c r="Q42" s="8" t="str">
        <f t="shared" si="10"/>
        <v/>
      </c>
      <c r="R42" s="8" t="str">
        <f t="shared" si="11"/>
        <v/>
      </c>
      <c r="S42" s="3" t="str">
        <f t="shared" si="12"/>
        <v/>
      </c>
      <c r="T42" s="3" t="str">
        <f t="shared" si="13"/>
        <v/>
      </c>
      <c r="U42" s="3" t="str">
        <f t="shared" si="14"/>
        <v/>
      </c>
      <c r="V42" s="3" t="str">
        <f t="shared" si="15"/>
        <v/>
      </c>
      <c r="W42" s="3" t="str">
        <f t="shared" si="16"/>
        <v/>
      </c>
      <c r="X42" s="3" t="str">
        <f>IF($J42&lt;&gt;"",IF($L42&gt;W$11,IF($L42&lt;X$11,$L42-W$11,30),0)*ROUND(($M42+$U41+SUM($W42:W42))*$S$5/3000,2),"")</f>
        <v/>
      </c>
      <c r="Y42" s="3"/>
      <c r="Z42" s="3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</row>
    <row r="43" spans="4:83" x14ac:dyDescent="0.25">
      <c r="D43" s="5"/>
      <c r="E43" t="str">
        <f t="shared" si="0"/>
        <v/>
      </c>
      <c r="F43" s="5" t="str">
        <f>IF($J43&lt;&gt;"",EOMONTH(DATE(YEAR($L$6),$F$11+J43+SUM($B$12:B43),1),0),"")</f>
        <v/>
      </c>
      <c r="G43" s="22" t="str">
        <f t="shared" si="1"/>
        <v/>
      </c>
      <c r="H43" s="22" t="str">
        <f t="shared" si="2"/>
        <v/>
      </c>
      <c r="I43" s="22" t="str">
        <f t="shared" si="3"/>
        <v/>
      </c>
      <c r="J43" t="str">
        <f t="shared" si="4"/>
        <v/>
      </c>
      <c r="K43" s="5" t="str">
        <f>IF($J43&lt;&gt;"",IF(ULTIMODIA=0,IF($D43="",DATE(YEAR($L$7),MONTH($L$7)+($A$1*($G43-1))+SUM($B$12:$B43),DAY($L$7)),$D43),F43),"")</f>
        <v/>
      </c>
      <c r="L43" s="9" t="str">
        <f t="shared" si="5"/>
        <v/>
      </c>
      <c r="M43" s="3" t="str">
        <f t="shared" si="6"/>
        <v/>
      </c>
      <c r="N43" s="3" t="str">
        <f t="shared" si="7"/>
        <v/>
      </c>
      <c r="O43" s="3" t="str">
        <f t="shared" si="8"/>
        <v/>
      </c>
      <c r="P43" s="3" t="str">
        <f t="shared" si="9"/>
        <v/>
      </c>
      <c r="Q43" s="8" t="str">
        <f t="shared" si="10"/>
        <v/>
      </c>
      <c r="R43" s="8" t="str">
        <f t="shared" si="11"/>
        <v/>
      </c>
      <c r="S43" s="3" t="str">
        <f t="shared" si="12"/>
        <v/>
      </c>
      <c r="T43" s="3" t="str">
        <f t="shared" si="13"/>
        <v/>
      </c>
      <c r="U43" s="3" t="str">
        <f t="shared" si="14"/>
        <v/>
      </c>
      <c r="V43" s="3" t="str">
        <f t="shared" si="15"/>
        <v/>
      </c>
      <c r="W43" s="3" t="str">
        <f t="shared" si="16"/>
        <v/>
      </c>
      <c r="X43" s="3" t="str">
        <f>IF($J43&lt;&gt;"",IF($L43&gt;W$11,IF($L43&lt;X$11,$L43-W$11,30),0)*ROUND(($M43+$U42+SUM($W43:W43))*$S$5/3000,2),"")</f>
        <v/>
      </c>
      <c r="Y43" s="3"/>
      <c r="Z43" s="3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</row>
    <row r="44" spans="4:83" x14ac:dyDescent="0.25">
      <c r="D44" s="5"/>
      <c r="E44" t="str">
        <f t="shared" ref="E44:E75" si="17">IF($J44&lt;&gt;"",TEXT(K44,"DDD"),"")</f>
        <v/>
      </c>
      <c r="F44" s="5" t="str">
        <f>IF($J44&lt;&gt;"",EOMONTH(DATE(YEAR($L$6),$F$11+J44+SUM($B$12:B44),1),0),"")</f>
        <v/>
      </c>
      <c r="G44" s="22" t="str">
        <f t="shared" ref="G44:G75" si="18">IF($J44&lt;&gt;"",IF($A44="Prepago",$G43,$G43+1),"")</f>
        <v/>
      </c>
      <c r="H44" s="22" t="str">
        <f t="shared" ref="H44:H75" si="19">IF($J44&lt;&gt;"",IF(ISNUMBER($C44),-$O44+$V44-$P44,ABS($V44)+$Q44+$R44+$S44),"")</f>
        <v/>
      </c>
      <c r="I44" s="22" t="str">
        <f t="shared" ref="I44:I75" si="20">IF(J44&lt;&gt;"",IF(COUNTA($W44:$XFD44)*30&lt;$L44,1,0),"")</f>
        <v/>
      </c>
      <c r="J44" t="str">
        <f t="shared" ref="J44:J75" si="21">IF($J43&lt;NCUOTAS+CUOTAADICIONAL+PGRACIA,$J43+1,"")</f>
        <v/>
      </c>
      <c r="K44" s="5" t="str">
        <f>IF($J44&lt;&gt;"",IF(ULTIMODIA=0,IF($D44="",DATE(YEAR($L$7),MONTH($L$7)+($A$1*($G44-1))+SUM($B$12:$B44),DAY($L$7)),$D44),F44),"")</f>
        <v/>
      </c>
      <c r="L44" s="9" t="str">
        <f t="shared" ref="L44:L75" si="22">IF($J44&lt;&gt;"",$K44-$K43,"")</f>
        <v/>
      </c>
      <c r="M44" s="3" t="str">
        <f t="shared" ref="M44:M75" si="23">IF($J44&lt;&gt;"",$T43,"")</f>
        <v/>
      </c>
      <c r="N44" s="3" t="str">
        <f t="shared" ref="N44:N75" si="24">IF($J44&lt;&gt;"",IF($A44="Gracia Parcial",IF(AND($C44&lt;$V44+$Q44+$R44+$S44+$U43,$C44&gt;0),$C44,$V44+$Q44+$R44+$S44+$U43),IF($A44="Gracia Total",0,IF($A44="Prepago",$C44,IF(ISNUMBER($C44),$C44*VALUE(MID($C$1,MONTH($K44),1)),$O$5*VALUE(MID($C$1,MONTH($K44),1))))))-IF($J45="",ARREGLO,0),"")</f>
        <v/>
      </c>
      <c r="O44" s="3" t="str">
        <f t="shared" ref="O44:O75" si="25">IF($J44&lt;&gt;"",IF($N44-$P44&gt;0,$N44-$P44-$Q44-$R44-$S44,0),"")</f>
        <v/>
      </c>
      <c r="P44" s="3" t="str">
        <f t="shared" ref="P44:P75" si="26">IF($J44&lt;&gt;"",IF($N44&gt;=$V44+$U43+$Q44+$R44+$S44,$V44+$U43,$N44-$Q44-$R44-$S44),"")</f>
        <v/>
      </c>
      <c r="Q44" s="8" t="str">
        <f t="shared" ref="Q44:Q75" si="27">IF($J44&lt;&gt;"",IF($A44="Prepago",0,$R$6+$R$6*$B44),"")</f>
        <v/>
      </c>
      <c r="R44" s="8" t="str">
        <f t="shared" ref="R44:R75" si="28">IF($J44&lt;&gt;"",IF($A44="Prepago",0,$R$7+$R$7*$B44),"")</f>
        <v/>
      </c>
      <c r="S44" s="3" t="str">
        <f t="shared" ref="S44:S75" si="29">IF($J44&lt;&gt;"",IF($A44="Prepago",0,$R$8+$R$8*$B44),"")</f>
        <v/>
      </c>
      <c r="T44" s="3" t="str">
        <f t="shared" ref="T44:T75" si="30">IF($J44&lt;&gt;"",$M44-$O44,"")</f>
        <v/>
      </c>
      <c r="U44" s="3" t="str">
        <f t="shared" ref="U44:U75" si="31">IF($J44&lt;&gt;"",+$U43+SUM($W44:$CE44)-$P44,"")</f>
        <v/>
      </c>
      <c r="V44" s="3" t="str">
        <f t="shared" ref="V44:V75" si="32">IF($J44&lt;&gt;"",SUM($W44:$XFD44),"")</f>
        <v/>
      </c>
      <c r="W44" s="3" t="str">
        <f t="shared" ref="W44:W75" si="33">IF($J44&lt;&gt;"",IF($L44&gt;W$11,30,$L44)*ROUND(($M44+$U43)*$S$5/3000,2),"")</f>
        <v/>
      </c>
      <c r="X44" s="3" t="str">
        <f>IF($J44&lt;&gt;"",IF($L44&gt;W$11,IF($L44&lt;X$11,$L44-W$11,30),0)*ROUND(($M44+$U43+SUM($W44:W44))*$S$5/3000,2),"")</f>
        <v/>
      </c>
      <c r="Y44" s="3"/>
      <c r="Z44" s="3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</row>
    <row r="45" spans="4:83" x14ac:dyDescent="0.25">
      <c r="D45" s="5"/>
      <c r="E45" t="str">
        <f t="shared" si="17"/>
        <v/>
      </c>
      <c r="F45" s="5" t="str">
        <f>IF($J45&lt;&gt;"",EOMONTH(DATE(YEAR($L$6),$F$11+J45+SUM($B$12:B45),1),0),"")</f>
        <v/>
      </c>
      <c r="G45" s="22" t="str">
        <f t="shared" si="18"/>
        <v/>
      </c>
      <c r="H45" s="22" t="str">
        <f t="shared" si="19"/>
        <v/>
      </c>
      <c r="I45" s="22" t="str">
        <f t="shared" si="20"/>
        <v/>
      </c>
      <c r="J45" t="str">
        <f t="shared" si="21"/>
        <v/>
      </c>
      <c r="K45" s="5" t="str">
        <f>IF($J45&lt;&gt;"",IF(ULTIMODIA=0,IF($D45="",DATE(YEAR($L$7),MONTH($L$7)+($A$1*($G45-1))+SUM($B$12:$B45),DAY($L$7)),$D45),F45),"")</f>
        <v/>
      </c>
      <c r="L45" s="9" t="str">
        <f t="shared" si="22"/>
        <v/>
      </c>
      <c r="M45" s="3" t="str">
        <f t="shared" si="23"/>
        <v/>
      </c>
      <c r="N45" s="3" t="str">
        <f t="shared" si="24"/>
        <v/>
      </c>
      <c r="O45" s="3" t="str">
        <f t="shared" si="25"/>
        <v/>
      </c>
      <c r="P45" s="3" t="str">
        <f t="shared" si="26"/>
        <v/>
      </c>
      <c r="Q45" s="8" t="str">
        <f t="shared" si="27"/>
        <v/>
      </c>
      <c r="R45" s="8" t="str">
        <f t="shared" si="28"/>
        <v/>
      </c>
      <c r="S45" s="3" t="str">
        <f t="shared" si="29"/>
        <v/>
      </c>
      <c r="T45" s="3" t="str">
        <f t="shared" si="30"/>
        <v/>
      </c>
      <c r="U45" s="3" t="str">
        <f t="shared" si="31"/>
        <v/>
      </c>
      <c r="V45" s="3" t="str">
        <f t="shared" si="32"/>
        <v/>
      </c>
      <c r="W45" s="3" t="str">
        <f t="shared" si="33"/>
        <v/>
      </c>
      <c r="X45" s="3" t="str">
        <f>IF($J45&lt;&gt;"",IF($L45&gt;W$11,IF($L45&lt;X$11,$L45-W$11,30),0)*ROUND(($M45+$U44+SUM($W45:W45))*$S$5/3000,2),"")</f>
        <v/>
      </c>
      <c r="Y45" s="3"/>
      <c r="Z45" s="3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</row>
    <row r="46" spans="4:83" x14ac:dyDescent="0.25">
      <c r="D46" s="5"/>
      <c r="E46" t="str">
        <f t="shared" si="17"/>
        <v/>
      </c>
      <c r="F46" s="5" t="str">
        <f>IF($J46&lt;&gt;"",EOMONTH(DATE(YEAR($L$6),$F$11+J46+SUM($B$12:B46),1),0),"")</f>
        <v/>
      </c>
      <c r="G46" s="22" t="str">
        <f t="shared" si="18"/>
        <v/>
      </c>
      <c r="H46" s="22" t="str">
        <f t="shared" si="19"/>
        <v/>
      </c>
      <c r="I46" s="22" t="str">
        <f t="shared" si="20"/>
        <v/>
      </c>
      <c r="J46" t="str">
        <f t="shared" si="21"/>
        <v/>
      </c>
      <c r="K46" s="5" t="str">
        <f>IF($J46&lt;&gt;"",IF(ULTIMODIA=0,IF($D46="",DATE(YEAR($L$7),MONTH($L$7)+($A$1*($G46-1))+SUM($B$12:$B46),DAY($L$7)),$D46),F46),"")</f>
        <v/>
      </c>
      <c r="L46" s="9" t="str">
        <f t="shared" si="22"/>
        <v/>
      </c>
      <c r="M46" s="3" t="str">
        <f t="shared" si="23"/>
        <v/>
      </c>
      <c r="N46" s="3" t="str">
        <f t="shared" si="24"/>
        <v/>
      </c>
      <c r="O46" s="3" t="str">
        <f t="shared" si="25"/>
        <v/>
      </c>
      <c r="P46" s="3" t="str">
        <f t="shared" si="26"/>
        <v/>
      </c>
      <c r="Q46" s="8" t="str">
        <f t="shared" si="27"/>
        <v/>
      </c>
      <c r="R46" s="8" t="str">
        <f t="shared" si="28"/>
        <v/>
      </c>
      <c r="S46" s="3" t="str">
        <f t="shared" si="29"/>
        <v/>
      </c>
      <c r="T46" s="3" t="str">
        <f t="shared" si="30"/>
        <v/>
      </c>
      <c r="U46" s="3" t="str">
        <f t="shared" si="31"/>
        <v/>
      </c>
      <c r="V46" s="3" t="str">
        <f t="shared" si="32"/>
        <v/>
      </c>
      <c r="W46" s="3" t="str">
        <f t="shared" si="33"/>
        <v/>
      </c>
      <c r="X46" s="3" t="str">
        <f>IF($J46&lt;&gt;"",IF($L46&gt;W$11,IF($L46&lt;X$11,$L46-W$11,30),0)*ROUND(($M46+$U45+SUM($W46:W46))*$S$5/3000,2),"")</f>
        <v/>
      </c>
      <c r="Y46" s="3"/>
      <c r="Z46" s="3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</row>
    <row r="47" spans="4:83" x14ac:dyDescent="0.25">
      <c r="D47" s="5"/>
      <c r="E47" t="str">
        <f t="shared" si="17"/>
        <v/>
      </c>
      <c r="F47" s="5" t="str">
        <f>IF($J47&lt;&gt;"",EOMONTH(DATE(YEAR($L$6),$F$11+J47+SUM($B$12:B47),1),0),"")</f>
        <v/>
      </c>
      <c r="G47" s="22" t="str">
        <f t="shared" si="18"/>
        <v/>
      </c>
      <c r="H47" s="22" t="str">
        <f t="shared" si="19"/>
        <v/>
      </c>
      <c r="I47" s="22" t="str">
        <f t="shared" si="20"/>
        <v/>
      </c>
      <c r="J47" t="str">
        <f t="shared" si="21"/>
        <v/>
      </c>
      <c r="K47" s="5" t="str">
        <f>IF($J47&lt;&gt;"",IF(ULTIMODIA=0,IF($D47="",DATE(YEAR($L$7),MONTH($L$7)+($A$1*($G47-1))+SUM($B$12:$B47),DAY($L$7)),$D47),F47),"")</f>
        <v/>
      </c>
      <c r="L47" s="9" t="str">
        <f t="shared" si="22"/>
        <v/>
      </c>
      <c r="M47" s="3" t="str">
        <f t="shared" si="23"/>
        <v/>
      </c>
      <c r="N47" s="3" t="str">
        <f t="shared" si="24"/>
        <v/>
      </c>
      <c r="O47" s="3" t="str">
        <f t="shared" si="25"/>
        <v/>
      </c>
      <c r="P47" s="3" t="str">
        <f t="shared" si="26"/>
        <v/>
      </c>
      <c r="Q47" s="8" t="str">
        <f t="shared" si="27"/>
        <v/>
      </c>
      <c r="R47" s="8" t="str">
        <f t="shared" si="28"/>
        <v/>
      </c>
      <c r="S47" s="3" t="str">
        <f t="shared" si="29"/>
        <v/>
      </c>
      <c r="T47" s="3" t="str">
        <f t="shared" si="30"/>
        <v/>
      </c>
      <c r="U47" s="3" t="str">
        <f t="shared" si="31"/>
        <v/>
      </c>
      <c r="V47" s="3" t="str">
        <f t="shared" si="32"/>
        <v/>
      </c>
      <c r="W47" s="3" t="str">
        <f t="shared" si="33"/>
        <v/>
      </c>
      <c r="X47" s="3" t="str">
        <f>IF($J47&lt;&gt;"",IF($L47&gt;W$11,IF($L47&lt;X$11,$L47-W$11,30),0)*ROUND(($M47+$U46+SUM($W47:W47))*$S$5/3000,2),"")</f>
        <v/>
      </c>
      <c r="Y47" s="3"/>
      <c r="Z47" s="3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</row>
    <row r="48" spans="4:83" x14ac:dyDescent="0.25">
      <c r="D48" s="5"/>
      <c r="E48" t="str">
        <f t="shared" si="17"/>
        <v/>
      </c>
      <c r="F48" s="5" t="str">
        <f>IF($J48&lt;&gt;"",EOMONTH(DATE(YEAR($L$6),$F$11+J48+SUM($B$12:B48),1),0),"")</f>
        <v/>
      </c>
      <c r="G48" s="22" t="str">
        <f t="shared" si="18"/>
        <v/>
      </c>
      <c r="H48" s="22" t="str">
        <f t="shared" si="19"/>
        <v/>
      </c>
      <c r="I48" s="22" t="str">
        <f t="shared" si="20"/>
        <v/>
      </c>
      <c r="J48" t="str">
        <f t="shared" si="21"/>
        <v/>
      </c>
      <c r="K48" s="5" t="str">
        <f>IF($J48&lt;&gt;"",IF(ULTIMODIA=0,IF($D48="",DATE(YEAR($L$7),MONTH($L$7)+($A$1*($G48-1))+SUM($B$12:$B48),DAY($L$7)),$D48),F48),"")</f>
        <v/>
      </c>
      <c r="L48" s="9" t="str">
        <f t="shared" si="22"/>
        <v/>
      </c>
      <c r="M48" s="3" t="str">
        <f t="shared" si="23"/>
        <v/>
      </c>
      <c r="N48" s="3" t="str">
        <f t="shared" si="24"/>
        <v/>
      </c>
      <c r="O48" s="3" t="str">
        <f t="shared" si="25"/>
        <v/>
      </c>
      <c r="P48" s="3" t="str">
        <f t="shared" si="26"/>
        <v/>
      </c>
      <c r="Q48" s="8" t="str">
        <f t="shared" si="27"/>
        <v/>
      </c>
      <c r="R48" s="8" t="str">
        <f t="shared" si="28"/>
        <v/>
      </c>
      <c r="S48" s="3" t="str">
        <f t="shared" si="29"/>
        <v/>
      </c>
      <c r="T48" s="3" t="str">
        <f t="shared" si="30"/>
        <v/>
      </c>
      <c r="U48" s="3" t="str">
        <f t="shared" si="31"/>
        <v/>
      </c>
      <c r="V48" s="3" t="str">
        <f t="shared" si="32"/>
        <v/>
      </c>
      <c r="W48" s="3" t="str">
        <f t="shared" si="33"/>
        <v/>
      </c>
      <c r="X48" s="3" t="str">
        <f>IF($J48&lt;&gt;"",IF($L48&gt;W$11,IF($L48&lt;X$11,$L48-W$11,30),0)*ROUND(($M48+$U47+SUM($W48:W48))*$S$5/3000,2),"")</f>
        <v/>
      </c>
      <c r="Y48" s="3"/>
      <c r="Z48" s="3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</row>
    <row r="49" spans="4:83" x14ac:dyDescent="0.25">
      <c r="D49" s="5"/>
      <c r="E49" t="str">
        <f t="shared" si="17"/>
        <v/>
      </c>
      <c r="F49" s="5" t="str">
        <f>IF($J49&lt;&gt;"",EOMONTH(DATE(YEAR($L$6),$F$11+J49+SUM($B$12:B49),1),0),"")</f>
        <v/>
      </c>
      <c r="G49" s="22" t="str">
        <f t="shared" si="18"/>
        <v/>
      </c>
      <c r="H49" s="22" t="str">
        <f t="shared" si="19"/>
        <v/>
      </c>
      <c r="I49" s="22" t="str">
        <f t="shared" si="20"/>
        <v/>
      </c>
      <c r="J49" t="str">
        <f t="shared" si="21"/>
        <v/>
      </c>
      <c r="K49" s="5" t="str">
        <f>IF($J49&lt;&gt;"",IF(ULTIMODIA=0,IF($D49="",DATE(YEAR($L$7),MONTH($L$7)+($A$1*($G49-1))+SUM($B$12:$B49),DAY($L$7)),$D49),F49),"")</f>
        <v/>
      </c>
      <c r="L49" s="9" t="str">
        <f t="shared" si="22"/>
        <v/>
      </c>
      <c r="M49" s="3" t="str">
        <f t="shared" si="23"/>
        <v/>
      </c>
      <c r="N49" s="3" t="str">
        <f t="shared" si="24"/>
        <v/>
      </c>
      <c r="O49" s="3" t="str">
        <f t="shared" si="25"/>
        <v/>
      </c>
      <c r="P49" s="3" t="str">
        <f t="shared" si="26"/>
        <v/>
      </c>
      <c r="Q49" s="8" t="str">
        <f t="shared" si="27"/>
        <v/>
      </c>
      <c r="R49" s="8" t="str">
        <f t="shared" si="28"/>
        <v/>
      </c>
      <c r="S49" s="3" t="str">
        <f t="shared" si="29"/>
        <v/>
      </c>
      <c r="T49" s="3" t="str">
        <f t="shared" si="30"/>
        <v/>
      </c>
      <c r="U49" s="3" t="str">
        <f t="shared" si="31"/>
        <v/>
      </c>
      <c r="V49" s="3" t="str">
        <f t="shared" si="32"/>
        <v/>
      </c>
      <c r="W49" s="3" t="str">
        <f t="shared" si="33"/>
        <v/>
      </c>
      <c r="X49" s="3" t="str">
        <f>IF($J49&lt;&gt;"",IF($L49&gt;W$11,IF($L49&lt;X$11,$L49-W$11,30),0)*ROUND(($M49+$U48+SUM($W49:W49))*$S$5/3000,2),"")</f>
        <v/>
      </c>
      <c r="Y49" s="3"/>
      <c r="Z49" s="3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</row>
    <row r="50" spans="4:83" x14ac:dyDescent="0.25">
      <c r="D50" s="5"/>
      <c r="E50" t="str">
        <f t="shared" si="17"/>
        <v/>
      </c>
      <c r="F50" s="5" t="str">
        <f>IF($J50&lt;&gt;"",EOMONTH(DATE(YEAR($L$6),$F$11+J50+SUM($B$12:B50),1),0),"")</f>
        <v/>
      </c>
      <c r="G50" s="22" t="str">
        <f t="shared" si="18"/>
        <v/>
      </c>
      <c r="H50" s="22" t="str">
        <f t="shared" si="19"/>
        <v/>
      </c>
      <c r="I50" s="22" t="str">
        <f t="shared" si="20"/>
        <v/>
      </c>
      <c r="J50" t="str">
        <f t="shared" si="21"/>
        <v/>
      </c>
      <c r="K50" s="5" t="str">
        <f>IF($J50&lt;&gt;"",IF(ULTIMODIA=0,IF($D50="",DATE(YEAR($L$7),MONTH($L$7)+($A$1*($G50-1))+SUM($B$12:$B50),DAY($L$7)),$D50),F50),"")</f>
        <v/>
      </c>
      <c r="L50" s="9" t="str">
        <f t="shared" si="22"/>
        <v/>
      </c>
      <c r="M50" s="3" t="str">
        <f t="shared" si="23"/>
        <v/>
      </c>
      <c r="N50" s="3" t="str">
        <f t="shared" si="24"/>
        <v/>
      </c>
      <c r="O50" s="3" t="str">
        <f t="shared" si="25"/>
        <v/>
      </c>
      <c r="P50" s="3" t="str">
        <f t="shared" si="26"/>
        <v/>
      </c>
      <c r="Q50" s="8" t="str">
        <f t="shared" si="27"/>
        <v/>
      </c>
      <c r="R50" s="8" t="str">
        <f t="shared" si="28"/>
        <v/>
      </c>
      <c r="S50" s="3" t="str">
        <f t="shared" si="29"/>
        <v/>
      </c>
      <c r="T50" s="3" t="str">
        <f t="shared" si="30"/>
        <v/>
      </c>
      <c r="U50" s="3" t="str">
        <f t="shared" si="31"/>
        <v/>
      </c>
      <c r="V50" s="3" t="str">
        <f t="shared" si="32"/>
        <v/>
      </c>
      <c r="W50" s="3" t="str">
        <f t="shared" si="33"/>
        <v/>
      </c>
      <c r="X50" s="3" t="str">
        <f>IF($J50&lt;&gt;"",IF($L50&gt;W$11,IF($L50&lt;X$11,$L50-W$11,30),0)*ROUND(($M50+$U49+SUM($W50:W50))*$S$5/3000,2),"")</f>
        <v/>
      </c>
      <c r="Y50" s="3"/>
      <c r="Z50" s="3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</row>
    <row r="51" spans="4:83" x14ac:dyDescent="0.25">
      <c r="D51" s="5"/>
      <c r="E51" t="str">
        <f t="shared" si="17"/>
        <v/>
      </c>
      <c r="F51" s="5" t="str">
        <f>IF($J51&lt;&gt;"",EOMONTH(DATE(YEAR($L$6),$F$11+J51+SUM($B$12:B51),1),0),"")</f>
        <v/>
      </c>
      <c r="G51" s="22" t="str">
        <f t="shared" si="18"/>
        <v/>
      </c>
      <c r="H51" s="22" t="str">
        <f t="shared" si="19"/>
        <v/>
      </c>
      <c r="I51" s="22" t="str">
        <f t="shared" si="20"/>
        <v/>
      </c>
      <c r="J51" t="str">
        <f t="shared" si="21"/>
        <v/>
      </c>
      <c r="K51" s="5" t="str">
        <f>IF($J51&lt;&gt;"",IF(ULTIMODIA=0,IF($D51="",DATE(YEAR($L$7),MONTH($L$7)+($A$1*($G51-1))+SUM($B$12:$B51),DAY($L$7)),$D51),F51),"")</f>
        <v/>
      </c>
      <c r="L51" s="9" t="str">
        <f t="shared" si="22"/>
        <v/>
      </c>
      <c r="M51" s="3" t="str">
        <f t="shared" si="23"/>
        <v/>
      </c>
      <c r="N51" s="3" t="str">
        <f t="shared" si="24"/>
        <v/>
      </c>
      <c r="O51" s="3" t="str">
        <f t="shared" si="25"/>
        <v/>
      </c>
      <c r="P51" s="3" t="str">
        <f t="shared" si="26"/>
        <v/>
      </c>
      <c r="Q51" s="8" t="str">
        <f t="shared" si="27"/>
        <v/>
      </c>
      <c r="R51" s="8" t="str">
        <f t="shared" si="28"/>
        <v/>
      </c>
      <c r="S51" s="3" t="str">
        <f t="shared" si="29"/>
        <v/>
      </c>
      <c r="T51" s="3" t="str">
        <f t="shared" si="30"/>
        <v/>
      </c>
      <c r="U51" s="3" t="str">
        <f t="shared" si="31"/>
        <v/>
      </c>
      <c r="V51" s="3" t="str">
        <f t="shared" si="32"/>
        <v/>
      </c>
      <c r="W51" s="3" t="str">
        <f t="shared" si="33"/>
        <v/>
      </c>
      <c r="X51" s="3" t="str">
        <f>IF($J51&lt;&gt;"",IF($L51&gt;W$11,IF($L51&lt;X$11,$L51-W$11,30),0)*ROUND(($M51+$U50+SUM($W51:W51))*$S$5/3000,2),"")</f>
        <v/>
      </c>
      <c r="Y51" s="3"/>
      <c r="Z51" s="3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</row>
    <row r="52" spans="4:83" x14ac:dyDescent="0.25">
      <c r="D52" s="5"/>
      <c r="E52" t="str">
        <f t="shared" si="17"/>
        <v/>
      </c>
      <c r="F52" s="5" t="str">
        <f>IF($J52&lt;&gt;"",EOMONTH(DATE(YEAR($L$6),$F$11+J52+SUM($B$12:B52),1),0),"")</f>
        <v/>
      </c>
      <c r="G52" s="22" t="str">
        <f t="shared" si="18"/>
        <v/>
      </c>
      <c r="H52" s="22" t="str">
        <f t="shared" si="19"/>
        <v/>
      </c>
      <c r="I52" s="22" t="str">
        <f t="shared" si="20"/>
        <v/>
      </c>
      <c r="J52" t="str">
        <f t="shared" si="21"/>
        <v/>
      </c>
      <c r="K52" s="5" t="str">
        <f>IF($J52&lt;&gt;"",IF(ULTIMODIA=0,IF($D52="",DATE(YEAR($L$7),MONTH($L$7)+($A$1*($G52-1))+SUM($B$12:$B52),DAY($L$7)),$D52),F52),"")</f>
        <v/>
      </c>
      <c r="L52" s="9" t="str">
        <f t="shared" si="22"/>
        <v/>
      </c>
      <c r="M52" s="3" t="str">
        <f t="shared" si="23"/>
        <v/>
      </c>
      <c r="N52" s="3" t="str">
        <f t="shared" si="24"/>
        <v/>
      </c>
      <c r="O52" s="3" t="str">
        <f t="shared" si="25"/>
        <v/>
      </c>
      <c r="P52" s="3" t="str">
        <f t="shared" si="26"/>
        <v/>
      </c>
      <c r="Q52" s="8" t="str">
        <f t="shared" si="27"/>
        <v/>
      </c>
      <c r="R52" s="8" t="str">
        <f t="shared" si="28"/>
        <v/>
      </c>
      <c r="S52" s="3" t="str">
        <f t="shared" si="29"/>
        <v/>
      </c>
      <c r="T52" s="3" t="str">
        <f t="shared" si="30"/>
        <v/>
      </c>
      <c r="U52" s="3" t="str">
        <f t="shared" si="31"/>
        <v/>
      </c>
      <c r="V52" s="3" t="str">
        <f t="shared" si="32"/>
        <v/>
      </c>
      <c r="W52" s="3" t="str">
        <f t="shared" si="33"/>
        <v/>
      </c>
      <c r="X52" s="3" t="str">
        <f>IF($J52&lt;&gt;"",IF($L52&gt;W$11,IF($L52&lt;X$11,$L52-W$11,30),0)*ROUND(($M52+$U51+SUM($W52:W52))*$S$5/3000,2),"")</f>
        <v/>
      </c>
      <c r="Y52" s="3"/>
      <c r="Z52" s="3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</row>
    <row r="53" spans="4:83" x14ac:dyDescent="0.25">
      <c r="D53" s="5"/>
      <c r="E53" t="str">
        <f t="shared" si="17"/>
        <v/>
      </c>
      <c r="F53" s="5" t="str">
        <f>IF($J53&lt;&gt;"",EOMONTH(DATE(YEAR($L$6),$F$11+J53+SUM($B$12:B53),1),0),"")</f>
        <v/>
      </c>
      <c r="G53" s="22" t="str">
        <f t="shared" si="18"/>
        <v/>
      </c>
      <c r="H53" s="22" t="str">
        <f t="shared" si="19"/>
        <v/>
      </c>
      <c r="I53" s="22" t="str">
        <f t="shared" si="20"/>
        <v/>
      </c>
      <c r="J53" t="str">
        <f t="shared" si="21"/>
        <v/>
      </c>
      <c r="K53" s="5" t="str">
        <f>IF($J53&lt;&gt;"",IF(ULTIMODIA=0,IF($D53="",DATE(YEAR($L$7),MONTH($L$7)+($A$1*($G53-1))+SUM($B$12:$B53),DAY($L$7)),$D53),F53),"")</f>
        <v/>
      </c>
      <c r="L53" s="9" t="str">
        <f t="shared" si="22"/>
        <v/>
      </c>
      <c r="M53" s="3" t="str">
        <f t="shared" si="23"/>
        <v/>
      </c>
      <c r="N53" s="3" t="str">
        <f t="shared" si="24"/>
        <v/>
      </c>
      <c r="O53" s="3" t="str">
        <f t="shared" si="25"/>
        <v/>
      </c>
      <c r="P53" s="3" t="str">
        <f t="shared" si="26"/>
        <v/>
      </c>
      <c r="Q53" s="8" t="str">
        <f t="shared" si="27"/>
        <v/>
      </c>
      <c r="R53" s="8" t="str">
        <f t="shared" si="28"/>
        <v/>
      </c>
      <c r="S53" s="3" t="str">
        <f t="shared" si="29"/>
        <v/>
      </c>
      <c r="T53" s="3" t="str">
        <f t="shared" si="30"/>
        <v/>
      </c>
      <c r="U53" s="3" t="str">
        <f t="shared" si="31"/>
        <v/>
      </c>
      <c r="V53" s="3" t="str">
        <f t="shared" si="32"/>
        <v/>
      </c>
      <c r="W53" s="3" t="str">
        <f t="shared" si="33"/>
        <v/>
      </c>
      <c r="X53" s="3" t="str">
        <f>IF($J53&lt;&gt;"",IF($L53&gt;W$11,IF($L53&lt;X$11,$L53-W$11,30),0)*ROUND(($M53+$U52+SUM($W53:W53))*$S$5/3000,2),"")</f>
        <v/>
      </c>
      <c r="Y53" s="3"/>
      <c r="Z53" s="3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</row>
    <row r="54" spans="4:83" x14ac:dyDescent="0.25">
      <c r="D54" s="5"/>
      <c r="E54" t="str">
        <f t="shared" si="17"/>
        <v/>
      </c>
      <c r="F54" s="5" t="str">
        <f>IF($J54&lt;&gt;"",EOMONTH(DATE(YEAR($L$6),$F$11+J54+SUM($B$12:B54),1),0),"")</f>
        <v/>
      </c>
      <c r="G54" s="22" t="str">
        <f t="shared" si="18"/>
        <v/>
      </c>
      <c r="H54" s="22" t="str">
        <f t="shared" si="19"/>
        <v/>
      </c>
      <c r="I54" s="22" t="str">
        <f t="shared" si="20"/>
        <v/>
      </c>
      <c r="J54" t="str">
        <f t="shared" si="21"/>
        <v/>
      </c>
      <c r="K54" s="5" t="str">
        <f>IF($J54&lt;&gt;"",IF(ULTIMODIA=0,IF($D54="",DATE(YEAR($L$7),MONTH($L$7)+($A$1*($G54-1))+SUM($B$12:$B54),DAY($L$7)),$D54),F54),"")</f>
        <v/>
      </c>
      <c r="L54" s="9" t="str">
        <f t="shared" si="22"/>
        <v/>
      </c>
      <c r="M54" s="3" t="str">
        <f t="shared" si="23"/>
        <v/>
      </c>
      <c r="N54" s="3" t="str">
        <f t="shared" si="24"/>
        <v/>
      </c>
      <c r="O54" s="3" t="str">
        <f t="shared" si="25"/>
        <v/>
      </c>
      <c r="P54" s="3" t="str">
        <f t="shared" si="26"/>
        <v/>
      </c>
      <c r="Q54" s="8" t="str">
        <f t="shared" si="27"/>
        <v/>
      </c>
      <c r="R54" s="8" t="str">
        <f t="shared" si="28"/>
        <v/>
      </c>
      <c r="S54" s="3" t="str">
        <f t="shared" si="29"/>
        <v/>
      </c>
      <c r="T54" s="3" t="str">
        <f t="shared" si="30"/>
        <v/>
      </c>
      <c r="U54" s="3" t="str">
        <f t="shared" si="31"/>
        <v/>
      </c>
      <c r="V54" s="3" t="str">
        <f t="shared" si="32"/>
        <v/>
      </c>
      <c r="W54" s="3" t="str">
        <f t="shared" si="33"/>
        <v/>
      </c>
      <c r="X54" s="3" t="str">
        <f>IF($J54&lt;&gt;"",IF($L54&gt;W$11,IF($L54&lt;X$11,$L54-W$11,30),0)*ROUND(($M54+$U53+SUM($W54:W54))*$S$5/3000,2),"")</f>
        <v/>
      </c>
      <c r="Y54" s="3"/>
      <c r="Z54" s="3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</row>
    <row r="55" spans="4:83" x14ac:dyDescent="0.25">
      <c r="D55" s="5"/>
      <c r="E55" t="str">
        <f t="shared" si="17"/>
        <v/>
      </c>
      <c r="F55" s="5" t="str">
        <f>IF($J55&lt;&gt;"",EOMONTH(DATE(YEAR($L$6),$F$11+J55+SUM($B$12:B55),1),0),"")</f>
        <v/>
      </c>
      <c r="G55" s="22" t="str">
        <f t="shared" si="18"/>
        <v/>
      </c>
      <c r="H55" s="22" t="str">
        <f t="shared" si="19"/>
        <v/>
      </c>
      <c r="I55" s="22" t="str">
        <f t="shared" si="20"/>
        <v/>
      </c>
      <c r="J55" t="str">
        <f t="shared" si="21"/>
        <v/>
      </c>
      <c r="K55" s="5" t="str">
        <f>IF($J55&lt;&gt;"",IF(ULTIMODIA=0,IF($D55="",DATE(YEAR($L$7),MONTH($L$7)+($A$1*($G55-1))+SUM($B$12:$B55),DAY($L$7)),$D55),F55),"")</f>
        <v/>
      </c>
      <c r="L55" s="9" t="str">
        <f t="shared" si="22"/>
        <v/>
      </c>
      <c r="M55" s="3" t="str">
        <f t="shared" si="23"/>
        <v/>
      </c>
      <c r="N55" s="3" t="str">
        <f t="shared" si="24"/>
        <v/>
      </c>
      <c r="O55" s="3" t="str">
        <f t="shared" si="25"/>
        <v/>
      </c>
      <c r="P55" s="3" t="str">
        <f t="shared" si="26"/>
        <v/>
      </c>
      <c r="Q55" s="8" t="str">
        <f t="shared" si="27"/>
        <v/>
      </c>
      <c r="R55" s="8" t="str">
        <f t="shared" si="28"/>
        <v/>
      </c>
      <c r="S55" s="3" t="str">
        <f t="shared" si="29"/>
        <v/>
      </c>
      <c r="T55" s="3" t="str">
        <f t="shared" si="30"/>
        <v/>
      </c>
      <c r="U55" s="3" t="str">
        <f t="shared" si="31"/>
        <v/>
      </c>
      <c r="V55" s="3" t="str">
        <f t="shared" si="32"/>
        <v/>
      </c>
      <c r="W55" s="3" t="str">
        <f t="shared" si="33"/>
        <v/>
      </c>
      <c r="X55" s="3" t="str">
        <f>IF($J55&lt;&gt;"",IF($L55&gt;W$11,IF($L55&lt;X$11,$L55-W$11,30),0)*ROUND(($M55+$U54+SUM($W55:W55))*$S$5/3000,2),"")</f>
        <v/>
      </c>
      <c r="Y55" s="3"/>
      <c r="Z55" s="3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</row>
    <row r="56" spans="4:83" x14ac:dyDescent="0.25">
      <c r="D56" s="5"/>
      <c r="E56" t="str">
        <f t="shared" si="17"/>
        <v/>
      </c>
      <c r="F56" s="5" t="str">
        <f>IF($J56&lt;&gt;"",EOMONTH(DATE(YEAR($L$6),$F$11+J56+SUM($B$12:B56),1),0),"")</f>
        <v/>
      </c>
      <c r="G56" s="22" t="str">
        <f t="shared" si="18"/>
        <v/>
      </c>
      <c r="H56" s="22" t="str">
        <f t="shared" si="19"/>
        <v/>
      </c>
      <c r="I56" s="22" t="str">
        <f t="shared" si="20"/>
        <v/>
      </c>
      <c r="J56" t="str">
        <f t="shared" si="21"/>
        <v/>
      </c>
      <c r="K56" s="5" t="str">
        <f>IF($J56&lt;&gt;"",IF(ULTIMODIA=0,IF($D56="",DATE(YEAR($L$7),MONTH($L$7)+($A$1*($G56-1))+SUM($B$12:$B56),DAY($L$7)),$D56),F56),"")</f>
        <v/>
      </c>
      <c r="L56" s="9" t="str">
        <f t="shared" si="22"/>
        <v/>
      </c>
      <c r="M56" s="3" t="str">
        <f t="shared" si="23"/>
        <v/>
      </c>
      <c r="N56" s="3" t="str">
        <f t="shared" si="24"/>
        <v/>
      </c>
      <c r="O56" s="3" t="str">
        <f t="shared" si="25"/>
        <v/>
      </c>
      <c r="P56" s="3" t="str">
        <f t="shared" si="26"/>
        <v/>
      </c>
      <c r="Q56" s="8" t="str">
        <f t="shared" si="27"/>
        <v/>
      </c>
      <c r="R56" s="8" t="str">
        <f t="shared" si="28"/>
        <v/>
      </c>
      <c r="S56" s="3" t="str">
        <f t="shared" si="29"/>
        <v/>
      </c>
      <c r="T56" s="3" t="str">
        <f t="shared" si="30"/>
        <v/>
      </c>
      <c r="U56" s="3" t="str">
        <f t="shared" si="31"/>
        <v/>
      </c>
      <c r="V56" s="3" t="str">
        <f t="shared" si="32"/>
        <v/>
      </c>
      <c r="W56" s="3" t="str">
        <f t="shared" si="33"/>
        <v/>
      </c>
      <c r="X56" s="3" t="str">
        <f>IF($J56&lt;&gt;"",IF($L56&gt;W$11,IF($L56&lt;X$11,$L56-W$11,30),0)*ROUND(($M56+$U55+SUM($W56:W56))*$S$5/3000,2),"")</f>
        <v/>
      </c>
      <c r="Y56" s="3"/>
      <c r="Z56" s="3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</row>
    <row r="57" spans="4:83" x14ac:dyDescent="0.25">
      <c r="D57" s="5"/>
      <c r="E57" t="str">
        <f t="shared" si="17"/>
        <v/>
      </c>
      <c r="F57" s="5" t="str">
        <f>IF($J57&lt;&gt;"",EOMONTH(DATE(YEAR($L$6),$F$11+J57+SUM($B$12:B57),1),0),"")</f>
        <v/>
      </c>
      <c r="G57" s="22" t="str">
        <f t="shared" si="18"/>
        <v/>
      </c>
      <c r="H57" s="22" t="str">
        <f t="shared" si="19"/>
        <v/>
      </c>
      <c r="I57" s="22" t="str">
        <f t="shared" si="20"/>
        <v/>
      </c>
      <c r="J57" t="str">
        <f t="shared" si="21"/>
        <v/>
      </c>
      <c r="K57" s="5" t="str">
        <f>IF($J57&lt;&gt;"",IF(ULTIMODIA=0,IF($D57="",DATE(YEAR($L$7),MONTH($L$7)+($A$1*($G57-1))+SUM($B$12:$B57),DAY($L$7)),$D57),F57),"")</f>
        <v/>
      </c>
      <c r="L57" s="9" t="str">
        <f t="shared" si="22"/>
        <v/>
      </c>
      <c r="M57" s="3" t="str">
        <f t="shared" si="23"/>
        <v/>
      </c>
      <c r="N57" s="3" t="str">
        <f t="shared" si="24"/>
        <v/>
      </c>
      <c r="O57" s="3" t="str">
        <f t="shared" si="25"/>
        <v/>
      </c>
      <c r="P57" s="3" t="str">
        <f t="shared" si="26"/>
        <v/>
      </c>
      <c r="Q57" s="8" t="str">
        <f t="shared" si="27"/>
        <v/>
      </c>
      <c r="R57" s="8" t="str">
        <f t="shared" si="28"/>
        <v/>
      </c>
      <c r="S57" s="3" t="str">
        <f t="shared" si="29"/>
        <v/>
      </c>
      <c r="T57" s="3" t="str">
        <f t="shared" si="30"/>
        <v/>
      </c>
      <c r="U57" s="3" t="str">
        <f t="shared" si="31"/>
        <v/>
      </c>
      <c r="V57" s="3" t="str">
        <f t="shared" si="32"/>
        <v/>
      </c>
      <c r="W57" s="3" t="str">
        <f t="shared" si="33"/>
        <v/>
      </c>
      <c r="X57" s="3" t="str">
        <f>IF($J57&lt;&gt;"",IF($L57&gt;W$11,IF($L57&lt;X$11,$L57-W$11,30),0)*ROUND(($M57+$U56+SUM($W57:W57))*$S$5/3000,2),"")</f>
        <v/>
      </c>
      <c r="Y57" s="3"/>
      <c r="Z57" s="3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</row>
    <row r="58" spans="4:83" x14ac:dyDescent="0.25">
      <c r="D58" s="5"/>
      <c r="E58" t="str">
        <f t="shared" si="17"/>
        <v/>
      </c>
      <c r="F58" s="5" t="str">
        <f>IF($J58&lt;&gt;"",EOMONTH(DATE(YEAR($L$6),$F$11+J58+SUM($B$12:B58),1),0),"")</f>
        <v/>
      </c>
      <c r="G58" s="22" t="str">
        <f t="shared" si="18"/>
        <v/>
      </c>
      <c r="H58" s="22" t="str">
        <f t="shared" si="19"/>
        <v/>
      </c>
      <c r="I58" s="22" t="str">
        <f t="shared" si="20"/>
        <v/>
      </c>
      <c r="J58" t="str">
        <f t="shared" si="21"/>
        <v/>
      </c>
      <c r="K58" s="5" t="str">
        <f>IF($J58&lt;&gt;"",IF(ULTIMODIA=0,IF($D58="",DATE(YEAR($L$7),MONTH($L$7)+($A$1*($G58-1))+SUM($B$12:$B58),DAY($L$7)),$D58),F58),"")</f>
        <v/>
      </c>
      <c r="L58" s="9" t="str">
        <f t="shared" si="22"/>
        <v/>
      </c>
      <c r="M58" s="3" t="str">
        <f t="shared" si="23"/>
        <v/>
      </c>
      <c r="N58" s="3" t="str">
        <f t="shared" si="24"/>
        <v/>
      </c>
      <c r="O58" s="3" t="str">
        <f t="shared" si="25"/>
        <v/>
      </c>
      <c r="P58" s="3" t="str">
        <f t="shared" si="26"/>
        <v/>
      </c>
      <c r="Q58" s="8" t="str">
        <f t="shared" si="27"/>
        <v/>
      </c>
      <c r="R58" s="8" t="str">
        <f t="shared" si="28"/>
        <v/>
      </c>
      <c r="S58" s="3" t="str">
        <f t="shared" si="29"/>
        <v/>
      </c>
      <c r="T58" s="3" t="str">
        <f t="shared" si="30"/>
        <v/>
      </c>
      <c r="U58" s="3" t="str">
        <f t="shared" si="31"/>
        <v/>
      </c>
      <c r="V58" s="3" t="str">
        <f t="shared" si="32"/>
        <v/>
      </c>
      <c r="W58" s="3" t="str">
        <f t="shared" si="33"/>
        <v/>
      </c>
      <c r="X58" s="3" t="str">
        <f>IF($J58&lt;&gt;"",IF($L58&gt;W$11,IF($L58&lt;X$11,$L58-W$11,30),0)*ROUND(($M58+$U57+SUM($W58:W58))*$S$5/3000,2),"")</f>
        <v/>
      </c>
      <c r="Y58" s="3"/>
      <c r="Z58" s="3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</row>
    <row r="59" spans="4:83" x14ac:dyDescent="0.25">
      <c r="D59" s="5"/>
      <c r="E59" t="str">
        <f t="shared" si="17"/>
        <v/>
      </c>
      <c r="F59" s="5" t="str">
        <f>IF($J59&lt;&gt;"",EOMONTH(DATE(YEAR($L$6),$F$11+J59+SUM($B$12:B59),1),0),"")</f>
        <v/>
      </c>
      <c r="G59" s="22" t="str">
        <f t="shared" si="18"/>
        <v/>
      </c>
      <c r="H59" s="22" t="str">
        <f t="shared" si="19"/>
        <v/>
      </c>
      <c r="I59" s="22" t="str">
        <f t="shared" si="20"/>
        <v/>
      </c>
      <c r="J59" t="str">
        <f t="shared" si="21"/>
        <v/>
      </c>
      <c r="K59" s="5" t="str">
        <f>IF($J59&lt;&gt;"",IF(ULTIMODIA=0,IF($D59="",DATE(YEAR($L$7),MONTH($L$7)+($A$1*($G59-1))+SUM($B$12:$B59),DAY($L$7)),$D59),F59),"")</f>
        <v/>
      </c>
      <c r="L59" s="9" t="str">
        <f t="shared" si="22"/>
        <v/>
      </c>
      <c r="M59" s="3" t="str">
        <f t="shared" si="23"/>
        <v/>
      </c>
      <c r="N59" s="3" t="str">
        <f t="shared" si="24"/>
        <v/>
      </c>
      <c r="O59" s="3" t="str">
        <f t="shared" si="25"/>
        <v/>
      </c>
      <c r="P59" s="3" t="str">
        <f t="shared" si="26"/>
        <v/>
      </c>
      <c r="Q59" s="8" t="str">
        <f t="shared" si="27"/>
        <v/>
      </c>
      <c r="R59" s="8" t="str">
        <f t="shared" si="28"/>
        <v/>
      </c>
      <c r="S59" s="3" t="str">
        <f t="shared" si="29"/>
        <v/>
      </c>
      <c r="T59" s="3" t="str">
        <f t="shared" si="30"/>
        <v/>
      </c>
      <c r="U59" s="3" t="str">
        <f t="shared" si="31"/>
        <v/>
      </c>
      <c r="V59" s="3" t="str">
        <f t="shared" si="32"/>
        <v/>
      </c>
      <c r="W59" s="3" t="str">
        <f t="shared" si="33"/>
        <v/>
      </c>
      <c r="X59" s="3" t="str">
        <f>IF($J59&lt;&gt;"",IF($L59&gt;W$11,IF($L59&lt;X$11,$L59-W$11,30),0)*ROUND(($M59+$U58+SUM($W59:W59))*$S$5/3000,2),"")</f>
        <v/>
      </c>
      <c r="Y59" s="3"/>
      <c r="Z59" s="3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</row>
    <row r="60" spans="4:83" x14ac:dyDescent="0.25">
      <c r="D60" s="5"/>
      <c r="E60" t="str">
        <f t="shared" si="17"/>
        <v/>
      </c>
      <c r="F60" s="5" t="str">
        <f>IF($J60&lt;&gt;"",EOMONTH(DATE(YEAR($L$6),$F$11+J60+SUM($B$12:B60),1),0),"")</f>
        <v/>
      </c>
      <c r="G60" s="22" t="str">
        <f t="shared" si="18"/>
        <v/>
      </c>
      <c r="H60" s="22" t="str">
        <f t="shared" si="19"/>
        <v/>
      </c>
      <c r="I60" s="22" t="str">
        <f t="shared" si="20"/>
        <v/>
      </c>
      <c r="J60" t="str">
        <f t="shared" si="21"/>
        <v/>
      </c>
      <c r="K60" s="5" t="str">
        <f>IF($J60&lt;&gt;"",IF(ULTIMODIA=0,IF($D60="",DATE(YEAR($L$7),MONTH($L$7)+($A$1*($G60-1))+SUM($B$12:$B60),DAY($L$7)),$D60),F60),"")</f>
        <v/>
      </c>
      <c r="L60" s="9" t="str">
        <f t="shared" si="22"/>
        <v/>
      </c>
      <c r="M60" s="3" t="str">
        <f t="shared" si="23"/>
        <v/>
      </c>
      <c r="N60" s="3" t="str">
        <f t="shared" si="24"/>
        <v/>
      </c>
      <c r="O60" s="3" t="str">
        <f t="shared" si="25"/>
        <v/>
      </c>
      <c r="P60" s="3" t="str">
        <f t="shared" si="26"/>
        <v/>
      </c>
      <c r="Q60" s="8" t="str">
        <f t="shared" si="27"/>
        <v/>
      </c>
      <c r="R60" s="8" t="str">
        <f t="shared" si="28"/>
        <v/>
      </c>
      <c r="S60" s="3" t="str">
        <f t="shared" si="29"/>
        <v/>
      </c>
      <c r="T60" s="3" t="str">
        <f t="shared" si="30"/>
        <v/>
      </c>
      <c r="U60" s="3" t="str">
        <f t="shared" si="31"/>
        <v/>
      </c>
      <c r="V60" s="3" t="str">
        <f t="shared" si="32"/>
        <v/>
      </c>
      <c r="W60" s="3" t="str">
        <f t="shared" si="33"/>
        <v/>
      </c>
      <c r="X60" s="3" t="str">
        <f>IF($J60&lt;&gt;"",IF($L60&gt;W$11,IF($L60&lt;X$11,$L60-W$11,30),0)*ROUND(($M60+$U59+SUM($W60:W60))*$S$5/3000,2),"")</f>
        <v/>
      </c>
      <c r="Y60" s="3"/>
      <c r="Z60" s="3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</row>
    <row r="61" spans="4:83" x14ac:dyDescent="0.25">
      <c r="D61" s="5"/>
      <c r="E61" t="str">
        <f t="shared" si="17"/>
        <v/>
      </c>
      <c r="F61" s="5" t="str">
        <f>IF($J61&lt;&gt;"",EOMONTH(DATE(YEAR($L$6),$F$11+J61+SUM($B$12:B61),1),0),"")</f>
        <v/>
      </c>
      <c r="G61" s="22" t="str">
        <f t="shared" si="18"/>
        <v/>
      </c>
      <c r="H61" s="22" t="str">
        <f t="shared" si="19"/>
        <v/>
      </c>
      <c r="I61" s="22" t="str">
        <f t="shared" si="20"/>
        <v/>
      </c>
      <c r="J61" t="str">
        <f t="shared" si="21"/>
        <v/>
      </c>
      <c r="K61" s="5" t="str">
        <f>IF($J61&lt;&gt;"",IF(ULTIMODIA=0,IF($D61="",DATE(YEAR($L$7),MONTH($L$7)+($A$1*($G61-1))+SUM($B$12:$B61),DAY($L$7)),$D61),F61),"")</f>
        <v/>
      </c>
      <c r="L61" s="9" t="str">
        <f t="shared" si="22"/>
        <v/>
      </c>
      <c r="M61" s="3" t="str">
        <f t="shared" si="23"/>
        <v/>
      </c>
      <c r="N61" s="3" t="str">
        <f t="shared" si="24"/>
        <v/>
      </c>
      <c r="O61" s="3" t="str">
        <f t="shared" si="25"/>
        <v/>
      </c>
      <c r="P61" s="3" t="str">
        <f t="shared" si="26"/>
        <v/>
      </c>
      <c r="Q61" s="8" t="str">
        <f t="shared" si="27"/>
        <v/>
      </c>
      <c r="R61" s="8" t="str">
        <f t="shared" si="28"/>
        <v/>
      </c>
      <c r="S61" s="3" t="str">
        <f t="shared" si="29"/>
        <v/>
      </c>
      <c r="T61" s="3" t="str">
        <f t="shared" si="30"/>
        <v/>
      </c>
      <c r="U61" s="3" t="str">
        <f t="shared" si="31"/>
        <v/>
      </c>
      <c r="V61" s="3" t="str">
        <f t="shared" si="32"/>
        <v/>
      </c>
      <c r="W61" s="3" t="str">
        <f t="shared" si="33"/>
        <v/>
      </c>
      <c r="X61" s="3" t="str">
        <f>IF($J61&lt;&gt;"",IF($L61&gt;W$11,IF($L61&lt;X$11,$L61-W$11,30),0)*ROUND(($M61+$U60+SUM($W61:W61))*$S$5/3000,2),"")</f>
        <v/>
      </c>
      <c r="Y61" s="3"/>
      <c r="Z61" s="3"/>
    </row>
    <row r="62" spans="4:83" x14ac:dyDescent="0.25">
      <c r="D62" s="5"/>
      <c r="E62" t="str">
        <f t="shared" si="17"/>
        <v/>
      </c>
      <c r="F62" s="5" t="str">
        <f>IF($J62&lt;&gt;"",EOMONTH(DATE(YEAR($L$6),$F$11+J62+SUM($B$12:B62),1),0),"")</f>
        <v/>
      </c>
      <c r="G62" s="22" t="str">
        <f t="shared" si="18"/>
        <v/>
      </c>
      <c r="H62" s="22" t="str">
        <f t="shared" si="19"/>
        <v/>
      </c>
      <c r="I62" s="22" t="str">
        <f t="shared" si="20"/>
        <v/>
      </c>
      <c r="J62" t="str">
        <f t="shared" si="21"/>
        <v/>
      </c>
      <c r="K62" s="5" t="str">
        <f>IF($J62&lt;&gt;"",IF(ULTIMODIA=0,IF($D62="",DATE(YEAR($L$7),MONTH($L$7)+($A$1*($G62-1))+SUM($B$12:$B62),DAY($L$7)),$D62),F62),"")</f>
        <v/>
      </c>
      <c r="L62" s="9" t="str">
        <f t="shared" si="22"/>
        <v/>
      </c>
      <c r="M62" s="3" t="str">
        <f t="shared" si="23"/>
        <v/>
      </c>
      <c r="N62" s="3" t="str">
        <f t="shared" si="24"/>
        <v/>
      </c>
      <c r="O62" s="3" t="str">
        <f t="shared" si="25"/>
        <v/>
      </c>
      <c r="P62" s="3" t="str">
        <f t="shared" si="26"/>
        <v/>
      </c>
      <c r="Q62" s="8" t="str">
        <f t="shared" si="27"/>
        <v/>
      </c>
      <c r="R62" s="8" t="str">
        <f t="shared" si="28"/>
        <v/>
      </c>
      <c r="S62" s="3" t="str">
        <f t="shared" si="29"/>
        <v/>
      </c>
      <c r="T62" s="3" t="str">
        <f t="shared" si="30"/>
        <v/>
      </c>
      <c r="U62" s="3" t="str">
        <f t="shared" si="31"/>
        <v/>
      </c>
      <c r="V62" s="3" t="str">
        <f t="shared" si="32"/>
        <v/>
      </c>
      <c r="W62" s="3" t="str">
        <f t="shared" si="33"/>
        <v/>
      </c>
      <c r="X62" s="3" t="str">
        <f>IF($J62&lt;&gt;"",IF($L62&gt;W$11,IF($L62&lt;X$11,$L62-W$11,30),0)*ROUND(($M62+$U61+SUM($W62:W62))*$S$5/3000,2),"")</f>
        <v/>
      </c>
      <c r="Y62" s="3"/>
      <c r="Z62" s="3"/>
    </row>
    <row r="63" spans="4:83" x14ac:dyDescent="0.25">
      <c r="D63" s="5"/>
      <c r="E63" t="str">
        <f t="shared" si="17"/>
        <v/>
      </c>
      <c r="F63" s="5" t="str">
        <f>IF($J63&lt;&gt;"",EOMONTH(DATE(YEAR($L$6),$F$11+J63+SUM($B$12:B63),1),0),"")</f>
        <v/>
      </c>
      <c r="G63" s="22" t="str">
        <f t="shared" si="18"/>
        <v/>
      </c>
      <c r="H63" s="22" t="str">
        <f t="shared" si="19"/>
        <v/>
      </c>
      <c r="I63" s="22" t="str">
        <f t="shared" si="20"/>
        <v/>
      </c>
      <c r="J63" t="str">
        <f t="shared" si="21"/>
        <v/>
      </c>
      <c r="K63" s="5" t="str">
        <f>IF($J63&lt;&gt;"",IF(ULTIMODIA=0,IF($D63="",DATE(YEAR($L$7),MONTH($L$7)+($A$1*($G63-1))+SUM($B$12:$B63),DAY($L$7)),$D63),F63),"")</f>
        <v/>
      </c>
      <c r="L63" s="9" t="str">
        <f t="shared" si="22"/>
        <v/>
      </c>
      <c r="M63" s="3" t="str">
        <f t="shared" si="23"/>
        <v/>
      </c>
      <c r="N63" s="3" t="str">
        <f t="shared" si="24"/>
        <v/>
      </c>
      <c r="O63" s="3" t="str">
        <f t="shared" si="25"/>
        <v/>
      </c>
      <c r="P63" s="3" t="str">
        <f t="shared" si="26"/>
        <v/>
      </c>
      <c r="Q63" s="8" t="str">
        <f t="shared" si="27"/>
        <v/>
      </c>
      <c r="R63" s="8" t="str">
        <f t="shared" si="28"/>
        <v/>
      </c>
      <c r="S63" s="3" t="str">
        <f t="shared" si="29"/>
        <v/>
      </c>
      <c r="T63" s="3" t="str">
        <f t="shared" si="30"/>
        <v/>
      </c>
      <c r="U63" s="3" t="str">
        <f t="shared" si="31"/>
        <v/>
      </c>
      <c r="V63" s="3" t="str">
        <f t="shared" si="32"/>
        <v/>
      </c>
      <c r="W63" s="3" t="str">
        <f t="shared" si="33"/>
        <v/>
      </c>
      <c r="X63" s="3" t="str">
        <f>IF($J63&lt;&gt;"",IF($L63&gt;W$11,IF($L63&lt;X$11,$L63-W$11,30),0)*ROUND(($M63+$U62+SUM($W63:W63))*$S$5/3000,2),"")</f>
        <v/>
      </c>
      <c r="Y63" s="3"/>
      <c r="Z63" s="3"/>
    </row>
    <row r="64" spans="4:83" x14ac:dyDescent="0.25">
      <c r="D64" s="5"/>
      <c r="E64" t="str">
        <f t="shared" si="17"/>
        <v/>
      </c>
      <c r="F64" s="5" t="str">
        <f>IF($J64&lt;&gt;"",EOMONTH(DATE(YEAR($L$6),$F$11+J64+SUM($B$12:B64),1),0),"")</f>
        <v/>
      </c>
      <c r="G64" s="22" t="str">
        <f t="shared" si="18"/>
        <v/>
      </c>
      <c r="H64" s="22" t="str">
        <f t="shared" si="19"/>
        <v/>
      </c>
      <c r="I64" s="22" t="str">
        <f t="shared" si="20"/>
        <v/>
      </c>
      <c r="J64" t="str">
        <f t="shared" si="21"/>
        <v/>
      </c>
      <c r="K64" s="5" t="str">
        <f>IF($J64&lt;&gt;"",IF(ULTIMODIA=0,IF($D64="",DATE(YEAR($L$7),MONTH($L$7)+($A$1*($G64-1))+SUM($B$12:$B64),DAY($L$7)),$D64),F64),"")</f>
        <v/>
      </c>
      <c r="L64" s="9" t="str">
        <f t="shared" si="22"/>
        <v/>
      </c>
      <c r="M64" s="3" t="str">
        <f t="shared" si="23"/>
        <v/>
      </c>
      <c r="N64" s="3" t="str">
        <f t="shared" si="24"/>
        <v/>
      </c>
      <c r="O64" s="3" t="str">
        <f t="shared" si="25"/>
        <v/>
      </c>
      <c r="P64" s="3" t="str">
        <f t="shared" si="26"/>
        <v/>
      </c>
      <c r="Q64" s="8" t="str">
        <f t="shared" si="27"/>
        <v/>
      </c>
      <c r="R64" s="8" t="str">
        <f t="shared" si="28"/>
        <v/>
      </c>
      <c r="S64" s="3" t="str">
        <f t="shared" si="29"/>
        <v/>
      </c>
      <c r="T64" s="3" t="str">
        <f t="shared" si="30"/>
        <v/>
      </c>
      <c r="U64" s="3" t="str">
        <f t="shared" si="31"/>
        <v/>
      </c>
      <c r="V64" s="3" t="str">
        <f t="shared" si="32"/>
        <v/>
      </c>
      <c r="W64" s="3" t="str">
        <f t="shared" si="33"/>
        <v/>
      </c>
      <c r="X64" s="3" t="str">
        <f>IF($J64&lt;&gt;"",IF($L64&gt;W$11,IF($L64&lt;X$11,$L64-W$11,30),0)*ROUND(($M64+$U63+SUM($W64:W64))*$S$5/3000,2),"")</f>
        <v/>
      </c>
      <c r="Y64" s="3"/>
      <c r="Z64" s="3"/>
    </row>
    <row r="65" spans="4:26" x14ac:dyDescent="0.25">
      <c r="D65" s="5"/>
      <c r="E65" t="str">
        <f t="shared" si="17"/>
        <v/>
      </c>
      <c r="F65" s="5" t="str">
        <f>IF($J65&lt;&gt;"",EOMONTH(DATE(YEAR($L$6),$F$11+J65+SUM($B$12:B65),1),0),"")</f>
        <v/>
      </c>
      <c r="G65" s="22" t="str">
        <f t="shared" si="18"/>
        <v/>
      </c>
      <c r="H65" s="22" t="str">
        <f t="shared" si="19"/>
        <v/>
      </c>
      <c r="I65" s="22" t="str">
        <f t="shared" si="20"/>
        <v/>
      </c>
      <c r="J65" t="str">
        <f t="shared" si="21"/>
        <v/>
      </c>
      <c r="K65" s="5" t="str">
        <f>IF($J65&lt;&gt;"",IF(ULTIMODIA=0,IF($D65="",DATE(YEAR($L$7),MONTH($L$7)+($A$1*($G65-1))+SUM($B$12:$B65),DAY($L$7)),$D65),F65),"")</f>
        <v/>
      </c>
      <c r="L65" s="9" t="str">
        <f t="shared" si="22"/>
        <v/>
      </c>
      <c r="M65" s="3" t="str">
        <f t="shared" si="23"/>
        <v/>
      </c>
      <c r="N65" s="3" t="str">
        <f t="shared" si="24"/>
        <v/>
      </c>
      <c r="O65" s="3" t="str">
        <f t="shared" si="25"/>
        <v/>
      </c>
      <c r="P65" s="3" t="str">
        <f t="shared" si="26"/>
        <v/>
      </c>
      <c r="Q65" s="8" t="str">
        <f t="shared" si="27"/>
        <v/>
      </c>
      <c r="R65" s="8" t="str">
        <f t="shared" si="28"/>
        <v/>
      </c>
      <c r="S65" s="3" t="str">
        <f t="shared" si="29"/>
        <v/>
      </c>
      <c r="T65" s="3" t="str">
        <f t="shared" si="30"/>
        <v/>
      </c>
      <c r="U65" s="3" t="str">
        <f t="shared" si="31"/>
        <v/>
      </c>
      <c r="V65" s="3" t="str">
        <f t="shared" si="32"/>
        <v/>
      </c>
      <c r="W65" s="3" t="str">
        <f t="shared" si="33"/>
        <v/>
      </c>
      <c r="X65" s="3" t="str">
        <f>IF($J65&lt;&gt;"",IF($L65&gt;W$11,IF($L65&lt;X$11,$L65-W$11,30),0)*ROUND(($M65+$U64+SUM($W65:W65))*$S$5/3000,2),"")</f>
        <v/>
      </c>
      <c r="Y65" s="3"/>
      <c r="Z65" s="3"/>
    </row>
    <row r="66" spans="4:26" x14ac:dyDescent="0.25">
      <c r="D66" s="5"/>
      <c r="E66" t="str">
        <f t="shared" si="17"/>
        <v/>
      </c>
      <c r="F66" s="5" t="str">
        <f>IF($J66&lt;&gt;"",EOMONTH(DATE(YEAR($L$6),$F$11+J66+SUM($B$12:B66),1),0),"")</f>
        <v/>
      </c>
      <c r="G66" s="22" t="str">
        <f t="shared" si="18"/>
        <v/>
      </c>
      <c r="H66" s="22" t="str">
        <f t="shared" si="19"/>
        <v/>
      </c>
      <c r="I66" s="22" t="str">
        <f t="shared" si="20"/>
        <v/>
      </c>
      <c r="J66" t="str">
        <f t="shared" si="21"/>
        <v/>
      </c>
      <c r="K66" s="5" t="str">
        <f>IF($J66&lt;&gt;"",IF(ULTIMODIA=0,IF($D66="",DATE(YEAR($L$7),MONTH($L$7)+($A$1*($G66-1))+SUM($B$12:$B66),DAY($L$7)),$D66),F66),"")</f>
        <v/>
      </c>
      <c r="L66" s="9" t="str">
        <f t="shared" si="22"/>
        <v/>
      </c>
      <c r="M66" s="3" t="str">
        <f t="shared" si="23"/>
        <v/>
      </c>
      <c r="N66" s="3" t="str">
        <f t="shared" si="24"/>
        <v/>
      </c>
      <c r="O66" s="3" t="str">
        <f t="shared" si="25"/>
        <v/>
      </c>
      <c r="P66" s="3" t="str">
        <f t="shared" si="26"/>
        <v/>
      </c>
      <c r="Q66" s="8" t="str">
        <f t="shared" si="27"/>
        <v/>
      </c>
      <c r="R66" s="8" t="str">
        <f t="shared" si="28"/>
        <v/>
      </c>
      <c r="S66" s="3" t="str">
        <f t="shared" si="29"/>
        <v/>
      </c>
      <c r="T66" s="3" t="str">
        <f t="shared" si="30"/>
        <v/>
      </c>
      <c r="U66" s="3" t="str">
        <f t="shared" si="31"/>
        <v/>
      </c>
      <c r="V66" s="3" t="str">
        <f t="shared" si="32"/>
        <v/>
      </c>
      <c r="W66" s="3" t="str">
        <f t="shared" si="33"/>
        <v/>
      </c>
      <c r="X66" s="3" t="str">
        <f>IF($J66&lt;&gt;"",IF($L66&gt;W$11,IF($L66&lt;X$11,$L66-W$11,30),0)*ROUND(($M66+$U65+SUM($W66:W66))*$S$5/3000,2),"")</f>
        <v/>
      </c>
      <c r="Y66" s="3"/>
      <c r="Z66" s="3"/>
    </row>
    <row r="67" spans="4:26" x14ac:dyDescent="0.25">
      <c r="D67" s="5"/>
      <c r="E67" t="str">
        <f t="shared" si="17"/>
        <v/>
      </c>
      <c r="F67" s="5" t="str">
        <f>IF($J67&lt;&gt;"",EOMONTH(DATE(YEAR($L$6),$F$11+J67+SUM($B$12:B67),1),0),"")</f>
        <v/>
      </c>
      <c r="G67" s="22" t="str">
        <f t="shared" si="18"/>
        <v/>
      </c>
      <c r="H67" s="22" t="str">
        <f t="shared" si="19"/>
        <v/>
      </c>
      <c r="I67" s="22" t="str">
        <f t="shared" si="20"/>
        <v/>
      </c>
      <c r="J67" t="str">
        <f t="shared" si="21"/>
        <v/>
      </c>
      <c r="K67" s="5" t="str">
        <f>IF($J67&lt;&gt;"",IF(ULTIMODIA=0,IF($D67="",DATE(YEAR($L$7),MONTH($L$7)+($A$1*($G67-1))+SUM($B$12:$B67),DAY($L$7)),$D67),F67),"")</f>
        <v/>
      </c>
      <c r="L67" s="9" t="str">
        <f t="shared" si="22"/>
        <v/>
      </c>
      <c r="M67" s="3" t="str">
        <f t="shared" si="23"/>
        <v/>
      </c>
      <c r="N67" s="3" t="str">
        <f t="shared" si="24"/>
        <v/>
      </c>
      <c r="O67" s="3" t="str">
        <f t="shared" si="25"/>
        <v/>
      </c>
      <c r="P67" s="3" t="str">
        <f t="shared" si="26"/>
        <v/>
      </c>
      <c r="Q67" s="8" t="str">
        <f t="shared" si="27"/>
        <v/>
      </c>
      <c r="R67" s="8" t="str">
        <f t="shared" si="28"/>
        <v/>
      </c>
      <c r="S67" s="3" t="str">
        <f t="shared" si="29"/>
        <v/>
      </c>
      <c r="T67" s="3" t="str">
        <f t="shared" si="30"/>
        <v/>
      </c>
      <c r="U67" s="3" t="str">
        <f t="shared" si="31"/>
        <v/>
      </c>
      <c r="V67" s="3" t="str">
        <f t="shared" si="32"/>
        <v/>
      </c>
      <c r="W67" s="3" t="str">
        <f t="shared" si="33"/>
        <v/>
      </c>
      <c r="X67" s="3" t="str">
        <f>IF($J67&lt;&gt;"",IF($L67&gt;W$11,IF($L67&lt;X$11,$L67-W$11,30),0)*ROUND(($M67+$U66+SUM($W67:W67))*$S$5/3000,2),"")</f>
        <v/>
      </c>
      <c r="Y67" s="3"/>
      <c r="Z67" s="3"/>
    </row>
    <row r="68" spans="4:26" x14ac:dyDescent="0.25">
      <c r="D68" s="5"/>
      <c r="E68" t="str">
        <f t="shared" si="17"/>
        <v/>
      </c>
      <c r="F68" s="5" t="str">
        <f>IF($J68&lt;&gt;"",EOMONTH(DATE(YEAR($L$6),$F$11+J68+SUM($B$12:B68),1),0),"")</f>
        <v/>
      </c>
      <c r="G68" s="22" t="str">
        <f t="shared" si="18"/>
        <v/>
      </c>
      <c r="H68" s="22" t="str">
        <f t="shared" si="19"/>
        <v/>
      </c>
      <c r="I68" s="22" t="str">
        <f t="shared" si="20"/>
        <v/>
      </c>
      <c r="J68" t="str">
        <f t="shared" si="21"/>
        <v/>
      </c>
      <c r="K68" s="5" t="str">
        <f>IF($J68&lt;&gt;"",IF(ULTIMODIA=0,IF($D68="",DATE(YEAR($L$7),MONTH($L$7)+($A$1*($G68-1))+SUM($B$12:$B68),DAY($L$7)),$D68),F68),"")</f>
        <v/>
      </c>
      <c r="L68" s="9" t="str">
        <f t="shared" si="22"/>
        <v/>
      </c>
      <c r="M68" s="3" t="str">
        <f t="shared" si="23"/>
        <v/>
      </c>
      <c r="N68" s="3" t="str">
        <f t="shared" si="24"/>
        <v/>
      </c>
      <c r="O68" s="3" t="str">
        <f t="shared" si="25"/>
        <v/>
      </c>
      <c r="P68" s="3" t="str">
        <f t="shared" si="26"/>
        <v/>
      </c>
      <c r="Q68" s="8" t="str">
        <f t="shared" si="27"/>
        <v/>
      </c>
      <c r="R68" s="8" t="str">
        <f t="shared" si="28"/>
        <v/>
      </c>
      <c r="S68" s="3" t="str">
        <f t="shared" si="29"/>
        <v/>
      </c>
      <c r="T68" s="3" t="str">
        <f t="shared" si="30"/>
        <v/>
      </c>
      <c r="U68" s="3" t="str">
        <f t="shared" si="31"/>
        <v/>
      </c>
      <c r="V68" s="3" t="str">
        <f t="shared" si="32"/>
        <v/>
      </c>
      <c r="W68" s="3" t="str">
        <f t="shared" si="33"/>
        <v/>
      </c>
      <c r="X68" s="3" t="str">
        <f>IF($J68&lt;&gt;"",IF($L68&gt;W$11,IF($L68&lt;X$11,$L68-W$11,30),0)*ROUND(($M68+$U67+SUM($W68:W68))*$S$5/3000,2),"")</f>
        <v/>
      </c>
      <c r="Y68" s="3"/>
      <c r="Z68" s="3"/>
    </row>
    <row r="69" spans="4:26" x14ac:dyDescent="0.25">
      <c r="D69" s="5"/>
      <c r="E69" t="str">
        <f t="shared" si="17"/>
        <v/>
      </c>
      <c r="F69" s="5" t="str">
        <f>IF($J69&lt;&gt;"",EOMONTH(DATE(YEAR($L$6),$F$11+J69+SUM($B$12:B69),1),0),"")</f>
        <v/>
      </c>
      <c r="G69" s="22" t="str">
        <f t="shared" si="18"/>
        <v/>
      </c>
      <c r="H69" s="22" t="str">
        <f t="shared" si="19"/>
        <v/>
      </c>
      <c r="I69" s="22" t="str">
        <f t="shared" si="20"/>
        <v/>
      </c>
      <c r="J69" t="str">
        <f t="shared" si="21"/>
        <v/>
      </c>
      <c r="K69" s="5" t="str">
        <f>IF($J69&lt;&gt;"",IF(ULTIMODIA=0,IF($D69="",DATE(YEAR($L$7),MONTH($L$7)+($A$1*($G69-1))+SUM($B$12:$B69),DAY($L$7)),$D69),F69),"")</f>
        <v/>
      </c>
      <c r="L69" s="9" t="str">
        <f t="shared" si="22"/>
        <v/>
      </c>
      <c r="M69" s="3" t="str">
        <f t="shared" si="23"/>
        <v/>
      </c>
      <c r="N69" s="3" t="str">
        <f t="shared" si="24"/>
        <v/>
      </c>
      <c r="O69" s="3" t="str">
        <f t="shared" si="25"/>
        <v/>
      </c>
      <c r="P69" s="3" t="str">
        <f t="shared" si="26"/>
        <v/>
      </c>
      <c r="Q69" s="8" t="str">
        <f t="shared" si="27"/>
        <v/>
      </c>
      <c r="R69" s="8" t="str">
        <f t="shared" si="28"/>
        <v/>
      </c>
      <c r="S69" s="3" t="str">
        <f t="shared" si="29"/>
        <v/>
      </c>
      <c r="T69" s="3" t="str">
        <f t="shared" si="30"/>
        <v/>
      </c>
      <c r="U69" s="3" t="str">
        <f t="shared" si="31"/>
        <v/>
      </c>
      <c r="V69" s="3" t="str">
        <f t="shared" si="32"/>
        <v/>
      </c>
      <c r="W69" s="3" t="str">
        <f t="shared" si="33"/>
        <v/>
      </c>
      <c r="X69" s="3" t="str">
        <f>IF($J69&lt;&gt;"",IF($L69&gt;W$11,IF($L69&lt;X$11,$L69-W$11,30),0)*ROUND(($M69+$U68+SUM($W69:W69))*$S$5/3000,2),"")</f>
        <v/>
      </c>
      <c r="Y69" s="3"/>
      <c r="Z69" s="3"/>
    </row>
    <row r="70" spans="4:26" x14ac:dyDescent="0.25">
      <c r="D70" s="5"/>
      <c r="E70" t="str">
        <f t="shared" si="17"/>
        <v/>
      </c>
      <c r="F70" s="5" t="str">
        <f>IF($J70&lt;&gt;"",EOMONTH(DATE(YEAR($L$6),$F$11+J70+SUM($B$12:B70),1),0),"")</f>
        <v/>
      </c>
      <c r="G70" s="22" t="str">
        <f t="shared" si="18"/>
        <v/>
      </c>
      <c r="H70" s="22" t="str">
        <f t="shared" si="19"/>
        <v/>
      </c>
      <c r="I70" s="22" t="str">
        <f t="shared" si="20"/>
        <v/>
      </c>
      <c r="J70" t="str">
        <f t="shared" si="21"/>
        <v/>
      </c>
      <c r="K70" s="5" t="str">
        <f>IF($J70&lt;&gt;"",IF(ULTIMODIA=0,IF($D70="",DATE(YEAR($L$7),MONTH($L$7)+($A$1*($G70-1))+SUM($B$12:$B70),DAY($L$7)),$D70),F70),"")</f>
        <v/>
      </c>
      <c r="L70" s="9" t="str">
        <f t="shared" si="22"/>
        <v/>
      </c>
      <c r="M70" s="3" t="str">
        <f t="shared" si="23"/>
        <v/>
      </c>
      <c r="N70" s="3" t="str">
        <f t="shared" si="24"/>
        <v/>
      </c>
      <c r="O70" s="3" t="str">
        <f t="shared" si="25"/>
        <v/>
      </c>
      <c r="P70" s="3" t="str">
        <f t="shared" si="26"/>
        <v/>
      </c>
      <c r="Q70" s="8" t="str">
        <f t="shared" si="27"/>
        <v/>
      </c>
      <c r="R70" s="8" t="str">
        <f t="shared" si="28"/>
        <v/>
      </c>
      <c r="S70" s="3" t="str">
        <f t="shared" si="29"/>
        <v/>
      </c>
      <c r="T70" s="3" t="str">
        <f t="shared" si="30"/>
        <v/>
      </c>
      <c r="U70" s="3" t="str">
        <f t="shared" si="31"/>
        <v/>
      </c>
      <c r="V70" s="3" t="str">
        <f t="shared" si="32"/>
        <v/>
      </c>
      <c r="W70" s="3" t="str">
        <f t="shared" si="33"/>
        <v/>
      </c>
      <c r="X70" s="3" t="str">
        <f>IF($J70&lt;&gt;"",IF($L70&gt;W$11,IF($L70&lt;X$11,$L70-W$11,30),0)*ROUND(($M70+$U69+SUM($W70:W70))*$S$5/3000,2),"")</f>
        <v/>
      </c>
      <c r="Y70" s="3"/>
      <c r="Z70" s="3"/>
    </row>
    <row r="71" spans="4:26" x14ac:dyDescent="0.25">
      <c r="D71" s="5"/>
      <c r="E71" t="str">
        <f t="shared" si="17"/>
        <v/>
      </c>
      <c r="F71" s="5" t="str">
        <f>IF($J71&lt;&gt;"",EOMONTH(DATE(YEAR($L$6),$F$11+J71+SUM($B$12:B71),1),0),"")</f>
        <v/>
      </c>
      <c r="G71" s="22" t="str">
        <f t="shared" si="18"/>
        <v/>
      </c>
      <c r="H71" s="22" t="str">
        <f t="shared" si="19"/>
        <v/>
      </c>
      <c r="I71" s="22" t="str">
        <f t="shared" si="20"/>
        <v/>
      </c>
      <c r="J71" t="str">
        <f t="shared" si="21"/>
        <v/>
      </c>
      <c r="K71" s="5" t="str">
        <f>IF($J71&lt;&gt;"",IF(ULTIMODIA=0,IF($D71="",DATE(YEAR($L$7),MONTH($L$7)+($A$1*($G71-1))+SUM($B$12:$B71),DAY($L$7)),$D71),F71),"")</f>
        <v/>
      </c>
      <c r="L71" s="9" t="str">
        <f t="shared" si="22"/>
        <v/>
      </c>
      <c r="M71" s="3" t="str">
        <f t="shared" si="23"/>
        <v/>
      </c>
      <c r="N71" s="3" t="str">
        <f t="shared" si="24"/>
        <v/>
      </c>
      <c r="O71" s="3" t="str">
        <f t="shared" si="25"/>
        <v/>
      </c>
      <c r="P71" s="3" t="str">
        <f t="shared" si="26"/>
        <v/>
      </c>
      <c r="Q71" s="8" t="str">
        <f t="shared" si="27"/>
        <v/>
      </c>
      <c r="R71" s="8" t="str">
        <f t="shared" si="28"/>
        <v/>
      </c>
      <c r="S71" s="3" t="str">
        <f t="shared" si="29"/>
        <v/>
      </c>
      <c r="T71" s="3" t="str">
        <f t="shared" si="30"/>
        <v/>
      </c>
      <c r="U71" s="3" t="str">
        <f t="shared" si="31"/>
        <v/>
      </c>
      <c r="V71" s="3" t="str">
        <f t="shared" si="32"/>
        <v/>
      </c>
      <c r="W71" s="3" t="str">
        <f t="shared" si="33"/>
        <v/>
      </c>
      <c r="X71" s="3" t="str">
        <f>IF($J71&lt;&gt;"",IF($L71&gt;W$11,IF($L71&lt;X$11,$L71-W$11,30),0)*ROUND(($M71+$U70+SUM($W71:W71))*$S$5/3000,2),"")</f>
        <v/>
      </c>
      <c r="Y71" s="3"/>
      <c r="Z71" s="3"/>
    </row>
    <row r="72" spans="4:26" x14ac:dyDescent="0.25">
      <c r="D72" s="5"/>
      <c r="E72" t="str">
        <f t="shared" si="17"/>
        <v/>
      </c>
      <c r="F72" s="5" t="str">
        <f>IF($J72&lt;&gt;"",EOMONTH(DATE(YEAR($L$6),$F$11+J72+SUM($B$12:B72),1),0),"")</f>
        <v/>
      </c>
      <c r="G72" s="22" t="str">
        <f t="shared" si="18"/>
        <v/>
      </c>
      <c r="H72" s="22" t="str">
        <f t="shared" si="19"/>
        <v/>
      </c>
      <c r="I72" s="22" t="str">
        <f t="shared" si="20"/>
        <v/>
      </c>
      <c r="J72" t="str">
        <f t="shared" si="21"/>
        <v/>
      </c>
      <c r="K72" s="5" t="str">
        <f>IF($J72&lt;&gt;"",IF(ULTIMODIA=0,IF($D72="",DATE(YEAR($L$7),MONTH($L$7)+($A$1*($G72-1))+SUM($B$12:$B72),DAY($L$7)),$D72),F72),"")</f>
        <v/>
      </c>
      <c r="L72" s="9" t="str">
        <f t="shared" si="22"/>
        <v/>
      </c>
      <c r="M72" s="3" t="str">
        <f t="shared" si="23"/>
        <v/>
      </c>
      <c r="N72" s="3" t="str">
        <f t="shared" si="24"/>
        <v/>
      </c>
      <c r="O72" s="3" t="str">
        <f t="shared" si="25"/>
        <v/>
      </c>
      <c r="P72" s="3" t="str">
        <f t="shared" si="26"/>
        <v/>
      </c>
      <c r="Q72" s="8" t="str">
        <f t="shared" si="27"/>
        <v/>
      </c>
      <c r="R72" s="8" t="str">
        <f t="shared" si="28"/>
        <v/>
      </c>
      <c r="S72" s="3" t="str">
        <f t="shared" si="29"/>
        <v/>
      </c>
      <c r="T72" s="3" t="str">
        <f t="shared" si="30"/>
        <v/>
      </c>
      <c r="U72" s="3" t="str">
        <f t="shared" si="31"/>
        <v/>
      </c>
      <c r="V72" s="3" t="str">
        <f t="shared" si="32"/>
        <v/>
      </c>
      <c r="W72" s="3" t="str">
        <f t="shared" si="33"/>
        <v/>
      </c>
      <c r="X72" s="3" t="str">
        <f>IF($J72&lt;&gt;"",IF($L72&gt;W$11,IF($L72&lt;X$11,$L72-W$11,30),0)*ROUND(($M72+$U71+SUM($W72:W72))*$S$5/3000,2),"")</f>
        <v/>
      </c>
      <c r="Y72" s="3"/>
      <c r="Z72" s="3"/>
    </row>
    <row r="73" spans="4:26" x14ac:dyDescent="0.25">
      <c r="D73" s="5"/>
      <c r="E73" t="str">
        <f t="shared" si="17"/>
        <v/>
      </c>
      <c r="F73" s="5" t="str">
        <f>IF($J73&lt;&gt;"",EOMONTH(DATE(YEAR($L$6),$F$11+J73+SUM($B$12:B73),1),0),"")</f>
        <v/>
      </c>
      <c r="G73" s="22" t="str">
        <f t="shared" si="18"/>
        <v/>
      </c>
      <c r="H73" s="22" t="str">
        <f t="shared" si="19"/>
        <v/>
      </c>
      <c r="I73" s="22" t="str">
        <f t="shared" si="20"/>
        <v/>
      </c>
      <c r="J73" t="str">
        <f t="shared" si="21"/>
        <v/>
      </c>
      <c r="K73" s="5" t="str">
        <f>IF($J73&lt;&gt;"",IF(ULTIMODIA=0,IF($D73="",DATE(YEAR($L$7),MONTH($L$7)+($A$1*($G73-1))+SUM($B$12:$B73),DAY($L$7)),$D73),F73),"")</f>
        <v/>
      </c>
      <c r="L73" s="9" t="str">
        <f t="shared" si="22"/>
        <v/>
      </c>
      <c r="M73" s="3" t="str">
        <f t="shared" si="23"/>
        <v/>
      </c>
      <c r="N73" s="3" t="str">
        <f t="shared" si="24"/>
        <v/>
      </c>
      <c r="O73" s="3" t="str">
        <f t="shared" si="25"/>
        <v/>
      </c>
      <c r="P73" s="3" t="str">
        <f t="shared" si="26"/>
        <v/>
      </c>
      <c r="Q73" s="8" t="str">
        <f t="shared" si="27"/>
        <v/>
      </c>
      <c r="R73" s="8" t="str">
        <f t="shared" si="28"/>
        <v/>
      </c>
      <c r="S73" s="3" t="str">
        <f t="shared" si="29"/>
        <v/>
      </c>
      <c r="T73" s="3" t="str">
        <f t="shared" si="30"/>
        <v/>
      </c>
      <c r="U73" s="3" t="str">
        <f t="shared" si="31"/>
        <v/>
      </c>
      <c r="V73" s="3" t="str">
        <f t="shared" si="32"/>
        <v/>
      </c>
      <c r="W73" s="3" t="str">
        <f t="shared" si="33"/>
        <v/>
      </c>
      <c r="X73" s="3" t="str">
        <f>IF($J73&lt;&gt;"",IF($L73&gt;W$11,IF($L73&lt;X$11,$L73-W$11,30),0)*ROUND(($M73+$U72+SUM($W73:W73))*$S$5/3000,2),"")</f>
        <v/>
      </c>
      <c r="Y73" s="3"/>
      <c r="Z73" s="3"/>
    </row>
    <row r="74" spans="4:26" x14ac:dyDescent="0.25">
      <c r="D74" s="5"/>
      <c r="E74" t="str">
        <f t="shared" si="17"/>
        <v/>
      </c>
      <c r="F74" s="5" t="str">
        <f>IF($J74&lt;&gt;"",EOMONTH(DATE(YEAR($L$6),$F$11+J74+SUM($B$12:B74),1),0),"")</f>
        <v/>
      </c>
      <c r="G74" s="22" t="str">
        <f t="shared" si="18"/>
        <v/>
      </c>
      <c r="H74" s="22" t="str">
        <f t="shared" si="19"/>
        <v/>
      </c>
      <c r="I74" s="22" t="str">
        <f t="shared" si="20"/>
        <v/>
      </c>
      <c r="J74" t="str">
        <f t="shared" si="21"/>
        <v/>
      </c>
      <c r="K74" s="5" t="str">
        <f>IF($J74&lt;&gt;"",IF(ULTIMODIA=0,IF($D74="",DATE(YEAR($L$7),MONTH($L$7)+($A$1*($G74-1))+SUM($B$12:$B74),DAY($L$7)),$D74),F74),"")</f>
        <v/>
      </c>
      <c r="L74" s="9" t="str">
        <f t="shared" si="22"/>
        <v/>
      </c>
      <c r="M74" s="3" t="str">
        <f t="shared" si="23"/>
        <v/>
      </c>
      <c r="N74" s="3" t="str">
        <f t="shared" si="24"/>
        <v/>
      </c>
      <c r="O74" s="3" t="str">
        <f t="shared" si="25"/>
        <v/>
      </c>
      <c r="P74" s="3" t="str">
        <f t="shared" si="26"/>
        <v/>
      </c>
      <c r="Q74" s="8" t="str">
        <f t="shared" si="27"/>
        <v/>
      </c>
      <c r="R74" s="8" t="str">
        <f t="shared" si="28"/>
        <v/>
      </c>
      <c r="S74" s="3" t="str">
        <f t="shared" si="29"/>
        <v/>
      </c>
      <c r="T74" s="3" t="str">
        <f t="shared" si="30"/>
        <v/>
      </c>
      <c r="U74" s="3" t="str">
        <f t="shared" si="31"/>
        <v/>
      </c>
      <c r="V74" s="3" t="str">
        <f t="shared" si="32"/>
        <v/>
      </c>
      <c r="W74" s="3" t="str">
        <f t="shared" si="33"/>
        <v/>
      </c>
      <c r="X74" s="3" t="str">
        <f>IF($J74&lt;&gt;"",IF($L74&gt;W$11,IF($L74&lt;X$11,$L74-W$11,30),0)*ROUND(($M74+$U73+SUM($W74:W74))*$S$5/3000,2),"")</f>
        <v/>
      </c>
      <c r="Y74" s="3"/>
      <c r="Z74" s="3"/>
    </row>
    <row r="75" spans="4:26" x14ac:dyDescent="0.25">
      <c r="D75" s="5"/>
      <c r="E75" t="str">
        <f t="shared" si="17"/>
        <v/>
      </c>
      <c r="F75" s="5" t="str">
        <f>IF($J75&lt;&gt;"",EOMONTH(DATE(YEAR($L$6),$F$11+J75+SUM($B$12:B75),1),0),"")</f>
        <v/>
      </c>
      <c r="G75" s="22" t="str">
        <f t="shared" si="18"/>
        <v/>
      </c>
      <c r="H75" s="22" t="str">
        <f t="shared" si="19"/>
        <v/>
      </c>
      <c r="I75" s="22" t="str">
        <f t="shared" si="20"/>
        <v/>
      </c>
      <c r="J75" t="str">
        <f t="shared" si="21"/>
        <v/>
      </c>
      <c r="K75" s="5" t="str">
        <f>IF($J75&lt;&gt;"",IF(ULTIMODIA=0,IF($D75="",DATE(YEAR($L$7),MONTH($L$7)+($A$1*($G75-1))+SUM($B$12:$B75),DAY($L$7)),$D75),F75),"")</f>
        <v/>
      </c>
      <c r="L75" s="9" t="str">
        <f t="shared" si="22"/>
        <v/>
      </c>
      <c r="M75" s="3" t="str">
        <f t="shared" si="23"/>
        <v/>
      </c>
      <c r="N75" s="3" t="str">
        <f t="shared" si="24"/>
        <v/>
      </c>
      <c r="O75" s="3" t="str">
        <f t="shared" si="25"/>
        <v/>
      </c>
      <c r="P75" s="3" t="str">
        <f t="shared" si="26"/>
        <v/>
      </c>
      <c r="Q75" s="8" t="str">
        <f t="shared" si="27"/>
        <v/>
      </c>
      <c r="R75" s="8" t="str">
        <f t="shared" si="28"/>
        <v/>
      </c>
      <c r="S75" s="3" t="str">
        <f t="shared" si="29"/>
        <v/>
      </c>
      <c r="T75" s="3" t="str">
        <f t="shared" si="30"/>
        <v/>
      </c>
      <c r="U75" s="3" t="str">
        <f t="shared" si="31"/>
        <v/>
      </c>
      <c r="V75" s="3" t="str">
        <f t="shared" si="32"/>
        <v/>
      </c>
      <c r="W75" s="3" t="str">
        <f t="shared" si="33"/>
        <v/>
      </c>
      <c r="X75" s="3" t="str">
        <f>IF($J75&lt;&gt;"",IF($L75&gt;W$11,IF($L75&lt;X$11,$L75-W$11,30),0)*ROUND(($M75+$U74+SUM($W75:W75))*$S$5/3000,2),"")</f>
        <v/>
      </c>
      <c r="Y75" s="3"/>
      <c r="Z75" s="3"/>
    </row>
    <row r="76" spans="4:26" x14ac:dyDescent="0.25">
      <c r="D76" s="5"/>
      <c r="E76" t="str">
        <f t="shared" ref="E76:E107" si="34">IF($J76&lt;&gt;"",TEXT(K76,"DDD"),"")</f>
        <v/>
      </c>
      <c r="F76" s="5" t="str">
        <f>IF($J76&lt;&gt;"",EOMONTH(DATE(YEAR($L$6),$F$11+J76+SUM($B$12:B76),1),0),"")</f>
        <v/>
      </c>
      <c r="G76" s="22" t="str">
        <f t="shared" ref="G76:G107" si="35">IF($J76&lt;&gt;"",IF($A76="Prepago",$G75,$G75+1),"")</f>
        <v/>
      </c>
      <c r="H76" s="22" t="str">
        <f t="shared" ref="H76:H107" si="36">IF($J76&lt;&gt;"",IF(ISNUMBER($C76),-$O76+$V76-$P76,ABS($V76)+$Q76+$R76+$S76),"")</f>
        <v/>
      </c>
      <c r="I76" s="22" t="str">
        <f t="shared" ref="I76:I107" si="37">IF(J76&lt;&gt;"",IF(COUNTA($W76:$XFD76)*30&lt;$L76,1,0),"")</f>
        <v/>
      </c>
      <c r="J76" t="str">
        <f t="shared" ref="J76:J107" si="38">IF($J75&lt;NCUOTAS+CUOTAADICIONAL+PGRACIA,$J75+1,"")</f>
        <v/>
      </c>
      <c r="K76" s="5" t="str">
        <f>IF($J76&lt;&gt;"",IF(ULTIMODIA=0,IF($D76="",DATE(YEAR($L$7),MONTH($L$7)+($A$1*($G76-1))+SUM($B$12:$B76),DAY($L$7)),$D76),F76),"")</f>
        <v/>
      </c>
      <c r="L76" s="9" t="str">
        <f t="shared" ref="L76:L107" si="39">IF($J76&lt;&gt;"",$K76-$K75,"")</f>
        <v/>
      </c>
      <c r="M76" s="3" t="str">
        <f t="shared" ref="M76:M107" si="40">IF($J76&lt;&gt;"",$T75,"")</f>
        <v/>
      </c>
      <c r="N76" s="3" t="str">
        <f t="shared" ref="N76:N107" si="41">IF($J76&lt;&gt;"",IF($A76="Gracia Parcial",IF(AND($C76&lt;$V76+$Q76+$R76+$S76+$U75,$C76&gt;0),$C76,$V76+$Q76+$R76+$S76+$U75),IF($A76="Gracia Total",0,IF($A76="Prepago",$C76,IF(ISNUMBER($C76),$C76*VALUE(MID($C$1,MONTH($K76),1)),$O$5*VALUE(MID($C$1,MONTH($K76),1))))))-IF($J77="",ARREGLO,0),"")</f>
        <v/>
      </c>
      <c r="O76" s="3" t="str">
        <f t="shared" ref="O76:O107" si="42">IF($J76&lt;&gt;"",IF($N76-$P76&gt;0,$N76-$P76-$Q76-$R76-$S76,0),"")</f>
        <v/>
      </c>
      <c r="P76" s="3" t="str">
        <f t="shared" ref="P76:P107" si="43">IF($J76&lt;&gt;"",IF($N76&gt;=$V76+$U75+$Q76+$R76+$S76,$V76+$U75,$N76-$Q76-$R76-$S76),"")</f>
        <v/>
      </c>
      <c r="Q76" s="8" t="str">
        <f t="shared" ref="Q76:Q107" si="44">IF($J76&lt;&gt;"",IF($A76="Prepago",0,$R$6+$R$6*$B76),"")</f>
        <v/>
      </c>
      <c r="R76" s="8" t="str">
        <f t="shared" ref="R76:R107" si="45">IF($J76&lt;&gt;"",IF($A76="Prepago",0,$R$7+$R$7*$B76),"")</f>
        <v/>
      </c>
      <c r="S76" s="3" t="str">
        <f t="shared" ref="S76:S107" si="46">IF($J76&lt;&gt;"",IF($A76="Prepago",0,$R$8+$R$8*$B76),"")</f>
        <v/>
      </c>
      <c r="T76" s="3" t="str">
        <f t="shared" ref="T76:T107" si="47">IF($J76&lt;&gt;"",$M76-$O76,"")</f>
        <v/>
      </c>
      <c r="U76" s="3" t="str">
        <f t="shared" ref="U76:U107" si="48">IF($J76&lt;&gt;"",+$U75+SUM($W76:$CE76)-$P76,"")</f>
        <v/>
      </c>
      <c r="V76" s="3" t="str">
        <f t="shared" ref="V76:V107" si="49">IF($J76&lt;&gt;"",SUM($W76:$XFD76),"")</f>
        <v/>
      </c>
      <c r="W76" s="3" t="str">
        <f t="shared" ref="W76:W107" si="50">IF($J76&lt;&gt;"",IF($L76&gt;W$11,30,$L76)*ROUND(($M76+$U75)*$S$5/3000,2),"")</f>
        <v/>
      </c>
      <c r="X76" s="3" t="str">
        <f>IF($J76&lt;&gt;"",IF($L76&gt;W$11,IF($L76&lt;X$11,$L76-W$11,30),0)*ROUND(($M76+$U75+SUM($W76:W76))*$S$5/3000,2),"")</f>
        <v/>
      </c>
      <c r="Y76" s="3"/>
      <c r="Z76" s="3"/>
    </row>
    <row r="77" spans="4:26" x14ac:dyDescent="0.25">
      <c r="D77" s="5"/>
      <c r="E77" t="str">
        <f t="shared" si="34"/>
        <v/>
      </c>
      <c r="F77" s="5" t="str">
        <f>IF($J77&lt;&gt;"",EOMONTH(DATE(YEAR($L$6),$F$11+J77+SUM($B$12:B77),1),0),"")</f>
        <v/>
      </c>
      <c r="G77" s="22" t="str">
        <f t="shared" si="35"/>
        <v/>
      </c>
      <c r="H77" s="22" t="str">
        <f t="shared" si="36"/>
        <v/>
      </c>
      <c r="I77" s="22" t="str">
        <f t="shared" si="37"/>
        <v/>
      </c>
      <c r="J77" t="str">
        <f t="shared" si="38"/>
        <v/>
      </c>
      <c r="K77" s="5" t="str">
        <f>IF($J77&lt;&gt;"",IF(ULTIMODIA=0,IF($D77="",DATE(YEAR($L$7),MONTH($L$7)+($A$1*($G77-1))+SUM($B$12:$B77),DAY($L$7)),$D77),F77),"")</f>
        <v/>
      </c>
      <c r="L77" s="9" t="str">
        <f t="shared" si="39"/>
        <v/>
      </c>
      <c r="M77" s="3" t="str">
        <f t="shared" si="40"/>
        <v/>
      </c>
      <c r="N77" s="3" t="str">
        <f t="shared" si="41"/>
        <v/>
      </c>
      <c r="O77" s="3" t="str">
        <f t="shared" si="42"/>
        <v/>
      </c>
      <c r="P77" s="3" t="str">
        <f t="shared" si="43"/>
        <v/>
      </c>
      <c r="Q77" s="8" t="str">
        <f t="shared" si="44"/>
        <v/>
      </c>
      <c r="R77" s="8" t="str">
        <f t="shared" si="45"/>
        <v/>
      </c>
      <c r="S77" s="3" t="str">
        <f t="shared" si="46"/>
        <v/>
      </c>
      <c r="T77" s="3" t="str">
        <f t="shared" si="47"/>
        <v/>
      </c>
      <c r="U77" s="3" t="str">
        <f t="shared" si="48"/>
        <v/>
      </c>
      <c r="V77" s="3" t="str">
        <f t="shared" si="49"/>
        <v/>
      </c>
      <c r="W77" s="3" t="str">
        <f t="shared" si="50"/>
        <v/>
      </c>
      <c r="X77" s="3" t="str">
        <f>IF($J77&lt;&gt;"",IF($L77&gt;W$11,IF($L77&lt;X$11,$L77-W$11,30),0)*ROUND(($M77+$U76+SUM($W77:W77))*$S$5/3000,2),"")</f>
        <v/>
      </c>
      <c r="Y77" s="3"/>
      <c r="Z77" s="3"/>
    </row>
    <row r="78" spans="4:26" x14ac:dyDescent="0.25">
      <c r="D78" s="5"/>
      <c r="E78" t="str">
        <f t="shared" si="34"/>
        <v/>
      </c>
      <c r="F78" s="5" t="str">
        <f>IF($J78&lt;&gt;"",EOMONTH(DATE(YEAR($L$6),$F$11+J78+SUM($B$12:B78),1),0),"")</f>
        <v/>
      </c>
      <c r="G78" s="22" t="str">
        <f t="shared" si="35"/>
        <v/>
      </c>
      <c r="H78" s="22" t="str">
        <f t="shared" si="36"/>
        <v/>
      </c>
      <c r="I78" s="22" t="str">
        <f t="shared" si="37"/>
        <v/>
      </c>
      <c r="J78" t="str">
        <f t="shared" si="38"/>
        <v/>
      </c>
      <c r="K78" s="5" t="str">
        <f>IF($J78&lt;&gt;"",IF(ULTIMODIA=0,IF($D78="",DATE(YEAR($L$7),MONTH($L$7)+($A$1*($G78-1))+SUM($B$12:$B78),DAY($L$7)),$D78),F78),"")</f>
        <v/>
      </c>
      <c r="L78" s="9" t="str">
        <f t="shared" si="39"/>
        <v/>
      </c>
      <c r="M78" s="3" t="str">
        <f t="shared" si="40"/>
        <v/>
      </c>
      <c r="N78" s="3" t="str">
        <f t="shared" si="41"/>
        <v/>
      </c>
      <c r="O78" s="3" t="str">
        <f t="shared" si="42"/>
        <v/>
      </c>
      <c r="P78" s="3" t="str">
        <f t="shared" si="43"/>
        <v/>
      </c>
      <c r="Q78" s="8" t="str">
        <f t="shared" si="44"/>
        <v/>
      </c>
      <c r="R78" s="8" t="str">
        <f t="shared" si="45"/>
        <v/>
      </c>
      <c r="S78" s="3" t="str">
        <f t="shared" si="46"/>
        <v/>
      </c>
      <c r="T78" s="3" t="str">
        <f t="shared" si="47"/>
        <v/>
      </c>
      <c r="U78" s="3" t="str">
        <f t="shared" si="48"/>
        <v/>
      </c>
      <c r="V78" s="3" t="str">
        <f t="shared" si="49"/>
        <v/>
      </c>
      <c r="W78" s="3" t="str">
        <f t="shared" si="50"/>
        <v/>
      </c>
      <c r="X78" s="3" t="str">
        <f>IF($J78&lt;&gt;"",IF($L78&gt;W$11,IF($L78&lt;X$11,$L78-W$11,30),0)*ROUND(($M78+$U77+SUM($W78:W78))*$S$5/3000,2),"")</f>
        <v/>
      </c>
      <c r="Y78" s="3"/>
      <c r="Z78" s="3"/>
    </row>
    <row r="79" spans="4:26" x14ac:dyDescent="0.25">
      <c r="D79" s="5"/>
      <c r="E79" t="str">
        <f t="shared" si="34"/>
        <v/>
      </c>
      <c r="F79" s="5" t="str">
        <f>IF($J79&lt;&gt;"",EOMONTH(DATE(YEAR($L$6),$F$11+J79+SUM($B$12:B79),1),0),"")</f>
        <v/>
      </c>
      <c r="G79" s="22" t="str">
        <f t="shared" si="35"/>
        <v/>
      </c>
      <c r="H79" s="22" t="str">
        <f t="shared" si="36"/>
        <v/>
      </c>
      <c r="I79" s="22" t="str">
        <f t="shared" si="37"/>
        <v/>
      </c>
      <c r="J79" t="str">
        <f t="shared" si="38"/>
        <v/>
      </c>
      <c r="K79" s="5" t="str">
        <f>IF($J79&lt;&gt;"",IF(ULTIMODIA=0,IF($D79="",DATE(YEAR($L$7),MONTH($L$7)+($A$1*($G79-1))+SUM($B$12:$B79),DAY($L$7)),$D79),F79),"")</f>
        <v/>
      </c>
      <c r="L79" s="9" t="str">
        <f t="shared" si="39"/>
        <v/>
      </c>
      <c r="M79" s="3" t="str">
        <f t="shared" si="40"/>
        <v/>
      </c>
      <c r="N79" s="3" t="str">
        <f t="shared" si="41"/>
        <v/>
      </c>
      <c r="O79" s="3" t="str">
        <f t="shared" si="42"/>
        <v/>
      </c>
      <c r="P79" s="3" t="str">
        <f t="shared" si="43"/>
        <v/>
      </c>
      <c r="Q79" s="8" t="str">
        <f t="shared" si="44"/>
        <v/>
      </c>
      <c r="R79" s="8" t="str">
        <f t="shared" si="45"/>
        <v/>
      </c>
      <c r="S79" s="3" t="str">
        <f t="shared" si="46"/>
        <v/>
      </c>
      <c r="T79" s="3" t="str">
        <f t="shared" si="47"/>
        <v/>
      </c>
      <c r="U79" s="3" t="str">
        <f t="shared" si="48"/>
        <v/>
      </c>
      <c r="V79" s="3" t="str">
        <f t="shared" si="49"/>
        <v/>
      </c>
      <c r="W79" s="3" t="str">
        <f t="shared" si="50"/>
        <v/>
      </c>
      <c r="X79" s="3" t="str">
        <f>IF($J79&lt;&gt;"",IF($L79&gt;W$11,IF($L79&lt;X$11,$L79-W$11,30),0)*ROUND(($M79+$U78+SUM($W79:W79))*$S$5/3000,2),"")</f>
        <v/>
      </c>
      <c r="Y79" s="3"/>
      <c r="Z79" s="3"/>
    </row>
    <row r="80" spans="4:26" x14ac:dyDescent="0.25">
      <c r="D80" s="5"/>
      <c r="E80" t="str">
        <f t="shared" si="34"/>
        <v/>
      </c>
      <c r="F80" s="5" t="str">
        <f>IF($J80&lt;&gt;"",EOMONTH(DATE(YEAR($L$6),$F$11+J80+SUM($B$12:B80),1),0),"")</f>
        <v/>
      </c>
      <c r="G80" s="22" t="str">
        <f t="shared" si="35"/>
        <v/>
      </c>
      <c r="H80" s="22" t="str">
        <f t="shared" si="36"/>
        <v/>
      </c>
      <c r="I80" s="22" t="str">
        <f t="shared" si="37"/>
        <v/>
      </c>
      <c r="J80" t="str">
        <f t="shared" si="38"/>
        <v/>
      </c>
      <c r="K80" s="5" t="str">
        <f>IF($J80&lt;&gt;"",IF(ULTIMODIA=0,IF($D80="",DATE(YEAR($L$7),MONTH($L$7)+($A$1*($G80-1))+SUM($B$12:$B80),DAY($L$7)),$D80),F80),"")</f>
        <v/>
      </c>
      <c r="L80" s="9" t="str">
        <f t="shared" si="39"/>
        <v/>
      </c>
      <c r="M80" s="3" t="str">
        <f t="shared" si="40"/>
        <v/>
      </c>
      <c r="N80" s="3" t="str">
        <f t="shared" si="41"/>
        <v/>
      </c>
      <c r="O80" s="3" t="str">
        <f t="shared" si="42"/>
        <v/>
      </c>
      <c r="P80" s="3" t="str">
        <f t="shared" si="43"/>
        <v/>
      </c>
      <c r="Q80" s="8" t="str">
        <f t="shared" si="44"/>
        <v/>
      </c>
      <c r="R80" s="8" t="str">
        <f t="shared" si="45"/>
        <v/>
      </c>
      <c r="S80" s="3" t="str">
        <f t="shared" si="46"/>
        <v/>
      </c>
      <c r="T80" s="3" t="str">
        <f t="shared" si="47"/>
        <v/>
      </c>
      <c r="U80" s="3" t="str">
        <f t="shared" si="48"/>
        <v/>
      </c>
      <c r="V80" s="3" t="str">
        <f t="shared" si="49"/>
        <v/>
      </c>
      <c r="W80" s="3" t="str">
        <f t="shared" si="50"/>
        <v/>
      </c>
      <c r="X80" s="3" t="str">
        <f>IF($J80&lt;&gt;"",IF($L80&gt;W$11,IF($L80&lt;X$11,$L80-W$11,30),0)*ROUND(($M80+$U79+SUM($W80:W80))*$S$5/3000,2),"")</f>
        <v/>
      </c>
      <c r="Y80" s="3"/>
      <c r="Z80" s="3"/>
    </row>
    <row r="81" spans="4:26" x14ac:dyDescent="0.25">
      <c r="D81" s="5"/>
      <c r="E81" t="str">
        <f t="shared" si="34"/>
        <v/>
      </c>
      <c r="F81" s="5" t="str">
        <f>IF($J81&lt;&gt;"",EOMONTH(DATE(YEAR($L$6),$F$11+J81+SUM($B$12:B81),1),0),"")</f>
        <v/>
      </c>
      <c r="G81" s="22" t="str">
        <f t="shared" si="35"/>
        <v/>
      </c>
      <c r="H81" s="22" t="str">
        <f t="shared" si="36"/>
        <v/>
      </c>
      <c r="I81" s="22" t="str">
        <f t="shared" si="37"/>
        <v/>
      </c>
      <c r="J81" t="str">
        <f t="shared" si="38"/>
        <v/>
      </c>
      <c r="K81" s="5" t="str">
        <f>IF($J81&lt;&gt;"",IF(ULTIMODIA=0,IF($D81="",DATE(YEAR($L$7),MONTH($L$7)+($A$1*($G81-1))+SUM($B$12:$B81),DAY($L$7)),$D81),F81),"")</f>
        <v/>
      </c>
      <c r="L81" s="9" t="str">
        <f t="shared" si="39"/>
        <v/>
      </c>
      <c r="M81" s="3" t="str">
        <f t="shared" si="40"/>
        <v/>
      </c>
      <c r="N81" s="3" t="str">
        <f t="shared" si="41"/>
        <v/>
      </c>
      <c r="O81" s="3" t="str">
        <f t="shared" si="42"/>
        <v/>
      </c>
      <c r="P81" s="3" t="str">
        <f t="shared" si="43"/>
        <v/>
      </c>
      <c r="Q81" s="8" t="str">
        <f t="shared" si="44"/>
        <v/>
      </c>
      <c r="R81" s="8" t="str">
        <f t="shared" si="45"/>
        <v/>
      </c>
      <c r="S81" s="3" t="str">
        <f t="shared" si="46"/>
        <v/>
      </c>
      <c r="T81" s="3" t="str">
        <f t="shared" si="47"/>
        <v/>
      </c>
      <c r="U81" s="3" t="str">
        <f t="shared" si="48"/>
        <v/>
      </c>
      <c r="V81" s="3" t="str">
        <f t="shared" si="49"/>
        <v/>
      </c>
      <c r="W81" s="3" t="str">
        <f t="shared" si="50"/>
        <v/>
      </c>
      <c r="X81" s="3" t="str">
        <f>IF($J81&lt;&gt;"",IF($L81&gt;W$11,IF($L81&lt;X$11,$L81-W$11,30),0)*ROUND(($M81+$U80+SUM($W81:W81))*$S$5/3000,2),"")</f>
        <v/>
      </c>
      <c r="Y81" s="3"/>
      <c r="Z81" s="3"/>
    </row>
    <row r="82" spans="4:26" x14ac:dyDescent="0.25">
      <c r="D82" s="5"/>
      <c r="E82" t="str">
        <f t="shared" si="34"/>
        <v/>
      </c>
      <c r="F82" s="5" t="str">
        <f>IF($J82&lt;&gt;"",EOMONTH(DATE(YEAR($L$6),$F$11+J82+SUM($B$12:B82),1),0),"")</f>
        <v/>
      </c>
      <c r="G82" s="22" t="str">
        <f t="shared" si="35"/>
        <v/>
      </c>
      <c r="H82" s="22" t="str">
        <f t="shared" si="36"/>
        <v/>
      </c>
      <c r="I82" s="22" t="str">
        <f t="shared" si="37"/>
        <v/>
      </c>
      <c r="J82" t="str">
        <f t="shared" si="38"/>
        <v/>
      </c>
      <c r="K82" s="5" t="str">
        <f>IF($J82&lt;&gt;"",IF(ULTIMODIA=0,IF($D82="",DATE(YEAR($L$7),MONTH($L$7)+($A$1*($G82-1))+SUM($B$12:$B82),DAY($L$7)),$D82),F82),"")</f>
        <v/>
      </c>
      <c r="L82" s="9" t="str">
        <f t="shared" si="39"/>
        <v/>
      </c>
      <c r="M82" s="3" t="str">
        <f t="shared" si="40"/>
        <v/>
      </c>
      <c r="N82" s="3" t="str">
        <f t="shared" si="41"/>
        <v/>
      </c>
      <c r="O82" s="3" t="str">
        <f t="shared" si="42"/>
        <v/>
      </c>
      <c r="P82" s="3" t="str">
        <f t="shared" si="43"/>
        <v/>
      </c>
      <c r="Q82" s="8" t="str">
        <f t="shared" si="44"/>
        <v/>
      </c>
      <c r="R82" s="8" t="str">
        <f t="shared" si="45"/>
        <v/>
      </c>
      <c r="S82" s="3" t="str">
        <f t="shared" si="46"/>
        <v/>
      </c>
      <c r="T82" s="3" t="str">
        <f t="shared" si="47"/>
        <v/>
      </c>
      <c r="U82" s="3" t="str">
        <f t="shared" si="48"/>
        <v/>
      </c>
      <c r="V82" s="3" t="str">
        <f t="shared" si="49"/>
        <v/>
      </c>
      <c r="W82" s="3" t="str">
        <f t="shared" si="50"/>
        <v/>
      </c>
      <c r="X82" s="3" t="str">
        <f>IF($J82&lt;&gt;"",IF($L82&gt;W$11,IF($L82&lt;X$11,$L82-W$11,30),0)*ROUND(($M82+$U81+SUM($W82:W82))*$S$5/3000,2),"")</f>
        <v/>
      </c>
      <c r="Y82" s="3"/>
      <c r="Z82" s="3"/>
    </row>
    <row r="83" spans="4:26" x14ac:dyDescent="0.25">
      <c r="D83" s="5"/>
      <c r="E83" t="str">
        <f t="shared" si="34"/>
        <v/>
      </c>
      <c r="F83" s="5" t="str">
        <f>IF($J83&lt;&gt;"",EOMONTH(DATE(YEAR($L$6),$F$11+J83+SUM($B$12:B83),1),0),"")</f>
        <v/>
      </c>
      <c r="G83" s="22" t="str">
        <f t="shared" si="35"/>
        <v/>
      </c>
      <c r="H83" s="22" t="str">
        <f t="shared" si="36"/>
        <v/>
      </c>
      <c r="I83" s="22" t="str">
        <f t="shared" si="37"/>
        <v/>
      </c>
      <c r="J83" t="str">
        <f t="shared" si="38"/>
        <v/>
      </c>
      <c r="K83" s="5" t="str">
        <f>IF($J83&lt;&gt;"",IF(ULTIMODIA=0,IF($D83="",DATE(YEAR($L$7),MONTH($L$7)+($A$1*($G83-1))+SUM($B$12:$B83),DAY($L$7)),$D83),F83),"")</f>
        <v/>
      </c>
      <c r="L83" s="9" t="str">
        <f t="shared" si="39"/>
        <v/>
      </c>
      <c r="M83" s="3" t="str">
        <f t="shared" si="40"/>
        <v/>
      </c>
      <c r="N83" s="3" t="str">
        <f t="shared" si="41"/>
        <v/>
      </c>
      <c r="O83" s="3" t="str">
        <f t="shared" si="42"/>
        <v/>
      </c>
      <c r="P83" s="3" t="str">
        <f t="shared" si="43"/>
        <v/>
      </c>
      <c r="Q83" s="8" t="str">
        <f t="shared" si="44"/>
        <v/>
      </c>
      <c r="R83" s="8" t="str">
        <f t="shared" si="45"/>
        <v/>
      </c>
      <c r="S83" s="3" t="str">
        <f t="shared" si="46"/>
        <v/>
      </c>
      <c r="T83" s="3" t="str">
        <f t="shared" si="47"/>
        <v/>
      </c>
      <c r="U83" s="3" t="str">
        <f t="shared" si="48"/>
        <v/>
      </c>
      <c r="V83" s="3" t="str">
        <f t="shared" si="49"/>
        <v/>
      </c>
      <c r="W83" s="3" t="str">
        <f t="shared" si="50"/>
        <v/>
      </c>
      <c r="X83" s="3" t="str">
        <f>IF($J83&lt;&gt;"",IF($L83&gt;W$11,IF($L83&lt;X$11,$L83-W$11,30),0)*ROUND(($M83+$U82+SUM($W83:W83))*$S$5/3000,2),"")</f>
        <v/>
      </c>
      <c r="Y83" s="3"/>
      <c r="Z83" s="3"/>
    </row>
    <row r="84" spans="4:26" x14ac:dyDescent="0.25">
      <c r="D84" s="5"/>
      <c r="E84" t="str">
        <f t="shared" si="34"/>
        <v/>
      </c>
      <c r="F84" s="5" t="str">
        <f>IF($J84&lt;&gt;"",EOMONTH(DATE(YEAR($L$6),$F$11+J84+SUM($B$12:B84),1),0),"")</f>
        <v/>
      </c>
      <c r="G84" s="22" t="str">
        <f t="shared" si="35"/>
        <v/>
      </c>
      <c r="H84" s="22" t="str">
        <f t="shared" si="36"/>
        <v/>
      </c>
      <c r="I84" s="22" t="str">
        <f t="shared" si="37"/>
        <v/>
      </c>
      <c r="J84" t="str">
        <f t="shared" si="38"/>
        <v/>
      </c>
      <c r="K84" s="5" t="str">
        <f>IF($J84&lt;&gt;"",IF(ULTIMODIA=0,IF($D84="",DATE(YEAR($L$7),MONTH($L$7)+($A$1*($G84-1))+SUM($B$12:$B84),DAY($L$7)),$D84),F84),"")</f>
        <v/>
      </c>
      <c r="L84" s="9" t="str">
        <f t="shared" si="39"/>
        <v/>
      </c>
      <c r="M84" s="3" t="str">
        <f t="shared" si="40"/>
        <v/>
      </c>
      <c r="N84" s="3" t="str">
        <f t="shared" si="41"/>
        <v/>
      </c>
      <c r="O84" s="3" t="str">
        <f t="shared" si="42"/>
        <v/>
      </c>
      <c r="P84" s="3" t="str">
        <f t="shared" si="43"/>
        <v/>
      </c>
      <c r="Q84" s="8" t="str">
        <f t="shared" si="44"/>
        <v/>
      </c>
      <c r="R84" s="8" t="str">
        <f t="shared" si="45"/>
        <v/>
      </c>
      <c r="S84" s="3" t="str">
        <f t="shared" si="46"/>
        <v/>
      </c>
      <c r="T84" s="3" t="str">
        <f t="shared" si="47"/>
        <v/>
      </c>
      <c r="U84" s="3" t="str">
        <f t="shared" si="48"/>
        <v/>
      </c>
      <c r="V84" s="3" t="str">
        <f t="shared" si="49"/>
        <v/>
      </c>
      <c r="W84" s="3" t="str">
        <f t="shared" si="50"/>
        <v/>
      </c>
      <c r="X84" s="3" t="str">
        <f>IF($J84&lt;&gt;"",IF($L84&gt;W$11,IF($L84&lt;X$11,$L84-W$11,30),0)*ROUND(($M84+$U83+SUM($W84:W84))*$S$5/3000,2),"")</f>
        <v/>
      </c>
      <c r="Y84" s="3"/>
      <c r="Z84" s="3"/>
    </row>
    <row r="85" spans="4:26" x14ac:dyDescent="0.25">
      <c r="D85" s="5"/>
      <c r="E85" t="str">
        <f t="shared" si="34"/>
        <v/>
      </c>
      <c r="F85" s="5" t="str">
        <f>IF($J85&lt;&gt;"",EOMONTH(DATE(YEAR($L$6),$F$11+J85+SUM($B$12:B85),1),0),"")</f>
        <v/>
      </c>
      <c r="G85" s="22" t="str">
        <f t="shared" si="35"/>
        <v/>
      </c>
      <c r="H85" s="22" t="str">
        <f t="shared" si="36"/>
        <v/>
      </c>
      <c r="I85" s="22" t="str">
        <f t="shared" si="37"/>
        <v/>
      </c>
      <c r="J85" t="str">
        <f t="shared" si="38"/>
        <v/>
      </c>
      <c r="K85" s="5" t="str">
        <f>IF($J85&lt;&gt;"",IF(ULTIMODIA=0,IF($D85="",DATE(YEAR($L$7),MONTH($L$7)+($A$1*($G85-1))+SUM($B$12:$B85),DAY($L$7)),$D85),F85),"")</f>
        <v/>
      </c>
      <c r="L85" s="9" t="str">
        <f t="shared" si="39"/>
        <v/>
      </c>
      <c r="M85" s="3" t="str">
        <f t="shared" si="40"/>
        <v/>
      </c>
      <c r="N85" s="3" t="str">
        <f t="shared" si="41"/>
        <v/>
      </c>
      <c r="O85" s="3" t="str">
        <f t="shared" si="42"/>
        <v/>
      </c>
      <c r="P85" s="3" t="str">
        <f t="shared" si="43"/>
        <v/>
      </c>
      <c r="Q85" s="8" t="str">
        <f t="shared" si="44"/>
        <v/>
      </c>
      <c r="R85" s="8" t="str">
        <f t="shared" si="45"/>
        <v/>
      </c>
      <c r="S85" s="3" t="str">
        <f t="shared" si="46"/>
        <v/>
      </c>
      <c r="T85" s="3" t="str">
        <f t="shared" si="47"/>
        <v/>
      </c>
      <c r="U85" s="3" t="str">
        <f t="shared" si="48"/>
        <v/>
      </c>
      <c r="V85" s="3" t="str">
        <f t="shared" si="49"/>
        <v/>
      </c>
      <c r="W85" s="3" t="str">
        <f t="shared" si="50"/>
        <v/>
      </c>
      <c r="X85" s="3" t="str">
        <f>IF($J85&lt;&gt;"",IF($L85&gt;W$11,IF($L85&lt;X$11,$L85-W$11,30),0)*ROUND(($M85+$U84+SUM($W85:W85))*$S$5/3000,2),"")</f>
        <v/>
      </c>
      <c r="Y85" s="3"/>
      <c r="Z85" s="3"/>
    </row>
    <row r="86" spans="4:26" x14ac:dyDescent="0.25">
      <c r="D86" s="5"/>
      <c r="E86" t="str">
        <f t="shared" si="34"/>
        <v/>
      </c>
      <c r="F86" s="5" t="str">
        <f>IF($J86&lt;&gt;"",EOMONTH(DATE(YEAR($L$6),$F$11+J86+SUM($B$12:B86),1),0),"")</f>
        <v/>
      </c>
      <c r="G86" s="22" t="str">
        <f t="shared" si="35"/>
        <v/>
      </c>
      <c r="H86" s="22" t="str">
        <f t="shared" si="36"/>
        <v/>
      </c>
      <c r="I86" s="22" t="str">
        <f t="shared" si="37"/>
        <v/>
      </c>
      <c r="J86" t="str">
        <f t="shared" si="38"/>
        <v/>
      </c>
      <c r="K86" s="5" t="str">
        <f>IF($J86&lt;&gt;"",IF(ULTIMODIA=0,IF($D86="",DATE(YEAR($L$7),MONTH($L$7)+($A$1*($G86-1))+SUM($B$12:$B86),DAY($L$7)),$D86),F86),"")</f>
        <v/>
      </c>
      <c r="L86" s="9" t="str">
        <f t="shared" si="39"/>
        <v/>
      </c>
      <c r="M86" s="3" t="str">
        <f t="shared" si="40"/>
        <v/>
      </c>
      <c r="N86" s="3" t="str">
        <f t="shared" si="41"/>
        <v/>
      </c>
      <c r="O86" s="3" t="str">
        <f t="shared" si="42"/>
        <v/>
      </c>
      <c r="P86" s="3" t="str">
        <f t="shared" si="43"/>
        <v/>
      </c>
      <c r="Q86" s="8" t="str">
        <f t="shared" si="44"/>
        <v/>
      </c>
      <c r="R86" s="8" t="str">
        <f t="shared" si="45"/>
        <v/>
      </c>
      <c r="S86" s="3" t="str">
        <f t="shared" si="46"/>
        <v/>
      </c>
      <c r="T86" s="3" t="str">
        <f t="shared" si="47"/>
        <v/>
      </c>
      <c r="U86" s="3" t="str">
        <f t="shared" si="48"/>
        <v/>
      </c>
      <c r="V86" s="3" t="str">
        <f t="shared" si="49"/>
        <v/>
      </c>
      <c r="W86" s="3" t="str">
        <f t="shared" si="50"/>
        <v/>
      </c>
      <c r="X86" s="3" t="str">
        <f>IF($J86&lt;&gt;"",IF($L86&gt;W$11,IF($L86&lt;X$11,$L86-W$11,30),0)*ROUND(($M86+$U85+SUM($W86:W86))*$S$5/3000,2),"")</f>
        <v/>
      </c>
      <c r="Y86" s="3"/>
      <c r="Z86" s="3"/>
    </row>
    <row r="87" spans="4:26" x14ac:dyDescent="0.25">
      <c r="D87" s="5"/>
      <c r="E87" t="str">
        <f t="shared" si="34"/>
        <v/>
      </c>
      <c r="F87" s="5" t="str">
        <f>IF($J87&lt;&gt;"",EOMONTH(DATE(YEAR($L$6),$F$11+J87+SUM($B$12:B87),1),0),"")</f>
        <v/>
      </c>
      <c r="G87" s="22" t="str">
        <f t="shared" si="35"/>
        <v/>
      </c>
      <c r="H87" s="22" t="str">
        <f t="shared" si="36"/>
        <v/>
      </c>
      <c r="I87" s="22" t="str">
        <f t="shared" si="37"/>
        <v/>
      </c>
      <c r="J87" t="str">
        <f t="shared" si="38"/>
        <v/>
      </c>
      <c r="K87" s="5" t="str">
        <f>IF($J87&lt;&gt;"",IF(ULTIMODIA=0,IF($D87="",DATE(YEAR($L$7),MONTH($L$7)+($A$1*($G87-1))+SUM($B$12:$B87),DAY($L$7)),$D87),F87),"")</f>
        <v/>
      </c>
      <c r="L87" s="9" t="str">
        <f t="shared" si="39"/>
        <v/>
      </c>
      <c r="M87" s="3" t="str">
        <f t="shared" si="40"/>
        <v/>
      </c>
      <c r="N87" s="3" t="str">
        <f t="shared" si="41"/>
        <v/>
      </c>
      <c r="O87" s="3" t="str">
        <f t="shared" si="42"/>
        <v/>
      </c>
      <c r="P87" s="3" t="str">
        <f t="shared" si="43"/>
        <v/>
      </c>
      <c r="Q87" s="8" t="str">
        <f t="shared" si="44"/>
        <v/>
      </c>
      <c r="R87" s="8" t="str">
        <f t="shared" si="45"/>
        <v/>
      </c>
      <c r="S87" s="3" t="str">
        <f t="shared" si="46"/>
        <v/>
      </c>
      <c r="T87" s="3" t="str">
        <f t="shared" si="47"/>
        <v/>
      </c>
      <c r="U87" s="3" t="str">
        <f t="shared" si="48"/>
        <v/>
      </c>
      <c r="V87" s="3" t="str">
        <f t="shared" si="49"/>
        <v/>
      </c>
      <c r="W87" s="3" t="str">
        <f t="shared" si="50"/>
        <v/>
      </c>
      <c r="X87" s="3" t="str">
        <f>IF($J87&lt;&gt;"",IF($L87&gt;W$11,IF($L87&lt;X$11,$L87-W$11,30),0)*ROUND(($M87+$U86+SUM($W87:W87))*$S$5/3000,2),"")</f>
        <v/>
      </c>
      <c r="Y87" s="3"/>
      <c r="Z87" s="3"/>
    </row>
    <row r="88" spans="4:26" x14ac:dyDescent="0.25">
      <c r="D88" s="5"/>
      <c r="E88" t="str">
        <f t="shared" si="34"/>
        <v/>
      </c>
      <c r="F88" s="5" t="str">
        <f>IF($J88&lt;&gt;"",EOMONTH(DATE(YEAR($L$6),$F$11+J88+SUM($B$12:B88),1),0),"")</f>
        <v/>
      </c>
      <c r="G88" s="22" t="str">
        <f t="shared" si="35"/>
        <v/>
      </c>
      <c r="H88" s="22" t="str">
        <f t="shared" si="36"/>
        <v/>
      </c>
      <c r="I88" s="22" t="str">
        <f t="shared" si="37"/>
        <v/>
      </c>
      <c r="J88" t="str">
        <f t="shared" si="38"/>
        <v/>
      </c>
      <c r="K88" s="5" t="str">
        <f>IF($J88&lt;&gt;"",IF(ULTIMODIA=0,IF($D88="",DATE(YEAR($L$7),MONTH($L$7)+($A$1*($G88-1))+SUM($B$12:$B88),DAY($L$7)),$D88),F88),"")</f>
        <v/>
      </c>
      <c r="L88" s="9" t="str">
        <f t="shared" si="39"/>
        <v/>
      </c>
      <c r="M88" s="3" t="str">
        <f t="shared" si="40"/>
        <v/>
      </c>
      <c r="N88" s="3" t="str">
        <f t="shared" si="41"/>
        <v/>
      </c>
      <c r="O88" s="3" t="str">
        <f t="shared" si="42"/>
        <v/>
      </c>
      <c r="P88" s="3" t="str">
        <f t="shared" si="43"/>
        <v/>
      </c>
      <c r="Q88" s="8" t="str">
        <f t="shared" si="44"/>
        <v/>
      </c>
      <c r="R88" s="8" t="str">
        <f t="shared" si="45"/>
        <v/>
      </c>
      <c r="S88" s="3" t="str">
        <f t="shared" si="46"/>
        <v/>
      </c>
      <c r="T88" s="3" t="str">
        <f t="shared" si="47"/>
        <v/>
      </c>
      <c r="U88" s="3" t="str">
        <f t="shared" si="48"/>
        <v/>
      </c>
      <c r="V88" s="3" t="str">
        <f t="shared" si="49"/>
        <v/>
      </c>
      <c r="W88" s="3" t="str">
        <f t="shared" si="50"/>
        <v/>
      </c>
      <c r="X88" s="3" t="str">
        <f>IF($J88&lt;&gt;"",IF($L88&gt;W$11,IF($L88&lt;X$11,$L88-W$11,30),0)*ROUND(($M88+$U87+SUM($W88:W88))*$S$5/3000,2),"")</f>
        <v/>
      </c>
      <c r="Y88" s="3"/>
      <c r="Z88" s="3"/>
    </row>
    <row r="89" spans="4:26" x14ac:dyDescent="0.25">
      <c r="D89" s="5"/>
      <c r="E89" t="str">
        <f t="shared" si="34"/>
        <v/>
      </c>
      <c r="F89" s="5" t="str">
        <f>IF($J89&lt;&gt;"",EOMONTH(DATE(YEAR($L$6),$F$11+J89+SUM($B$12:B89),1),0),"")</f>
        <v/>
      </c>
      <c r="G89" s="22" t="str">
        <f t="shared" si="35"/>
        <v/>
      </c>
      <c r="H89" s="22" t="str">
        <f t="shared" si="36"/>
        <v/>
      </c>
      <c r="I89" s="22" t="str">
        <f t="shared" si="37"/>
        <v/>
      </c>
      <c r="J89" t="str">
        <f t="shared" si="38"/>
        <v/>
      </c>
      <c r="K89" s="5" t="str">
        <f>IF($J89&lt;&gt;"",IF(ULTIMODIA=0,IF($D89="",DATE(YEAR($L$7),MONTH($L$7)+($A$1*($G89-1))+SUM($B$12:$B89),DAY($L$7)),$D89),F89),"")</f>
        <v/>
      </c>
      <c r="L89" s="9" t="str">
        <f t="shared" si="39"/>
        <v/>
      </c>
      <c r="M89" s="3" t="str">
        <f t="shared" si="40"/>
        <v/>
      </c>
      <c r="N89" s="3" t="str">
        <f t="shared" si="41"/>
        <v/>
      </c>
      <c r="O89" s="3" t="str">
        <f t="shared" si="42"/>
        <v/>
      </c>
      <c r="P89" s="3" t="str">
        <f t="shared" si="43"/>
        <v/>
      </c>
      <c r="Q89" s="8" t="str">
        <f t="shared" si="44"/>
        <v/>
      </c>
      <c r="R89" s="8" t="str">
        <f t="shared" si="45"/>
        <v/>
      </c>
      <c r="S89" s="3" t="str">
        <f t="shared" si="46"/>
        <v/>
      </c>
      <c r="T89" s="3" t="str">
        <f t="shared" si="47"/>
        <v/>
      </c>
      <c r="U89" s="3" t="str">
        <f t="shared" si="48"/>
        <v/>
      </c>
      <c r="V89" s="3" t="str">
        <f t="shared" si="49"/>
        <v/>
      </c>
      <c r="W89" s="3" t="str">
        <f t="shared" si="50"/>
        <v/>
      </c>
      <c r="X89" s="3" t="str">
        <f>IF($J89&lt;&gt;"",IF($L89&gt;W$11,IF($L89&lt;X$11,$L89-W$11,30),0)*ROUND(($M89+$U88+SUM($W89:W89))*$S$5/3000,2),"")</f>
        <v/>
      </c>
      <c r="Y89" s="3"/>
      <c r="Z89" s="3"/>
    </row>
    <row r="90" spans="4:26" x14ac:dyDescent="0.25">
      <c r="D90" s="5"/>
      <c r="E90" t="str">
        <f t="shared" si="34"/>
        <v/>
      </c>
      <c r="F90" s="5" t="str">
        <f>IF($J90&lt;&gt;"",EOMONTH(DATE(YEAR($L$6),$F$11+J90+SUM($B$12:B90),1),0),"")</f>
        <v/>
      </c>
      <c r="G90" s="22" t="str">
        <f t="shared" si="35"/>
        <v/>
      </c>
      <c r="H90" s="22" t="str">
        <f t="shared" si="36"/>
        <v/>
      </c>
      <c r="I90" s="22" t="str">
        <f t="shared" si="37"/>
        <v/>
      </c>
      <c r="J90" t="str">
        <f t="shared" si="38"/>
        <v/>
      </c>
      <c r="K90" s="5" t="str">
        <f>IF($J90&lt;&gt;"",IF(ULTIMODIA=0,IF($D90="",DATE(YEAR($L$7),MONTH($L$7)+($A$1*($G90-1))+SUM($B$12:$B90),DAY($L$7)),$D90),F90),"")</f>
        <v/>
      </c>
      <c r="L90" s="9" t="str">
        <f t="shared" si="39"/>
        <v/>
      </c>
      <c r="M90" s="3" t="str">
        <f t="shared" si="40"/>
        <v/>
      </c>
      <c r="N90" s="3" t="str">
        <f t="shared" si="41"/>
        <v/>
      </c>
      <c r="O90" s="3" t="str">
        <f t="shared" si="42"/>
        <v/>
      </c>
      <c r="P90" s="3" t="str">
        <f t="shared" si="43"/>
        <v/>
      </c>
      <c r="Q90" s="8" t="str">
        <f t="shared" si="44"/>
        <v/>
      </c>
      <c r="R90" s="8" t="str">
        <f t="shared" si="45"/>
        <v/>
      </c>
      <c r="S90" s="3" t="str">
        <f t="shared" si="46"/>
        <v/>
      </c>
      <c r="T90" s="3" t="str">
        <f t="shared" si="47"/>
        <v/>
      </c>
      <c r="U90" s="3" t="str">
        <f t="shared" si="48"/>
        <v/>
      </c>
      <c r="V90" s="3" t="str">
        <f t="shared" si="49"/>
        <v/>
      </c>
      <c r="W90" s="3" t="str">
        <f t="shared" si="50"/>
        <v/>
      </c>
      <c r="X90" s="3" t="str">
        <f>IF($J90&lt;&gt;"",IF($L90&gt;W$11,IF($L90&lt;X$11,$L90-W$11,30),0)*ROUND(($M90+$U89+SUM($W90:W90))*$S$5/3000,2),"")</f>
        <v/>
      </c>
      <c r="Y90" s="3"/>
      <c r="Z90" s="3"/>
    </row>
    <row r="91" spans="4:26" x14ac:dyDescent="0.25">
      <c r="D91" s="5"/>
      <c r="E91" t="str">
        <f t="shared" si="34"/>
        <v/>
      </c>
      <c r="F91" s="5" t="str">
        <f>IF($J91&lt;&gt;"",EOMONTH(DATE(YEAR($L$6),$F$11+J91+SUM($B$12:B91),1),0),"")</f>
        <v/>
      </c>
      <c r="G91" s="22" t="str">
        <f t="shared" si="35"/>
        <v/>
      </c>
      <c r="H91" s="22" t="str">
        <f t="shared" si="36"/>
        <v/>
      </c>
      <c r="I91" s="22" t="str">
        <f t="shared" si="37"/>
        <v/>
      </c>
      <c r="J91" t="str">
        <f t="shared" si="38"/>
        <v/>
      </c>
      <c r="K91" s="5" t="str">
        <f>IF($J91&lt;&gt;"",IF(ULTIMODIA=0,IF($D91="",DATE(YEAR($L$7),MONTH($L$7)+($A$1*($G91-1))+SUM($B$12:$B91),DAY($L$7)),$D91),F91),"")</f>
        <v/>
      </c>
      <c r="L91" s="9" t="str">
        <f t="shared" si="39"/>
        <v/>
      </c>
      <c r="M91" s="3" t="str">
        <f t="shared" si="40"/>
        <v/>
      </c>
      <c r="N91" s="3" t="str">
        <f t="shared" si="41"/>
        <v/>
      </c>
      <c r="O91" s="3" t="str">
        <f t="shared" si="42"/>
        <v/>
      </c>
      <c r="P91" s="3" t="str">
        <f t="shared" si="43"/>
        <v/>
      </c>
      <c r="Q91" s="8" t="str">
        <f t="shared" si="44"/>
        <v/>
      </c>
      <c r="R91" s="8" t="str">
        <f t="shared" si="45"/>
        <v/>
      </c>
      <c r="S91" s="3" t="str">
        <f t="shared" si="46"/>
        <v/>
      </c>
      <c r="T91" s="3" t="str">
        <f t="shared" si="47"/>
        <v/>
      </c>
      <c r="U91" s="3" t="str">
        <f t="shared" si="48"/>
        <v/>
      </c>
      <c r="V91" s="3" t="str">
        <f t="shared" si="49"/>
        <v/>
      </c>
      <c r="W91" s="3" t="str">
        <f t="shared" si="50"/>
        <v/>
      </c>
      <c r="X91" s="3" t="str">
        <f>IF($J91&lt;&gt;"",IF($L91&gt;W$11,IF($L91&lt;X$11,$L91-W$11,30),0)*ROUND(($M91+$U90+SUM($W91:W91))*$S$5/3000,2),"")</f>
        <v/>
      </c>
      <c r="Y91" s="3"/>
      <c r="Z91" s="3"/>
    </row>
    <row r="92" spans="4:26" x14ac:dyDescent="0.25">
      <c r="D92" s="5"/>
      <c r="E92" t="str">
        <f t="shared" si="34"/>
        <v/>
      </c>
      <c r="F92" s="5" t="str">
        <f>IF($J92&lt;&gt;"",EOMONTH(DATE(YEAR($L$6),$F$11+J92+SUM($B$12:B92),1),0),"")</f>
        <v/>
      </c>
      <c r="G92" s="22" t="str">
        <f t="shared" si="35"/>
        <v/>
      </c>
      <c r="H92" s="22" t="str">
        <f t="shared" si="36"/>
        <v/>
      </c>
      <c r="I92" s="22" t="str">
        <f t="shared" si="37"/>
        <v/>
      </c>
      <c r="J92" t="str">
        <f t="shared" si="38"/>
        <v/>
      </c>
      <c r="K92" s="5" t="str">
        <f>IF($J92&lt;&gt;"",IF(ULTIMODIA=0,IF($D92="",DATE(YEAR($L$7),MONTH($L$7)+($A$1*($G92-1))+SUM($B$12:$B92),DAY($L$7)),$D92),F92),"")</f>
        <v/>
      </c>
      <c r="L92" s="9" t="str">
        <f t="shared" si="39"/>
        <v/>
      </c>
      <c r="M92" s="3" t="str">
        <f t="shared" si="40"/>
        <v/>
      </c>
      <c r="N92" s="3" t="str">
        <f t="shared" si="41"/>
        <v/>
      </c>
      <c r="O92" s="3" t="str">
        <f t="shared" si="42"/>
        <v/>
      </c>
      <c r="P92" s="3" t="str">
        <f t="shared" si="43"/>
        <v/>
      </c>
      <c r="Q92" s="8" t="str">
        <f t="shared" si="44"/>
        <v/>
      </c>
      <c r="R92" s="8" t="str">
        <f t="shared" si="45"/>
        <v/>
      </c>
      <c r="S92" s="3" t="str">
        <f t="shared" si="46"/>
        <v/>
      </c>
      <c r="T92" s="3" t="str">
        <f t="shared" si="47"/>
        <v/>
      </c>
      <c r="U92" s="3" t="str">
        <f t="shared" si="48"/>
        <v/>
      </c>
      <c r="V92" s="3" t="str">
        <f t="shared" si="49"/>
        <v/>
      </c>
      <c r="W92" s="3" t="str">
        <f t="shared" si="50"/>
        <v/>
      </c>
      <c r="X92" s="3" t="str">
        <f>IF($J92&lt;&gt;"",IF($L92&gt;W$11,IF($L92&lt;X$11,$L92-W$11,30),0)*ROUND(($M92+$U91+SUM($W92:W92))*$S$5/3000,2),"")</f>
        <v/>
      </c>
      <c r="Y92" s="3"/>
      <c r="Z92" s="3"/>
    </row>
    <row r="93" spans="4:26" x14ac:dyDescent="0.25">
      <c r="D93" s="5"/>
      <c r="E93" t="str">
        <f t="shared" si="34"/>
        <v/>
      </c>
      <c r="F93" s="5" t="str">
        <f>IF($J93&lt;&gt;"",EOMONTH(DATE(YEAR($L$6),$F$11+J93+SUM($B$12:B93),1),0),"")</f>
        <v/>
      </c>
      <c r="G93" s="22" t="str">
        <f t="shared" si="35"/>
        <v/>
      </c>
      <c r="H93" s="22" t="str">
        <f t="shared" si="36"/>
        <v/>
      </c>
      <c r="I93" s="22" t="str">
        <f t="shared" si="37"/>
        <v/>
      </c>
      <c r="J93" t="str">
        <f t="shared" si="38"/>
        <v/>
      </c>
      <c r="K93" s="5" t="str">
        <f>IF($J93&lt;&gt;"",IF(ULTIMODIA=0,IF($D93="",DATE(YEAR($L$7),MONTH($L$7)+($A$1*($G93-1))+SUM($B$12:$B93),DAY($L$7)),$D93),F93),"")</f>
        <v/>
      </c>
      <c r="L93" s="9" t="str">
        <f t="shared" si="39"/>
        <v/>
      </c>
      <c r="M93" s="3" t="str">
        <f t="shared" si="40"/>
        <v/>
      </c>
      <c r="N93" s="3" t="str">
        <f t="shared" si="41"/>
        <v/>
      </c>
      <c r="O93" s="3" t="str">
        <f t="shared" si="42"/>
        <v/>
      </c>
      <c r="P93" s="3" t="str">
        <f t="shared" si="43"/>
        <v/>
      </c>
      <c r="Q93" s="8" t="str">
        <f t="shared" si="44"/>
        <v/>
      </c>
      <c r="R93" s="8" t="str">
        <f t="shared" si="45"/>
        <v/>
      </c>
      <c r="S93" s="3" t="str">
        <f t="shared" si="46"/>
        <v/>
      </c>
      <c r="T93" s="3" t="str">
        <f t="shared" si="47"/>
        <v/>
      </c>
      <c r="U93" s="3" t="str">
        <f t="shared" si="48"/>
        <v/>
      </c>
      <c r="V93" s="3" t="str">
        <f t="shared" si="49"/>
        <v/>
      </c>
      <c r="W93" s="3" t="str">
        <f t="shared" si="50"/>
        <v/>
      </c>
      <c r="X93" s="3" t="str">
        <f>IF($J93&lt;&gt;"",IF($L93&gt;W$11,IF($L93&lt;X$11,$L93-W$11,30),0)*ROUND(($M93+$U92+SUM($W93:W93))*$S$5/3000,2),"")</f>
        <v/>
      </c>
      <c r="Y93" s="3"/>
      <c r="Z93" s="3"/>
    </row>
    <row r="94" spans="4:26" x14ac:dyDescent="0.25">
      <c r="D94" s="5"/>
      <c r="E94" t="str">
        <f t="shared" si="34"/>
        <v/>
      </c>
      <c r="F94" s="5" t="str">
        <f>IF($J94&lt;&gt;"",EOMONTH(DATE(YEAR($L$6),$F$11+J94+SUM($B$12:B94),1),0),"")</f>
        <v/>
      </c>
      <c r="G94" s="22" t="str">
        <f t="shared" si="35"/>
        <v/>
      </c>
      <c r="H94" s="22" t="str">
        <f t="shared" si="36"/>
        <v/>
      </c>
      <c r="I94" s="22" t="str">
        <f t="shared" si="37"/>
        <v/>
      </c>
      <c r="J94" t="str">
        <f t="shared" si="38"/>
        <v/>
      </c>
      <c r="K94" s="5" t="str">
        <f>IF($J94&lt;&gt;"",IF(ULTIMODIA=0,IF($D94="",DATE(YEAR($L$7),MONTH($L$7)+($A$1*($G94-1))+SUM($B$12:$B94),DAY($L$7)),$D94),F94),"")</f>
        <v/>
      </c>
      <c r="L94" s="9" t="str">
        <f t="shared" si="39"/>
        <v/>
      </c>
      <c r="M94" s="3" t="str">
        <f t="shared" si="40"/>
        <v/>
      </c>
      <c r="N94" s="3" t="str">
        <f t="shared" si="41"/>
        <v/>
      </c>
      <c r="O94" s="3" t="str">
        <f t="shared" si="42"/>
        <v/>
      </c>
      <c r="P94" s="3" t="str">
        <f t="shared" si="43"/>
        <v/>
      </c>
      <c r="Q94" s="8" t="str">
        <f t="shared" si="44"/>
        <v/>
      </c>
      <c r="R94" s="8" t="str">
        <f t="shared" si="45"/>
        <v/>
      </c>
      <c r="S94" s="3" t="str">
        <f t="shared" si="46"/>
        <v/>
      </c>
      <c r="T94" s="3" t="str">
        <f t="shared" si="47"/>
        <v/>
      </c>
      <c r="U94" s="3" t="str">
        <f t="shared" si="48"/>
        <v/>
      </c>
      <c r="V94" s="3" t="str">
        <f t="shared" si="49"/>
        <v/>
      </c>
      <c r="W94" s="3" t="str">
        <f t="shared" si="50"/>
        <v/>
      </c>
      <c r="X94" s="3" t="str">
        <f>IF($J94&lt;&gt;"",IF($L94&gt;W$11,IF($L94&lt;X$11,$L94-W$11,30),0)*ROUND(($M94+$U93+SUM($W94:W94))*$S$5/3000,2),"")</f>
        <v/>
      </c>
      <c r="Y94" s="3"/>
      <c r="Z94" s="3"/>
    </row>
    <row r="95" spans="4:26" x14ac:dyDescent="0.25">
      <c r="D95" s="5"/>
      <c r="E95" t="str">
        <f t="shared" si="34"/>
        <v/>
      </c>
      <c r="F95" s="5" t="str">
        <f>IF($J95&lt;&gt;"",EOMONTH(DATE(YEAR($L$6),$F$11+J95+SUM($B$12:B95),1),0),"")</f>
        <v/>
      </c>
      <c r="G95" s="22" t="str">
        <f t="shared" si="35"/>
        <v/>
      </c>
      <c r="H95" s="22" t="str">
        <f t="shared" si="36"/>
        <v/>
      </c>
      <c r="I95" s="22" t="str">
        <f t="shared" si="37"/>
        <v/>
      </c>
      <c r="J95" t="str">
        <f t="shared" si="38"/>
        <v/>
      </c>
      <c r="K95" s="5" t="str">
        <f>IF($J95&lt;&gt;"",IF(ULTIMODIA=0,IF($D95="",DATE(YEAR($L$7),MONTH($L$7)+($A$1*($G95-1))+SUM($B$12:$B95),DAY($L$7)),$D95),F95),"")</f>
        <v/>
      </c>
      <c r="L95" s="9" t="str">
        <f t="shared" si="39"/>
        <v/>
      </c>
      <c r="M95" s="3" t="str">
        <f t="shared" si="40"/>
        <v/>
      </c>
      <c r="N95" s="3" t="str">
        <f t="shared" si="41"/>
        <v/>
      </c>
      <c r="O95" s="3" t="str">
        <f t="shared" si="42"/>
        <v/>
      </c>
      <c r="P95" s="3" t="str">
        <f t="shared" si="43"/>
        <v/>
      </c>
      <c r="Q95" s="8" t="str">
        <f t="shared" si="44"/>
        <v/>
      </c>
      <c r="R95" s="8" t="str">
        <f t="shared" si="45"/>
        <v/>
      </c>
      <c r="S95" s="3" t="str">
        <f t="shared" si="46"/>
        <v/>
      </c>
      <c r="T95" s="3" t="str">
        <f t="shared" si="47"/>
        <v/>
      </c>
      <c r="U95" s="3" t="str">
        <f t="shared" si="48"/>
        <v/>
      </c>
      <c r="V95" s="3" t="str">
        <f t="shared" si="49"/>
        <v/>
      </c>
      <c r="W95" s="3" t="str">
        <f t="shared" si="50"/>
        <v/>
      </c>
      <c r="X95" s="3" t="str">
        <f>IF($J95&lt;&gt;"",IF($L95&gt;W$11,IF($L95&lt;X$11,$L95-W$11,30),0)*ROUND(($M95+$U94+SUM($W95:W95))*$S$5/3000,2),"")</f>
        <v/>
      </c>
      <c r="Y95" s="3"/>
      <c r="Z95" s="3"/>
    </row>
    <row r="96" spans="4:26" x14ac:dyDescent="0.25">
      <c r="D96" s="5"/>
      <c r="E96" t="str">
        <f t="shared" si="34"/>
        <v/>
      </c>
      <c r="F96" s="5" t="str">
        <f>IF($J96&lt;&gt;"",EOMONTH(DATE(YEAR($L$6),$F$11+J96+SUM($B$12:B96),1),0),"")</f>
        <v/>
      </c>
      <c r="G96" s="22" t="str">
        <f t="shared" si="35"/>
        <v/>
      </c>
      <c r="H96" s="22" t="str">
        <f t="shared" si="36"/>
        <v/>
      </c>
      <c r="I96" s="22" t="str">
        <f t="shared" si="37"/>
        <v/>
      </c>
      <c r="J96" t="str">
        <f t="shared" si="38"/>
        <v/>
      </c>
      <c r="K96" s="5" t="str">
        <f>IF($J96&lt;&gt;"",IF(ULTIMODIA=0,IF($D96="",DATE(YEAR($L$7),MONTH($L$7)+($A$1*($G96-1))+SUM($B$12:$B96),DAY($L$7)),$D96),F96),"")</f>
        <v/>
      </c>
      <c r="L96" s="9" t="str">
        <f t="shared" si="39"/>
        <v/>
      </c>
      <c r="M96" s="3" t="str">
        <f t="shared" si="40"/>
        <v/>
      </c>
      <c r="N96" s="3" t="str">
        <f t="shared" si="41"/>
        <v/>
      </c>
      <c r="O96" s="3" t="str">
        <f t="shared" si="42"/>
        <v/>
      </c>
      <c r="P96" s="3" t="str">
        <f t="shared" si="43"/>
        <v/>
      </c>
      <c r="Q96" s="8" t="str">
        <f t="shared" si="44"/>
        <v/>
      </c>
      <c r="R96" s="8" t="str">
        <f t="shared" si="45"/>
        <v/>
      </c>
      <c r="S96" s="3" t="str">
        <f t="shared" si="46"/>
        <v/>
      </c>
      <c r="T96" s="3" t="str">
        <f t="shared" si="47"/>
        <v/>
      </c>
      <c r="U96" s="3" t="str">
        <f t="shared" si="48"/>
        <v/>
      </c>
      <c r="V96" s="3" t="str">
        <f t="shared" si="49"/>
        <v/>
      </c>
      <c r="W96" s="3" t="str">
        <f t="shared" si="50"/>
        <v/>
      </c>
      <c r="X96" s="3" t="str">
        <f>IF($J96&lt;&gt;"",IF($L96&gt;W$11,IF($L96&lt;X$11,$L96-W$11,30),0)*ROUND(($M96+$U95+SUM($W96:W96))*$S$5/3000,2),"")</f>
        <v/>
      </c>
      <c r="Y96" s="3"/>
      <c r="Z96" s="3"/>
    </row>
    <row r="97" spans="4:26" x14ac:dyDescent="0.25">
      <c r="D97" s="5"/>
      <c r="E97" t="str">
        <f t="shared" si="34"/>
        <v/>
      </c>
      <c r="F97" s="5" t="str">
        <f>IF($J97&lt;&gt;"",EOMONTH(DATE(YEAR($L$6),$F$11+J97+SUM($B$12:B97),1),0),"")</f>
        <v/>
      </c>
      <c r="G97" s="22" t="str">
        <f t="shared" si="35"/>
        <v/>
      </c>
      <c r="H97" s="22" t="str">
        <f t="shared" si="36"/>
        <v/>
      </c>
      <c r="I97" s="22" t="str">
        <f t="shared" si="37"/>
        <v/>
      </c>
      <c r="J97" t="str">
        <f t="shared" si="38"/>
        <v/>
      </c>
      <c r="K97" s="5" t="str">
        <f>IF($J97&lt;&gt;"",IF(ULTIMODIA=0,IF($D97="",DATE(YEAR($L$7),MONTH($L$7)+($A$1*($G97-1))+SUM($B$12:$B97),DAY($L$7)),$D97),F97),"")</f>
        <v/>
      </c>
      <c r="L97" s="9" t="str">
        <f t="shared" si="39"/>
        <v/>
      </c>
      <c r="M97" s="3" t="str">
        <f t="shared" si="40"/>
        <v/>
      </c>
      <c r="N97" s="3" t="str">
        <f t="shared" si="41"/>
        <v/>
      </c>
      <c r="O97" s="3" t="str">
        <f t="shared" si="42"/>
        <v/>
      </c>
      <c r="P97" s="3" t="str">
        <f t="shared" si="43"/>
        <v/>
      </c>
      <c r="Q97" s="8" t="str">
        <f t="shared" si="44"/>
        <v/>
      </c>
      <c r="R97" s="8" t="str">
        <f t="shared" si="45"/>
        <v/>
      </c>
      <c r="S97" s="3" t="str">
        <f t="shared" si="46"/>
        <v/>
      </c>
      <c r="T97" s="3" t="str">
        <f t="shared" si="47"/>
        <v/>
      </c>
      <c r="U97" s="3" t="str">
        <f t="shared" si="48"/>
        <v/>
      </c>
      <c r="V97" s="3" t="str">
        <f t="shared" si="49"/>
        <v/>
      </c>
      <c r="W97" s="3" t="str">
        <f t="shared" si="50"/>
        <v/>
      </c>
      <c r="X97" s="3" t="str">
        <f>IF($J97&lt;&gt;"",IF($L97&gt;W$11,IF($L97&lt;X$11,$L97-W$11,30),0)*ROUND(($M97+$U96+SUM($W97:W97))*$S$5/3000,2),"")</f>
        <v/>
      </c>
      <c r="Y97" s="3"/>
      <c r="Z97" s="3"/>
    </row>
    <row r="98" spans="4:26" x14ac:dyDescent="0.25">
      <c r="D98" s="5"/>
      <c r="E98" t="str">
        <f t="shared" si="34"/>
        <v/>
      </c>
      <c r="F98" s="5" t="str">
        <f>IF($J98&lt;&gt;"",EOMONTH(DATE(YEAR($L$6),$F$11+J98+SUM($B$12:B98),1),0),"")</f>
        <v/>
      </c>
      <c r="G98" s="22" t="str">
        <f t="shared" si="35"/>
        <v/>
      </c>
      <c r="H98" s="22" t="str">
        <f t="shared" si="36"/>
        <v/>
      </c>
      <c r="I98" s="22" t="str">
        <f t="shared" si="37"/>
        <v/>
      </c>
      <c r="J98" t="str">
        <f t="shared" si="38"/>
        <v/>
      </c>
      <c r="K98" s="5" t="str">
        <f>IF($J98&lt;&gt;"",IF(ULTIMODIA=0,IF($D98="",DATE(YEAR($L$7),MONTH($L$7)+($A$1*($G98-1))+SUM($B$12:$B98),DAY($L$7)),$D98),F98),"")</f>
        <v/>
      </c>
      <c r="L98" s="9" t="str">
        <f t="shared" si="39"/>
        <v/>
      </c>
      <c r="M98" s="3" t="str">
        <f t="shared" si="40"/>
        <v/>
      </c>
      <c r="N98" s="3" t="str">
        <f t="shared" si="41"/>
        <v/>
      </c>
      <c r="O98" s="3" t="str">
        <f t="shared" si="42"/>
        <v/>
      </c>
      <c r="P98" s="3" t="str">
        <f t="shared" si="43"/>
        <v/>
      </c>
      <c r="Q98" s="8" t="str">
        <f t="shared" si="44"/>
        <v/>
      </c>
      <c r="R98" s="8" t="str">
        <f t="shared" si="45"/>
        <v/>
      </c>
      <c r="S98" s="3" t="str">
        <f t="shared" si="46"/>
        <v/>
      </c>
      <c r="T98" s="3" t="str">
        <f t="shared" si="47"/>
        <v/>
      </c>
      <c r="U98" s="3" t="str">
        <f t="shared" si="48"/>
        <v/>
      </c>
      <c r="V98" s="3" t="str">
        <f t="shared" si="49"/>
        <v/>
      </c>
      <c r="W98" s="3" t="str">
        <f t="shared" si="50"/>
        <v/>
      </c>
      <c r="X98" s="3" t="str">
        <f>IF($J98&lt;&gt;"",IF($L98&gt;W$11,IF($L98&lt;X$11,$L98-W$11,30),0)*ROUND(($M98+$U97+SUM($W98:W98))*$S$5/3000,2),"")</f>
        <v/>
      </c>
      <c r="Y98" s="3"/>
      <c r="Z98" s="3"/>
    </row>
    <row r="99" spans="4:26" x14ac:dyDescent="0.25">
      <c r="D99" s="5"/>
      <c r="E99" t="str">
        <f t="shared" si="34"/>
        <v/>
      </c>
      <c r="F99" s="5" t="str">
        <f>IF($J99&lt;&gt;"",EOMONTH(DATE(YEAR($L$6),$F$11+J99+SUM($B$12:B99),1),0),"")</f>
        <v/>
      </c>
      <c r="G99" s="22" t="str">
        <f t="shared" si="35"/>
        <v/>
      </c>
      <c r="H99" s="22" t="str">
        <f t="shared" si="36"/>
        <v/>
      </c>
      <c r="I99" s="22" t="str">
        <f t="shared" si="37"/>
        <v/>
      </c>
      <c r="J99" t="str">
        <f t="shared" si="38"/>
        <v/>
      </c>
      <c r="K99" s="5" t="str">
        <f>IF($J99&lt;&gt;"",IF(ULTIMODIA=0,IF($D99="",DATE(YEAR($L$7),MONTH($L$7)+($A$1*($G99-1))+SUM($B$12:$B99),DAY($L$7)),$D99),F99),"")</f>
        <v/>
      </c>
      <c r="L99" s="9" t="str">
        <f t="shared" si="39"/>
        <v/>
      </c>
      <c r="M99" s="3" t="str">
        <f t="shared" si="40"/>
        <v/>
      </c>
      <c r="N99" s="3" t="str">
        <f t="shared" si="41"/>
        <v/>
      </c>
      <c r="O99" s="3" t="str">
        <f t="shared" si="42"/>
        <v/>
      </c>
      <c r="P99" s="3" t="str">
        <f t="shared" si="43"/>
        <v/>
      </c>
      <c r="Q99" s="8" t="str">
        <f t="shared" si="44"/>
        <v/>
      </c>
      <c r="R99" s="8" t="str">
        <f t="shared" si="45"/>
        <v/>
      </c>
      <c r="S99" s="3" t="str">
        <f t="shared" si="46"/>
        <v/>
      </c>
      <c r="T99" s="3" t="str">
        <f t="shared" si="47"/>
        <v/>
      </c>
      <c r="U99" s="3" t="str">
        <f t="shared" si="48"/>
        <v/>
      </c>
      <c r="V99" s="3" t="str">
        <f t="shared" si="49"/>
        <v/>
      </c>
      <c r="W99" s="3" t="str">
        <f t="shared" si="50"/>
        <v/>
      </c>
      <c r="X99" s="3" t="str">
        <f>IF($J99&lt;&gt;"",IF($L99&gt;W$11,IF($L99&lt;X$11,$L99-W$11,30),0)*ROUND(($M99+$U98+SUM($W99:W99))*$S$5/3000,2),"")</f>
        <v/>
      </c>
      <c r="Y99" s="3"/>
      <c r="Z99" s="3"/>
    </row>
    <row r="100" spans="4:26" x14ac:dyDescent="0.25">
      <c r="D100" s="5"/>
      <c r="E100" t="str">
        <f t="shared" si="34"/>
        <v/>
      </c>
      <c r="F100" s="5" t="str">
        <f>IF($J100&lt;&gt;"",EOMONTH(DATE(YEAR($L$6),$F$11+J100+SUM($B$12:B100),1),0),"")</f>
        <v/>
      </c>
      <c r="G100" s="22" t="str">
        <f t="shared" si="35"/>
        <v/>
      </c>
      <c r="H100" s="22" t="str">
        <f t="shared" si="36"/>
        <v/>
      </c>
      <c r="I100" s="22" t="str">
        <f t="shared" si="37"/>
        <v/>
      </c>
      <c r="J100" t="str">
        <f t="shared" si="38"/>
        <v/>
      </c>
      <c r="K100" s="5" t="str">
        <f>IF($J100&lt;&gt;"",IF(ULTIMODIA=0,IF($D100="",DATE(YEAR($L$7),MONTH($L$7)+($A$1*($G100-1))+SUM($B$12:$B100),DAY($L$7)),$D100),F100),"")</f>
        <v/>
      </c>
      <c r="L100" s="9" t="str">
        <f t="shared" si="39"/>
        <v/>
      </c>
      <c r="M100" s="3" t="str">
        <f t="shared" si="40"/>
        <v/>
      </c>
      <c r="N100" s="3" t="str">
        <f t="shared" si="41"/>
        <v/>
      </c>
      <c r="O100" s="3" t="str">
        <f t="shared" si="42"/>
        <v/>
      </c>
      <c r="P100" s="3" t="str">
        <f t="shared" si="43"/>
        <v/>
      </c>
      <c r="Q100" s="8" t="str">
        <f t="shared" si="44"/>
        <v/>
      </c>
      <c r="R100" s="8" t="str">
        <f t="shared" si="45"/>
        <v/>
      </c>
      <c r="S100" s="3" t="str">
        <f t="shared" si="46"/>
        <v/>
      </c>
      <c r="T100" s="3" t="str">
        <f t="shared" si="47"/>
        <v/>
      </c>
      <c r="U100" s="3" t="str">
        <f t="shared" si="48"/>
        <v/>
      </c>
      <c r="V100" s="3" t="str">
        <f t="shared" si="49"/>
        <v/>
      </c>
      <c r="W100" s="3" t="str">
        <f t="shared" si="50"/>
        <v/>
      </c>
      <c r="X100" s="3" t="str">
        <f>IF($J100&lt;&gt;"",IF($L100&gt;W$11,IF($L100&lt;X$11,$L100-W$11,30),0)*ROUND(($M100+$U99+SUM($W100:W100))*$S$5/3000,2),"")</f>
        <v/>
      </c>
      <c r="Y100" s="3"/>
      <c r="Z100" s="3"/>
    </row>
    <row r="101" spans="4:26" x14ac:dyDescent="0.25">
      <c r="D101" s="5"/>
      <c r="E101" t="str">
        <f t="shared" si="34"/>
        <v/>
      </c>
      <c r="F101" s="5" t="str">
        <f>IF($J101&lt;&gt;"",EOMONTH(DATE(YEAR($L$6),$F$11+J101+SUM($B$12:B101),1),0),"")</f>
        <v/>
      </c>
      <c r="G101" s="22" t="str">
        <f t="shared" si="35"/>
        <v/>
      </c>
      <c r="H101" s="22" t="str">
        <f t="shared" si="36"/>
        <v/>
      </c>
      <c r="I101" s="22" t="str">
        <f t="shared" si="37"/>
        <v/>
      </c>
      <c r="J101" t="str">
        <f t="shared" si="38"/>
        <v/>
      </c>
      <c r="K101" s="5" t="str">
        <f>IF($J101&lt;&gt;"",IF(ULTIMODIA=0,IF($D101="",DATE(YEAR($L$7),MONTH($L$7)+($A$1*($G101-1))+SUM($B$12:$B101),DAY($L$7)),$D101),F101),"")</f>
        <v/>
      </c>
      <c r="L101" s="9" t="str">
        <f t="shared" si="39"/>
        <v/>
      </c>
      <c r="M101" s="3" t="str">
        <f t="shared" si="40"/>
        <v/>
      </c>
      <c r="N101" s="3" t="str">
        <f t="shared" si="41"/>
        <v/>
      </c>
      <c r="O101" s="3" t="str">
        <f t="shared" si="42"/>
        <v/>
      </c>
      <c r="P101" s="3" t="str">
        <f t="shared" si="43"/>
        <v/>
      </c>
      <c r="Q101" s="8" t="str">
        <f t="shared" si="44"/>
        <v/>
      </c>
      <c r="R101" s="8" t="str">
        <f t="shared" si="45"/>
        <v/>
      </c>
      <c r="S101" s="3" t="str">
        <f t="shared" si="46"/>
        <v/>
      </c>
      <c r="T101" s="3" t="str">
        <f t="shared" si="47"/>
        <v/>
      </c>
      <c r="U101" s="3" t="str">
        <f t="shared" si="48"/>
        <v/>
      </c>
      <c r="V101" s="3" t="str">
        <f t="shared" si="49"/>
        <v/>
      </c>
      <c r="W101" s="3" t="str">
        <f t="shared" si="50"/>
        <v/>
      </c>
      <c r="X101" s="3" t="str">
        <f>IF($J101&lt;&gt;"",IF($L101&gt;W$11,IF($L101&lt;X$11,$L101-W$11,30),0)*ROUND(($M101+$U100+SUM($W101:W101))*$S$5/3000,2),"")</f>
        <v/>
      </c>
      <c r="Y101" s="3"/>
      <c r="Z101" s="3"/>
    </row>
    <row r="102" spans="4:26" x14ac:dyDescent="0.25">
      <c r="D102" s="5"/>
      <c r="E102" t="str">
        <f t="shared" si="34"/>
        <v/>
      </c>
      <c r="F102" s="5" t="str">
        <f>IF($J102&lt;&gt;"",EOMONTH(DATE(YEAR($L$6),$F$11+J102+SUM($B$12:B102),1),0),"")</f>
        <v/>
      </c>
      <c r="G102" s="22" t="str">
        <f t="shared" si="35"/>
        <v/>
      </c>
      <c r="H102" s="22" t="str">
        <f t="shared" si="36"/>
        <v/>
      </c>
      <c r="I102" s="22" t="str">
        <f t="shared" si="37"/>
        <v/>
      </c>
      <c r="J102" t="str">
        <f t="shared" si="38"/>
        <v/>
      </c>
      <c r="K102" s="5" t="str">
        <f>IF($J102&lt;&gt;"",IF(ULTIMODIA=0,IF($D102="",DATE(YEAR($L$7),MONTH($L$7)+($A$1*($G102-1))+SUM($B$12:$B102),DAY($L$7)),$D102),F102),"")</f>
        <v/>
      </c>
      <c r="L102" s="9" t="str">
        <f t="shared" si="39"/>
        <v/>
      </c>
      <c r="M102" s="3" t="str">
        <f t="shared" si="40"/>
        <v/>
      </c>
      <c r="N102" s="3" t="str">
        <f t="shared" si="41"/>
        <v/>
      </c>
      <c r="O102" s="3" t="str">
        <f t="shared" si="42"/>
        <v/>
      </c>
      <c r="P102" s="3" t="str">
        <f t="shared" si="43"/>
        <v/>
      </c>
      <c r="Q102" s="8" t="str">
        <f t="shared" si="44"/>
        <v/>
      </c>
      <c r="R102" s="8" t="str">
        <f t="shared" si="45"/>
        <v/>
      </c>
      <c r="S102" s="3" t="str">
        <f t="shared" si="46"/>
        <v/>
      </c>
      <c r="T102" s="3" t="str">
        <f t="shared" si="47"/>
        <v/>
      </c>
      <c r="U102" s="3" t="str">
        <f t="shared" si="48"/>
        <v/>
      </c>
      <c r="V102" s="3" t="str">
        <f t="shared" si="49"/>
        <v/>
      </c>
      <c r="W102" s="3" t="str">
        <f t="shared" si="50"/>
        <v/>
      </c>
      <c r="X102" s="3" t="str">
        <f>IF($J102&lt;&gt;"",IF($L102&gt;W$11,IF($L102&lt;X$11,$L102-W$11,30),0)*ROUND(($M102+$U101+SUM($W102:W102))*$S$5/3000,2),"")</f>
        <v/>
      </c>
      <c r="Y102" s="3"/>
      <c r="Z102" s="3"/>
    </row>
    <row r="103" spans="4:26" x14ac:dyDescent="0.25">
      <c r="D103" s="5"/>
      <c r="E103" t="str">
        <f t="shared" si="34"/>
        <v/>
      </c>
      <c r="F103" s="5" t="str">
        <f>IF($J103&lt;&gt;"",EOMONTH(DATE(YEAR($L$6),$F$11+J103+SUM($B$12:B103),1),0),"")</f>
        <v/>
      </c>
      <c r="G103" s="22" t="str">
        <f t="shared" si="35"/>
        <v/>
      </c>
      <c r="H103" s="22" t="str">
        <f t="shared" si="36"/>
        <v/>
      </c>
      <c r="I103" s="22" t="str">
        <f t="shared" si="37"/>
        <v/>
      </c>
      <c r="J103" t="str">
        <f t="shared" si="38"/>
        <v/>
      </c>
      <c r="K103" s="5" t="str">
        <f>IF($J103&lt;&gt;"",IF(ULTIMODIA=0,IF($D103="",DATE(YEAR($L$7),MONTH($L$7)+($A$1*($G103-1))+SUM($B$12:$B103),DAY($L$7)),$D103),F103),"")</f>
        <v/>
      </c>
      <c r="L103" s="9" t="str">
        <f t="shared" si="39"/>
        <v/>
      </c>
      <c r="M103" s="3" t="str">
        <f t="shared" si="40"/>
        <v/>
      </c>
      <c r="N103" s="3" t="str">
        <f t="shared" si="41"/>
        <v/>
      </c>
      <c r="O103" s="3" t="str">
        <f t="shared" si="42"/>
        <v/>
      </c>
      <c r="P103" s="3" t="str">
        <f t="shared" si="43"/>
        <v/>
      </c>
      <c r="Q103" s="8" t="str">
        <f t="shared" si="44"/>
        <v/>
      </c>
      <c r="R103" s="8" t="str">
        <f t="shared" si="45"/>
        <v/>
      </c>
      <c r="S103" s="3" t="str">
        <f t="shared" si="46"/>
        <v/>
      </c>
      <c r="T103" s="3" t="str">
        <f t="shared" si="47"/>
        <v/>
      </c>
      <c r="U103" s="3" t="str">
        <f t="shared" si="48"/>
        <v/>
      </c>
      <c r="V103" s="3" t="str">
        <f t="shared" si="49"/>
        <v/>
      </c>
      <c r="W103" s="3" t="str">
        <f t="shared" si="50"/>
        <v/>
      </c>
      <c r="X103" s="3" t="str">
        <f>IF($J103&lt;&gt;"",IF($L103&gt;W$11,IF($L103&lt;X$11,$L103-W$11,30),0)*ROUND(($M103+$U102+SUM($W103:W103))*$S$5/3000,2),"")</f>
        <v/>
      </c>
      <c r="Y103" s="3"/>
      <c r="Z103" s="3"/>
    </row>
    <row r="104" spans="4:26" x14ac:dyDescent="0.25">
      <c r="D104" s="5"/>
      <c r="E104" t="str">
        <f t="shared" si="34"/>
        <v/>
      </c>
      <c r="F104" s="5" t="str">
        <f>IF($J104&lt;&gt;"",EOMONTH(DATE(YEAR($L$6),$F$11+J104+SUM($B$12:B104),1),0),"")</f>
        <v/>
      </c>
      <c r="G104" s="22" t="str">
        <f t="shared" si="35"/>
        <v/>
      </c>
      <c r="H104" s="22" t="str">
        <f t="shared" si="36"/>
        <v/>
      </c>
      <c r="I104" s="22" t="str">
        <f t="shared" si="37"/>
        <v/>
      </c>
      <c r="J104" t="str">
        <f t="shared" si="38"/>
        <v/>
      </c>
      <c r="K104" s="5" t="str">
        <f>IF($J104&lt;&gt;"",IF(ULTIMODIA=0,IF($D104="",DATE(YEAR($L$7),MONTH($L$7)+($A$1*($G104-1))+SUM($B$12:$B104),DAY($L$7)),$D104),F104),"")</f>
        <v/>
      </c>
      <c r="L104" s="9" t="str">
        <f t="shared" si="39"/>
        <v/>
      </c>
      <c r="M104" s="3" t="str">
        <f t="shared" si="40"/>
        <v/>
      </c>
      <c r="N104" s="3" t="str">
        <f t="shared" si="41"/>
        <v/>
      </c>
      <c r="O104" s="3" t="str">
        <f t="shared" si="42"/>
        <v/>
      </c>
      <c r="P104" s="3" t="str">
        <f t="shared" si="43"/>
        <v/>
      </c>
      <c r="Q104" s="8" t="str">
        <f t="shared" si="44"/>
        <v/>
      </c>
      <c r="R104" s="8" t="str">
        <f t="shared" si="45"/>
        <v/>
      </c>
      <c r="S104" s="3" t="str">
        <f t="shared" si="46"/>
        <v/>
      </c>
      <c r="T104" s="3" t="str">
        <f t="shared" si="47"/>
        <v/>
      </c>
      <c r="U104" s="3" t="str">
        <f t="shared" si="48"/>
        <v/>
      </c>
      <c r="V104" s="3" t="str">
        <f t="shared" si="49"/>
        <v/>
      </c>
      <c r="W104" s="3" t="str">
        <f t="shared" si="50"/>
        <v/>
      </c>
      <c r="X104" s="3" t="str">
        <f>IF($J104&lt;&gt;"",IF($L104&gt;W$11,IF($L104&lt;X$11,$L104-W$11,30),0)*ROUND(($M104+$U103+SUM($W104:W104))*$S$5/3000,2),"")</f>
        <v/>
      </c>
      <c r="Y104" s="3"/>
      <c r="Z104" s="3"/>
    </row>
    <row r="105" spans="4:26" x14ac:dyDescent="0.25">
      <c r="D105" s="5"/>
      <c r="E105" t="str">
        <f t="shared" si="34"/>
        <v/>
      </c>
      <c r="F105" s="5" t="str">
        <f>IF($J105&lt;&gt;"",EOMONTH(DATE(YEAR($L$6),$F$11+J105+SUM($B$12:B105),1),0),"")</f>
        <v/>
      </c>
      <c r="G105" s="22" t="str">
        <f t="shared" si="35"/>
        <v/>
      </c>
      <c r="H105" s="22" t="str">
        <f t="shared" si="36"/>
        <v/>
      </c>
      <c r="I105" s="22" t="str">
        <f t="shared" si="37"/>
        <v/>
      </c>
      <c r="J105" t="str">
        <f t="shared" si="38"/>
        <v/>
      </c>
      <c r="K105" s="5" t="str">
        <f>IF($J105&lt;&gt;"",IF(ULTIMODIA=0,IF($D105="",DATE(YEAR($L$7),MONTH($L$7)+($A$1*($G105-1))+SUM($B$12:$B105),DAY($L$7)),$D105),F105),"")</f>
        <v/>
      </c>
      <c r="L105" s="9" t="str">
        <f t="shared" si="39"/>
        <v/>
      </c>
      <c r="M105" s="3" t="str">
        <f t="shared" si="40"/>
        <v/>
      </c>
      <c r="N105" s="3" t="str">
        <f t="shared" si="41"/>
        <v/>
      </c>
      <c r="O105" s="3" t="str">
        <f t="shared" si="42"/>
        <v/>
      </c>
      <c r="P105" s="3" t="str">
        <f t="shared" si="43"/>
        <v/>
      </c>
      <c r="Q105" s="8" t="str">
        <f t="shared" si="44"/>
        <v/>
      </c>
      <c r="R105" s="8" t="str">
        <f t="shared" si="45"/>
        <v/>
      </c>
      <c r="S105" s="3" t="str">
        <f t="shared" si="46"/>
        <v/>
      </c>
      <c r="T105" s="3" t="str">
        <f t="shared" si="47"/>
        <v/>
      </c>
      <c r="U105" s="3" t="str">
        <f t="shared" si="48"/>
        <v/>
      </c>
      <c r="V105" s="3" t="str">
        <f t="shared" si="49"/>
        <v/>
      </c>
      <c r="W105" s="3" t="str">
        <f t="shared" si="50"/>
        <v/>
      </c>
      <c r="X105" s="3" t="str">
        <f>IF($J105&lt;&gt;"",IF($L105&gt;W$11,IF($L105&lt;X$11,$L105-W$11,30),0)*ROUND(($M105+$U104+SUM($W105:W105))*$S$5/3000,2),"")</f>
        <v/>
      </c>
      <c r="Y105" s="3"/>
      <c r="Z105" s="3"/>
    </row>
    <row r="106" spans="4:26" x14ac:dyDescent="0.25">
      <c r="D106" s="5"/>
      <c r="E106" t="str">
        <f t="shared" si="34"/>
        <v/>
      </c>
      <c r="F106" s="5" t="str">
        <f>IF($J106&lt;&gt;"",EOMONTH(DATE(YEAR($L$6),$F$11+J106+SUM($B$12:B106),1),0),"")</f>
        <v/>
      </c>
      <c r="G106" s="22" t="str">
        <f t="shared" si="35"/>
        <v/>
      </c>
      <c r="H106" s="22" t="str">
        <f t="shared" si="36"/>
        <v/>
      </c>
      <c r="I106" s="22" t="str">
        <f t="shared" si="37"/>
        <v/>
      </c>
      <c r="J106" t="str">
        <f t="shared" si="38"/>
        <v/>
      </c>
      <c r="K106" s="5" t="str">
        <f>IF($J106&lt;&gt;"",IF(ULTIMODIA=0,IF($D106="",DATE(YEAR($L$7),MONTH($L$7)+($A$1*($G106-1))+SUM($B$12:$B106),DAY($L$7)),$D106),F106),"")</f>
        <v/>
      </c>
      <c r="L106" s="9" t="str">
        <f t="shared" si="39"/>
        <v/>
      </c>
      <c r="M106" s="3" t="str">
        <f t="shared" si="40"/>
        <v/>
      </c>
      <c r="N106" s="3" t="str">
        <f t="shared" si="41"/>
        <v/>
      </c>
      <c r="O106" s="3" t="str">
        <f t="shared" si="42"/>
        <v/>
      </c>
      <c r="P106" s="3" t="str">
        <f t="shared" si="43"/>
        <v/>
      </c>
      <c r="Q106" s="8" t="str">
        <f t="shared" si="44"/>
        <v/>
      </c>
      <c r="R106" s="8" t="str">
        <f t="shared" si="45"/>
        <v/>
      </c>
      <c r="S106" s="3" t="str">
        <f t="shared" si="46"/>
        <v/>
      </c>
      <c r="T106" s="3" t="str">
        <f t="shared" si="47"/>
        <v/>
      </c>
      <c r="U106" s="3" t="str">
        <f t="shared" si="48"/>
        <v/>
      </c>
      <c r="V106" s="3" t="str">
        <f t="shared" si="49"/>
        <v/>
      </c>
      <c r="W106" s="3" t="str">
        <f t="shared" si="50"/>
        <v/>
      </c>
      <c r="X106" s="3" t="str">
        <f>IF($J106&lt;&gt;"",IF($L106&gt;W$11,IF($L106&lt;X$11,$L106-W$11,30),0)*ROUND(($M106+$U105+SUM($W106:W106))*$S$5/3000,2),"")</f>
        <v/>
      </c>
      <c r="Y106" s="3"/>
      <c r="Z106" s="3"/>
    </row>
    <row r="107" spans="4:26" x14ac:dyDescent="0.25">
      <c r="D107" s="5"/>
      <c r="E107" t="str">
        <f t="shared" si="34"/>
        <v/>
      </c>
      <c r="F107" s="5" t="str">
        <f>IF($J107&lt;&gt;"",EOMONTH(DATE(YEAR($L$6),$F$11+J107+SUM($B$12:B107),1),0),"")</f>
        <v/>
      </c>
      <c r="G107" s="22" t="str">
        <f t="shared" si="35"/>
        <v/>
      </c>
      <c r="H107" s="22" t="str">
        <f t="shared" si="36"/>
        <v/>
      </c>
      <c r="I107" s="22" t="str">
        <f t="shared" si="37"/>
        <v/>
      </c>
      <c r="J107" t="str">
        <f t="shared" si="38"/>
        <v/>
      </c>
      <c r="K107" s="5" t="str">
        <f>IF($J107&lt;&gt;"",IF(ULTIMODIA=0,IF($D107="",DATE(YEAR($L$7),MONTH($L$7)+($A$1*($G107-1))+SUM($B$12:$B107),DAY($L$7)),$D107),F107),"")</f>
        <v/>
      </c>
      <c r="L107" s="9" t="str">
        <f t="shared" si="39"/>
        <v/>
      </c>
      <c r="M107" s="3" t="str">
        <f t="shared" si="40"/>
        <v/>
      </c>
      <c r="N107" s="3" t="str">
        <f t="shared" si="41"/>
        <v/>
      </c>
      <c r="O107" s="3" t="str">
        <f t="shared" si="42"/>
        <v/>
      </c>
      <c r="P107" s="3" t="str">
        <f t="shared" si="43"/>
        <v/>
      </c>
      <c r="Q107" s="8" t="str">
        <f t="shared" si="44"/>
        <v/>
      </c>
      <c r="R107" s="8" t="str">
        <f t="shared" si="45"/>
        <v/>
      </c>
      <c r="S107" s="3" t="str">
        <f t="shared" si="46"/>
        <v/>
      </c>
      <c r="T107" s="3" t="str">
        <f t="shared" si="47"/>
        <v/>
      </c>
      <c r="U107" s="3" t="str">
        <f t="shared" si="48"/>
        <v/>
      </c>
      <c r="V107" s="3" t="str">
        <f t="shared" si="49"/>
        <v/>
      </c>
      <c r="W107" s="3" t="str">
        <f t="shared" si="50"/>
        <v/>
      </c>
      <c r="X107" s="3" t="str">
        <f>IF($J107&lt;&gt;"",IF($L107&gt;W$11,IF($L107&lt;X$11,$L107-W$11,30),0)*ROUND(($M107+$U106+SUM($W107:W107))*$S$5/3000,2),"")</f>
        <v/>
      </c>
      <c r="Y107" s="3"/>
      <c r="Z107" s="3"/>
    </row>
    <row r="108" spans="4:26" x14ac:dyDescent="0.25">
      <c r="D108" s="5"/>
      <c r="E108" t="str">
        <f t="shared" ref="E108:E139" si="51">IF($J108&lt;&gt;"",TEXT(K108,"DDD"),"")</f>
        <v/>
      </c>
      <c r="F108" s="5" t="str">
        <f>IF($J108&lt;&gt;"",EOMONTH(DATE(YEAR($L$6),$F$11+J108+SUM($B$12:B108),1),0),"")</f>
        <v/>
      </c>
      <c r="G108" s="22" t="str">
        <f t="shared" ref="G108:G139" si="52">IF($J108&lt;&gt;"",IF($A108="Prepago",$G107,$G107+1),"")</f>
        <v/>
      </c>
      <c r="H108" s="22" t="str">
        <f t="shared" ref="H108:H139" si="53">IF($J108&lt;&gt;"",IF(ISNUMBER($C108),-$O108+$V108-$P108,ABS($V108)+$Q108+$R108+$S108),"")</f>
        <v/>
      </c>
      <c r="I108" s="22" t="str">
        <f t="shared" ref="I108:I139" si="54">IF(J108&lt;&gt;"",IF(COUNTA($W108:$XFD108)*30&lt;$L108,1,0),"")</f>
        <v/>
      </c>
      <c r="J108" t="str">
        <f t="shared" ref="J108:J139" si="55">IF($J107&lt;NCUOTAS+CUOTAADICIONAL+PGRACIA,$J107+1,"")</f>
        <v/>
      </c>
      <c r="K108" s="5" t="str">
        <f>IF($J108&lt;&gt;"",IF(ULTIMODIA=0,IF($D108="",DATE(YEAR($L$7),MONTH($L$7)+($A$1*($G108-1))+SUM($B$12:$B108),DAY($L$7)),$D108),F108),"")</f>
        <v/>
      </c>
      <c r="L108" s="9" t="str">
        <f t="shared" ref="L108:L139" si="56">IF($J108&lt;&gt;"",$K108-$K107,"")</f>
        <v/>
      </c>
      <c r="M108" s="3" t="str">
        <f t="shared" ref="M108:M139" si="57">IF($J108&lt;&gt;"",$T107,"")</f>
        <v/>
      </c>
      <c r="N108" s="3" t="str">
        <f t="shared" ref="N108:N139" si="58">IF($J108&lt;&gt;"",IF($A108="Gracia Parcial",IF(AND($C108&lt;$V108+$Q108+$R108+$S108+$U107,$C108&gt;0),$C108,$V108+$Q108+$R108+$S108+$U107),IF($A108="Gracia Total",0,IF($A108="Prepago",$C108,IF(ISNUMBER($C108),$C108*VALUE(MID($C$1,MONTH($K108),1)),$O$5*VALUE(MID($C$1,MONTH($K108),1))))))-IF($J109="",ARREGLO,0),"")</f>
        <v/>
      </c>
      <c r="O108" s="3" t="str">
        <f t="shared" ref="O108:O139" si="59">IF($J108&lt;&gt;"",IF($N108-$P108&gt;0,$N108-$P108-$Q108-$R108-$S108,0),"")</f>
        <v/>
      </c>
      <c r="P108" s="3" t="str">
        <f t="shared" ref="P108:P139" si="60">IF($J108&lt;&gt;"",IF($N108&gt;=$V108+$U107+$Q108+$R108+$S108,$V108+$U107,$N108-$Q108-$R108-$S108),"")</f>
        <v/>
      </c>
      <c r="Q108" s="8" t="str">
        <f t="shared" ref="Q108:Q139" si="61">IF($J108&lt;&gt;"",IF($A108="Prepago",0,$R$6+$R$6*$B108),"")</f>
        <v/>
      </c>
      <c r="R108" s="8" t="str">
        <f t="shared" ref="R108:R139" si="62">IF($J108&lt;&gt;"",IF($A108="Prepago",0,$R$7+$R$7*$B108),"")</f>
        <v/>
      </c>
      <c r="S108" s="3" t="str">
        <f t="shared" ref="S108:S139" si="63">IF($J108&lt;&gt;"",IF($A108="Prepago",0,$R$8+$R$8*$B108),"")</f>
        <v/>
      </c>
      <c r="T108" s="3" t="str">
        <f t="shared" ref="T108:T139" si="64">IF($J108&lt;&gt;"",$M108-$O108,"")</f>
        <v/>
      </c>
      <c r="U108" s="3" t="str">
        <f t="shared" ref="U108:U139" si="65">IF($J108&lt;&gt;"",+$U107+SUM($W108:$CE108)-$P108,"")</f>
        <v/>
      </c>
      <c r="V108" s="3" t="str">
        <f t="shared" ref="V108:V139" si="66">IF($J108&lt;&gt;"",SUM($W108:$XFD108),"")</f>
        <v/>
      </c>
      <c r="W108" s="3" t="str">
        <f t="shared" ref="W108:W139" si="67">IF($J108&lt;&gt;"",IF($L108&gt;W$11,30,$L108)*ROUND(($M108+$U107)*$S$5/3000,2),"")</f>
        <v/>
      </c>
      <c r="X108" s="3" t="str">
        <f>IF($J108&lt;&gt;"",IF($L108&gt;W$11,IF($L108&lt;X$11,$L108-W$11,30),0)*ROUND(($M108+$U107+SUM($W108:W108))*$S$5/3000,2),"")</f>
        <v/>
      </c>
      <c r="Y108" s="3"/>
      <c r="Z108" s="3"/>
    </row>
    <row r="109" spans="4:26" x14ac:dyDescent="0.25">
      <c r="D109" s="5"/>
      <c r="E109" t="str">
        <f t="shared" si="51"/>
        <v/>
      </c>
      <c r="F109" s="5" t="str">
        <f>IF($J109&lt;&gt;"",EOMONTH(DATE(YEAR($L$6),$F$11+J109+SUM($B$12:B109),1),0),"")</f>
        <v/>
      </c>
      <c r="G109" s="22" t="str">
        <f t="shared" si="52"/>
        <v/>
      </c>
      <c r="H109" s="22" t="str">
        <f t="shared" si="53"/>
        <v/>
      </c>
      <c r="I109" s="22" t="str">
        <f t="shared" si="54"/>
        <v/>
      </c>
      <c r="J109" t="str">
        <f t="shared" si="55"/>
        <v/>
      </c>
      <c r="K109" s="5" t="str">
        <f>IF($J109&lt;&gt;"",IF(ULTIMODIA=0,IF($D109="",DATE(YEAR($L$7),MONTH($L$7)+($A$1*($G109-1))+SUM($B$12:$B109),DAY($L$7)),$D109),F109),"")</f>
        <v/>
      </c>
      <c r="L109" s="9" t="str">
        <f t="shared" si="56"/>
        <v/>
      </c>
      <c r="M109" s="3" t="str">
        <f t="shared" si="57"/>
        <v/>
      </c>
      <c r="N109" s="3" t="str">
        <f t="shared" si="58"/>
        <v/>
      </c>
      <c r="O109" s="3" t="str">
        <f t="shared" si="59"/>
        <v/>
      </c>
      <c r="P109" s="3" t="str">
        <f t="shared" si="60"/>
        <v/>
      </c>
      <c r="Q109" s="8" t="str">
        <f t="shared" si="61"/>
        <v/>
      </c>
      <c r="R109" s="8" t="str">
        <f t="shared" si="62"/>
        <v/>
      </c>
      <c r="S109" s="3" t="str">
        <f t="shared" si="63"/>
        <v/>
      </c>
      <c r="T109" s="3" t="str">
        <f t="shared" si="64"/>
        <v/>
      </c>
      <c r="U109" s="3" t="str">
        <f t="shared" si="65"/>
        <v/>
      </c>
      <c r="V109" s="3" t="str">
        <f t="shared" si="66"/>
        <v/>
      </c>
      <c r="W109" s="3" t="str">
        <f t="shared" si="67"/>
        <v/>
      </c>
      <c r="X109" s="3" t="str">
        <f>IF($J109&lt;&gt;"",IF($L109&gt;W$11,IF($L109&lt;X$11,$L109-W$11,30),0)*ROUND(($M109+$U108+SUM($W109:W109))*$S$5/3000,2),"")</f>
        <v/>
      </c>
      <c r="Y109" s="3"/>
      <c r="Z109" s="3"/>
    </row>
    <row r="110" spans="4:26" x14ac:dyDescent="0.25">
      <c r="D110" s="5"/>
      <c r="E110" t="str">
        <f t="shared" si="51"/>
        <v/>
      </c>
      <c r="F110" s="5" t="str">
        <f>IF($J110&lt;&gt;"",EOMONTH(DATE(YEAR($L$6),$F$11+J110+SUM($B$12:B110),1),0),"")</f>
        <v/>
      </c>
      <c r="G110" s="22" t="str">
        <f t="shared" si="52"/>
        <v/>
      </c>
      <c r="H110" s="22" t="str">
        <f t="shared" si="53"/>
        <v/>
      </c>
      <c r="I110" s="22" t="str">
        <f t="shared" si="54"/>
        <v/>
      </c>
      <c r="J110" t="str">
        <f t="shared" si="55"/>
        <v/>
      </c>
      <c r="K110" s="5" t="str">
        <f>IF($J110&lt;&gt;"",IF(ULTIMODIA=0,IF($D110="",DATE(YEAR($L$7),MONTH($L$7)+($A$1*($G110-1))+SUM($B$12:$B110),DAY($L$7)),$D110),F110),"")</f>
        <v/>
      </c>
      <c r="L110" s="9" t="str">
        <f t="shared" si="56"/>
        <v/>
      </c>
      <c r="M110" s="3" t="str">
        <f t="shared" si="57"/>
        <v/>
      </c>
      <c r="N110" s="3" t="str">
        <f t="shared" si="58"/>
        <v/>
      </c>
      <c r="O110" s="3" t="str">
        <f t="shared" si="59"/>
        <v/>
      </c>
      <c r="P110" s="3" t="str">
        <f t="shared" si="60"/>
        <v/>
      </c>
      <c r="Q110" s="8" t="str">
        <f t="shared" si="61"/>
        <v/>
      </c>
      <c r="R110" s="8" t="str">
        <f t="shared" si="62"/>
        <v/>
      </c>
      <c r="S110" s="3" t="str">
        <f t="shared" si="63"/>
        <v/>
      </c>
      <c r="T110" s="3" t="str">
        <f t="shared" si="64"/>
        <v/>
      </c>
      <c r="U110" s="3" t="str">
        <f t="shared" si="65"/>
        <v/>
      </c>
      <c r="V110" s="3" t="str">
        <f t="shared" si="66"/>
        <v/>
      </c>
      <c r="W110" s="3" t="str">
        <f t="shared" si="67"/>
        <v/>
      </c>
      <c r="X110" s="3" t="str">
        <f>IF($J110&lt;&gt;"",IF($L110&gt;W$11,IF($L110&lt;X$11,$L110-W$11,30),0)*ROUND(($M110+$U109+SUM($W110:W110))*$S$5/3000,2),"")</f>
        <v/>
      </c>
      <c r="Y110" s="3"/>
      <c r="Z110" s="3"/>
    </row>
    <row r="111" spans="4:26" x14ac:dyDescent="0.25">
      <c r="D111" s="5"/>
      <c r="E111" t="str">
        <f t="shared" si="51"/>
        <v/>
      </c>
      <c r="F111" s="5" t="str">
        <f>IF($J111&lt;&gt;"",EOMONTH(DATE(YEAR($L$6),$F$11+J111+SUM($B$12:B111),1),0),"")</f>
        <v/>
      </c>
      <c r="G111" s="22" t="str">
        <f t="shared" si="52"/>
        <v/>
      </c>
      <c r="H111" s="22" t="str">
        <f t="shared" si="53"/>
        <v/>
      </c>
      <c r="I111" s="22" t="str">
        <f t="shared" si="54"/>
        <v/>
      </c>
      <c r="J111" t="str">
        <f t="shared" si="55"/>
        <v/>
      </c>
      <c r="K111" s="5" t="str">
        <f>IF($J111&lt;&gt;"",IF(ULTIMODIA=0,IF($D111="",DATE(YEAR($L$7),MONTH($L$7)+($A$1*($G111-1))+SUM($B$12:$B111),DAY($L$7)),$D111),F111),"")</f>
        <v/>
      </c>
      <c r="L111" s="9" t="str">
        <f t="shared" si="56"/>
        <v/>
      </c>
      <c r="M111" s="3" t="str">
        <f t="shared" si="57"/>
        <v/>
      </c>
      <c r="N111" s="3" t="str">
        <f t="shared" si="58"/>
        <v/>
      </c>
      <c r="O111" s="3" t="str">
        <f t="shared" si="59"/>
        <v/>
      </c>
      <c r="P111" s="3" t="str">
        <f t="shared" si="60"/>
        <v/>
      </c>
      <c r="Q111" s="8" t="str">
        <f t="shared" si="61"/>
        <v/>
      </c>
      <c r="R111" s="8" t="str">
        <f t="shared" si="62"/>
        <v/>
      </c>
      <c r="S111" s="3" t="str">
        <f t="shared" si="63"/>
        <v/>
      </c>
      <c r="T111" s="3" t="str">
        <f t="shared" si="64"/>
        <v/>
      </c>
      <c r="U111" s="3" t="str">
        <f t="shared" si="65"/>
        <v/>
      </c>
      <c r="V111" s="3" t="str">
        <f t="shared" si="66"/>
        <v/>
      </c>
      <c r="W111" s="3" t="str">
        <f t="shared" si="67"/>
        <v/>
      </c>
      <c r="X111" s="3" t="str">
        <f>IF($J111&lt;&gt;"",IF($L111&gt;W$11,IF($L111&lt;X$11,$L111-W$11,30),0)*ROUND(($M111+$U110+SUM($W111:W111))*$S$5/3000,2),"")</f>
        <v/>
      </c>
      <c r="Y111" s="3"/>
      <c r="Z111" s="3"/>
    </row>
    <row r="112" spans="4:26" x14ac:dyDescent="0.25">
      <c r="D112" s="5"/>
      <c r="E112" t="str">
        <f t="shared" si="51"/>
        <v/>
      </c>
      <c r="F112" s="5" t="str">
        <f>IF($J112&lt;&gt;"",EOMONTH(DATE(YEAR($L$6),$F$11+J112+SUM($B$12:B112),1),0),"")</f>
        <v/>
      </c>
      <c r="G112" s="22" t="str">
        <f t="shared" si="52"/>
        <v/>
      </c>
      <c r="H112" s="22" t="str">
        <f t="shared" si="53"/>
        <v/>
      </c>
      <c r="I112" s="22" t="str">
        <f t="shared" si="54"/>
        <v/>
      </c>
      <c r="J112" t="str">
        <f t="shared" si="55"/>
        <v/>
      </c>
      <c r="K112" s="5" t="str">
        <f>IF($J112&lt;&gt;"",IF(ULTIMODIA=0,IF($D112="",DATE(YEAR($L$7),MONTH($L$7)+($A$1*($G112-1))+SUM($B$12:$B112),DAY($L$7)),$D112),F112),"")</f>
        <v/>
      </c>
      <c r="L112" s="9" t="str">
        <f t="shared" si="56"/>
        <v/>
      </c>
      <c r="M112" s="3" t="str">
        <f t="shared" si="57"/>
        <v/>
      </c>
      <c r="N112" s="3" t="str">
        <f t="shared" si="58"/>
        <v/>
      </c>
      <c r="O112" s="3" t="str">
        <f t="shared" si="59"/>
        <v/>
      </c>
      <c r="P112" s="3" t="str">
        <f t="shared" si="60"/>
        <v/>
      </c>
      <c r="Q112" s="8" t="str">
        <f t="shared" si="61"/>
        <v/>
      </c>
      <c r="R112" s="8" t="str">
        <f t="shared" si="62"/>
        <v/>
      </c>
      <c r="S112" s="3" t="str">
        <f t="shared" si="63"/>
        <v/>
      </c>
      <c r="T112" s="3" t="str">
        <f t="shared" si="64"/>
        <v/>
      </c>
      <c r="U112" s="3" t="str">
        <f t="shared" si="65"/>
        <v/>
      </c>
      <c r="V112" s="3" t="str">
        <f t="shared" si="66"/>
        <v/>
      </c>
      <c r="W112" s="3" t="str">
        <f t="shared" si="67"/>
        <v/>
      </c>
      <c r="X112" s="3" t="str">
        <f>IF($J112&lt;&gt;"",IF($L112&gt;W$11,IF($L112&lt;X$11,$L112-W$11,30),0)*ROUND(($M112+$U111+SUM($W112:W112))*$S$5/3000,2),"")</f>
        <v/>
      </c>
      <c r="Y112" s="3"/>
      <c r="Z112" s="3"/>
    </row>
    <row r="113" spans="4:26" x14ac:dyDescent="0.25">
      <c r="D113" s="5"/>
      <c r="E113" t="str">
        <f t="shared" si="51"/>
        <v/>
      </c>
      <c r="F113" s="5" t="str">
        <f>IF($J113&lt;&gt;"",EOMONTH(DATE(YEAR($L$6),$F$11+J113+SUM($B$12:B113),1),0),"")</f>
        <v/>
      </c>
      <c r="G113" s="22" t="str">
        <f t="shared" si="52"/>
        <v/>
      </c>
      <c r="H113" s="22" t="str">
        <f t="shared" si="53"/>
        <v/>
      </c>
      <c r="I113" s="22" t="str">
        <f t="shared" si="54"/>
        <v/>
      </c>
      <c r="J113" t="str">
        <f t="shared" si="55"/>
        <v/>
      </c>
      <c r="K113" s="5" t="str">
        <f>IF($J113&lt;&gt;"",IF(ULTIMODIA=0,IF($D113="",DATE(YEAR($L$7),MONTH($L$7)+($A$1*($G113-1))+SUM($B$12:$B113),DAY($L$7)),$D113),F113),"")</f>
        <v/>
      </c>
      <c r="L113" s="9" t="str">
        <f t="shared" si="56"/>
        <v/>
      </c>
      <c r="M113" s="3" t="str">
        <f t="shared" si="57"/>
        <v/>
      </c>
      <c r="N113" s="3" t="str">
        <f t="shared" si="58"/>
        <v/>
      </c>
      <c r="O113" s="3" t="str">
        <f t="shared" si="59"/>
        <v/>
      </c>
      <c r="P113" s="3" t="str">
        <f t="shared" si="60"/>
        <v/>
      </c>
      <c r="Q113" s="8" t="str">
        <f t="shared" si="61"/>
        <v/>
      </c>
      <c r="R113" s="8" t="str">
        <f t="shared" si="62"/>
        <v/>
      </c>
      <c r="S113" s="3" t="str">
        <f t="shared" si="63"/>
        <v/>
      </c>
      <c r="T113" s="3" t="str">
        <f t="shared" si="64"/>
        <v/>
      </c>
      <c r="U113" s="3" t="str">
        <f t="shared" si="65"/>
        <v/>
      </c>
      <c r="V113" s="3" t="str">
        <f t="shared" si="66"/>
        <v/>
      </c>
      <c r="W113" s="3" t="str">
        <f t="shared" si="67"/>
        <v/>
      </c>
      <c r="X113" s="3" t="str">
        <f>IF($J113&lt;&gt;"",IF($L113&gt;W$11,IF($L113&lt;X$11,$L113-W$11,30),0)*ROUND(($M113+$U112+SUM($W113:W113))*$S$5/3000,2),"")</f>
        <v/>
      </c>
      <c r="Y113" s="3"/>
      <c r="Z113" s="3"/>
    </row>
    <row r="114" spans="4:26" x14ac:dyDescent="0.25">
      <c r="D114" s="5"/>
      <c r="E114" t="str">
        <f t="shared" si="51"/>
        <v/>
      </c>
      <c r="F114" s="5" t="str">
        <f>IF($J114&lt;&gt;"",EOMONTH(DATE(YEAR($L$6),$F$11+J114+SUM($B$12:B114),1),0),"")</f>
        <v/>
      </c>
      <c r="G114" s="22" t="str">
        <f t="shared" si="52"/>
        <v/>
      </c>
      <c r="H114" s="22" t="str">
        <f t="shared" si="53"/>
        <v/>
      </c>
      <c r="I114" s="22" t="str">
        <f t="shared" si="54"/>
        <v/>
      </c>
      <c r="J114" t="str">
        <f t="shared" si="55"/>
        <v/>
      </c>
      <c r="K114" s="5" t="str">
        <f>IF($J114&lt;&gt;"",IF(ULTIMODIA=0,IF($D114="",DATE(YEAR($L$7),MONTH($L$7)+($A$1*($G114-1))+SUM($B$12:$B114),DAY($L$7)),$D114),F114),"")</f>
        <v/>
      </c>
      <c r="L114" s="9" t="str">
        <f t="shared" si="56"/>
        <v/>
      </c>
      <c r="M114" s="3" t="str">
        <f t="shared" si="57"/>
        <v/>
      </c>
      <c r="N114" s="3" t="str">
        <f t="shared" si="58"/>
        <v/>
      </c>
      <c r="O114" s="3" t="str">
        <f t="shared" si="59"/>
        <v/>
      </c>
      <c r="P114" s="3" t="str">
        <f t="shared" si="60"/>
        <v/>
      </c>
      <c r="Q114" s="8" t="str">
        <f t="shared" si="61"/>
        <v/>
      </c>
      <c r="R114" s="8" t="str">
        <f t="shared" si="62"/>
        <v/>
      </c>
      <c r="S114" s="3" t="str">
        <f t="shared" si="63"/>
        <v/>
      </c>
      <c r="T114" s="3" t="str">
        <f t="shared" si="64"/>
        <v/>
      </c>
      <c r="U114" s="3" t="str">
        <f t="shared" si="65"/>
        <v/>
      </c>
      <c r="V114" s="3" t="str">
        <f t="shared" si="66"/>
        <v/>
      </c>
      <c r="W114" s="3" t="str">
        <f t="shared" si="67"/>
        <v/>
      </c>
      <c r="X114" s="3" t="str">
        <f>IF($J114&lt;&gt;"",IF($L114&gt;W$11,IF($L114&lt;X$11,$L114-W$11,30),0)*ROUND(($M114+$U113+SUM($W114:W114))*$S$5/3000,2),"")</f>
        <v/>
      </c>
      <c r="Y114" s="3"/>
      <c r="Z114" s="3"/>
    </row>
    <row r="115" spans="4:26" x14ac:dyDescent="0.25">
      <c r="D115" s="5"/>
      <c r="E115" t="str">
        <f t="shared" si="51"/>
        <v/>
      </c>
      <c r="F115" s="5" t="str">
        <f>IF($J115&lt;&gt;"",EOMONTH(DATE(YEAR($L$6),$F$11+J115+SUM($B$12:B115),1),0),"")</f>
        <v/>
      </c>
      <c r="G115" s="22" t="str">
        <f t="shared" si="52"/>
        <v/>
      </c>
      <c r="H115" s="22" t="str">
        <f t="shared" si="53"/>
        <v/>
      </c>
      <c r="I115" s="22" t="str">
        <f t="shared" si="54"/>
        <v/>
      </c>
      <c r="J115" t="str">
        <f t="shared" si="55"/>
        <v/>
      </c>
      <c r="K115" s="5" t="str">
        <f>IF($J115&lt;&gt;"",IF(ULTIMODIA=0,IF($D115="",DATE(YEAR($L$7),MONTH($L$7)+($A$1*($G115-1))+SUM($B$12:$B115),DAY($L$7)),$D115),F115),"")</f>
        <v/>
      </c>
      <c r="L115" s="9" t="str">
        <f t="shared" si="56"/>
        <v/>
      </c>
      <c r="M115" s="3" t="str">
        <f t="shared" si="57"/>
        <v/>
      </c>
      <c r="N115" s="3" t="str">
        <f t="shared" si="58"/>
        <v/>
      </c>
      <c r="O115" s="3" t="str">
        <f t="shared" si="59"/>
        <v/>
      </c>
      <c r="P115" s="3" t="str">
        <f t="shared" si="60"/>
        <v/>
      </c>
      <c r="Q115" s="8" t="str">
        <f t="shared" si="61"/>
        <v/>
      </c>
      <c r="R115" s="8" t="str">
        <f t="shared" si="62"/>
        <v/>
      </c>
      <c r="S115" s="3" t="str">
        <f t="shared" si="63"/>
        <v/>
      </c>
      <c r="T115" s="3" t="str">
        <f t="shared" si="64"/>
        <v/>
      </c>
      <c r="U115" s="3" t="str">
        <f t="shared" si="65"/>
        <v/>
      </c>
      <c r="V115" s="3" t="str">
        <f t="shared" si="66"/>
        <v/>
      </c>
      <c r="W115" s="3" t="str">
        <f t="shared" si="67"/>
        <v/>
      </c>
      <c r="X115" s="3" t="str">
        <f>IF($J115&lt;&gt;"",IF($L115&gt;W$11,IF($L115&lt;X$11,$L115-W$11,30),0)*ROUND(($M115+$U114+SUM($W115:W115))*$S$5/3000,2),"")</f>
        <v/>
      </c>
      <c r="Y115" s="3"/>
      <c r="Z115" s="3"/>
    </row>
    <row r="116" spans="4:26" x14ac:dyDescent="0.25">
      <c r="D116" s="5"/>
      <c r="E116" t="str">
        <f t="shared" si="51"/>
        <v/>
      </c>
      <c r="F116" s="5" t="str">
        <f>IF($J116&lt;&gt;"",EOMONTH(DATE(YEAR($L$6),$F$11+J116+SUM($B$12:B116),1),0),"")</f>
        <v/>
      </c>
      <c r="G116" s="22" t="str">
        <f t="shared" si="52"/>
        <v/>
      </c>
      <c r="H116" s="22" t="str">
        <f t="shared" si="53"/>
        <v/>
      </c>
      <c r="I116" s="22" t="str">
        <f t="shared" si="54"/>
        <v/>
      </c>
      <c r="J116" t="str">
        <f t="shared" si="55"/>
        <v/>
      </c>
      <c r="K116" s="5" t="str">
        <f>IF($J116&lt;&gt;"",IF(ULTIMODIA=0,IF($D116="",DATE(YEAR($L$7),MONTH($L$7)+($A$1*($G116-1))+SUM($B$12:$B116),DAY($L$7)),$D116),F116),"")</f>
        <v/>
      </c>
      <c r="L116" s="9" t="str">
        <f t="shared" si="56"/>
        <v/>
      </c>
      <c r="M116" s="3" t="str">
        <f t="shared" si="57"/>
        <v/>
      </c>
      <c r="N116" s="3" t="str">
        <f t="shared" si="58"/>
        <v/>
      </c>
      <c r="O116" s="3" t="str">
        <f t="shared" si="59"/>
        <v/>
      </c>
      <c r="P116" s="3" t="str">
        <f t="shared" si="60"/>
        <v/>
      </c>
      <c r="Q116" s="8" t="str">
        <f t="shared" si="61"/>
        <v/>
      </c>
      <c r="R116" s="8" t="str">
        <f t="shared" si="62"/>
        <v/>
      </c>
      <c r="S116" s="3" t="str">
        <f t="shared" si="63"/>
        <v/>
      </c>
      <c r="T116" s="3" t="str">
        <f t="shared" si="64"/>
        <v/>
      </c>
      <c r="U116" s="3" t="str">
        <f t="shared" si="65"/>
        <v/>
      </c>
      <c r="V116" s="3" t="str">
        <f t="shared" si="66"/>
        <v/>
      </c>
      <c r="W116" s="3" t="str">
        <f t="shared" si="67"/>
        <v/>
      </c>
      <c r="X116" s="3" t="str">
        <f>IF($J116&lt;&gt;"",IF($L116&gt;W$11,IF($L116&lt;X$11,$L116-W$11,30),0)*ROUND(($M116+$U115+SUM($W116:W116))*$S$5/3000,2),"")</f>
        <v/>
      </c>
      <c r="Y116" s="3"/>
      <c r="Z116" s="3"/>
    </row>
    <row r="117" spans="4:26" x14ac:dyDescent="0.25">
      <c r="D117" s="5"/>
      <c r="E117" t="str">
        <f t="shared" si="51"/>
        <v/>
      </c>
      <c r="F117" s="5" t="str">
        <f>IF($J117&lt;&gt;"",EOMONTH(DATE(YEAR($L$6),$F$11+J117+SUM($B$12:B117),1),0),"")</f>
        <v/>
      </c>
      <c r="G117" s="22" t="str">
        <f t="shared" si="52"/>
        <v/>
      </c>
      <c r="H117" s="22" t="str">
        <f t="shared" si="53"/>
        <v/>
      </c>
      <c r="I117" s="22" t="str">
        <f t="shared" si="54"/>
        <v/>
      </c>
      <c r="J117" t="str">
        <f t="shared" si="55"/>
        <v/>
      </c>
      <c r="K117" s="5" t="str">
        <f>IF($J117&lt;&gt;"",IF(ULTIMODIA=0,IF($D117="",DATE(YEAR($L$7),MONTH($L$7)+($A$1*($G117-1))+SUM($B$12:$B117),DAY($L$7)),$D117),F117),"")</f>
        <v/>
      </c>
      <c r="L117" s="9" t="str">
        <f t="shared" si="56"/>
        <v/>
      </c>
      <c r="M117" s="3" t="str">
        <f t="shared" si="57"/>
        <v/>
      </c>
      <c r="N117" s="3" t="str">
        <f t="shared" si="58"/>
        <v/>
      </c>
      <c r="O117" s="3" t="str">
        <f t="shared" si="59"/>
        <v/>
      </c>
      <c r="P117" s="3" t="str">
        <f t="shared" si="60"/>
        <v/>
      </c>
      <c r="Q117" s="8" t="str">
        <f t="shared" si="61"/>
        <v/>
      </c>
      <c r="R117" s="8" t="str">
        <f t="shared" si="62"/>
        <v/>
      </c>
      <c r="S117" s="3" t="str">
        <f t="shared" si="63"/>
        <v/>
      </c>
      <c r="T117" s="3" t="str">
        <f t="shared" si="64"/>
        <v/>
      </c>
      <c r="U117" s="3" t="str">
        <f t="shared" si="65"/>
        <v/>
      </c>
      <c r="V117" s="3" t="str">
        <f t="shared" si="66"/>
        <v/>
      </c>
      <c r="W117" s="3" t="str">
        <f t="shared" si="67"/>
        <v/>
      </c>
      <c r="X117" s="3" t="str">
        <f>IF($J117&lt;&gt;"",IF($L117&gt;W$11,IF($L117&lt;X$11,$L117-W$11,30),0)*ROUND(($M117+$U116+SUM($W117:W117))*$S$5/3000,2),"")</f>
        <v/>
      </c>
      <c r="Y117" s="3"/>
      <c r="Z117" s="3"/>
    </row>
    <row r="118" spans="4:26" x14ac:dyDescent="0.25">
      <c r="D118" s="5"/>
      <c r="E118" t="str">
        <f t="shared" si="51"/>
        <v/>
      </c>
      <c r="F118" s="5" t="str">
        <f>IF($J118&lt;&gt;"",EOMONTH(DATE(YEAR($L$6),$F$11+J118+SUM($B$12:B118),1),0),"")</f>
        <v/>
      </c>
      <c r="G118" s="22" t="str">
        <f t="shared" si="52"/>
        <v/>
      </c>
      <c r="H118" s="22" t="str">
        <f t="shared" si="53"/>
        <v/>
      </c>
      <c r="I118" s="22" t="str">
        <f t="shared" si="54"/>
        <v/>
      </c>
      <c r="J118" t="str">
        <f t="shared" si="55"/>
        <v/>
      </c>
      <c r="K118" s="5" t="str">
        <f>IF($J118&lt;&gt;"",IF(ULTIMODIA=0,IF($D118="",DATE(YEAR($L$7),MONTH($L$7)+($A$1*($G118-1))+SUM($B$12:$B118),DAY($L$7)),$D118),F118),"")</f>
        <v/>
      </c>
      <c r="L118" s="9" t="str">
        <f t="shared" si="56"/>
        <v/>
      </c>
      <c r="M118" s="3" t="str">
        <f t="shared" si="57"/>
        <v/>
      </c>
      <c r="N118" s="3" t="str">
        <f t="shared" si="58"/>
        <v/>
      </c>
      <c r="O118" s="3" t="str">
        <f t="shared" si="59"/>
        <v/>
      </c>
      <c r="P118" s="3" t="str">
        <f t="shared" si="60"/>
        <v/>
      </c>
      <c r="Q118" s="8" t="str">
        <f t="shared" si="61"/>
        <v/>
      </c>
      <c r="R118" s="8" t="str">
        <f t="shared" si="62"/>
        <v/>
      </c>
      <c r="S118" s="3" t="str">
        <f t="shared" si="63"/>
        <v/>
      </c>
      <c r="T118" s="3" t="str">
        <f t="shared" si="64"/>
        <v/>
      </c>
      <c r="U118" s="3" t="str">
        <f t="shared" si="65"/>
        <v/>
      </c>
      <c r="V118" s="3" t="str">
        <f t="shared" si="66"/>
        <v/>
      </c>
      <c r="W118" s="3" t="str">
        <f t="shared" si="67"/>
        <v/>
      </c>
      <c r="X118" s="3" t="str">
        <f>IF($J118&lt;&gt;"",IF($L118&gt;W$11,IF($L118&lt;X$11,$L118-W$11,30),0)*ROUND(($M118+$U117+SUM($W118:W118))*$S$5/3000,2),"")</f>
        <v/>
      </c>
      <c r="Y118" s="3"/>
      <c r="Z118" s="3"/>
    </row>
    <row r="119" spans="4:26" x14ac:dyDescent="0.25">
      <c r="D119" s="5"/>
      <c r="E119" t="str">
        <f t="shared" si="51"/>
        <v/>
      </c>
      <c r="F119" s="5" t="str">
        <f>IF($J119&lt;&gt;"",EOMONTH(DATE(YEAR($L$6),$F$11+J119+SUM($B$12:B119),1),0),"")</f>
        <v/>
      </c>
      <c r="G119" s="22" t="str">
        <f t="shared" si="52"/>
        <v/>
      </c>
      <c r="H119" s="22" t="str">
        <f t="shared" si="53"/>
        <v/>
      </c>
      <c r="I119" s="22" t="str">
        <f t="shared" si="54"/>
        <v/>
      </c>
      <c r="J119" t="str">
        <f t="shared" si="55"/>
        <v/>
      </c>
      <c r="K119" s="5" t="str">
        <f>IF($J119&lt;&gt;"",IF(ULTIMODIA=0,IF($D119="",DATE(YEAR($L$7),MONTH($L$7)+($A$1*($G119-1))+SUM($B$12:$B119),DAY($L$7)),$D119),F119),"")</f>
        <v/>
      </c>
      <c r="L119" s="9" t="str">
        <f t="shared" si="56"/>
        <v/>
      </c>
      <c r="M119" s="3" t="str">
        <f t="shared" si="57"/>
        <v/>
      </c>
      <c r="N119" s="3" t="str">
        <f t="shared" si="58"/>
        <v/>
      </c>
      <c r="O119" s="3" t="str">
        <f t="shared" si="59"/>
        <v/>
      </c>
      <c r="P119" s="3" t="str">
        <f t="shared" si="60"/>
        <v/>
      </c>
      <c r="Q119" s="8" t="str">
        <f t="shared" si="61"/>
        <v/>
      </c>
      <c r="R119" s="8" t="str">
        <f t="shared" si="62"/>
        <v/>
      </c>
      <c r="S119" s="3" t="str">
        <f t="shared" si="63"/>
        <v/>
      </c>
      <c r="T119" s="3" t="str">
        <f t="shared" si="64"/>
        <v/>
      </c>
      <c r="U119" s="3" t="str">
        <f t="shared" si="65"/>
        <v/>
      </c>
      <c r="V119" s="3" t="str">
        <f t="shared" si="66"/>
        <v/>
      </c>
      <c r="W119" s="3" t="str">
        <f t="shared" si="67"/>
        <v/>
      </c>
      <c r="X119" s="3" t="str">
        <f>IF($J119&lt;&gt;"",IF($L119&gt;W$11,IF($L119&lt;X$11,$L119-W$11,30),0)*ROUND(($M119+$U118+SUM($W119:W119))*$S$5/3000,2),"")</f>
        <v/>
      </c>
      <c r="Y119" s="3"/>
      <c r="Z119" s="3"/>
    </row>
    <row r="120" spans="4:26" x14ac:dyDescent="0.25">
      <c r="D120" s="5"/>
      <c r="E120" t="str">
        <f t="shared" si="51"/>
        <v/>
      </c>
      <c r="F120" s="5" t="str">
        <f>IF($J120&lt;&gt;"",EOMONTH(DATE(YEAR($L$6),$F$11+J120+SUM($B$12:B120),1),0),"")</f>
        <v/>
      </c>
      <c r="G120" s="22" t="str">
        <f t="shared" si="52"/>
        <v/>
      </c>
      <c r="H120" s="22" t="str">
        <f t="shared" si="53"/>
        <v/>
      </c>
      <c r="I120" s="22" t="str">
        <f t="shared" si="54"/>
        <v/>
      </c>
      <c r="J120" t="str">
        <f t="shared" si="55"/>
        <v/>
      </c>
      <c r="K120" s="5" t="str">
        <f>IF($J120&lt;&gt;"",IF(ULTIMODIA=0,IF($D120="",DATE(YEAR($L$7),MONTH($L$7)+($A$1*($G120-1))+SUM($B$12:$B120),DAY($L$7)),$D120),F120),"")</f>
        <v/>
      </c>
      <c r="L120" s="9" t="str">
        <f t="shared" si="56"/>
        <v/>
      </c>
      <c r="M120" s="3" t="str">
        <f t="shared" si="57"/>
        <v/>
      </c>
      <c r="N120" s="3" t="str">
        <f t="shared" si="58"/>
        <v/>
      </c>
      <c r="O120" s="3" t="str">
        <f t="shared" si="59"/>
        <v/>
      </c>
      <c r="P120" s="3" t="str">
        <f t="shared" si="60"/>
        <v/>
      </c>
      <c r="Q120" s="8" t="str">
        <f t="shared" si="61"/>
        <v/>
      </c>
      <c r="R120" s="8" t="str">
        <f t="shared" si="62"/>
        <v/>
      </c>
      <c r="S120" s="3" t="str">
        <f t="shared" si="63"/>
        <v/>
      </c>
      <c r="T120" s="3" t="str">
        <f t="shared" si="64"/>
        <v/>
      </c>
      <c r="U120" s="3" t="str">
        <f t="shared" si="65"/>
        <v/>
      </c>
      <c r="V120" s="3" t="str">
        <f t="shared" si="66"/>
        <v/>
      </c>
      <c r="W120" s="3" t="str">
        <f t="shared" si="67"/>
        <v/>
      </c>
      <c r="X120" s="3" t="str">
        <f>IF($J120&lt;&gt;"",IF($L120&gt;W$11,IF($L120&lt;X$11,$L120-W$11,30),0)*ROUND(($M120+$U119+SUM($W120:W120))*$S$5/3000,2),"")</f>
        <v/>
      </c>
      <c r="Y120" s="3"/>
      <c r="Z120" s="3"/>
    </row>
    <row r="121" spans="4:26" x14ac:dyDescent="0.25">
      <c r="D121" s="5"/>
      <c r="E121" t="str">
        <f t="shared" si="51"/>
        <v/>
      </c>
      <c r="F121" s="5" t="str">
        <f>IF($J121&lt;&gt;"",EOMONTH(DATE(YEAR($L$6),$F$11+J121+SUM($B$12:B121),1),0),"")</f>
        <v/>
      </c>
      <c r="G121" s="22" t="str">
        <f t="shared" si="52"/>
        <v/>
      </c>
      <c r="H121" s="22" t="str">
        <f t="shared" si="53"/>
        <v/>
      </c>
      <c r="I121" s="22" t="str">
        <f t="shared" si="54"/>
        <v/>
      </c>
      <c r="J121" t="str">
        <f t="shared" si="55"/>
        <v/>
      </c>
      <c r="K121" s="5" t="str">
        <f>IF($J121&lt;&gt;"",IF(ULTIMODIA=0,IF($D121="",DATE(YEAR($L$7),MONTH($L$7)+($A$1*($G121-1))+SUM($B$12:$B121),DAY($L$7)),$D121),F121),"")</f>
        <v/>
      </c>
      <c r="L121" s="9" t="str">
        <f t="shared" si="56"/>
        <v/>
      </c>
      <c r="M121" s="3" t="str">
        <f t="shared" si="57"/>
        <v/>
      </c>
      <c r="N121" s="3" t="str">
        <f t="shared" si="58"/>
        <v/>
      </c>
      <c r="O121" s="3" t="str">
        <f t="shared" si="59"/>
        <v/>
      </c>
      <c r="P121" s="3" t="str">
        <f t="shared" si="60"/>
        <v/>
      </c>
      <c r="Q121" s="8" t="str">
        <f t="shared" si="61"/>
        <v/>
      </c>
      <c r="R121" s="8" t="str">
        <f t="shared" si="62"/>
        <v/>
      </c>
      <c r="S121" s="3" t="str">
        <f t="shared" si="63"/>
        <v/>
      </c>
      <c r="T121" s="3" t="str">
        <f t="shared" si="64"/>
        <v/>
      </c>
      <c r="U121" s="3" t="str">
        <f t="shared" si="65"/>
        <v/>
      </c>
      <c r="V121" s="3" t="str">
        <f t="shared" si="66"/>
        <v/>
      </c>
      <c r="W121" s="3" t="str">
        <f t="shared" si="67"/>
        <v/>
      </c>
      <c r="X121" s="3" t="str">
        <f>IF($J121&lt;&gt;"",IF($L121&gt;W$11,IF($L121&lt;X$11,$L121-W$11,30),0)*ROUND(($M121+$U120+SUM($W121:W121))*$S$5/3000,2),"")</f>
        <v/>
      </c>
      <c r="Y121" s="3"/>
      <c r="Z121" s="3"/>
    </row>
    <row r="122" spans="4:26" x14ac:dyDescent="0.25">
      <c r="D122" s="5"/>
      <c r="E122" t="str">
        <f t="shared" si="51"/>
        <v/>
      </c>
      <c r="F122" s="5" t="str">
        <f>IF($J122&lt;&gt;"",EOMONTH(DATE(YEAR($L$6),$F$11+J122+SUM($B$12:B122),1),0),"")</f>
        <v/>
      </c>
      <c r="G122" s="22" t="str">
        <f t="shared" si="52"/>
        <v/>
      </c>
      <c r="H122" s="22" t="str">
        <f t="shared" si="53"/>
        <v/>
      </c>
      <c r="I122" s="22" t="str">
        <f t="shared" si="54"/>
        <v/>
      </c>
      <c r="J122" t="str">
        <f t="shared" si="55"/>
        <v/>
      </c>
      <c r="K122" s="5" t="str">
        <f>IF($J122&lt;&gt;"",IF(ULTIMODIA=0,IF($D122="",DATE(YEAR($L$7),MONTH($L$7)+($A$1*($G122-1))+SUM($B$12:$B122),DAY($L$7)),$D122),F122),"")</f>
        <v/>
      </c>
      <c r="L122" s="9" t="str">
        <f t="shared" si="56"/>
        <v/>
      </c>
      <c r="M122" s="3" t="str">
        <f t="shared" si="57"/>
        <v/>
      </c>
      <c r="N122" s="3" t="str">
        <f t="shared" si="58"/>
        <v/>
      </c>
      <c r="O122" s="3" t="str">
        <f t="shared" si="59"/>
        <v/>
      </c>
      <c r="P122" s="3" t="str">
        <f t="shared" si="60"/>
        <v/>
      </c>
      <c r="Q122" s="8" t="str">
        <f t="shared" si="61"/>
        <v/>
      </c>
      <c r="R122" s="8" t="str">
        <f t="shared" si="62"/>
        <v/>
      </c>
      <c r="S122" s="3" t="str">
        <f t="shared" si="63"/>
        <v/>
      </c>
      <c r="T122" s="3" t="str">
        <f t="shared" si="64"/>
        <v/>
      </c>
      <c r="U122" s="3" t="str">
        <f t="shared" si="65"/>
        <v/>
      </c>
      <c r="V122" s="3" t="str">
        <f t="shared" si="66"/>
        <v/>
      </c>
      <c r="W122" s="3" t="str">
        <f t="shared" si="67"/>
        <v/>
      </c>
      <c r="X122" s="3" t="str">
        <f>IF($J122&lt;&gt;"",IF($L122&gt;W$11,IF($L122&lt;X$11,$L122-W$11,30),0)*ROUND(($M122+$U121+SUM($W122:W122))*$S$5/3000,2),"")</f>
        <v/>
      </c>
      <c r="Y122" s="3"/>
      <c r="Z122" s="3"/>
    </row>
    <row r="123" spans="4:26" x14ac:dyDescent="0.25">
      <c r="D123" s="5"/>
      <c r="E123" t="str">
        <f t="shared" si="51"/>
        <v/>
      </c>
      <c r="F123" s="5" t="str">
        <f>IF($J123&lt;&gt;"",EOMONTH(DATE(YEAR($L$6),$F$11+J123+SUM($B$12:B123),1),0),"")</f>
        <v/>
      </c>
      <c r="G123" s="22" t="str">
        <f t="shared" si="52"/>
        <v/>
      </c>
      <c r="H123" s="22" t="str">
        <f t="shared" si="53"/>
        <v/>
      </c>
      <c r="I123" s="22" t="str">
        <f t="shared" si="54"/>
        <v/>
      </c>
      <c r="J123" t="str">
        <f t="shared" si="55"/>
        <v/>
      </c>
      <c r="K123" s="5" t="str">
        <f>IF($J123&lt;&gt;"",IF(ULTIMODIA=0,IF($D123="",DATE(YEAR($L$7),MONTH($L$7)+($A$1*($G123-1))+SUM($B$12:$B123),DAY($L$7)),$D123),F123),"")</f>
        <v/>
      </c>
      <c r="L123" s="9" t="str">
        <f t="shared" si="56"/>
        <v/>
      </c>
      <c r="M123" s="3" t="str">
        <f t="shared" si="57"/>
        <v/>
      </c>
      <c r="N123" s="3" t="str">
        <f t="shared" si="58"/>
        <v/>
      </c>
      <c r="O123" s="3" t="str">
        <f t="shared" si="59"/>
        <v/>
      </c>
      <c r="P123" s="3" t="str">
        <f t="shared" si="60"/>
        <v/>
      </c>
      <c r="Q123" s="8" t="str">
        <f t="shared" si="61"/>
        <v/>
      </c>
      <c r="R123" s="8" t="str">
        <f t="shared" si="62"/>
        <v/>
      </c>
      <c r="S123" s="3" t="str">
        <f t="shared" si="63"/>
        <v/>
      </c>
      <c r="T123" s="3" t="str">
        <f t="shared" si="64"/>
        <v/>
      </c>
      <c r="U123" s="3" t="str">
        <f t="shared" si="65"/>
        <v/>
      </c>
      <c r="V123" s="3" t="str">
        <f t="shared" si="66"/>
        <v/>
      </c>
      <c r="W123" s="3" t="str">
        <f t="shared" si="67"/>
        <v/>
      </c>
      <c r="X123" s="3" t="str">
        <f>IF($J123&lt;&gt;"",IF($L123&gt;W$11,IF($L123&lt;X$11,$L123-W$11,30),0)*ROUND(($M123+$U122+SUM($W123:W123))*$S$5/3000,2),"")</f>
        <v/>
      </c>
      <c r="Y123" s="3"/>
      <c r="Z123" s="3"/>
    </row>
    <row r="124" spans="4:26" x14ac:dyDescent="0.25">
      <c r="D124" s="5"/>
      <c r="E124" t="str">
        <f t="shared" si="51"/>
        <v/>
      </c>
      <c r="F124" s="5" t="str">
        <f>IF($J124&lt;&gt;"",EOMONTH(DATE(YEAR($L$6),$F$11+J124+SUM($B$12:B124),1),0),"")</f>
        <v/>
      </c>
      <c r="G124" s="22" t="str">
        <f t="shared" si="52"/>
        <v/>
      </c>
      <c r="H124" s="22" t="str">
        <f t="shared" si="53"/>
        <v/>
      </c>
      <c r="I124" s="22" t="str">
        <f t="shared" si="54"/>
        <v/>
      </c>
      <c r="J124" t="str">
        <f t="shared" si="55"/>
        <v/>
      </c>
      <c r="K124" s="5" t="str">
        <f>IF($J124&lt;&gt;"",IF(ULTIMODIA=0,IF($D124="",DATE(YEAR($L$7),MONTH($L$7)+($A$1*($G124-1))+SUM($B$12:$B124),DAY($L$7)),$D124),F124),"")</f>
        <v/>
      </c>
      <c r="L124" s="9" t="str">
        <f t="shared" si="56"/>
        <v/>
      </c>
      <c r="M124" s="3" t="str">
        <f t="shared" si="57"/>
        <v/>
      </c>
      <c r="N124" s="3" t="str">
        <f t="shared" si="58"/>
        <v/>
      </c>
      <c r="O124" s="3" t="str">
        <f t="shared" si="59"/>
        <v/>
      </c>
      <c r="P124" s="3" t="str">
        <f t="shared" si="60"/>
        <v/>
      </c>
      <c r="Q124" s="8" t="str">
        <f t="shared" si="61"/>
        <v/>
      </c>
      <c r="R124" s="8" t="str">
        <f t="shared" si="62"/>
        <v/>
      </c>
      <c r="S124" s="3" t="str">
        <f t="shared" si="63"/>
        <v/>
      </c>
      <c r="T124" s="3" t="str">
        <f t="shared" si="64"/>
        <v/>
      </c>
      <c r="U124" s="3" t="str">
        <f t="shared" si="65"/>
        <v/>
      </c>
      <c r="V124" s="3" t="str">
        <f t="shared" si="66"/>
        <v/>
      </c>
      <c r="W124" s="3" t="str">
        <f t="shared" si="67"/>
        <v/>
      </c>
      <c r="X124" s="3" t="str">
        <f>IF($J124&lt;&gt;"",IF($L124&gt;W$11,IF($L124&lt;X$11,$L124-W$11,30),0)*ROUND(($M124+$U123+SUM($W124:W124))*$S$5/3000,2),"")</f>
        <v/>
      </c>
      <c r="Y124" s="3"/>
      <c r="Z124" s="3"/>
    </row>
    <row r="125" spans="4:26" x14ac:dyDescent="0.25">
      <c r="D125" s="5"/>
      <c r="E125" t="str">
        <f t="shared" si="51"/>
        <v/>
      </c>
      <c r="F125" s="5" t="str">
        <f>IF($J125&lt;&gt;"",EOMONTH(DATE(YEAR($L$6),$F$11+J125+SUM($B$12:B125),1),0),"")</f>
        <v/>
      </c>
      <c r="G125" s="22" t="str">
        <f t="shared" si="52"/>
        <v/>
      </c>
      <c r="H125" s="22" t="str">
        <f t="shared" si="53"/>
        <v/>
      </c>
      <c r="I125" s="22" t="str">
        <f t="shared" si="54"/>
        <v/>
      </c>
      <c r="J125" t="str">
        <f t="shared" si="55"/>
        <v/>
      </c>
      <c r="K125" s="5" t="str">
        <f>IF($J125&lt;&gt;"",IF(ULTIMODIA=0,IF($D125="",DATE(YEAR($L$7),MONTH($L$7)+($A$1*($G125-1))+SUM($B$12:$B125),DAY($L$7)),$D125),F125),"")</f>
        <v/>
      </c>
      <c r="L125" s="9" t="str">
        <f t="shared" si="56"/>
        <v/>
      </c>
      <c r="M125" s="3" t="str">
        <f t="shared" si="57"/>
        <v/>
      </c>
      <c r="N125" s="3" t="str">
        <f t="shared" si="58"/>
        <v/>
      </c>
      <c r="O125" s="3" t="str">
        <f t="shared" si="59"/>
        <v/>
      </c>
      <c r="P125" s="3" t="str">
        <f t="shared" si="60"/>
        <v/>
      </c>
      <c r="Q125" s="8" t="str">
        <f t="shared" si="61"/>
        <v/>
      </c>
      <c r="R125" s="8" t="str">
        <f t="shared" si="62"/>
        <v/>
      </c>
      <c r="S125" s="3" t="str">
        <f t="shared" si="63"/>
        <v/>
      </c>
      <c r="T125" s="3" t="str">
        <f t="shared" si="64"/>
        <v/>
      </c>
      <c r="U125" s="3" t="str">
        <f t="shared" si="65"/>
        <v/>
      </c>
      <c r="V125" s="3" t="str">
        <f t="shared" si="66"/>
        <v/>
      </c>
      <c r="W125" s="3" t="str">
        <f t="shared" si="67"/>
        <v/>
      </c>
      <c r="X125" s="3" t="str">
        <f>IF($J125&lt;&gt;"",IF($L125&gt;W$11,IF($L125&lt;X$11,$L125-W$11,30),0)*ROUND(($M125+$U124+SUM($W125:W125))*$S$5/3000,2),"")</f>
        <v/>
      </c>
      <c r="Y125" s="3"/>
      <c r="Z125" s="3"/>
    </row>
    <row r="126" spans="4:26" x14ac:dyDescent="0.25">
      <c r="D126" s="5"/>
      <c r="E126" t="str">
        <f t="shared" si="51"/>
        <v/>
      </c>
      <c r="F126" s="5" t="str">
        <f>IF($J126&lt;&gt;"",EOMONTH(DATE(YEAR($L$6),$F$11+J126+SUM($B$12:B126),1),0),"")</f>
        <v/>
      </c>
      <c r="G126" s="22" t="str">
        <f t="shared" si="52"/>
        <v/>
      </c>
      <c r="H126" s="22" t="str">
        <f t="shared" si="53"/>
        <v/>
      </c>
      <c r="I126" s="22" t="str">
        <f t="shared" si="54"/>
        <v/>
      </c>
      <c r="J126" t="str">
        <f t="shared" si="55"/>
        <v/>
      </c>
      <c r="K126" s="5" t="str">
        <f>IF($J126&lt;&gt;"",IF(ULTIMODIA=0,IF($D126="",DATE(YEAR($L$7),MONTH($L$7)+($A$1*($G126-1))+SUM($B$12:$B126),DAY($L$7)),$D126),F126),"")</f>
        <v/>
      </c>
      <c r="L126" s="9" t="str">
        <f t="shared" si="56"/>
        <v/>
      </c>
      <c r="M126" s="3" t="str">
        <f t="shared" si="57"/>
        <v/>
      </c>
      <c r="N126" s="3" t="str">
        <f t="shared" si="58"/>
        <v/>
      </c>
      <c r="O126" s="3" t="str">
        <f t="shared" si="59"/>
        <v/>
      </c>
      <c r="P126" s="3" t="str">
        <f t="shared" si="60"/>
        <v/>
      </c>
      <c r="Q126" s="8" t="str">
        <f t="shared" si="61"/>
        <v/>
      </c>
      <c r="R126" s="8" t="str">
        <f t="shared" si="62"/>
        <v/>
      </c>
      <c r="S126" s="3" t="str">
        <f t="shared" si="63"/>
        <v/>
      </c>
      <c r="T126" s="3" t="str">
        <f t="shared" si="64"/>
        <v/>
      </c>
      <c r="U126" s="3" t="str">
        <f t="shared" si="65"/>
        <v/>
      </c>
      <c r="V126" s="3" t="str">
        <f t="shared" si="66"/>
        <v/>
      </c>
      <c r="W126" s="3" t="str">
        <f t="shared" si="67"/>
        <v/>
      </c>
      <c r="X126" s="3" t="str">
        <f>IF($J126&lt;&gt;"",IF($L126&gt;W$11,IF($L126&lt;X$11,$L126-W$11,30),0)*ROUND(($M126+$U125+SUM($W126:W126))*$S$5/3000,2),"")</f>
        <v/>
      </c>
      <c r="Y126" s="3"/>
      <c r="Z126" s="3"/>
    </row>
    <row r="127" spans="4:26" x14ac:dyDescent="0.25">
      <c r="D127" s="5"/>
      <c r="E127" t="str">
        <f t="shared" si="51"/>
        <v/>
      </c>
      <c r="F127" s="5" t="str">
        <f>IF($J127&lt;&gt;"",EOMONTH(DATE(YEAR($L$6),$F$11+J127+SUM($B$12:B127),1),0),"")</f>
        <v/>
      </c>
      <c r="G127" s="22" t="str">
        <f t="shared" si="52"/>
        <v/>
      </c>
      <c r="H127" s="22" t="str">
        <f t="shared" si="53"/>
        <v/>
      </c>
      <c r="I127" s="22" t="str">
        <f t="shared" si="54"/>
        <v/>
      </c>
      <c r="J127" t="str">
        <f t="shared" si="55"/>
        <v/>
      </c>
      <c r="K127" s="5" t="str">
        <f>IF($J127&lt;&gt;"",IF(ULTIMODIA=0,IF($D127="",DATE(YEAR($L$7),MONTH($L$7)+($A$1*($G127-1))+SUM($B$12:$B127),DAY($L$7)),$D127),F127),"")</f>
        <v/>
      </c>
      <c r="L127" s="9" t="str">
        <f t="shared" si="56"/>
        <v/>
      </c>
      <c r="M127" s="3" t="str">
        <f t="shared" si="57"/>
        <v/>
      </c>
      <c r="N127" s="3" t="str">
        <f t="shared" si="58"/>
        <v/>
      </c>
      <c r="O127" s="3" t="str">
        <f t="shared" si="59"/>
        <v/>
      </c>
      <c r="P127" s="3" t="str">
        <f t="shared" si="60"/>
        <v/>
      </c>
      <c r="Q127" s="8" t="str">
        <f t="shared" si="61"/>
        <v/>
      </c>
      <c r="R127" s="8" t="str">
        <f t="shared" si="62"/>
        <v/>
      </c>
      <c r="S127" s="3" t="str">
        <f t="shared" si="63"/>
        <v/>
      </c>
      <c r="T127" s="3" t="str">
        <f t="shared" si="64"/>
        <v/>
      </c>
      <c r="U127" s="3" t="str">
        <f t="shared" si="65"/>
        <v/>
      </c>
      <c r="V127" s="3" t="str">
        <f t="shared" si="66"/>
        <v/>
      </c>
      <c r="W127" s="3" t="str">
        <f t="shared" si="67"/>
        <v/>
      </c>
      <c r="X127" s="3" t="str">
        <f>IF($J127&lt;&gt;"",IF($L127&gt;W$11,IF($L127&lt;X$11,$L127-W$11,30),0)*ROUND(($M127+$U126+SUM($W127:W127))*$S$5/3000,2),"")</f>
        <v/>
      </c>
      <c r="Y127" s="3"/>
      <c r="Z127" s="3"/>
    </row>
    <row r="128" spans="4:26" x14ac:dyDescent="0.25">
      <c r="D128" s="5"/>
      <c r="E128" t="str">
        <f t="shared" si="51"/>
        <v/>
      </c>
      <c r="F128" s="5" t="str">
        <f>IF($J128&lt;&gt;"",EOMONTH(DATE(YEAR($L$6),$F$11+J128+SUM($B$12:B128),1),0),"")</f>
        <v/>
      </c>
      <c r="G128" s="22" t="str">
        <f t="shared" si="52"/>
        <v/>
      </c>
      <c r="H128" s="22" t="str">
        <f t="shared" si="53"/>
        <v/>
      </c>
      <c r="I128" s="22" t="str">
        <f t="shared" si="54"/>
        <v/>
      </c>
      <c r="J128" t="str">
        <f t="shared" si="55"/>
        <v/>
      </c>
      <c r="K128" s="5" t="str">
        <f>IF($J128&lt;&gt;"",IF(ULTIMODIA=0,IF($D128="",DATE(YEAR($L$7),MONTH($L$7)+($A$1*($G128-1))+SUM($B$12:$B128),DAY($L$7)),$D128),F128),"")</f>
        <v/>
      </c>
      <c r="L128" s="9" t="str">
        <f t="shared" si="56"/>
        <v/>
      </c>
      <c r="M128" s="3" t="str">
        <f t="shared" si="57"/>
        <v/>
      </c>
      <c r="N128" s="3" t="str">
        <f t="shared" si="58"/>
        <v/>
      </c>
      <c r="O128" s="3" t="str">
        <f t="shared" si="59"/>
        <v/>
      </c>
      <c r="P128" s="3" t="str">
        <f t="shared" si="60"/>
        <v/>
      </c>
      <c r="Q128" s="8" t="str">
        <f t="shared" si="61"/>
        <v/>
      </c>
      <c r="R128" s="8" t="str">
        <f t="shared" si="62"/>
        <v/>
      </c>
      <c r="S128" s="3" t="str">
        <f t="shared" si="63"/>
        <v/>
      </c>
      <c r="T128" s="3" t="str">
        <f t="shared" si="64"/>
        <v/>
      </c>
      <c r="U128" s="3" t="str">
        <f t="shared" si="65"/>
        <v/>
      </c>
      <c r="V128" s="3" t="str">
        <f t="shared" si="66"/>
        <v/>
      </c>
      <c r="W128" s="3" t="str">
        <f t="shared" si="67"/>
        <v/>
      </c>
      <c r="X128" s="3" t="str">
        <f>IF($J128&lt;&gt;"",IF($L128&gt;W$11,IF($L128&lt;X$11,$L128-W$11,30),0)*ROUND(($M128+$U127+SUM($W128:W128))*$S$5/3000,2),"")</f>
        <v/>
      </c>
      <c r="Y128" s="3"/>
      <c r="Z128" s="3"/>
    </row>
    <row r="129" spans="4:26" x14ac:dyDescent="0.25">
      <c r="D129" s="5"/>
      <c r="E129" t="str">
        <f t="shared" si="51"/>
        <v/>
      </c>
      <c r="F129" s="5" t="str">
        <f>IF($J129&lt;&gt;"",EOMONTH(DATE(YEAR($L$6),$F$11+J129+SUM($B$12:B129),1),0),"")</f>
        <v/>
      </c>
      <c r="G129" s="22" t="str">
        <f t="shared" si="52"/>
        <v/>
      </c>
      <c r="H129" s="22" t="str">
        <f t="shared" si="53"/>
        <v/>
      </c>
      <c r="I129" s="22" t="str">
        <f t="shared" si="54"/>
        <v/>
      </c>
      <c r="J129" t="str">
        <f t="shared" si="55"/>
        <v/>
      </c>
      <c r="K129" s="5" t="str">
        <f>IF($J129&lt;&gt;"",IF(ULTIMODIA=0,IF($D129="",DATE(YEAR($L$7),MONTH($L$7)+($A$1*($G129-1))+SUM($B$12:$B129),DAY($L$7)),$D129),F129),"")</f>
        <v/>
      </c>
      <c r="L129" s="9" t="str">
        <f t="shared" si="56"/>
        <v/>
      </c>
      <c r="M129" s="3" t="str">
        <f t="shared" si="57"/>
        <v/>
      </c>
      <c r="N129" s="3" t="str">
        <f t="shared" si="58"/>
        <v/>
      </c>
      <c r="O129" s="3" t="str">
        <f t="shared" si="59"/>
        <v/>
      </c>
      <c r="P129" s="3" t="str">
        <f t="shared" si="60"/>
        <v/>
      </c>
      <c r="Q129" s="8" t="str">
        <f t="shared" si="61"/>
        <v/>
      </c>
      <c r="R129" s="8" t="str">
        <f t="shared" si="62"/>
        <v/>
      </c>
      <c r="S129" s="3" t="str">
        <f t="shared" si="63"/>
        <v/>
      </c>
      <c r="T129" s="3" t="str">
        <f t="shared" si="64"/>
        <v/>
      </c>
      <c r="U129" s="3" t="str">
        <f t="shared" si="65"/>
        <v/>
      </c>
      <c r="V129" s="3" t="str">
        <f t="shared" si="66"/>
        <v/>
      </c>
      <c r="W129" s="3" t="str">
        <f t="shared" si="67"/>
        <v/>
      </c>
      <c r="X129" s="3" t="str">
        <f>IF($J129&lt;&gt;"",IF($L129&gt;W$11,IF($L129&lt;X$11,$L129-W$11,30),0)*ROUND(($M129+$U128+SUM($W129:W129))*$S$5/3000,2),"")</f>
        <v/>
      </c>
      <c r="Y129" s="3"/>
      <c r="Z129" s="3"/>
    </row>
    <row r="130" spans="4:26" x14ac:dyDescent="0.25">
      <c r="D130" s="5"/>
      <c r="E130" t="str">
        <f t="shared" si="51"/>
        <v/>
      </c>
      <c r="F130" s="5" t="str">
        <f>IF($J130&lt;&gt;"",EOMONTH(DATE(YEAR($L$6),$F$11+J130+SUM($B$12:B130),1),0),"")</f>
        <v/>
      </c>
      <c r="G130" s="22" t="str">
        <f t="shared" si="52"/>
        <v/>
      </c>
      <c r="H130" s="22" t="str">
        <f t="shared" si="53"/>
        <v/>
      </c>
      <c r="I130" s="22" t="str">
        <f t="shared" si="54"/>
        <v/>
      </c>
      <c r="J130" t="str">
        <f t="shared" si="55"/>
        <v/>
      </c>
      <c r="K130" s="5" t="str">
        <f>IF($J130&lt;&gt;"",IF(ULTIMODIA=0,IF($D130="",DATE(YEAR($L$7),MONTH($L$7)+($A$1*($G130-1))+SUM($B$12:$B130),DAY($L$7)),$D130),F130),"")</f>
        <v/>
      </c>
      <c r="L130" s="9" t="str">
        <f t="shared" si="56"/>
        <v/>
      </c>
      <c r="M130" s="3" t="str">
        <f t="shared" si="57"/>
        <v/>
      </c>
      <c r="N130" s="3" t="str">
        <f t="shared" si="58"/>
        <v/>
      </c>
      <c r="O130" s="3" t="str">
        <f t="shared" si="59"/>
        <v/>
      </c>
      <c r="P130" s="3" t="str">
        <f t="shared" si="60"/>
        <v/>
      </c>
      <c r="Q130" s="8" t="str">
        <f t="shared" si="61"/>
        <v/>
      </c>
      <c r="R130" s="8" t="str">
        <f t="shared" si="62"/>
        <v/>
      </c>
      <c r="S130" s="3" t="str">
        <f t="shared" si="63"/>
        <v/>
      </c>
      <c r="T130" s="3" t="str">
        <f t="shared" si="64"/>
        <v/>
      </c>
      <c r="U130" s="3" t="str">
        <f t="shared" si="65"/>
        <v/>
      </c>
      <c r="V130" s="3" t="str">
        <f t="shared" si="66"/>
        <v/>
      </c>
      <c r="W130" s="3" t="str">
        <f t="shared" si="67"/>
        <v/>
      </c>
      <c r="X130" s="3" t="str">
        <f>IF($J130&lt;&gt;"",IF($L130&gt;W$11,IF($L130&lt;X$11,$L130-W$11,30),0)*ROUND(($M130+$U129+SUM($W130:W130))*$S$5/3000,2),"")</f>
        <v/>
      </c>
      <c r="Y130" s="3"/>
      <c r="Z130" s="3"/>
    </row>
    <row r="131" spans="4:26" x14ac:dyDescent="0.25">
      <c r="D131" s="5"/>
      <c r="E131" t="str">
        <f t="shared" si="51"/>
        <v/>
      </c>
      <c r="F131" s="5" t="str">
        <f>IF($J131&lt;&gt;"",EOMONTH(DATE(YEAR($L$6),$F$11+J131+SUM($B$12:B131),1),0),"")</f>
        <v/>
      </c>
      <c r="G131" s="22" t="str">
        <f t="shared" si="52"/>
        <v/>
      </c>
      <c r="H131" s="22" t="str">
        <f t="shared" si="53"/>
        <v/>
      </c>
      <c r="I131" s="22" t="str">
        <f t="shared" si="54"/>
        <v/>
      </c>
      <c r="J131" t="str">
        <f t="shared" si="55"/>
        <v/>
      </c>
      <c r="K131" s="5" t="str">
        <f>IF($J131&lt;&gt;"",IF(ULTIMODIA=0,IF($D131="",DATE(YEAR($L$7),MONTH($L$7)+($A$1*($G131-1))+SUM($B$12:$B131),DAY($L$7)),$D131),F131),"")</f>
        <v/>
      </c>
      <c r="L131" s="9" t="str">
        <f t="shared" si="56"/>
        <v/>
      </c>
      <c r="M131" s="3" t="str">
        <f t="shared" si="57"/>
        <v/>
      </c>
      <c r="N131" s="3" t="str">
        <f t="shared" si="58"/>
        <v/>
      </c>
      <c r="O131" s="3" t="str">
        <f t="shared" si="59"/>
        <v/>
      </c>
      <c r="P131" s="3" t="str">
        <f t="shared" si="60"/>
        <v/>
      </c>
      <c r="Q131" s="8" t="str">
        <f t="shared" si="61"/>
        <v/>
      </c>
      <c r="R131" s="8" t="str">
        <f t="shared" si="62"/>
        <v/>
      </c>
      <c r="S131" s="3" t="str">
        <f t="shared" si="63"/>
        <v/>
      </c>
      <c r="T131" s="3" t="str">
        <f t="shared" si="64"/>
        <v/>
      </c>
      <c r="U131" s="3" t="str">
        <f t="shared" si="65"/>
        <v/>
      </c>
      <c r="V131" s="3" t="str">
        <f t="shared" si="66"/>
        <v/>
      </c>
      <c r="W131" s="3" t="str">
        <f t="shared" si="67"/>
        <v/>
      </c>
      <c r="X131" s="3" t="str">
        <f>IF($J131&lt;&gt;"",IF($L131&gt;W$11,IF($L131&lt;X$11,$L131-W$11,30),0)*ROUND(($M131+$U130+SUM($W131:W131))*$S$5/3000,2),"")</f>
        <v/>
      </c>
      <c r="Y131" s="3"/>
      <c r="Z131" s="3"/>
    </row>
    <row r="132" spans="4:26" x14ac:dyDescent="0.25">
      <c r="D132" s="5"/>
      <c r="E132" t="str">
        <f t="shared" si="51"/>
        <v/>
      </c>
      <c r="F132" s="5" t="str">
        <f>IF($J132&lt;&gt;"",EOMONTH(DATE(YEAR($L$6),$F$11+J132+SUM($B$12:B132),1),0),"")</f>
        <v/>
      </c>
      <c r="G132" s="22" t="str">
        <f t="shared" si="52"/>
        <v/>
      </c>
      <c r="H132" s="22" t="str">
        <f t="shared" si="53"/>
        <v/>
      </c>
      <c r="I132" s="22" t="str">
        <f t="shared" si="54"/>
        <v/>
      </c>
      <c r="J132" t="str">
        <f t="shared" si="55"/>
        <v/>
      </c>
      <c r="K132" s="5" t="str">
        <f>IF($J132&lt;&gt;"",IF(ULTIMODIA=0,IF($D132="",DATE(YEAR($L$7),MONTH($L$7)+($A$1*($G132-1))+SUM($B$12:$B132),DAY($L$7)),$D132),F132),"")</f>
        <v/>
      </c>
      <c r="L132" s="9" t="str">
        <f t="shared" si="56"/>
        <v/>
      </c>
      <c r="M132" s="3" t="str">
        <f t="shared" si="57"/>
        <v/>
      </c>
      <c r="N132" s="3" t="str">
        <f t="shared" si="58"/>
        <v/>
      </c>
      <c r="O132" s="3" t="str">
        <f t="shared" si="59"/>
        <v/>
      </c>
      <c r="P132" s="3" t="str">
        <f t="shared" si="60"/>
        <v/>
      </c>
      <c r="Q132" s="8" t="str">
        <f t="shared" si="61"/>
        <v/>
      </c>
      <c r="R132" s="8" t="str">
        <f t="shared" si="62"/>
        <v/>
      </c>
      <c r="S132" s="3" t="str">
        <f t="shared" si="63"/>
        <v/>
      </c>
      <c r="T132" s="3" t="str">
        <f t="shared" si="64"/>
        <v/>
      </c>
      <c r="U132" s="3" t="str">
        <f t="shared" si="65"/>
        <v/>
      </c>
      <c r="V132" s="3" t="str">
        <f t="shared" si="66"/>
        <v/>
      </c>
      <c r="W132" s="3" t="str">
        <f t="shared" si="67"/>
        <v/>
      </c>
      <c r="X132" s="3" t="str">
        <f>IF($J132&lt;&gt;"",IF($L132&gt;W$11,IF($L132&lt;X$11,$L132-W$11,30),0)*ROUND(($M132+$U131+SUM($W132:W132))*$S$5/3000,2),"")</f>
        <v/>
      </c>
      <c r="Y132" s="3"/>
      <c r="Z132" s="3"/>
    </row>
    <row r="133" spans="4:26" x14ac:dyDescent="0.25">
      <c r="D133" s="5"/>
      <c r="E133" t="str">
        <f t="shared" si="51"/>
        <v/>
      </c>
      <c r="F133" s="5" t="str">
        <f>IF($J133&lt;&gt;"",EOMONTH(DATE(YEAR($L$6),$F$11+J133+SUM($B$12:B133),1),0),"")</f>
        <v/>
      </c>
      <c r="G133" s="22" t="str">
        <f t="shared" si="52"/>
        <v/>
      </c>
      <c r="H133" s="22" t="str">
        <f t="shared" si="53"/>
        <v/>
      </c>
      <c r="I133" s="22" t="str">
        <f t="shared" si="54"/>
        <v/>
      </c>
      <c r="J133" t="str">
        <f t="shared" si="55"/>
        <v/>
      </c>
      <c r="K133" s="5" t="str">
        <f>IF($J133&lt;&gt;"",IF(ULTIMODIA=0,IF($D133="",DATE(YEAR($L$7),MONTH($L$7)+($A$1*($G133-1))+SUM($B$12:$B133),DAY($L$7)),$D133),F133),"")</f>
        <v/>
      </c>
      <c r="L133" s="9" t="str">
        <f t="shared" si="56"/>
        <v/>
      </c>
      <c r="M133" s="3" t="str">
        <f t="shared" si="57"/>
        <v/>
      </c>
      <c r="N133" s="3" t="str">
        <f t="shared" si="58"/>
        <v/>
      </c>
      <c r="O133" s="3" t="str">
        <f t="shared" si="59"/>
        <v/>
      </c>
      <c r="P133" s="3" t="str">
        <f t="shared" si="60"/>
        <v/>
      </c>
      <c r="Q133" s="8" t="str">
        <f t="shared" si="61"/>
        <v/>
      </c>
      <c r="R133" s="8" t="str">
        <f t="shared" si="62"/>
        <v/>
      </c>
      <c r="S133" s="3" t="str">
        <f t="shared" si="63"/>
        <v/>
      </c>
      <c r="T133" s="3" t="str">
        <f t="shared" si="64"/>
        <v/>
      </c>
      <c r="U133" s="3" t="str">
        <f t="shared" si="65"/>
        <v/>
      </c>
      <c r="V133" s="3" t="str">
        <f t="shared" si="66"/>
        <v/>
      </c>
      <c r="W133" s="3" t="str">
        <f t="shared" si="67"/>
        <v/>
      </c>
      <c r="X133" s="3" t="str">
        <f>IF($J133&lt;&gt;"",IF($L133&gt;W$11,IF($L133&lt;X$11,$L133-W$11,30),0)*ROUND(($M133+$U132+SUM($W133:W133))*$S$5/3000,2),"")</f>
        <v/>
      </c>
      <c r="Y133" s="3"/>
      <c r="Z133" s="3"/>
    </row>
    <row r="134" spans="4:26" x14ac:dyDescent="0.25">
      <c r="D134" s="5"/>
      <c r="E134" t="str">
        <f t="shared" si="51"/>
        <v/>
      </c>
      <c r="F134" s="5" t="str">
        <f>IF($J134&lt;&gt;"",EOMONTH(DATE(YEAR($L$6),$F$11+J134+SUM($B$12:B134),1),0),"")</f>
        <v/>
      </c>
      <c r="G134" s="22" t="str">
        <f t="shared" si="52"/>
        <v/>
      </c>
      <c r="H134" s="22" t="str">
        <f t="shared" si="53"/>
        <v/>
      </c>
      <c r="I134" s="22" t="str">
        <f t="shared" si="54"/>
        <v/>
      </c>
      <c r="J134" t="str">
        <f t="shared" si="55"/>
        <v/>
      </c>
      <c r="K134" s="5" t="str">
        <f>IF($J134&lt;&gt;"",IF(ULTIMODIA=0,IF($D134="",DATE(YEAR($L$7),MONTH($L$7)+($A$1*($G134-1))+SUM($B$12:$B134),DAY($L$7)),$D134),F134),"")</f>
        <v/>
      </c>
      <c r="L134" s="9" t="str">
        <f t="shared" si="56"/>
        <v/>
      </c>
      <c r="M134" s="3" t="str">
        <f t="shared" si="57"/>
        <v/>
      </c>
      <c r="N134" s="3" t="str">
        <f t="shared" si="58"/>
        <v/>
      </c>
      <c r="O134" s="3" t="str">
        <f t="shared" si="59"/>
        <v/>
      </c>
      <c r="P134" s="3" t="str">
        <f t="shared" si="60"/>
        <v/>
      </c>
      <c r="Q134" s="8" t="str">
        <f t="shared" si="61"/>
        <v/>
      </c>
      <c r="R134" s="8" t="str">
        <f t="shared" si="62"/>
        <v/>
      </c>
      <c r="S134" s="3" t="str">
        <f t="shared" si="63"/>
        <v/>
      </c>
      <c r="T134" s="3" t="str">
        <f t="shared" si="64"/>
        <v/>
      </c>
      <c r="U134" s="3" t="str">
        <f t="shared" si="65"/>
        <v/>
      </c>
      <c r="V134" s="3" t="str">
        <f t="shared" si="66"/>
        <v/>
      </c>
      <c r="W134" s="3" t="str">
        <f t="shared" si="67"/>
        <v/>
      </c>
      <c r="X134" s="3" t="str">
        <f>IF($J134&lt;&gt;"",IF($L134&gt;W$11,IF($L134&lt;X$11,$L134-W$11,30),0)*ROUND(($M134+$U133+SUM($W134:W134))*$S$5/3000,2),"")</f>
        <v/>
      </c>
      <c r="Y134" s="3"/>
      <c r="Z134" s="3"/>
    </row>
    <row r="135" spans="4:26" x14ac:dyDescent="0.25">
      <c r="D135" s="5"/>
      <c r="E135" t="str">
        <f t="shared" si="51"/>
        <v/>
      </c>
      <c r="F135" s="5" t="str">
        <f>IF($J135&lt;&gt;"",EOMONTH(DATE(YEAR($L$6),$F$11+J135+SUM($B$12:B135),1),0),"")</f>
        <v/>
      </c>
      <c r="G135" s="22" t="str">
        <f t="shared" si="52"/>
        <v/>
      </c>
      <c r="H135" s="22" t="str">
        <f t="shared" si="53"/>
        <v/>
      </c>
      <c r="I135" s="22" t="str">
        <f t="shared" si="54"/>
        <v/>
      </c>
      <c r="J135" t="str">
        <f t="shared" si="55"/>
        <v/>
      </c>
      <c r="K135" s="5" t="str">
        <f>IF($J135&lt;&gt;"",IF(ULTIMODIA=0,IF($D135="",DATE(YEAR($L$7),MONTH($L$7)+($A$1*($G135-1))+SUM($B$12:$B135),DAY($L$7)),$D135),F135),"")</f>
        <v/>
      </c>
      <c r="L135" s="9" t="str">
        <f t="shared" si="56"/>
        <v/>
      </c>
      <c r="M135" s="3" t="str">
        <f t="shared" si="57"/>
        <v/>
      </c>
      <c r="N135" s="3" t="str">
        <f t="shared" si="58"/>
        <v/>
      </c>
      <c r="O135" s="3" t="str">
        <f t="shared" si="59"/>
        <v/>
      </c>
      <c r="P135" s="3" t="str">
        <f t="shared" si="60"/>
        <v/>
      </c>
      <c r="Q135" s="8" t="str">
        <f t="shared" si="61"/>
        <v/>
      </c>
      <c r="R135" s="8" t="str">
        <f t="shared" si="62"/>
        <v/>
      </c>
      <c r="S135" s="3" t="str">
        <f t="shared" si="63"/>
        <v/>
      </c>
      <c r="T135" s="3" t="str">
        <f t="shared" si="64"/>
        <v/>
      </c>
      <c r="U135" s="3" t="str">
        <f t="shared" si="65"/>
        <v/>
      </c>
      <c r="V135" s="3" t="str">
        <f t="shared" si="66"/>
        <v/>
      </c>
      <c r="W135" s="3" t="str">
        <f t="shared" si="67"/>
        <v/>
      </c>
      <c r="X135" s="3" t="str">
        <f>IF($J135&lt;&gt;"",IF($L135&gt;W$11,IF($L135&lt;X$11,$L135-W$11,30),0)*ROUND(($M135+$U134+SUM($W135:W135))*$S$5/3000,2),"")</f>
        <v/>
      </c>
      <c r="Y135" s="3"/>
      <c r="Z135" s="3"/>
    </row>
    <row r="136" spans="4:26" x14ac:dyDescent="0.25">
      <c r="D136" s="5"/>
      <c r="E136" t="str">
        <f t="shared" si="51"/>
        <v/>
      </c>
      <c r="F136" s="5" t="str">
        <f>IF($J136&lt;&gt;"",EOMONTH(DATE(YEAR($L$6),$F$11+J136+SUM($B$12:B136),1),0),"")</f>
        <v/>
      </c>
      <c r="G136" s="22" t="str">
        <f t="shared" si="52"/>
        <v/>
      </c>
      <c r="H136" s="22" t="str">
        <f t="shared" si="53"/>
        <v/>
      </c>
      <c r="I136" s="22" t="str">
        <f t="shared" si="54"/>
        <v/>
      </c>
      <c r="J136" t="str">
        <f t="shared" si="55"/>
        <v/>
      </c>
      <c r="K136" s="5" t="str">
        <f>IF($J136&lt;&gt;"",IF(ULTIMODIA=0,IF($D136="",DATE(YEAR($L$7),MONTH($L$7)+($A$1*($G136-1))+SUM($B$12:$B136),DAY($L$7)),$D136),F136),"")</f>
        <v/>
      </c>
      <c r="L136" s="9" t="str">
        <f t="shared" si="56"/>
        <v/>
      </c>
      <c r="M136" s="3" t="str">
        <f t="shared" si="57"/>
        <v/>
      </c>
      <c r="N136" s="3" t="str">
        <f t="shared" si="58"/>
        <v/>
      </c>
      <c r="O136" s="3" t="str">
        <f t="shared" si="59"/>
        <v/>
      </c>
      <c r="P136" s="3" t="str">
        <f t="shared" si="60"/>
        <v/>
      </c>
      <c r="Q136" s="8" t="str">
        <f t="shared" si="61"/>
        <v/>
      </c>
      <c r="R136" s="8" t="str">
        <f t="shared" si="62"/>
        <v/>
      </c>
      <c r="S136" s="3" t="str">
        <f t="shared" si="63"/>
        <v/>
      </c>
      <c r="T136" s="3" t="str">
        <f t="shared" si="64"/>
        <v/>
      </c>
      <c r="U136" s="3" t="str">
        <f t="shared" si="65"/>
        <v/>
      </c>
      <c r="V136" s="3" t="str">
        <f t="shared" si="66"/>
        <v/>
      </c>
      <c r="W136" s="3" t="str">
        <f t="shared" si="67"/>
        <v/>
      </c>
      <c r="X136" s="3" t="str">
        <f>IF($J136&lt;&gt;"",IF($L136&gt;W$11,IF($L136&lt;X$11,$L136-W$11,30),0)*ROUND(($M136+$U135+SUM($W136:W136))*$S$5/3000,2),"")</f>
        <v/>
      </c>
      <c r="Y136" s="3"/>
      <c r="Z136" s="3"/>
    </row>
    <row r="137" spans="4:26" x14ac:dyDescent="0.25">
      <c r="D137" s="5"/>
      <c r="E137" t="str">
        <f t="shared" si="51"/>
        <v/>
      </c>
      <c r="F137" s="5" t="str">
        <f>IF($J137&lt;&gt;"",EOMONTH(DATE(YEAR($L$6),$F$11+J137+SUM($B$12:B137),1),0),"")</f>
        <v/>
      </c>
      <c r="G137" s="22" t="str">
        <f t="shared" si="52"/>
        <v/>
      </c>
      <c r="H137" s="22" t="str">
        <f t="shared" si="53"/>
        <v/>
      </c>
      <c r="I137" s="22" t="str">
        <f t="shared" si="54"/>
        <v/>
      </c>
      <c r="J137" t="str">
        <f t="shared" si="55"/>
        <v/>
      </c>
      <c r="K137" s="5" t="str">
        <f>IF($J137&lt;&gt;"",IF(ULTIMODIA=0,IF($D137="",DATE(YEAR($L$7),MONTH($L$7)+($A$1*($G137-1))+SUM($B$12:$B137),DAY($L$7)),$D137),F137),"")</f>
        <v/>
      </c>
      <c r="L137" s="9" t="str">
        <f t="shared" si="56"/>
        <v/>
      </c>
      <c r="M137" s="3" t="str">
        <f t="shared" si="57"/>
        <v/>
      </c>
      <c r="N137" s="3" t="str">
        <f t="shared" si="58"/>
        <v/>
      </c>
      <c r="O137" s="3" t="str">
        <f t="shared" si="59"/>
        <v/>
      </c>
      <c r="P137" s="3" t="str">
        <f t="shared" si="60"/>
        <v/>
      </c>
      <c r="Q137" s="8" t="str">
        <f t="shared" si="61"/>
        <v/>
      </c>
      <c r="R137" s="8" t="str">
        <f t="shared" si="62"/>
        <v/>
      </c>
      <c r="S137" s="3" t="str">
        <f t="shared" si="63"/>
        <v/>
      </c>
      <c r="T137" s="3" t="str">
        <f t="shared" si="64"/>
        <v/>
      </c>
      <c r="U137" s="3" t="str">
        <f t="shared" si="65"/>
        <v/>
      </c>
      <c r="V137" s="3" t="str">
        <f t="shared" si="66"/>
        <v/>
      </c>
      <c r="W137" s="3" t="str">
        <f t="shared" si="67"/>
        <v/>
      </c>
      <c r="X137" s="3" t="str">
        <f>IF($J137&lt;&gt;"",IF($L137&gt;W$11,IF($L137&lt;X$11,$L137-W$11,30),0)*ROUND(($M137+$U136+SUM($W137:W137))*$S$5/3000,2),"")</f>
        <v/>
      </c>
      <c r="Y137" s="3"/>
      <c r="Z137" s="3"/>
    </row>
    <row r="138" spans="4:26" x14ac:dyDescent="0.25">
      <c r="D138" s="5"/>
      <c r="E138" t="str">
        <f t="shared" si="51"/>
        <v/>
      </c>
      <c r="F138" s="5" t="str">
        <f>IF($J138&lt;&gt;"",EOMONTH(DATE(YEAR($L$6),$F$11+J138+SUM($B$12:B138),1),0),"")</f>
        <v/>
      </c>
      <c r="G138" s="22" t="str">
        <f t="shared" si="52"/>
        <v/>
      </c>
      <c r="H138" s="22" t="str">
        <f t="shared" si="53"/>
        <v/>
      </c>
      <c r="I138" s="22" t="str">
        <f t="shared" si="54"/>
        <v/>
      </c>
      <c r="J138" t="str">
        <f t="shared" si="55"/>
        <v/>
      </c>
      <c r="K138" s="5" t="str">
        <f>IF($J138&lt;&gt;"",IF(ULTIMODIA=0,IF($D138="",DATE(YEAR($L$7),MONTH($L$7)+($A$1*($G138-1))+SUM($B$12:$B138),DAY($L$7)),$D138),F138),"")</f>
        <v/>
      </c>
      <c r="L138" s="9" t="str">
        <f t="shared" si="56"/>
        <v/>
      </c>
      <c r="M138" s="3" t="str">
        <f t="shared" si="57"/>
        <v/>
      </c>
      <c r="N138" s="3" t="str">
        <f t="shared" si="58"/>
        <v/>
      </c>
      <c r="O138" s="3" t="str">
        <f t="shared" si="59"/>
        <v/>
      </c>
      <c r="P138" s="3" t="str">
        <f t="shared" si="60"/>
        <v/>
      </c>
      <c r="Q138" s="8" t="str">
        <f t="shared" si="61"/>
        <v/>
      </c>
      <c r="R138" s="8" t="str">
        <f t="shared" si="62"/>
        <v/>
      </c>
      <c r="S138" s="3" t="str">
        <f t="shared" si="63"/>
        <v/>
      </c>
      <c r="T138" s="3" t="str">
        <f t="shared" si="64"/>
        <v/>
      </c>
      <c r="U138" s="3" t="str">
        <f t="shared" si="65"/>
        <v/>
      </c>
      <c r="V138" s="3" t="str">
        <f t="shared" si="66"/>
        <v/>
      </c>
      <c r="W138" s="3" t="str">
        <f t="shared" si="67"/>
        <v/>
      </c>
      <c r="X138" s="3" t="str">
        <f>IF($J138&lt;&gt;"",IF($L138&gt;W$11,IF($L138&lt;X$11,$L138-W$11,30),0)*ROUND(($M138+$U137+SUM($W138:W138))*$S$5/3000,2),"")</f>
        <v/>
      </c>
      <c r="Y138" s="3"/>
      <c r="Z138" s="3"/>
    </row>
    <row r="139" spans="4:26" x14ac:dyDescent="0.25">
      <c r="D139" s="5"/>
      <c r="E139" t="str">
        <f t="shared" si="51"/>
        <v/>
      </c>
      <c r="F139" s="5" t="str">
        <f>IF($J139&lt;&gt;"",EOMONTH(DATE(YEAR($L$6),$F$11+J139+SUM($B$12:B139),1),0),"")</f>
        <v/>
      </c>
      <c r="G139" s="22" t="str">
        <f t="shared" si="52"/>
        <v/>
      </c>
      <c r="H139" s="22" t="str">
        <f t="shared" si="53"/>
        <v/>
      </c>
      <c r="I139" s="22" t="str">
        <f t="shared" si="54"/>
        <v/>
      </c>
      <c r="J139" t="str">
        <f t="shared" si="55"/>
        <v/>
      </c>
      <c r="K139" s="5" t="str">
        <f>IF($J139&lt;&gt;"",IF(ULTIMODIA=0,IF($D139="",DATE(YEAR($L$7),MONTH($L$7)+($A$1*($G139-1))+SUM($B$12:$B139),DAY($L$7)),$D139),F139),"")</f>
        <v/>
      </c>
      <c r="L139" s="9" t="str">
        <f t="shared" si="56"/>
        <v/>
      </c>
      <c r="M139" s="3" t="str">
        <f t="shared" si="57"/>
        <v/>
      </c>
      <c r="N139" s="3" t="str">
        <f t="shared" si="58"/>
        <v/>
      </c>
      <c r="O139" s="3" t="str">
        <f t="shared" si="59"/>
        <v/>
      </c>
      <c r="P139" s="3" t="str">
        <f t="shared" si="60"/>
        <v/>
      </c>
      <c r="Q139" s="8" t="str">
        <f t="shared" si="61"/>
        <v/>
      </c>
      <c r="R139" s="8" t="str">
        <f t="shared" si="62"/>
        <v/>
      </c>
      <c r="S139" s="3" t="str">
        <f t="shared" si="63"/>
        <v/>
      </c>
      <c r="T139" s="3" t="str">
        <f t="shared" si="64"/>
        <v/>
      </c>
      <c r="U139" s="3" t="str">
        <f t="shared" si="65"/>
        <v/>
      </c>
      <c r="V139" s="3" t="str">
        <f t="shared" si="66"/>
        <v/>
      </c>
      <c r="W139" s="3" t="str">
        <f t="shared" si="67"/>
        <v/>
      </c>
      <c r="X139" s="3" t="str">
        <f>IF($J139&lt;&gt;"",IF($L139&gt;W$11,IF($L139&lt;X$11,$L139-W$11,30),0)*ROUND(($M139+$U138+SUM($W139:W139))*$S$5/3000,2),"")</f>
        <v/>
      </c>
      <c r="Y139" s="3"/>
      <c r="Z139" s="3"/>
    </row>
    <row r="140" spans="4:26" x14ac:dyDescent="0.25">
      <c r="D140" s="5"/>
      <c r="E140" t="str">
        <f t="shared" ref="E140:E171" si="68">IF($J140&lt;&gt;"",TEXT(K140,"DDD"),"")</f>
        <v/>
      </c>
      <c r="F140" s="5" t="str">
        <f>IF($J140&lt;&gt;"",EOMONTH(DATE(YEAR($L$6),$F$11+J140+SUM($B$12:B140),1),0),"")</f>
        <v/>
      </c>
      <c r="G140" s="22" t="str">
        <f t="shared" ref="G140:G171" si="69">IF($J140&lt;&gt;"",IF($A140="Prepago",$G139,$G139+1),"")</f>
        <v/>
      </c>
      <c r="H140" s="22" t="str">
        <f t="shared" ref="H140:H171" si="70">IF($J140&lt;&gt;"",IF(ISNUMBER($C140),-$O140+$V140-$P140,ABS($V140)+$Q140+$R140+$S140),"")</f>
        <v/>
      </c>
      <c r="I140" s="22" t="str">
        <f t="shared" ref="I140:I171" si="71">IF(J140&lt;&gt;"",IF(COUNTA($W140:$XFD140)*30&lt;$L140,1,0),"")</f>
        <v/>
      </c>
      <c r="J140" t="str">
        <f t="shared" ref="J140:J171" si="72">IF($J139&lt;NCUOTAS+CUOTAADICIONAL+PGRACIA,$J139+1,"")</f>
        <v/>
      </c>
      <c r="K140" s="5" t="str">
        <f>IF($J140&lt;&gt;"",IF(ULTIMODIA=0,IF($D140="",DATE(YEAR($L$7),MONTH($L$7)+($A$1*($G140-1))+SUM($B$12:$B140),DAY($L$7)),$D140),F140),"")</f>
        <v/>
      </c>
      <c r="L140" s="9" t="str">
        <f t="shared" ref="L140:L171" si="73">IF($J140&lt;&gt;"",$K140-$K139,"")</f>
        <v/>
      </c>
      <c r="M140" s="3" t="str">
        <f t="shared" ref="M140:M171" si="74">IF($J140&lt;&gt;"",$T139,"")</f>
        <v/>
      </c>
      <c r="N140" s="3" t="str">
        <f t="shared" ref="N140:N171" si="75">IF($J140&lt;&gt;"",IF($A140="Gracia Parcial",IF(AND($C140&lt;$V140+$Q140+$R140+$S140+$U139,$C140&gt;0),$C140,$V140+$Q140+$R140+$S140+$U139),IF($A140="Gracia Total",0,IF($A140="Prepago",$C140,IF(ISNUMBER($C140),$C140*VALUE(MID($C$1,MONTH($K140),1)),$O$5*VALUE(MID($C$1,MONTH($K140),1))))))-IF($J141="",ARREGLO,0),"")</f>
        <v/>
      </c>
      <c r="O140" s="3" t="str">
        <f t="shared" ref="O140:O171" si="76">IF($J140&lt;&gt;"",IF($N140-$P140&gt;0,$N140-$P140-$Q140-$R140-$S140,0),"")</f>
        <v/>
      </c>
      <c r="P140" s="3" t="str">
        <f t="shared" ref="P140:P171" si="77">IF($J140&lt;&gt;"",IF($N140&gt;=$V140+$U139+$Q140+$R140+$S140,$V140+$U139,$N140-$Q140-$R140-$S140),"")</f>
        <v/>
      </c>
      <c r="Q140" s="8" t="str">
        <f t="shared" ref="Q140:Q171" si="78">IF($J140&lt;&gt;"",IF($A140="Prepago",0,$R$6+$R$6*$B140),"")</f>
        <v/>
      </c>
      <c r="R140" s="8" t="str">
        <f t="shared" ref="R140:R171" si="79">IF($J140&lt;&gt;"",IF($A140="Prepago",0,$R$7+$R$7*$B140),"")</f>
        <v/>
      </c>
      <c r="S140" s="3" t="str">
        <f t="shared" ref="S140:S171" si="80">IF($J140&lt;&gt;"",IF($A140="Prepago",0,$R$8+$R$8*$B140),"")</f>
        <v/>
      </c>
      <c r="T140" s="3" t="str">
        <f t="shared" ref="T140:T171" si="81">IF($J140&lt;&gt;"",$M140-$O140,"")</f>
        <v/>
      </c>
      <c r="U140" s="3" t="str">
        <f t="shared" ref="U140:U171" si="82">IF($J140&lt;&gt;"",+$U139+SUM($W140:$CE140)-$P140,"")</f>
        <v/>
      </c>
      <c r="V140" s="3" t="str">
        <f t="shared" ref="V140:V171" si="83">IF($J140&lt;&gt;"",SUM($W140:$XFD140),"")</f>
        <v/>
      </c>
      <c r="W140" s="3" t="str">
        <f t="shared" ref="W140:W171" si="84">IF($J140&lt;&gt;"",IF($L140&gt;W$11,30,$L140)*ROUND(($M140+$U139)*$S$5/3000,2),"")</f>
        <v/>
      </c>
      <c r="X140" s="3" t="str">
        <f>IF($J140&lt;&gt;"",IF($L140&gt;W$11,IF($L140&lt;X$11,$L140-W$11,30),0)*ROUND(($M140+$U139+SUM($W140:W140))*$S$5/3000,2),"")</f>
        <v/>
      </c>
      <c r="Y140" s="3"/>
      <c r="Z140" s="3"/>
    </row>
    <row r="141" spans="4:26" x14ac:dyDescent="0.25">
      <c r="D141" s="5"/>
      <c r="E141" t="str">
        <f t="shared" si="68"/>
        <v/>
      </c>
      <c r="F141" s="5" t="str">
        <f>IF($J141&lt;&gt;"",EOMONTH(DATE(YEAR($L$6),$F$11+J141+SUM($B$12:B141),1),0),"")</f>
        <v/>
      </c>
      <c r="G141" s="22" t="str">
        <f t="shared" si="69"/>
        <v/>
      </c>
      <c r="H141" s="22" t="str">
        <f t="shared" si="70"/>
        <v/>
      </c>
      <c r="I141" s="22" t="str">
        <f t="shared" si="71"/>
        <v/>
      </c>
      <c r="J141" t="str">
        <f t="shared" si="72"/>
        <v/>
      </c>
      <c r="K141" s="5" t="str">
        <f>IF($J141&lt;&gt;"",IF(ULTIMODIA=0,IF($D141="",DATE(YEAR($L$7),MONTH($L$7)+($A$1*($G141-1))+SUM($B$12:$B141),DAY($L$7)),$D141),F141),"")</f>
        <v/>
      </c>
      <c r="L141" s="9" t="str">
        <f t="shared" si="73"/>
        <v/>
      </c>
      <c r="M141" s="3" t="str">
        <f t="shared" si="74"/>
        <v/>
      </c>
      <c r="N141" s="3" t="str">
        <f t="shared" si="75"/>
        <v/>
      </c>
      <c r="O141" s="3" t="str">
        <f t="shared" si="76"/>
        <v/>
      </c>
      <c r="P141" s="3" t="str">
        <f t="shared" si="77"/>
        <v/>
      </c>
      <c r="Q141" s="8" t="str">
        <f t="shared" si="78"/>
        <v/>
      </c>
      <c r="R141" s="8" t="str">
        <f t="shared" si="79"/>
        <v/>
      </c>
      <c r="S141" s="3" t="str">
        <f t="shared" si="80"/>
        <v/>
      </c>
      <c r="T141" s="3" t="str">
        <f t="shared" si="81"/>
        <v/>
      </c>
      <c r="U141" s="3" t="str">
        <f t="shared" si="82"/>
        <v/>
      </c>
      <c r="V141" s="3" t="str">
        <f t="shared" si="83"/>
        <v/>
      </c>
      <c r="W141" s="3" t="str">
        <f t="shared" si="84"/>
        <v/>
      </c>
      <c r="X141" s="3" t="str">
        <f>IF($J141&lt;&gt;"",IF($L141&gt;W$11,IF($L141&lt;X$11,$L141-W$11,30),0)*ROUND(($M141+$U140+SUM($W141:W141))*$S$5/3000,2),"")</f>
        <v/>
      </c>
      <c r="Y141" s="3"/>
      <c r="Z141" s="3"/>
    </row>
    <row r="142" spans="4:26" x14ac:dyDescent="0.25">
      <c r="D142" s="5"/>
      <c r="E142" t="str">
        <f t="shared" si="68"/>
        <v/>
      </c>
      <c r="F142" s="5" t="str">
        <f>IF($J142&lt;&gt;"",EOMONTH(DATE(YEAR($L$6),$F$11+J142+SUM($B$12:B142),1),0),"")</f>
        <v/>
      </c>
      <c r="G142" s="22" t="str">
        <f t="shared" si="69"/>
        <v/>
      </c>
      <c r="H142" s="22" t="str">
        <f t="shared" si="70"/>
        <v/>
      </c>
      <c r="I142" s="22" t="str">
        <f t="shared" si="71"/>
        <v/>
      </c>
      <c r="J142" t="str">
        <f t="shared" si="72"/>
        <v/>
      </c>
      <c r="K142" s="5" t="str">
        <f>IF($J142&lt;&gt;"",IF(ULTIMODIA=0,IF($D142="",DATE(YEAR($L$7),MONTH($L$7)+($A$1*($G142-1))+SUM($B$12:$B142),DAY($L$7)),$D142),F142),"")</f>
        <v/>
      </c>
      <c r="L142" s="9" t="str">
        <f t="shared" si="73"/>
        <v/>
      </c>
      <c r="M142" s="3" t="str">
        <f t="shared" si="74"/>
        <v/>
      </c>
      <c r="N142" s="3" t="str">
        <f t="shared" si="75"/>
        <v/>
      </c>
      <c r="O142" s="3" t="str">
        <f t="shared" si="76"/>
        <v/>
      </c>
      <c r="P142" s="3" t="str">
        <f t="shared" si="77"/>
        <v/>
      </c>
      <c r="Q142" s="8" t="str">
        <f t="shared" si="78"/>
        <v/>
      </c>
      <c r="R142" s="8" t="str">
        <f t="shared" si="79"/>
        <v/>
      </c>
      <c r="S142" s="3" t="str">
        <f t="shared" si="80"/>
        <v/>
      </c>
      <c r="T142" s="3" t="str">
        <f t="shared" si="81"/>
        <v/>
      </c>
      <c r="U142" s="3" t="str">
        <f t="shared" si="82"/>
        <v/>
      </c>
      <c r="V142" s="3" t="str">
        <f t="shared" si="83"/>
        <v/>
      </c>
      <c r="W142" s="3" t="str">
        <f t="shared" si="84"/>
        <v/>
      </c>
      <c r="X142" s="3" t="str">
        <f>IF($J142&lt;&gt;"",IF($L142&gt;W$11,IF($L142&lt;X$11,$L142-W$11,30),0)*ROUND(($M142+$U141+SUM($W142:W142))*$S$5/3000,2),"")</f>
        <v/>
      </c>
      <c r="Y142" s="3"/>
      <c r="Z142" s="3"/>
    </row>
    <row r="143" spans="4:26" x14ac:dyDescent="0.25">
      <c r="D143" s="5"/>
      <c r="E143" t="str">
        <f t="shared" si="68"/>
        <v/>
      </c>
      <c r="F143" s="5" t="str">
        <f>IF($J143&lt;&gt;"",EOMONTH(DATE(YEAR($L$6),$F$11+J143+SUM($B$12:B143),1),0),"")</f>
        <v/>
      </c>
      <c r="G143" s="22" t="str">
        <f t="shared" si="69"/>
        <v/>
      </c>
      <c r="H143" s="22" t="str">
        <f t="shared" si="70"/>
        <v/>
      </c>
      <c r="I143" s="22" t="str">
        <f t="shared" si="71"/>
        <v/>
      </c>
      <c r="J143" t="str">
        <f t="shared" si="72"/>
        <v/>
      </c>
      <c r="K143" s="5" t="str">
        <f>IF($J143&lt;&gt;"",IF(ULTIMODIA=0,IF($D143="",DATE(YEAR($L$7),MONTH($L$7)+($A$1*($G143-1))+SUM($B$12:$B143),DAY($L$7)),$D143),F143),"")</f>
        <v/>
      </c>
      <c r="L143" s="9" t="str">
        <f t="shared" si="73"/>
        <v/>
      </c>
      <c r="M143" s="3" t="str">
        <f t="shared" si="74"/>
        <v/>
      </c>
      <c r="N143" s="3" t="str">
        <f t="shared" si="75"/>
        <v/>
      </c>
      <c r="O143" s="3" t="str">
        <f t="shared" si="76"/>
        <v/>
      </c>
      <c r="P143" s="3" t="str">
        <f t="shared" si="77"/>
        <v/>
      </c>
      <c r="Q143" s="8" t="str">
        <f t="shared" si="78"/>
        <v/>
      </c>
      <c r="R143" s="8" t="str">
        <f t="shared" si="79"/>
        <v/>
      </c>
      <c r="S143" s="3" t="str">
        <f t="shared" si="80"/>
        <v/>
      </c>
      <c r="T143" s="3" t="str">
        <f t="shared" si="81"/>
        <v/>
      </c>
      <c r="U143" s="3" t="str">
        <f t="shared" si="82"/>
        <v/>
      </c>
      <c r="V143" s="3" t="str">
        <f t="shared" si="83"/>
        <v/>
      </c>
      <c r="W143" s="3" t="str">
        <f t="shared" si="84"/>
        <v/>
      </c>
      <c r="X143" s="3" t="str">
        <f>IF($J143&lt;&gt;"",IF($L143&gt;W$11,IF($L143&lt;X$11,$L143-W$11,30),0)*ROUND(($M143+$U142+SUM($W143:W143))*$S$5/3000,2),"")</f>
        <v/>
      </c>
      <c r="Y143" s="3"/>
      <c r="Z143" s="3"/>
    </row>
    <row r="144" spans="4:26" x14ac:dyDescent="0.25">
      <c r="D144" s="5"/>
      <c r="E144" t="str">
        <f t="shared" si="68"/>
        <v/>
      </c>
      <c r="F144" s="5" t="str">
        <f>IF($J144&lt;&gt;"",EOMONTH(DATE(YEAR($L$6),$F$11+J144+SUM($B$12:B144),1),0),"")</f>
        <v/>
      </c>
      <c r="G144" s="22" t="str">
        <f t="shared" si="69"/>
        <v/>
      </c>
      <c r="H144" s="22" t="str">
        <f t="shared" si="70"/>
        <v/>
      </c>
      <c r="I144" s="22" t="str">
        <f t="shared" si="71"/>
        <v/>
      </c>
      <c r="J144" t="str">
        <f t="shared" si="72"/>
        <v/>
      </c>
      <c r="K144" s="5" t="str">
        <f>IF($J144&lt;&gt;"",IF(ULTIMODIA=0,IF($D144="",DATE(YEAR($L$7),MONTH($L$7)+($A$1*($G144-1))+SUM($B$12:$B144),DAY($L$7)),$D144),F144),"")</f>
        <v/>
      </c>
      <c r="L144" s="9" t="str">
        <f t="shared" si="73"/>
        <v/>
      </c>
      <c r="M144" s="3" t="str">
        <f t="shared" si="74"/>
        <v/>
      </c>
      <c r="N144" s="3" t="str">
        <f t="shared" si="75"/>
        <v/>
      </c>
      <c r="O144" s="3" t="str">
        <f t="shared" si="76"/>
        <v/>
      </c>
      <c r="P144" s="3" t="str">
        <f t="shared" si="77"/>
        <v/>
      </c>
      <c r="Q144" s="8" t="str">
        <f t="shared" si="78"/>
        <v/>
      </c>
      <c r="R144" s="8" t="str">
        <f t="shared" si="79"/>
        <v/>
      </c>
      <c r="S144" s="3" t="str">
        <f t="shared" si="80"/>
        <v/>
      </c>
      <c r="T144" s="3" t="str">
        <f t="shared" si="81"/>
        <v/>
      </c>
      <c r="U144" s="3" t="str">
        <f t="shared" si="82"/>
        <v/>
      </c>
      <c r="V144" s="3" t="str">
        <f t="shared" si="83"/>
        <v/>
      </c>
      <c r="W144" s="3" t="str">
        <f t="shared" si="84"/>
        <v/>
      </c>
      <c r="X144" s="3" t="str">
        <f>IF($J144&lt;&gt;"",IF($L144&gt;W$11,IF($L144&lt;X$11,$L144-W$11,30),0)*ROUND(($M144+$U143+SUM($W144:W144))*$S$5/3000,2),"")</f>
        <v/>
      </c>
      <c r="Y144" s="3"/>
      <c r="Z144" s="3"/>
    </row>
    <row r="145" spans="4:26" x14ac:dyDescent="0.25">
      <c r="D145" s="5"/>
      <c r="E145" t="str">
        <f t="shared" si="68"/>
        <v/>
      </c>
      <c r="F145" s="5" t="str">
        <f>IF($J145&lt;&gt;"",EOMONTH(DATE(YEAR($L$6),$F$11+J145+SUM($B$12:B145),1),0),"")</f>
        <v/>
      </c>
      <c r="G145" s="22" t="str">
        <f t="shared" si="69"/>
        <v/>
      </c>
      <c r="H145" s="22" t="str">
        <f t="shared" si="70"/>
        <v/>
      </c>
      <c r="I145" s="22" t="str">
        <f t="shared" si="71"/>
        <v/>
      </c>
      <c r="J145" t="str">
        <f t="shared" si="72"/>
        <v/>
      </c>
      <c r="K145" s="5" t="str">
        <f>IF($J145&lt;&gt;"",IF(ULTIMODIA=0,IF($D145="",DATE(YEAR($L$7),MONTH($L$7)+($A$1*($G145-1))+SUM($B$12:$B145),DAY($L$7)),$D145),F145),"")</f>
        <v/>
      </c>
      <c r="L145" s="9" t="str">
        <f t="shared" si="73"/>
        <v/>
      </c>
      <c r="M145" s="3" t="str">
        <f t="shared" si="74"/>
        <v/>
      </c>
      <c r="N145" s="3" t="str">
        <f t="shared" si="75"/>
        <v/>
      </c>
      <c r="O145" s="3" t="str">
        <f t="shared" si="76"/>
        <v/>
      </c>
      <c r="P145" s="3" t="str">
        <f t="shared" si="77"/>
        <v/>
      </c>
      <c r="Q145" s="8" t="str">
        <f t="shared" si="78"/>
        <v/>
      </c>
      <c r="R145" s="8" t="str">
        <f t="shared" si="79"/>
        <v/>
      </c>
      <c r="S145" s="3" t="str">
        <f t="shared" si="80"/>
        <v/>
      </c>
      <c r="T145" s="3" t="str">
        <f t="shared" si="81"/>
        <v/>
      </c>
      <c r="U145" s="3" t="str">
        <f t="shared" si="82"/>
        <v/>
      </c>
      <c r="V145" s="3" t="str">
        <f t="shared" si="83"/>
        <v/>
      </c>
      <c r="W145" s="3" t="str">
        <f t="shared" si="84"/>
        <v/>
      </c>
      <c r="X145" s="3" t="str">
        <f>IF($J145&lt;&gt;"",IF($L145&gt;W$11,IF($L145&lt;X$11,$L145-W$11,30),0)*ROUND(($M145+$U144+SUM($W145:W145))*$S$5/3000,2),"")</f>
        <v/>
      </c>
      <c r="Y145" s="3"/>
      <c r="Z145" s="3"/>
    </row>
    <row r="146" spans="4:26" x14ac:dyDescent="0.25">
      <c r="D146" s="5"/>
      <c r="E146" t="str">
        <f t="shared" si="68"/>
        <v/>
      </c>
      <c r="F146" s="5" t="str">
        <f>IF($J146&lt;&gt;"",EOMONTH(DATE(YEAR($L$6),$F$11+J146+SUM($B$12:B146),1),0),"")</f>
        <v/>
      </c>
      <c r="G146" s="22" t="str">
        <f t="shared" si="69"/>
        <v/>
      </c>
      <c r="H146" s="22" t="str">
        <f t="shared" si="70"/>
        <v/>
      </c>
      <c r="I146" s="22" t="str">
        <f t="shared" si="71"/>
        <v/>
      </c>
      <c r="J146" t="str">
        <f t="shared" si="72"/>
        <v/>
      </c>
      <c r="K146" s="5" t="str">
        <f>IF($J146&lt;&gt;"",IF(ULTIMODIA=0,IF($D146="",DATE(YEAR($L$7),MONTH($L$7)+($A$1*($G146-1))+SUM($B$12:$B146),DAY($L$7)),$D146),F146),"")</f>
        <v/>
      </c>
      <c r="L146" s="9" t="str">
        <f t="shared" si="73"/>
        <v/>
      </c>
      <c r="M146" s="3" t="str">
        <f t="shared" si="74"/>
        <v/>
      </c>
      <c r="N146" s="3" t="str">
        <f t="shared" si="75"/>
        <v/>
      </c>
      <c r="O146" s="3" t="str">
        <f t="shared" si="76"/>
        <v/>
      </c>
      <c r="P146" s="3" t="str">
        <f t="shared" si="77"/>
        <v/>
      </c>
      <c r="Q146" s="8" t="str">
        <f t="shared" si="78"/>
        <v/>
      </c>
      <c r="R146" s="8" t="str">
        <f t="shared" si="79"/>
        <v/>
      </c>
      <c r="S146" s="3" t="str">
        <f t="shared" si="80"/>
        <v/>
      </c>
      <c r="T146" s="3" t="str">
        <f t="shared" si="81"/>
        <v/>
      </c>
      <c r="U146" s="3" t="str">
        <f t="shared" si="82"/>
        <v/>
      </c>
      <c r="V146" s="3" t="str">
        <f t="shared" si="83"/>
        <v/>
      </c>
      <c r="W146" s="3" t="str">
        <f t="shared" si="84"/>
        <v/>
      </c>
      <c r="X146" s="3" t="str">
        <f>IF($J146&lt;&gt;"",IF($L146&gt;W$11,IF($L146&lt;X$11,$L146-W$11,30),0)*ROUND(($M146+$U145+SUM($W146:W146))*$S$5/3000,2),"")</f>
        <v/>
      </c>
      <c r="Y146" s="3"/>
      <c r="Z146" s="3"/>
    </row>
    <row r="147" spans="4:26" x14ac:dyDescent="0.25">
      <c r="D147" s="5"/>
      <c r="E147" t="str">
        <f t="shared" si="68"/>
        <v/>
      </c>
      <c r="F147" s="5" t="str">
        <f>IF($J147&lt;&gt;"",EOMONTH(DATE(YEAR($L$6),$F$11+J147+SUM($B$12:B147),1),0),"")</f>
        <v/>
      </c>
      <c r="G147" s="22" t="str">
        <f t="shared" si="69"/>
        <v/>
      </c>
      <c r="H147" s="22" t="str">
        <f t="shared" si="70"/>
        <v/>
      </c>
      <c r="I147" s="22" t="str">
        <f t="shared" si="71"/>
        <v/>
      </c>
      <c r="J147" t="str">
        <f t="shared" si="72"/>
        <v/>
      </c>
      <c r="K147" s="5" t="str">
        <f>IF($J147&lt;&gt;"",IF(ULTIMODIA=0,IF($D147="",DATE(YEAR($L$7),MONTH($L$7)+($A$1*($G147-1))+SUM($B$12:$B147),DAY($L$7)),$D147),F147),"")</f>
        <v/>
      </c>
      <c r="L147" s="9" t="str">
        <f t="shared" si="73"/>
        <v/>
      </c>
      <c r="M147" s="3" t="str">
        <f t="shared" si="74"/>
        <v/>
      </c>
      <c r="N147" s="3" t="str">
        <f t="shared" si="75"/>
        <v/>
      </c>
      <c r="O147" s="3" t="str">
        <f t="shared" si="76"/>
        <v/>
      </c>
      <c r="P147" s="3" t="str">
        <f t="shared" si="77"/>
        <v/>
      </c>
      <c r="Q147" s="8" t="str">
        <f t="shared" si="78"/>
        <v/>
      </c>
      <c r="R147" s="8" t="str">
        <f t="shared" si="79"/>
        <v/>
      </c>
      <c r="S147" s="3" t="str">
        <f t="shared" si="80"/>
        <v/>
      </c>
      <c r="T147" s="3" t="str">
        <f t="shared" si="81"/>
        <v/>
      </c>
      <c r="U147" s="3" t="str">
        <f t="shared" si="82"/>
        <v/>
      </c>
      <c r="V147" s="3" t="str">
        <f t="shared" si="83"/>
        <v/>
      </c>
      <c r="W147" s="3" t="str">
        <f t="shared" si="84"/>
        <v/>
      </c>
      <c r="X147" s="3" t="str">
        <f>IF($J147&lt;&gt;"",IF($L147&gt;W$11,IF($L147&lt;X$11,$L147-W$11,30),0)*ROUND(($M147+$U146+SUM($W147:W147))*$S$5/3000,2),"")</f>
        <v/>
      </c>
      <c r="Y147" s="3"/>
      <c r="Z147" s="3"/>
    </row>
    <row r="148" spans="4:26" x14ac:dyDescent="0.25">
      <c r="D148" s="5"/>
      <c r="E148" t="str">
        <f t="shared" si="68"/>
        <v/>
      </c>
      <c r="F148" s="5" t="str">
        <f>IF($J148&lt;&gt;"",EOMONTH(DATE(YEAR($L$6),$F$11+J148+SUM($B$12:B148),1),0),"")</f>
        <v/>
      </c>
      <c r="G148" s="22" t="str">
        <f t="shared" si="69"/>
        <v/>
      </c>
      <c r="H148" s="22" t="str">
        <f t="shared" si="70"/>
        <v/>
      </c>
      <c r="I148" s="22" t="str">
        <f t="shared" si="71"/>
        <v/>
      </c>
      <c r="J148" t="str">
        <f t="shared" si="72"/>
        <v/>
      </c>
      <c r="K148" s="5" t="str">
        <f>IF($J148&lt;&gt;"",IF(ULTIMODIA=0,IF($D148="",DATE(YEAR($L$7),MONTH($L$7)+($A$1*($G148-1))+SUM($B$12:$B148),DAY($L$7)),$D148),F148),"")</f>
        <v/>
      </c>
      <c r="L148" s="9" t="str">
        <f t="shared" si="73"/>
        <v/>
      </c>
      <c r="M148" s="3" t="str">
        <f t="shared" si="74"/>
        <v/>
      </c>
      <c r="N148" s="3" t="str">
        <f t="shared" si="75"/>
        <v/>
      </c>
      <c r="O148" s="3" t="str">
        <f t="shared" si="76"/>
        <v/>
      </c>
      <c r="P148" s="3" t="str">
        <f t="shared" si="77"/>
        <v/>
      </c>
      <c r="Q148" s="8" t="str">
        <f t="shared" si="78"/>
        <v/>
      </c>
      <c r="R148" s="8" t="str">
        <f t="shared" si="79"/>
        <v/>
      </c>
      <c r="S148" s="3" t="str">
        <f t="shared" si="80"/>
        <v/>
      </c>
      <c r="T148" s="3" t="str">
        <f t="shared" si="81"/>
        <v/>
      </c>
      <c r="U148" s="3" t="str">
        <f t="shared" si="82"/>
        <v/>
      </c>
      <c r="V148" s="3" t="str">
        <f t="shared" si="83"/>
        <v/>
      </c>
      <c r="W148" s="3" t="str">
        <f t="shared" si="84"/>
        <v/>
      </c>
      <c r="X148" s="3" t="str">
        <f>IF($J148&lt;&gt;"",IF($L148&gt;W$11,IF($L148&lt;X$11,$L148-W$11,30),0)*ROUND(($M148+$U147+SUM($W148:W148))*$S$5/3000,2),"")</f>
        <v/>
      </c>
      <c r="Y148" s="3"/>
      <c r="Z148" s="3"/>
    </row>
    <row r="149" spans="4:26" x14ac:dyDescent="0.25">
      <c r="D149" s="5"/>
      <c r="E149" t="str">
        <f t="shared" si="68"/>
        <v/>
      </c>
      <c r="F149" s="5" t="str">
        <f>IF($J149&lt;&gt;"",EOMONTH(DATE(YEAR($L$6),$F$11+J149+SUM($B$12:B149),1),0),"")</f>
        <v/>
      </c>
      <c r="G149" s="22" t="str">
        <f t="shared" si="69"/>
        <v/>
      </c>
      <c r="H149" s="22" t="str">
        <f t="shared" si="70"/>
        <v/>
      </c>
      <c r="I149" s="22" t="str">
        <f t="shared" si="71"/>
        <v/>
      </c>
      <c r="J149" t="str">
        <f t="shared" si="72"/>
        <v/>
      </c>
      <c r="K149" s="5" t="str">
        <f>IF($J149&lt;&gt;"",IF(ULTIMODIA=0,IF($D149="",DATE(YEAR($L$7),MONTH($L$7)+($A$1*($G149-1))+SUM($B$12:$B149),DAY($L$7)),$D149),F149),"")</f>
        <v/>
      </c>
      <c r="L149" s="9" t="str">
        <f t="shared" si="73"/>
        <v/>
      </c>
      <c r="M149" s="3" t="str">
        <f t="shared" si="74"/>
        <v/>
      </c>
      <c r="N149" s="3" t="str">
        <f t="shared" si="75"/>
        <v/>
      </c>
      <c r="O149" s="3" t="str">
        <f t="shared" si="76"/>
        <v/>
      </c>
      <c r="P149" s="3" t="str">
        <f t="shared" si="77"/>
        <v/>
      </c>
      <c r="Q149" s="8" t="str">
        <f t="shared" si="78"/>
        <v/>
      </c>
      <c r="R149" s="8" t="str">
        <f t="shared" si="79"/>
        <v/>
      </c>
      <c r="S149" s="3" t="str">
        <f t="shared" si="80"/>
        <v/>
      </c>
      <c r="T149" s="3" t="str">
        <f t="shared" si="81"/>
        <v/>
      </c>
      <c r="U149" s="3" t="str">
        <f t="shared" si="82"/>
        <v/>
      </c>
      <c r="V149" s="3" t="str">
        <f t="shared" si="83"/>
        <v/>
      </c>
      <c r="W149" s="3" t="str">
        <f t="shared" si="84"/>
        <v/>
      </c>
      <c r="X149" s="3" t="str">
        <f>IF($J149&lt;&gt;"",IF($L149&gt;W$11,IF($L149&lt;X$11,$L149-W$11,30),0)*ROUND(($M149+$U148+SUM($W149:W149))*$S$5/3000,2),"")</f>
        <v/>
      </c>
      <c r="Y149" s="3"/>
      <c r="Z149" s="3"/>
    </row>
    <row r="150" spans="4:26" x14ac:dyDescent="0.25">
      <c r="D150" s="5"/>
      <c r="E150" t="str">
        <f t="shared" si="68"/>
        <v/>
      </c>
      <c r="F150" s="5" t="str">
        <f>IF($J150&lt;&gt;"",EOMONTH(DATE(YEAR($L$6),$F$11+J150+SUM($B$12:B150),1),0),"")</f>
        <v/>
      </c>
      <c r="G150" s="22" t="str">
        <f t="shared" si="69"/>
        <v/>
      </c>
      <c r="H150" s="22" t="str">
        <f t="shared" si="70"/>
        <v/>
      </c>
      <c r="I150" s="22" t="str">
        <f t="shared" si="71"/>
        <v/>
      </c>
      <c r="J150" t="str">
        <f t="shared" si="72"/>
        <v/>
      </c>
      <c r="K150" s="5" t="str">
        <f>IF($J150&lt;&gt;"",IF(ULTIMODIA=0,IF($D150="",DATE(YEAR($L$7),MONTH($L$7)+($A$1*($G150-1))+SUM($B$12:$B150),DAY($L$7)),$D150),F150),"")</f>
        <v/>
      </c>
      <c r="L150" s="9" t="str">
        <f t="shared" si="73"/>
        <v/>
      </c>
      <c r="M150" s="3" t="str">
        <f t="shared" si="74"/>
        <v/>
      </c>
      <c r="N150" s="3" t="str">
        <f t="shared" si="75"/>
        <v/>
      </c>
      <c r="O150" s="3" t="str">
        <f t="shared" si="76"/>
        <v/>
      </c>
      <c r="P150" s="3" t="str">
        <f t="shared" si="77"/>
        <v/>
      </c>
      <c r="Q150" s="8" t="str">
        <f t="shared" si="78"/>
        <v/>
      </c>
      <c r="R150" s="8" t="str">
        <f t="shared" si="79"/>
        <v/>
      </c>
      <c r="S150" s="3" t="str">
        <f t="shared" si="80"/>
        <v/>
      </c>
      <c r="T150" s="3" t="str">
        <f t="shared" si="81"/>
        <v/>
      </c>
      <c r="U150" s="3" t="str">
        <f t="shared" si="82"/>
        <v/>
      </c>
      <c r="V150" s="3" t="str">
        <f t="shared" si="83"/>
        <v/>
      </c>
      <c r="W150" s="3" t="str">
        <f t="shared" si="84"/>
        <v/>
      </c>
      <c r="X150" s="3" t="str">
        <f>IF($J150&lt;&gt;"",IF($L150&gt;W$11,IF($L150&lt;X$11,$L150-W$11,30),0)*ROUND(($M150+$U149+SUM($W150:W150))*$S$5/3000,2),"")</f>
        <v/>
      </c>
      <c r="Y150" s="3"/>
      <c r="Z150" s="3"/>
    </row>
    <row r="151" spans="4:26" x14ac:dyDescent="0.25">
      <c r="D151" s="5"/>
      <c r="E151" t="str">
        <f t="shared" si="68"/>
        <v/>
      </c>
      <c r="F151" s="5" t="str">
        <f>IF($J151&lt;&gt;"",EOMONTH(DATE(YEAR($L$6),$F$11+J151+SUM($B$12:B151),1),0),"")</f>
        <v/>
      </c>
      <c r="G151" s="22" t="str">
        <f t="shared" si="69"/>
        <v/>
      </c>
      <c r="H151" s="22" t="str">
        <f t="shared" si="70"/>
        <v/>
      </c>
      <c r="I151" s="22" t="str">
        <f t="shared" si="71"/>
        <v/>
      </c>
      <c r="J151" t="str">
        <f t="shared" si="72"/>
        <v/>
      </c>
      <c r="K151" s="5" t="str">
        <f>IF($J151&lt;&gt;"",IF(ULTIMODIA=0,IF($D151="",DATE(YEAR($L$7),MONTH($L$7)+($A$1*($G151-1))+SUM($B$12:$B151),DAY($L$7)),$D151),F151),"")</f>
        <v/>
      </c>
      <c r="L151" s="9" t="str">
        <f t="shared" si="73"/>
        <v/>
      </c>
      <c r="M151" s="3" t="str">
        <f t="shared" si="74"/>
        <v/>
      </c>
      <c r="N151" s="3" t="str">
        <f t="shared" si="75"/>
        <v/>
      </c>
      <c r="O151" s="3" t="str">
        <f t="shared" si="76"/>
        <v/>
      </c>
      <c r="P151" s="3" t="str">
        <f t="shared" si="77"/>
        <v/>
      </c>
      <c r="Q151" s="8" t="str">
        <f t="shared" si="78"/>
        <v/>
      </c>
      <c r="R151" s="8" t="str">
        <f t="shared" si="79"/>
        <v/>
      </c>
      <c r="S151" s="3" t="str">
        <f t="shared" si="80"/>
        <v/>
      </c>
      <c r="T151" s="3" t="str">
        <f t="shared" si="81"/>
        <v/>
      </c>
      <c r="U151" s="3" t="str">
        <f t="shared" si="82"/>
        <v/>
      </c>
      <c r="V151" s="3" t="str">
        <f t="shared" si="83"/>
        <v/>
      </c>
      <c r="W151" s="3" t="str">
        <f t="shared" si="84"/>
        <v/>
      </c>
      <c r="X151" s="3" t="str">
        <f>IF($J151&lt;&gt;"",IF($L151&gt;W$11,IF($L151&lt;X$11,$L151-W$11,30),0)*ROUND(($M151+$U150+SUM($W151:W151))*$S$5/3000,2),"")</f>
        <v/>
      </c>
      <c r="Y151" s="3"/>
      <c r="Z151" s="3"/>
    </row>
    <row r="152" spans="4:26" x14ac:dyDescent="0.25">
      <c r="D152" s="5"/>
      <c r="E152" t="str">
        <f t="shared" si="68"/>
        <v/>
      </c>
      <c r="F152" s="5" t="str">
        <f>IF($J152&lt;&gt;"",EOMONTH(DATE(YEAR($L$6),$F$11+J152+SUM($B$12:B152),1),0),"")</f>
        <v/>
      </c>
      <c r="G152" s="22" t="str">
        <f t="shared" si="69"/>
        <v/>
      </c>
      <c r="H152" s="22" t="str">
        <f t="shared" si="70"/>
        <v/>
      </c>
      <c r="I152" s="22" t="str">
        <f t="shared" si="71"/>
        <v/>
      </c>
      <c r="J152" t="str">
        <f t="shared" si="72"/>
        <v/>
      </c>
      <c r="K152" s="5" t="str">
        <f>IF($J152&lt;&gt;"",IF(ULTIMODIA=0,IF($D152="",DATE(YEAR($L$7),MONTH($L$7)+($A$1*($G152-1))+SUM($B$12:$B152),DAY($L$7)),$D152),F152),"")</f>
        <v/>
      </c>
      <c r="L152" s="9" t="str">
        <f t="shared" si="73"/>
        <v/>
      </c>
      <c r="M152" s="3" t="str">
        <f t="shared" si="74"/>
        <v/>
      </c>
      <c r="N152" s="3" t="str">
        <f t="shared" si="75"/>
        <v/>
      </c>
      <c r="O152" s="3" t="str">
        <f t="shared" si="76"/>
        <v/>
      </c>
      <c r="P152" s="3" t="str">
        <f t="shared" si="77"/>
        <v/>
      </c>
      <c r="Q152" s="8" t="str">
        <f t="shared" si="78"/>
        <v/>
      </c>
      <c r="R152" s="8" t="str">
        <f t="shared" si="79"/>
        <v/>
      </c>
      <c r="S152" s="3" t="str">
        <f t="shared" si="80"/>
        <v/>
      </c>
      <c r="T152" s="3" t="str">
        <f t="shared" si="81"/>
        <v/>
      </c>
      <c r="U152" s="3" t="str">
        <f t="shared" si="82"/>
        <v/>
      </c>
      <c r="V152" s="3" t="str">
        <f t="shared" si="83"/>
        <v/>
      </c>
      <c r="W152" s="3" t="str">
        <f t="shared" si="84"/>
        <v/>
      </c>
      <c r="X152" s="3" t="str">
        <f>IF($J152&lt;&gt;"",IF($L152&gt;W$11,IF($L152&lt;X$11,$L152-W$11,30),0)*ROUND(($M152+$U151+SUM($W152:W152))*$S$5/3000,2),"")</f>
        <v/>
      </c>
      <c r="Y152" s="3"/>
      <c r="Z152" s="3"/>
    </row>
    <row r="153" spans="4:26" x14ac:dyDescent="0.25">
      <c r="D153" s="5"/>
      <c r="E153" t="str">
        <f t="shared" si="68"/>
        <v/>
      </c>
      <c r="F153" s="5" t="str">
        <f>IF($J153&lt;&gt;"",EOMONTH(DATE(YEAR($L$6),$F$11+J153+SUM($B$12:B153),1),0),"")</f>
        <v/>
      </c>
      <c r="G153" s="22" t="str">
        <f t="shared" si="69"/>
        <v/>
      </c>
      <c r="H153" s="22" t="str">
        <f t="shared" si="70"/>
        <v/>
      </c>
      <c r="I153" s="22" t="str">
        <f t="shared" si="71"/>
        <v/>
      </c>
      <c r="J153" t="str">
        <f t="shared" si="72"/>
        <v/>
      </c>
      <c r="K153" s="5" t="str">
        <f>IF($J153&lt;&gt;"",IF(ULTIMODIA=0,IF($D153="",DATE(YEAR($L$7),MONTH($L$7)+($A$1*($G153-1))+SUM($B$12:$B153),DAY($L$7)),$D153),F153),"")</f>
        <v/>
      </c>
      <c r="L153" s="9" t="str">
        <f t="shared" si="73"/>
        <v/>
      </c>
      <c r="M153" s="3" t="str">
        <f t="shared" si="74"/>
        <v/>
      </c>
      <c r="N153" s="3" t="str">
        <f t="shared" si="75"/>
        <v/>
      </c>
      <c r="O153" s="3" t="str">
        <f t="shared" si="76"/>
        <v/>
      </c>
      <c r="P153" s="3" t="str">
        <f t="shared" si="77"/>
        <v/>
      </c>
      <c r="Q153" s="8" t="str">
        <f t="shared" si="78"/>
        <v/>
      </c>
      <c r="R153" s="8" t="str">
        <f t="shared" si="79"/>
        <v/>
      </c>
      <c r="S153" s="3" t="str">
        <f t="shared" si="80"/>
        <v/>
      </c>
      <c r="T153" s="3" t="str">
        <f t="shared" si="81"/>
        <v/>
      </c>
      <c r="U153" s="3" t="str">
        <f t="shared" si="82"/>
        <v/>
      </c>
      <c r="V153" s="3" t="str">
        <f t="shared" si="83"/>
        <v/>
      </c>
      <c r="W153" s="3" t="str">
        <f t="shared" si="84"/>
        <v/>
      </c>
      <c r="X153" s="3" t="str">
        <f>IF($J153&lt;&gt;"",IF($L153&gt;W$11,IF($L153&lt;X$11,$L153-W$11,30),0)*ROUND(($M153+$U152+SUM($W153:W153))*$S$5/3000,2),"")</f>
        <v/>
      </c>
      <c r="Y153" s="3"/>
      <c r="Z153" s="3"/>
    </row>
    <row r="154" spans="4:26" x14ac:dyDescent="0.25">
      <c r="D154" s="5"/>
      <c r="E154" t="str">
        <f t="shared" si="68"/>
        <v/>
      </c>
      <c r="F154" s="5" t="str">
        <f>IF($J154&lt;&gt;"",EOMONTH(DATE(YEAR($L$6),$F$11+J154+SUM($B$12:B154),1),0),"")</f>
        <v/>
      </c>
      <c r="G154" s="22" t="str">
        <f t="shared" si="69"/>
        <v/>
      </c>
      <c r="H154" s="22" t="str">
        <f t="shared" si="70"/>
        <v/>
      </c>
      <c r="I154" s="22" t="str">
        <f t="shared" si="71"/>
        <v/>
      </c>
      <c r="J154" t="str">
        <f t="shared" si="72"/>
        <v/>
      </c>
      <c r="K154" s="5" t="str">
        <f>IF($J154&lt;&gt;"",IF(ULTIMODIA=0,IF($D154="",DATE(YEAR($L$7),MONTH($L$7)+($A$1*($G154-1))+SUM($B$12:$B154),DAY($L$7)),$D154),F154),"")</f>
        <v/>
      </c>
      <c r="L154" s="9" t="str">
        <f t="shared" si="73"/>
        <v/>
      </c>
      <c r="M154" s="3" t="str">
        <f t="shared" si="74"/>
        <v/>
      </c>
      <c r="N154" s="3" t="str">
        <f t="shared" si="75"/>
        <v/>
      </c>
      <c r="O154" s="3" t="str">
        <f t="shared" si="76"/>
        <v/>
      </c>
      <c r="P154" s="3" t="str">
        <f t="shared" si="77"/>
        <v/>
      </c>
      <c r="Q154" s="8" t="str">
        <f t="shared" si="78"/>
        <v/>
      </c>
      <c r="R154" s="8" t="str">
        <f t="shared" si="79"/>
        <v/>
      </c>
      <c r="S154" s="3" t="str">
        <f t="shared" si="80"/>
        <v/>
      </c>
      <c r="T154" s="3" t="str">
        <f t="shared" si="81"/>
        <v/>
      </c>
      <c r="U154" s="3" t="str">
        <f t="shared" si="82"/>
        <v/>
      </c>
      <c r="V154" s="3" t="str">
        <f t="shared" si="83"/>
        <v/>
      </c>
      <c r="W154" s="3" t="str">
        <f t="shared" si="84"/>
        <v/>
      </c>
      <c r="X154" s="3" t="str">
        <f>IF($J154&lt;&gt;"",IF($L154&gt;W$11,IF($L154&lt;X$11,$L154-W$11,30),0)*ROUND(($M154+$U153+SUM($W154:W154))*$S$5/3000,2),"")</f>
        <v/>
      </c>
      <c r="Y154" s="3"/>
      <c r="Z154" s="3"/>
    </row>
    <row r="155" spans="4:26" x14ac:dyDescent="0.25">
      <c r="D155" s="5"/>
      <c r="E155" t="str">
        <f t="shared" si="68"/>
        <v/>
      </c>
      <c r="F155" s="5" t="str">
        <f>IF($J155&lt;&gt;"",EOMONTH(DATE(YEAR($L$6),$F$11+J155+SUM($B$12:B155),1),0),"")</f>
        <v/>
      </c>
      <c r="G155" s="22" t="str">
        <f t="shared" si="69"/>
        <v/>
      </c>
      <c r="H155" s="22" t="str">
        <f t="shared" si="70"/>
        <v/>
      </c>
      <c r="I155" s="22" t="str">
        <f t="shared" si="71"/>
        <v/>
      </c>
      <c r="J155" t="str">
        <f t="shared" si="72"/>
        <v/>
      </c>
      <c r="K155" s="5" t="str">
        <f>IF($J155&lt;&gt;"",IF(ULTIMODIA=0,IF($D155="",DATE(YEAR($L$7),MONTH($L$7)+($A$1*($G155-1))+SUM($B$12:$B155),DAY($L$7)),$D155),F155),"")</f>
        <v/>
      </c>
      <c r="L155" s="9" t="str">
        <f t="shared" si="73"/>
        <v/>
      </c>
      <c r="M155" s="3" t="str">
        <f t="shared" si="74"/>
        <v/>
      </c>
      <c r="N155" s="3" t="str">
        <f t="shared" si="75"/>
        <v/>
      </c>
      <c r="O155" s="3" t="str">
        <f t="shared" si="76"/>
        <v/>
      </c>
      <c r="P155" s="3" t="str">
        <f t="shared" si="77"/>
        <v/>
      </c>
      <c r="Q155" s="8" t="str">
        <f t="shared" si="78"/>
        <v/>
      </c>
      <c r="R155" s="8" t="str">
        <f t="shared" si="79"/>
        <v/>
      </c>
      <c r="S155" s="3" t="str">
        <f t="shared" si="80"/>
        <v/>
      </c>
      <c r="T155" s="3" t="str">
        <f t="shared" si="81"/>
        <v/>
      </c>
      <c r="U155" s="3" t="str">
        <f t="shared" si="82"/>
        <v/>
      </c>
      <c r="V155" s="3" t="str">
        <f t="shared" si="83"/>
        <v/>
      </c>
      <c r="W155" s="3" t="str">
        <f t="shared" si="84"/>
        <v/>
      </c>
      <c r="X155" s="3" t="str">
        <f>IF($J155&lt;&gt;"",IF($L155&gt;W$11,IF($L155&lt;X$11,$L155-W$11,30),0)*ROUND(($M155+$U154+SUM($W155:W155))*$S$5/3000,2),"")</f>
        <v/>
      </c>
      <c r="Y155" s="3"/>
      <c r="Z155" s="3"/>
    </row>
    <row r="156" spans="4:26" x14ac:dyDescent="0.25">
      <c r="D156" s="5"/>
      <c r="E156" t="str">
        <f t="shared" si="68"/>
        <v/>
      </c>
      <c r="F156" s="5" t="str">
        <f>IF($J156&lt;&gt;"",EOMONTH(DATE(YEAR($L$6),$F$11+J156+SUM($B$12:B156),1),0),"")</f>
        <v/>
      </c>
      <c r="G156" s="22" t="str">
        <f t="shared" si="69"/>
        <v/>
      </c>
      <c r="H156" s="22" t="str">
        <f t="shared" si="70"/>
        <v/>
      </c>
      <c r="I156" s="22" t="str">
        <f t="shared" si="71"/>
        <v/>
      </c>
      <c r="J156" t="str">
        <f t="shared" si="72"/>
        <v/>
      </c>
      <c r="K156" s="5" t="str">
        <f>IF($J156&lt;&gt;"",IF(ULTIMODIA=0,IF($D156="",DATE(YEAR($L$7),MONTH($L$7)+($A$1*($G156-1))+SUM($B$12:$B156),DAY($L$7)),$D156),F156),"")</f>
        <v/>
      </c>
      <c r="L156" s="9" t="str">
        <f t="shared" si="73"/>
        <v/>
      </c>
      <c r="M156" s="3" t="str">
        <f t="shared" si="74"/>
        <v/>
      </c>
      <c r="N156" s="3" t="str">
        <f t="shared" si="75"/>
        <v/>
      </c>
      <c r="O156" s="3" t="str">
        <f t="shared" si="76"/>
        <v/>
      </c>
      <c r="P156" s="3" t="str">
        <f t="shared" si="77"/>
        <v/>
      </c>
      <c r="Q156" s="8" t="str">
        <f t="shared" si="78"/>
        <v/>
      </c>
      <c r="R156" s="8" t="str">
        <f t="shared" si="79"/>
        <v/>
      </c>
      <c r="S156" s="3" t="str">
        <f t="shared" si="80"/>
        <v/>
      </c>
      <c r="T156" s="3" t="str">
        <f t="shared" si="81"/>
        <v/>
      </c>
      <c r="U156" s="3" t="str">
        <f t="shared" si="82"/>
        <v/>
      </c>
      <c r="V156" s="3" t="str">
        <f t="shared" si="83"/>
        <v/>
      </c>
      <c r="W156" s="3" t="str">
        <f t="shared" si="84"/>
        <v/>
      </c>
      <c r="X156" s="3" t="str">
        <f>IF($J156&lt;&gt;"",IF($L156&gt;W$11,IF($L156&lt;X$11,$L156-W$11,30),0)*ROUND(($M156+$U155+SUM($W156:W156))*$S$5/3000,2),"")</f>
        <v/>
      </c>
      <c r="Y156" s="3"/>
      <c r="Z156" s="3"/>
    </row>
    <row r="157" spans="4:26" x14ac:dyDescent="0.25">
      <c r="D157" s="5"/>
      <c r="E157" t="str">
        <f t="shared" si="68"/>
        <v/>
      </c>
      <c r="F157" s="5" t="str">
        <f>IF($J157&lt;&gt;"",EOMONTH(DATE(YEAR($L$6),$F$11+J157+SUM($B$12:B157),1),0),"")</f>
        <v/>
      </c>
      <c r="G157" s="22" t="str">
        <f t="shared" si="69"/>
        <v/>
      </c>
      <c r="H157" s="22" t="str">
        <f t="shared" si="70"/>
        <v/>
      </c>
      <c r="I157" s="22" t="str">
        <f t="shared" si="71"/>
        <v/>
      </c>
      <c r="J157" t="str">
        <f t="shared" si="72"/>
        <v/>
      </c>
      <c r="K157" s="5" t="str">
        <f>IF($J157&lt;&gt;"",IF(ULTIMODIA=0,IF($D157="",DATE(YEAR($L$7),MONTH($L$7)+($A$1*($G157-1))+SUM($B$12:$B157),DAY($L$7)),$D157),F157),"")</f>
        <v/>
      </c>
      <c r="L157" s="9" t="str">
        <f t="shared" si="73"/>
        <v/>
      </c>
      <c r="M157" s="3" t="str">
        <f t="shared" si="74"/>
        <v/>
      </c>
      <c r="N157" s="3" t="str">
        <f t="shared" si="75"/>
        <v/>
      </c>
      <c r="O157" s="3" t="str">
        <f t="shared" si="76"/>
        <v/>
      </c>
      <c r="P157" s="3" t="str">
        <f t="shared" si="77"/>
        <v/>
      </c>
      <c r="Q157" s="8" t="str">
        <f t="shared" si="78"/>
        <v/>
      </c>
      <c r="R157" s="8" t="str">
        <f t="shared" si="79"/>
        <v/>
      </c>
      <c r="S157" s="3" t="str">
        <f t="shared" si="80"/>
        <v/>
      </c>
      <c r="T157" s="3" t="str">
        <f t="shared" si="81"/>
        <v/>
      </c>
      <c r="U157" s="3" t="str">
        <f t="shared" si="82"/>
        <v/>
      </c>
      <c r="V157" s="3" t="str">
        <f t="shared" si="83"/>
        <v/>
      </c>
      <c r="W157" s="3" t="str">
        <f t="shared" si="84"/>
        <v/>
      </c>
      <c r="X157" s="3" t="str">
        <f>IF($J157&lt;&gt;"",IF($L157&gt;W$11,IF($L157&lt;X$11,$L157-W$11,30),0)*ROUND(($M157+$U156+SUM($W157:W157))*$S$5/3000,2),"")</f>
        <v/>
      </c>
      <c r="Y157" s="3"/>
      <c r="Z157" s="3"/>
    </row>
    <row r="158" spans="4:26" x14ac:dyDescent="0.25">
      <c r="D158" s="5"/>
      <c r="E158" t="str">
        <f t="shared" si="68"/>
        <v/>
      </c>
      <c r="F158" s="5" t="str">
        <f>IF($J158&lt;&gt;"",EOMONTH(DATE(YEAR($L$6),$F$11+J158+SUM($B$12:B158),1),0),"")</f>
        <v/>
      </c>
      <c r="G158" s="22" t="str">
        <f t="shared" si="69"/>
        <v/>
      </c>
      <c r="H158" s="22" t="str">
        <f t="shared" si="70"/>
        <v/>
      </c>
      <c r="I158" s="22" t="str">
        <f t="shared" si="71"/>
        <v/>
      </c>
      <c r="J158" t="str">
        <f t="shared" si="72"/>
        <v/>
      </c>
      <c r="K158" s="5" t="str">
        <f>IF($J158&lt;&gt;"",IF(ULTIMODIA=0,IF($D158="",DATE(YEAR($L$7),MONTH($L$7)+($A$1*($G158-1))+SUM($B$12:$B158),DAY($L$7)),$D158),F158),"")</f>
        <v/>
      </c>
      <c r="L158" s="9" t="str">
        <f t="shared" si="73"/>
        <v/>
      </c>
      <c r="M158" s="3" t="str">
        <f t="shared" si="74"/>
        <v/>
      </c>
      <c r="N158" s="3" t="str">
        <f t="shared" si="75"/>
        <v/>
      </c>
      <c r="O158" s="3" t="str">
        <f t="shared" si="76"/>
        <v/>
      </c>
      <c r="P158" s="3" t="str">
        <f t="shared" si="77"/>
        <v/>
      </c>
      <c r="Q158" s="8" t="str">
        <f t="shared" si="78"/>
        <v/>
      </c>
      <c r="R158" s="8" t="str">
        <f t="shared" si="79"/>
        <v/>
      </c>
      <c r="S158" s="3" t="str">
        <f t="shared" si="80"/>
        <v/>
      </c>
      <c r="T158" s="3" t="str">
        <f t="shared" si="81"/>
        <v/>
      </c>
      <c r="U158" s="3" t="str">
        <f t="shared" si="82"/>
        <v/>
      </c>
      <c r="V158" s="3" t="str">
        <f t="shared" si="83"/>
        <v/>
      </c>
      <c r="W158" s="3" t="str">
        <f t="shared" si="84"/>
        <v/>
      </c>
      <c r="X158" s="3" t="str">
        <f>IF($J158&lt;&gt;"",IF($L158&gt;W$11,IF($L158&lt;X$11,$L158-W$11,30),0)*ROUND(($M158+$U157+SUM($W158:W158))*$S$5/3000,2),"")</f>
        <v/>
      </c>
      <c r="Y158" s="3"/>
      <c r="Z158" s="3"/>
    </row>
    <row r="159" spans="4:26" x14ac:dyDescent="0.25">
      <c r="D159" s="5"/>
      <c r="E159" t="str">
        <f t="shared" si="68"/>
        <v/>
      </c>
      <c r="F159" s="5" t="str">
        <f>IF($J159&lt;&gt;"",EOMONTH(DATE(YEAR($L$6),$F$11+J159+SUM($B$12:B159),1),0),"")</f>
        <v/>
      </c>
      <c r="G159" s="22" t="str">
        <f t="shared" si="69"/>
        <v/>
      </c>
      <c r="H159" s="22" t="str">
        <f t="shared" si="70"/>
        <v/>
      </c>
      <c r="I159" s="22" t="str">
        <f t="shared" si="71"/>
        <v/>
      </c>
      <c r="J159" t="str">
        <f t="shared" si="72"/>
        <v/>
      </c>
      <c r="K159" s="5" t="str">
        <f>IF($J159&lt;&gt;"",IF(ULTIMODIA=0,IF($D159="",DATE(YEAR($L$7),MONTH($L$7)+($A$1*($G159-1))+SUM($B$12:$B159),DAY($L$7)),$D159),F159),"")</f>
        <v/>
      </c>
      <c r="L159" s="9" t="str">
        <f t="shared" si="73"/>
        <v/>
      </c>
      <c r="M159" s="3" t="str">
        <f t="shared" si="74"/>
        <v/>
      </c>
      <c r="N159" s="3" t="str">
        <f t="shared" si="75"/>
        <v/>
      </c>
      <c r="O159" s="3" t="str">
        <f t="shared" si="76"/>
        <v/>
      </c>
      <c r="P159" s="3" t="str">
        <f t="shared" si="77"/>
        <v/>
      </c>
      <c r="Q159" s="8" t="str">
        <f t="shared" si="78"/>
        <v/>
      </c>
      <c r="R159" s="8" t="str">
        <f t="shared" si="79"/>
        <v/>
      </c>
      <c r="S159" s="3" t="str">
        <f t="shared" si="80"/>
        <v/>
      </c>
      <c r="T159" s="3" t="str">
        <f t="shared" si="81"/>
        <v/>
      </c>
      <c r="U159" s="3" t="str">
        <f t="shared" si="82"/>
        <v/>
      </c>
      <c r="V159" s="3" t="str">
        <f t="shared" si="83"/>
        <v/>
      </c>
      <c r="W159" s="3" t="str">
        <f t="shared" si="84"/>
        <v/>
      </c>
      <c r="X159" s="3" t="str">
        <f>IF($J159&lt;&gt;"",IF($L159&gt;W$11,IF($L159&lt;X$11,$L159-W$11,30),0)*ROUND(($M159+$U158+SUM($W159:W159))*$S$5/3000,2),"")</f>
        <v/>
      </c>
      <c r="Y159" s="3"/>
      <c r="Z159" s="3"/>
    </row>
    <row r="160" spans="4:26" x14ac:dyDescent="0.25">
      <c r="D160" s="5"/>
      <c r="E160" t="str">
        <f t="shared" si="68"/>
        <v/>
      </c>
      <c r="F160" s="5" t="str">
        <f>IF($J160&lt;&gt;"",EOMONTH(DATE(YEAR($L$6),$F$11+J160+SUM($B$12:B160),1),0),"")</f>
        <v/>
      </c>
      <c r="G160" s="22" t="str">
        <f t="shared" si="69"/>
        <v/>
      </c>
      <c r="H160" s="22" t="str">
        <f t="shared" si="70"/>
        <v/>
      </c>
      <c r="I160" s="22" t="str">
        <f t="shared" si="71"/>
        <v/>
      </c>
      <c r="J160" t="str">
        <f t="shared" si="72"/>
        <v/>
      </c>
      <c r="K160" s="5" t="str">
        <f>IF($J160&lt;&gt;"",IF(ULTIMODIA=0,IF($D160="",DATE(YEAR($L$7),MONTH($L$7)+($A$1*($G160-1))+SUM($B$12:$B160),DAY($L$7)),$D160),F160),"")</f>
        <v/>
      </c>
      <c r="L160" s="9" t="str">
        <f t="shared" si="73"/>
        <v/>
      </c>
      <c r="M160" s="3" t="str">
        <f t="shared" si="74"/>
        <v/>
      </c>
      <c r="N160" s="3" t="str">
        <f t="shared" si="75"/>
        <v/>
      </c>
      <c r="O160" s="3" t="str">
        <f t="shared" si="76"/>
        <v/>
      </c>
      <c r="P160" s="3" t="str">
        <f t="shared" si="77"/>
        <v/>
      </c>
      <c r="Q160" s="8" t="str">
        <f t="shared" si="78"/>
        <v/>
      </c>
      <c r="R160" s="8" t="str">
        <f t="shared" si="79"/>
        <v/>
      </c>
      <c r="S160" s="3" t="str">
        <f t="shared" si="80"/>
        <v/>
      </c>
      <c r="T160" s="3" t="str">
        <f t="shared" si="81"/>
        <v/>
      </c>
      <c r="U160" s="3" t="str">
        <f t="shared" si="82"/>
        <v/>
      </c>
      <c r="V160" s="3" t="str">
        <f t="shared" si="83"/>
        <v/>
      </c>
      <c r="W160" s="3" t="str">
        <f t="shared" si="84"/>
        <v/>
      </c>
      <c r="X160" s="3" t="str">
        <f>IF($J160&lt;&gt;"",IF($L160&gt;W$11,IF($L160&lt;X$11,$L160-W$11,30),0)*ROUND(($M160+$U159+SUM($W160:W160))*$S$5/3000,2),"")</f>
        <v/>
      </c>
      <c r="Y160" s="3"/>
      <c r="Z160" s="3"/>
    </row>
    <row r="161" spans="4:26" x14ac:dyDescent="0.25">
      <c r="D161" s="5"/>
      <c r="E161" t="str">
        <f t="shared" si="68"/>
        <v/>
      </c>
      <c r="F161" s="5" t="str">
        <f>IF($J161&lt;&gt;"",EOMONTH(DATE(YEAR($L$6),$F$11+J161+SUM($B$12:B161),1),0),"")</f>
        <v/>
      </c>
      <c r="G161" s="22" t="str">
        <f t="shared" si="69"/>
        <v/>
      </c>
      <c r="H161" s="22" t="str">
        <f t="shared" si="70"/>
        <v/>
      </c>
      <c r="I161" s="22" t="str">
        <f t="shared" si="71"/>
        <v/>
      </c>
      <c r="J161" t="str">
        <f t="shared" si="72"/>
        <v/>
      </c>
      <c r="K161" s="5" t="str">
        <f>IF($J161&lt;&gt;"",IF(ULTIMODIA=0,IF($D161="",DATE(YEAR($L$7),MONTH($L$7)+($A$1*($G161-1))+SUM($B$12:$B161),DAY($L$7)),$D161),F161),"")</f>
        <v/>
      </c>
      <c r="L161" s="9" t="str">
        <f t="shared" si="73"/>
        <v/>
      </c>
      <c r="M161" s="3" t="str">
        <f t="shared" si="74"/>
        <v/>
      </c>
      <c r="N161" s="3" t="str">
        <f t="shared" si="75"/>
        <v/>
      </c>
      <c r="O161" s="3" t="str">
        <f t="shared" si="76"/>
        <v/>
      </c>
      <c r="P161" s="3" t="str">
        <f t="shared" si="77"/>
        <v/>
      </c>
      <c r="Q161" s="8" t="str">
        <f t="shared" si="78"/>
        <v/>
      </c>
      <c r="R161" s="8" t="str">
        <f t="shared" si="79"/>
        <v/>
      </c>
      <c r="S161" s="3" t="str">
        <f t="shared" si="80"/>
        <v/>
      </c>
      <c r="T161" s="3" t="str">
        <f t="shared" si="81"/>
        <v/>
      </c>
      <c r="U161" s="3" t="str">
        <f t="shared" si="82"/>
        <v/>
      </c>
      <c r="V161" s="3" t="str">
        <f t="shared" si="83"/>
        <v/>
      </c>
      <c r="W161" s="3" t="str">
        <f t="shared" si="84"/>
        <v/>
      </c>
      <c r="X161" s="3" t="str">
        <f>IF($J161&lt;&gt;"",IF($L161&gt;W$11,IF($L161&lt;X$11,$L161-W$11,30),0)*ROUND(($M161+$U160+SUM($W161:W161))*$S$5/3000,2),"")</f>
        <v/>
      </c>
      <c r="Y161" s="3"/>
      <c r="Z161" s="3"/>
    </row>
    <row r="162" spans="4:26" x14ac:dyDescent="0.25">
      <c r="D162" s="5"/>
      <c r="E162" t="str">
        <f t="shared" si="68"/>
        <v/>
      </c>
      <c r="F162" s="5" t="str">
        <f>IF($J162&lt;&gt;"",EOMONTH(DATE(YEAR($L$6),$F$11+J162+SUM($B$12:B162),1),0),"")</f>
        <v/>
      </c>
      <c r="G162" s="22" t="str">
        <f t="shared" si="69"/>
        <v/>
      </c>
      <c r="H162" s="22" t="str">
        <f t="shared" si="70"/>
        <v/>
      </c>
      <c r="I162" s="22" t="str">
        <f t="shared" si="71"/>
        <v/>
      </c>
      <c r="J162" t="str">
        <f t="shared" si="72"/>
        <v/>
      </c>
      <c r="K162" s="5" t="str">
        <f>IF($J162&lt;&gt;"",IF(ULTIMODIA=0,IF($D162="",DATE(YEAR($L$7),MONTH($L$7)+($A$1*($G162-1))+SUM($B$12:$B162),DAY($L$7)),$D162),F162),"")</f>
        <v/>
      </c>
      <c r="L162" s="9" t="str">
        <f t="shared" si="73"/>
        <v/>
      </c>
      <c r="M162" s="3" t="str">
        <f t="shared" si="74"/>
        <v/>
      </c>
      <c r="N162" s="3" t="str">
        <f t="shared" si="75"/>
        <v/>
      </c>
      <c r="O162" s="3" t="str">
        <f t="shared" si="76"/>
        <v/>
      </c>
      <c r="P162" s="3" t="str">
        <f t="shared" si="77"/>
        <v/>
      </c>
      <c r="Q162" s="8" t="str">
        <f t="shared" si="78"/>
        <v/>
      </c>
      <c r="R162" s="8" t="str">
        <f t="shared" si="79"/>
        <v/>
      </c>
      <c r="S162" s="3" t="str">
        <f t="shared" si="80"/>
        <v/>
      </c>
      <c r="T162" s="3" t="str">
        <f t="shared" si="81"/>
        <v/>
      </c>
      <c r="U162" s="3" t="str">
        <f t="shared" si="82"/>
        <v/>
      </c>
      <c r="V162" s="3" t="str">
        <f t="shared" si="83"/>
        <v/>
      </c>
      <c r="W162" s="3" t="str">
        <f t="shared" si="84"/>
        <v/>
      </c>
      <c r="X162" s="3" t="str">
        <f>IF($J162&lt;&gt;"",IF($L162&gt;W$11,IF($L162&lt;X$11,$L162-W$11,30),0)*ROUND(($M162+$U161+SUM($W162:W162))*$S$5/3000,2),"")</f>
        <v/>
      </c>
      <c r="Y162" s="3"/>
      <c r="Z162" s="3"/>
    </row>
    <row r="163" spans="4:26" x14ac:dyDescent="0.25">
      <c r="D163" s="5"/>
      <c r="E163" t="str">
        <f t="shared" si="68"/>
        <v/>
      </c>
      <c r="F163" s="5" t="str">
        <f>IF($J163&lt;&gt;"",EOMONTH(DATE(YEAR($L$6),$F$11+J163+SUM($B$12:B163),1),0),"")</f>
        <v/>
      </c>
      <c r="G163" s="22" t="str">
        <f t="shared" si="69"/>
        <v/>
      </c>
      <c r="H163" s="22" t="str">
        <f t="shared" si="70"/>
        <v/>
      </c>
      <c r="I163" s="22" t="str">
        <f t="shared" si="71"/>
        <v/>
      </c>
      <c r="J163" t="str">
        <f t="shared" si="72"/>
        <v/>
      </c>
      <c r="K163" s="5" t="str">
        <f>IF($J163&lt;&gt;"",IF(ULTIMODIA=0,IF($D163="",DATE(YEAR($L$7),MONTH($L$7)+($A$1*($G163-1))+SUM($B$12:$B163),DAY($L$7)),$D163),F163),"")</f>
        <v/>
      </c>
      <c r="L163" s="9" t="str">
        <f t="shared" si="73"/>
        <v/>
      </c>
      <c r="M163" s="3" t="str">
        <f t="shared" si="74"/>
        <v/>
      </c>
      <c r="N163" s="3" t="str">
        <f t="shared" si="75"/>
        <v/>
      </c>
      <c r="O163" s="3" t="str">
        <f t="shared" si="76"/>
        <v/>
      </c>
      <c r="P163" s="3" t="str">
        <f t="shared" si="77"/>
        <v/>
      </c>
      <c r="Q163" s="8" t="str">
        <f t="shared" si="78"/>
        <v/>
      </c>
      <c r="R163" s="8" t="str">
        <f t="shared" si="79"/>
        <v/>
      </c>
      <c r="S163" s="3" t="str">
        <f t="shared" si="80"/>
        <v/>
      </c>
      <c r="T163" s="3" t="str">
        <f t="shared" si="81"/>
        <v/>
      </c>
      <c r="U163" s="3" t="str">
        <f t="shared" si="82"/>
        <v/>
      </c>
      <c r="V163" s="3" t="str">
        <f t="shared" si="83"/>
        <v/>
      </c>
      <c r="W163" s="3" t="str">
        <f t="shared" si="84"/>
        <v/>
      </c>
      <c r="X163" s="3" t="str">
        <f>IF($J163&lt;&gt;"",IF($L163&gt;W$11,IF($L163&lt;X$11,$L163-W$11,30),0)*ROUND(($M163+$U162+SUM($W163:W163))*$S$5/3000,2),"")</f>
        <v/>
      </c>
      <c r="Y163" s="3"/>
      <c r="Z163" s="3"/>
    </row>
    <row r="164" spans="4:26" x14ac:dyDescent="0.25">
      <c r="D164" s="5"/>
      <c r="E164" t="str">
        <f t="shared" si="68"/>
        <v/>
      </c>
      <c r="F164" s="5" t="str">
        <f>IF($J164&lt;&gt;"",EOMONTH(DATE(YEAR($L$6),$F$11+J164+SUM($B$12:B164),1),0),"")</f>
        <v/>
      </c>
      <c r="G164" s="22" t="str">
        <f t="shared" si="69"/>
        <v/>
      </c>
      <c r="H164" s="22" t="str">
        <f t="shared" si="70"/>
        <v/>
      </c>
      <c r="I164" s="22" t="str">
        <f t="shared" si="71"/>
        <v/>
      </c>
      <c r="J164" t="str">
        <f t="shared" si="72"/>
        <v/>
      </c>
      <c r="K164" s="5" t="str">
        <f>IF($J164&lt;&gt;"",IF(ULTIMODIA=0,IF($D164="",DATE(YEAR($L$7),MONTH($L$7)+($A$1*($G164-1))+SUM($B$12:$B164),DAY($L$7)),$D164),F164),"")</f>
        <v/>
      </c>
      <c r="L164" s="9" t="str">
        <f t="shared" si="73"/>
        <v/>
      </c>
      <c r="M164" s="3" t="str">
        <f t="shared" si="74"/>
        <v/>
      </c>
      <c r="N164" s="3" t="str">
        <f t="shared" si="75"/>
        <v/>
      </c>
      <c r="O164" s="3" t="str">
        <f t="shared" si="76"/>
        <v/>
      </c>
      <c r="P164" s="3" t="str">
        <f t="shared" si="77"/>
        <v/>
      </c>
      <c r="Q164" s="8" t="str">
        <f t="shared" si="78"/>
        <v/>
      </c>
      <c r="R164" s="8" t="str">
        <f t="shared" si="79"/>
        <v/>
      </c>
      <c r="S164" s="3" t="str">
        <f t="shared" si="80"/>
        <v/>
      </c>
      <c r="T164" s="3" t="str">
        <f t="shared" si="81"/>
        <v/>
      </c>
      <c r="U164" s="3" t="str">
        <f t="shared" si="82"/>
        <v/>
      </c>
      <c r="V164" s="3" t="str">
        <f t="shared" si="83"/>
        <v/>
      </c>
      <c r="W164" s="3" t="str">
        <f t="shared" si="84"/>
        <v/>
      </c>
      <c r="X164" s="3" t="str">
        <f>IF($J164&lt;&gt;"",IF($L164&gt;W$11,IF($L164&lt;X$11,$L164-W$11,30),0)*ROUND(($M164+$U163+SUM($W164:W164))*$S$5/3000,2),"")</f>
        <v/>
      </c>
      <c r="Y164" s="3"/>
      <c r="Z164" s="3"/>
    </row>
    <row r="165" spans="4:26" x14ac:dyDescent="0.25">
      <c r="D165" s="5"/>
      <c r="E165" t="str">
        <f t="shared" si="68"/>
        <v/>
      </c>
      <c r="F165" s="5" t="str">
        <f>IF($J165&lt;&gt;"",EOMONTH(DATE(YEAR($L$6),$F$11+J165+SUM($B$12:B165),1),0),"")</f>
        <v/>
      </c>
      <c r="G165" s="22" t="str">
        <f t="shared" si="69"/>
        <v/>
      </c>
      <c r="H165" s="22" t="str">
        <f t="shared" si="70"/>
        <v/>
      </c>
      <c r="I165" s="22" t="str">
        <f t="shared" si="71"/>
        <v/>
      </c>
      <c r="J165" t="str">
        <f t="shared" si="72"/>
        <v/>
      </c>
      <c r="K165" s="5" t="str">
        <f>IF($J165&lt;&gt;"",IF(ULTIMODIA=0,IF($D165="",DATE(YEAR($L$7),MONTH($L$7)+($A$1*($G165-1))+SUM($B$12:$B165),DAY($L$7)),$D165),F165),"")</f>
        <v/>
      </c>
      <c r="L165" s="9" t="str">
        <f t="shared" si="73"/>
        <v/>
      </c>
      <c r="M165" s="3" t="str">
        <f t="shared" si="74"/>
        <v/>
      </c>
      <c r="N165" s="3" t="str">
        <f t="shared" si="75"/>
        <v/>
      </c>
      <c r="O165" s="3" t="str">
        <f t="shared" si="76"/>
        <v/>
      </c>
      <c r="P165" s="3" t="str">
        <f t="shared" si="77"/>
        <v/>
      </c>
      <c r="Q165" s="8" t="str">
        <f t="shared" si="78"/>
        <v/>
      </c>
      <c r="R165" s="8" t="str">
        <f t="shared" si="79"/>
        <v/>
      </c>
      <c r="S165" s="3" t="str">
        <f t="shared" si="80"/>
        <v/>
      </c>
      <c r="T165" s="3" t="str">
        <f t="shared" si="81"/>
        <v/>
      </c>
      <c r="U165" s="3" t="str">
        <f t="shared" si="82"/>
        <v/>
      </c>
      <c r="V165" s="3" t="str">
        <f t="shared" si="83"/>
        <v/>
      </c>
      <c r="W165" s="3" t="str">
        <f t="shared" si="84"/>
        <v/>
      </c>
      <c r="X165" s="3" t="str">
        <f>IF($J165&lt;&gt;"",IF($L165&gt;W$11,IF($L165&lt;X$11,$L165-W$11,30),0)*ROUND(($M165+$U164+SUM($W165:W165))*$S$5/3000,2),"")</f>
        <v/>
      </c>
      <c r="Y165" s="3"/>
      <c r="Z165" s="3"/>
    </row>
    <row r="166" spans="4:26" x14ac:dyDescent="0.25">
      <c r="D166" s="5"/>
      <c r="E166" t="str">
        <f t="shared" si="68"/>
        <v/>
      </c>
      <c r="F166" s="5" t="str">
        <f>IF($J166&lt;&gt;"",EOMONTH(DATE(YEAR($L$6),$F$11+J166+SUM($B$12:B166),1),0),"")</f>
        <v/>
      </c>
      <c r="G166" s="22" t="str">
        <f t="shared" si="69"/>
        <v/>
      </c>
      <c r="H166" s="22" t="str">
        <f t="shared" si="70"/>
        <v/>
      </c>
      <c r="I166" s="22" t="str">
        <f t="shared" si="71"/>
        <v/>
      </c>
      <c r="J166" t="str">
        <f t="shared" si="72"/>
        <v/>
      </c>
      <c r="K166" s="5" t="str">
        <f>IF($J166&lt;&gt;"",IF(ULTIMODIA=0,IF($D166="",DATE(YEAR($L$7),MONTH($L$7)+($A$1*($G166-1))+SUM($B$12:$B166),DAY($L$7)),$D166),F166),"")</f>
        <v/>
      </c>
      <c r="L166" s="9" t="str">
        <f t="shared" si="73"/>
        <v/>
      </c>
      <c r="M166" s="3" t="str">
        <f t="shared" si="74"/>
        <v/>
      </c>
      <c r="N166" s="3" t="str">
        <f t="shared" si="75"/>
        <v/>
      </c>
      <c r="O166" s="3" t="str">
        <f t="shared" si="76"/>
        <v/>
      </c>
      <c r="P166" s="3" t="str">
        <f t="shared" si="77"/>
        <v/>
      </c>
      <c r="Q166" s="8" t="str">
        <f t="shared" si="78"/>
        <v/>
      </c>
      <c r="R166" s="8" t="str">
        <f t="shared" si="79"/>
        <v/>
      </c>
      <c r="S166" s="3" t="str">
        <f t="shared" si="80"/>
        <v/>
      </c>
      <c r="T166" s="3" t="str">
        <f t="shared" si="81"/>
        <v/>
      </c>
      <c r="U166" s="3" t="str">
        <f t="shared" si="82"/>
        <v/>
      </c>
      <c r="V166" s="3" t="str">
        <f t="shared" si="83"/>
        <v/>
      </c>
      <c r="W166" s="3" t="str">
        <f t="shared" si="84"/>
        <v/>
      </c>
      <c r="X166" s="3" t="str">
        <f>IF($J166&lt;&gt;"",IF($L166&gt;W$11,IF($L166&lt;X$11,$L166-W$11,30),0)*ROUND(($M166+$U165+SUM($W166:W166))*$S$5/3000,2),"")</f>
        <v/>
      </c>
      <c r="Y166" s="3"/>
      <c r="Z166" s="3"/>
    </row>
    <row r="167" spans="4:26" x14ac:dyDescent="0.25">
      <c r="D167" s="5"/>
      <c r="E167" t="str">
        <f t="shared" si="68"/>
        <v/>
      </c>
      <c r="F167" s="5" t="str">
        <f>IF($J167&lt;&gt;"",EOMONTH(DATE(YEAR($L$6),$F$11+J167+SUM($B$12:B167),1),0),"")</f>
        <v/>
      </c>
      <c r="G167" s="22" t="str">
        <f t="shared" si="69"/>
        <v/>
      </c>
      <c r="H167" s="22" t="str">
        <f t="shared" si="70"/>
        <v/>
      </c>
      <c r="I167" s="22" t="str">
        <f t="shared" si="71"/>
        <v/>
      </c>
      <c r="J167" t="str">
        <f t="shared" si="72"/>
        <v/>
      </c>
      <c r="K167" s="5" t="str">
        <f>IF($J167&lt;&gt;"",IF(ULTIMODIA=0,IF($D167="",DATE(YEAR($L$7),MONTH($L$7)+($A$1*($G167-1))+SUM($B$12:$B167),DAY($L$7)),$D167),F167),"")</f>
        <v/>
      </c>
      <c r="L167" s="9" t="str">
        <f t="shared" si="73"/>
        <v/>
      </c>
      <c r="M167" s="3" t="str">
        <f t="shared" si="74"/>
        <v/>
      </c>
      <c r="N167" s="3" t="str">
        <f t="shared" si="75"/>
        <v/>
      </c>
      <c r="O167" s="3" t="str">
        <f t="shared" si="76"/>
        <v/>
      </c>
      <c r="P167" s="3" t="str">
        <f t="shared" si="77"/>
        <v/>
      </c>
      <c r="Q167" s="8" t="str">
        <f t="shared" si="78"/>
        <v/>
      </c>
      <c r="R167" s="8" t="str">
        <f t="shared" si="79"/>
        <v/>
      </c>
      <c r="S167" s="3" t="str">
        <f t="shared" si="80"/>
        <v/>
      </c>
      <c r="T167" s="3" t="str">
        <f t="shared" si="81"/>
        <v/>
      </c>
      <c r="U167" s="3" t="str">
        <f t="shared" si="82"/>
        <v/>
      </c>
      <c r="V167" s="3" t="str">
        <f t="shared" si="83"/>
        <v/>
      </c>
      <c r="W167" s="3" t="str">
        <f t="shared" si="84"/>
        <v/>
      </c>
      <c r="X167" s="3" t="str">
        <f>IF($J167&lt;&gt;"",IF($L167&gt;W$11,IF($L167&lt;X$11,$L167-W$11,30),0)*ROUND(($M167+$U166+SUM($W167:W167))*$S$5/3000,2),"")</f>
        <v/>
      </c>
      <c r="Y167" s="3"/>
      <c r="Z167" s="3"/>
    </row>
    <row r="168" spans="4:26" x14ac:dyDescent="0.25">
      <c r="D168" s="5"/>
      <c r="E168" t="str">
        <f t="shared" si="68"/>
        <v/>
      </c>
      <c r="F168" s="5" t="str">
        <f>IF($J168&lt;&gt;"",EOMONTH(DATE(YEAR($L$6),$F$11+J168+SUM($B$12:B168),1),0),"")</f>
        <v/>
      </c>
      <c r="G168" s="22" t="str">
        <f t="shared" si="69"/>
        <v/>
      </c>
      <c r="H168" s="22" t="str">
        <f t="shared" si="70"/>
        <v/>
      </c>
      <c r="I168" s="22" t="str">
        <f t="shared" si="71"/>
        <v/>
      </c>
      <c r="J168" t="str">
        <f t="shared" si="72"/>
        <v/>
      </c>
      <c r="K168" s="5" t="str">
        <f>IF($J168&lt;&gt;"",IF(ULTIMODIA=0,IF($D168="",DATE(YEAR($L$7),MONTH($L$7)+($A$1*($G168-1))+SUM($B$12:$B168),DAY($L$7)),$D168),F168),"")</f>
        <v/>
      </c>
      <c r="L168" s="9" t="str">
        <f t="shared" si="73"/>
        <v/>
      </c>
      <c r="M168" s="3" t="str">
        <f t="shared" si="74"/>
        <v/>
      </c>
      <c r="N168" s="3" t="str">
        <f t="shared" si="75"/>
        <v/>
      </c>
      <c r="O168" s="3" t="str">
        <f t="shared" si="76"/>
        <v/>
      </c>
      <c r="P168" s="3" t="str">
        <f t="shared" si="77"/>
        <v/>
      </c>
      <c r="Q168" s="8" t="str">
        <f t="shared" si="78"/>
        <v/>
      </c>
      <c r="R168" s="8" t="str">
        <f t="shared" si="79"/>
        <v/>
      </c>
      <c r="S168" s="3" t="str">
        <f t="shared" si="80"/>
        <v/>
      </c>
      <c r="T168" s="3" t="str">
        <f t="shared" si="81"/>
        <v/>
      </c>
      <c r="U168" s="3" t="str">
        <f t="shared" si="82"/>
        <v/>
      </c>
      <c r="V168" s="3" t="str">
        <f t="shared" si="83"/>
        <v/>
      </c>
      <c r="W168" s="3" t="str">
        <f t="shared" si="84"/>
        <v/>
      </c>
      <c r="X168" s="3" t="str">
        <f>IF($J168&lt;&gt;"",IF($L168&gt;W$11,IF($L168&lt;X$11,$L168-W$11,30),0)*ROUND(($M168+$U167+SUM($W168:W168))*$S$5/3000,2),"")</f>
        <v/>
      </c>
      <c r="Y168" s="3"/>
      <c r="Z168" s="3"/>
    </row>
    <row r="169" spans="4:26" x14ac:dyDescent="0.25">
      <c r="D169" s="5"/>
      <c r="E169" t="str">
        <f t="shared" si="68"/>
        <v/>
      </c>
      <c r="F169" s="5" t="str">
        <f>IF($J169&lt;&gt;"",EOMONTH(DATE(YEAR($L$6),$F$11+J169+SUM($B$12:B169),1),0),"")</f>
        <v/>
      </c>
      <c r="G169" s="22" t="str">
        <f t="shared" si="69"/>
        <v/>
      </c>
      <c r="H169" s="22" t="str">
        <f t="shared" si="70"/>
        <v/>
      </c>
      <c r="I169" s="22" t="str">
        <f t="shared" si="71"/>
        <v/>
      </c>
      <c r="J169" t="str">
        <f t="shared" si="72"/>
        <v/>
      </c>
      <c r="K169" s="5" t="str">
        <f>IF($J169&lt;&gt;"",IF(ULTIMODIA=0,IF($D169="",DATE(YEAR($L$7),MONTH($L$7)+($A$1*($G169-1))+SUM($B$12:$B169),DAY($L$7)),$D169),F169),"")</f>
        <v/>
      </c>
      <c r="L169" s="9" t="str">
        <f t="shared" si="73"/>
        <v/>
      </c>
      <c r="M169" s="3" t="str">
        <f t="shared" si="74"/>
        <v/>
      </c>
      <c r="N169" s="3" t="str">
        <f t="shared" si="75"/>
        <v/>
      </c>
      <c r="O169" s="3" t="str">
        <f t="shared" si="76"/>
        <v/>
      </c>
      <c r="P169" s="3" t="str">
        <f t="shared" si="77"/>
        <v/>
      </c>
      <c r="Q169" s="8" t="str">
        <f t="shared" si="78"/>
        <v/>
      </c>
      <c r="R169" s="8" t="str">
        <f t="shared" si="79"/>
        <v/>
      </c>
      <c r="S169" s="3" t="str">
        <f t="shared" si="80"/>
        <v/>
      </c>
      <c r="T169" s="3" t="str">
        <f t="shared" si="81"/>
        <v/>
      </c>
      <c r="U169" s="3" t="str">
        <f t="shared" si="82"/>
        <v/>
      </c>
      <c r="V169" s="3" t="str">
        <f t="shared" si="83"/>
        <v/>
      </c>
      <c r="W169" s="3" t="str">
        <f t="shared" si="84"/>
        <v/>
      </c>
      <c r="X169" s="3" t="str">
        <f>IF($J169&lt;&gt;"",IF($L169&gt;W$11,IF($L169&lt;X$11,$L169-W$11,30),0)*ROUND(($M169+$U168+SUM($W169:W169))*$S$5/3000,2),"")</f>
        <v/>
      </c>
      <c r="Y169" s="3"/>
      <c r="Z169" s="3"/>
    </row>
    <row r="170" spans="4:26" x14ac:dyDescent="0.25">
      <c r="D170" s="5"/>
      <c r="E170" t="str">
        <f t="shared" si="68"/>
        <v/>
      </c>
      <c r="F170" s="5" t="str">
        <f>IF($J170&lt;&gt;"",EOMONTH(DATE(YEAR($L$6),$F$11+J170+SUM($B$12:B170),1),0),"")</f>
        <v/>
      </c>
      <c r="G170" s="22" t="str">
        <f t="shared" si="69"/>
        <v/>
      </c>
      <c r="H170" s="22" t="str">
        <f t="shared" si="70"/>
        <v/>
      </c>
      <c r="I170" s="22" t="str">
        <f t="shared" si="71"/>
        <v/>
      </c>
      <c r="J170" t="str">
        <f t="shared" si="72"/>
        <v/>
      </c>
      <c r="K170" s="5" t="str">
        <f>IF($J170&lt;&gt;"",IF(ULTIMODIA=0,IF($D170="",DATE(YEAR($L$7),MONTH($L$7)+($A$1*($G170-1))+SUM($B$12:$B170),DAY($L$7)),$D170),F170),"")</f>
        <v/>
      </c>
      <c r="L170" s="9" t="str">
        <f t="shared" si="73"/>
        <v/>
      </c>
      <c r="M170" s="3" t="str">
        <f t="shared" si="74"/>
        <v/>
      </c>
      <c r="N170" s="3" t="str">
        <f t="shared" si="75"/>
        <v/>
      </c>
      <c r="O170" s="3" t="str">
        <f t="shared" si="76"/>
        <v/>
      </c>
      <c r="P170" s="3" t="str">
        <f t="shared" si="77"/>
        <v/>
      </c>
      <c r="Q170" s="8" t="str">
        <f t="shared" si="78"/>
        <v/>
      </c>
      <c r="R170" s="8" t="str">
        <f t="shared" si="79"/>
        <v/>
      </c>
      <c r="S170" s="3" t="str">
        <f t="shared" si="80"/>
        <v/>
      </c>
      <c r="T170" s="3" t="str">
        <f t="shared" si="81"/>
        <v/>
      </c>
      <c r="U170" s="3" t="str">
        <f t="shared" si="82"/>
        <v/>
      </c>
      <c r="V170" s="3" t="str">
        <f t="shared" si="83"/>
        <v/>
      </c>
      <c r="W170" s="3" t="str">
        <f t="shared" si="84"/>
        <v/>
      </c>
      <c r="X170" s="3" t="str">
        <f>IF($J170&lt;&gt;"",IF($L170&gt;W$11,IF($L170&lt;X$11,$L170-W$11,30),0)*ROUND(($M170+$U169+SUM($W170:W170))*$S$5/3000,2),"")</f>
        <v/>
      </c>
      <c r="Y170" s="3"/>
      <c r="Z170" s="3"/>
    </row>
    <row r="171" spans="4:26" x14ac:dyDescent="0.25">
      <c r="D171" s="5"/>
      <c r="E171" t="str">
        <f t="shared" si="68"/>
        <v/>
      </c>
      <c r="F171" s="5" t="str">
        <f>IF($J171&lt;&gt;"",EOMONTH(DATE(YEAR($L$6),$F$11+J171+SUM($B$12:B171),1),0),"")</f>
        <v/>
      </c>
      <c r="G171" s="22" t="str">
        <f t="shared" si="69"/>
        <v/>
      </c>
      <c r="H171" s="22" t="str">
        <f t="shared" si="70"/>
        <v/>
      </c>
      <c r="I171" s="22" t="str">
        <f t="shared" si="71"/>
        <v/>
      </c>
      <c r="J171" t="str">
        <f t="shared" si="72"/>
        <v/>
      </c>
      <c r="K171" s="5" t="str">
        <f>IF($J171&lt;&gt;"",IF(ULTIMODIA=0,IF($D171="",DATE(YEAR($L$7),MONTH($L$7)+($A$1*($G171-1))+SUM($B$12:$B171),DAY($L$7)),$D171),F171),"")</f>
        <v/>
      </c>
      <c r="L171" s="9" t="str">
        <f t="shared" si="73"/>
        <v/>
      </c>
      <c r="M171" s="3" t="str">
        <f t="shared" si="74"/>
        <v/>
      </c>
      <c r="N171" s="3" t="str">
        <f t="shared" si="75"/>
        <v/>
      </c>
      <c r="O171" s="3" t="str">
        <f t="shared" si="76"/>
        <v/>
      </c>
      <c r="P171" s="3" t="str">
        <f t="shared" si="77"/>
        <v/>
      </c>
      <c r="Q171" s="8" t="str">
        <f t="shared" si="78"/>
        <v/>
      </c>
      <c r="R171" s="8" t="str">
        <f t="shared" si="79"/>
        <v/>
      </c>
      <c r="S171" s="3" t="str">
        <f t="shared" si="80"/>
        <v/>
      </c>
      <c r="T171" s="3" t="str">
        <f t="shared" si="81"/>
        <v/>
      </c>
      <c r="U171" s="3" t="str">
        <f t="shared" si="82"/>
        <v/>
      </c>
      <c r="V171" s="3" t="str">
        <f t="shared" si="83"/>
        <v/>
      </c>
      <c r="W171" s="3" t="str">
        <f t="shared" si="84"/>
        <v/>
      </c>
      <c r="X171" s="3" t="str">
        <f>IF($J171&lt;&gt;"",IF($L171&gt;W$11,IF($L171&lt;X$11,$L171-W$11,30),0)*ROUND(($M171+$U170+SUM($W171:W171))*$S$5/3000,2),"")</f>
        <v/>
      </c>
      <c r="Y171" s="3"/>
      <c r="Z171" s="3"/>
    </row>
    <row r="172" spans="4:26" x14ac:dyDescent="0.25">
      <c r="D172" s="5"/>
      <c r="E172" t="str">
        <f t="shared" ref="E172:E204" si="85">IF($J172&lt;&gt;"",TEXT(K172,"DDD"),"")</f>
        <v/>
      </c>
      <c r="F172" s="5" t="str">
        <f>IF($J172&lt;&gt;"",EOMONTH(DATE(YEAR($L$6),$F$11+J172+SUM($B$12:B172),1),0),"")</f>
        <v/>
      </c>
      <c r="G172" s="22" t="str">
        <f t="shared" ref="G172:G208" si="86">IF($J172&lt;&gt;"",IF($A172="Prepago",$G171,$G171+1),"")</f>
        <v/>
      </c>
      <c r="H172" s="22" t="str">
        <f t="shared" ref="H172:H204" si="87">IF($J172&lt;&gt;"",IF(ISNUMBER($C172),-$O172+$V172-$P172,ABS($V172)+$Q172+$R172+$S172),"")</f>
        <v/>
      </c>
      <c r="I172" s="22" t="str">
        <f t="shared" ref="I172:I203" si="88">IF(J172&lt;&gt;"",IF(COUNTA($W172:$XFD172)*30&lt;$L172,1,0),"")</f>
        <v/>
      </c>
      <c r="J172" t="str">
        <f t="shared" ref="J172:J208" si="89">IF($J171&lt;NCUOTAS+CUOTAADICIONAL+PGRACIA,$J171+1,"")</f>
        <v/>
      </c>
      <c r="K172" s="5" t="str">
        <f>IF($J172&lt;&gt;"",IF(ULTIMODIA=0,IF($D172="",DATE(YEAR($L$7),MONTH($L$7)+($A$1*($G172-1))+SUM($B$12:$B172),DAY($L$7)),$D172),F172),"")</f>
        <v/>
      </c>
      <c r="L172" s="9" t="str">
        <f t="shared" ref="L172:L204" si="90">IF($J172&lt;&gt;"",$K172-$K171,"")</f>
        <v/>
      </c>
      <c r="M172" s="3" t="str">
        <f t="shared" ref="M172:M204" si="91">IF($J172&lt;&gt;"",$T171,"")</f>
        <v/>
      </c>
      <c r="N172" s="3" t="str">
        <f t="shared" ref="N172:N208" si="92">IF($J172&lt;&gt;"",IF($A172="Gracia Parcial",IF(AND($C172&lt;$V172+$Q172+$R172+$S172+$U171,$C172&gt;0),$C172,$V172+$Q172+$R172+$S172+$U171),IF($A172="Gracia Total",0,IF($A172="Prepago",$C172,IF(ISNUMBER($C172),$C172*VALUE(MID($C$1,MONTH($K172),1)),$O$5*VALUE(MID($C$1,MONTH($K172),1))))))-IF($J173="",ARREGLO,0),"")</f>
        <v/>
      </c>
      <c r="O172" s="3" t="str">
        <f t="shared" ref="O172:O204" si="93">IF($J172&lt;&gt;"",IF($N172-$P172&gt;0,$N172-$P172-$Q172-$R172-$S172,0),"")</f>
        <v/>
      </c>
      <c r="P172" s="3" t="str">
        <f t="shared" ref="P172:P204" si="94">IF($J172&lt;&gt;"",IF($N172&gt;=$V172+$U171+$Q172+$R172+$S172,$V172+$U171,$N172-$Q172-$R172-$S172),"")</f>
        <v/>
      </c>
      <c r="Q172" s="8" t="str">
        <f t="shared" ref="Q172:Q204" si="95">IF($J172&lt;&gt;"",IF($A172="Prepago",0,$R$6+$R$6*$B172),"")</f>
        <v/>
      </c>
      <c r="R172" s="8" t="str">
        <f t="shared" ref="R172:R204" si="96">IF($J172&lt;&gt;"",IF($A172="Prepago",0,$R$7+$R$7*$B172),"")</f>
        <v/>
      </c>
      <c r="S172" s="3" t="str">
        <f t="shared" ref="S172:S204" si="97">IF($J172&lt;&gt;"",IF($A172="Prepago",0,$R$8+$R$8*$B172),"")</f>
        <v/>
      </c>
      <c r="T172" s="3" t="str">
        <f t="shared" ref="T172:T204" si="98">IF($J172&lt;&gt;"",$M172-$O172,"")</f>
        <v/>
      </c>
      <c r="U172" s="3" t="str">
        <f t="shared" ref="U172:U204" si="99">IF($J172&lt;&gt;"",+$U171+SUM($W172:$CE172)-$P172,"")</f>
        <v/>
      </c>
      <c r="V172" s="3" t="str">
        <f t="shared" ref="V172:V208" si="100">IF($J172&lt;&gt;"",SUM($W172:$XFD172),"")</f>
        <v/>
      </c>
      <c r="W172" s="3" t="str">
        <f t="shared" ref="W172:W203" si="101">IF($J172&lt;&gt;"",IF($L172&gt;W$11,30,$L172)*ROUND(($M172+$U171)*$S$5/3000,2),"")</f>
        <v/>
      </c>
      <c r="X172" s="3" t="str">
        <f>IF($J172&lt;&gt;"",IF($L172&gt;W$11,IF($L172&lt;X$11,$L172-W$11,30),0)*ROUND(($M172+$U171+SUM($W172:W172))*$S$5/3000,2),"")</f>
        <v/>
      </c>
      <c r="Y172" s="3"/>
      <c r="Z172" s="3"/>
    </row>
    <row r="173" spans="4:26" x14ac:dyDescent="0.25">
      <c r="D173" s="5"/>
      <c r="E173" t="str">
        <f t="shared" si="85"/>
        <v/>
      </c>
      <c r="F173" s="5" t="str">
        <f>IF($J173&lt;&gt;"",EOMONTH(DATE(YEAR($L$6),$F$11+J173+SUM($B$12:B173),1),0),"")</f>
        <v/>
      </c>
      <c r="G173" s="22" t="str">
        <f t="shared" si="86"/>
        <v/>
      </c>
      <c r="H173" s="22" t="str">
        <f t="shared" si="87"/>
        <v/>
      </c>
      <c r="I173" s="22" t="str">
        <f t="shared" si="88"/>
        <v/>
      </c>
      <c r="J173" t="str">
        <f t="shared" si="89"/>
        <v/>
      </c>
      <c r="K173" s="5" t="str">
        <f>IF($J173&lt;&gt;"",IF(ULTIMODIA=0,IF($D173="",DATE(YEAR($L$7),MONTH($L$7)+($A$1*($G173-1))+SUM($B$12:$B173),DAY($L$7)),$D173),F173),"")</f>
        <v/>
      </c>
      <c r="L173" s="9" t="str">
        <f t="shared" si="90"/>
        <v/>
      </c>
      <c r="M173" s="3" t="str">
        <f t="shared" si="91"/>
        <v/>
      </c>
      <c r="N173" s="3" t="str">
        <f t="shared" si="92"/>
        <v/>
      </c>
      <c r="O173" s="3" t="str">
        <f t="shared" si="93"/>
        <v/>
      </c>
      <c r="P173" s="3" t="str">
        <f t="shared" si="94"/>
        <v/>
      </c>
      <c r="Q173" s="8" t="str">
        <f t="shared" si="95"/>
        <v/>
      </c>
      <c r="R173" s="8" t="str">
        <f t="shared" si="96"/>
        <v/>
      </c>
      <c r="S173" s="3" t="str">
        <f t="shared" si="97"/>
        <v/>
      </c>
      <c r="T173" s="3" t="str">
        <f t="shared" si="98"/>
        <v/>
      </c>
      <c r="U173" s="3" t="str">
        <f t="shared" si="99"/>
        <v/>
      </c>
      <c r="V173" s="3" t="str">
        <f t="shared" si="100"/>
        <v/>
      </c>
      <c r="W173" s="3" t="str">
        <f t="shared" si="101"/>
        <v/>
      </c>
      <c r="X173" s="3" t="str">
        <f>IF($J173&lt;&gt;"",IF($L173&gt;W$11,IF($L173&lt;X$11,$L173-W$11,30),0)*ROUND(($M173+$U172+SUM($W173:W173))*$S$5/3000,2),"")</f>
        <v/>
      </c>
      <c r="Y173" s="3"/>
      <c r="Z173" s="3"/>
    </row>
    <row r="174" spans="4:26" x14ac:dyDescent="0.25">
      <c r="D174" s="5"/>
      <c r="E174" t="str">
        <f t="shared" si="85"/>
        <v/>
      </c>
      <c r="F174" s="5" t="str">
        <f>IF($J174&lt;&gt;"",EOMONTH(DATE(YEAR($L$6),$F$11+J174+SUM($B$12:B174),1),0),"")</f>
        <v/>
      </c>
      <c r="G174" s="22" t="str">
        <f t="shared" si="86"/>
        <v/>
      </c>
      <c r="H174" s="22" t="str">
        <f t="shared" si="87"/>
        <v/>
      </c>
      <c r="I174" s="22" t="str">
        <f t="shared" si="88"/>
        <v/>
      </c>
      <c r="J174" t="str">
        <f t="shared" si="89"/>
        <v/>
      </c>
      <c r="K174" s="5" t="str">
        <f>IF($J174&lt;&gt;"",IF(ULTIMODIA=0,IF($D174="",DATE(YEAR($L$7),MONTH($L$7)+($A$1*($G174-1))+SUM($B$12:$B174),DAY($L$7)),$D174),F174),"")</f>
        <v/>
      </c>
      <c r="L174" s="9" t="str">
        <f t="shared" si="90"/>
        <v/>
      </c>
      <c r="M174" s="3" t="str">
        <f t="shared" si="91"/>
        <v/>
      </c>
      <c r="N174" s="3" t="str">
        <f t="shared" si="92"/>
        <v/>
      </c>
      <c r="O174" s="3" t="str">
        <f t="shared" si="93"/>
        <v/>
      </c>
      <c r="P174" s="3" t="str">
        <f t="shared" si="94"/>
        <v/>
      </c>
      <c r="Q174" s="8" t="str">
        <f t="shared" si="95"/>
        <v/>
      </c>
      <c r="R174" s="8" t="str">
        <f t="shared" si="96"/>
        <v/>
      </c>
      <c r="S174" s="3" t="str">
        <f t="shared" si="97"/>
        <v/>
      </c>
      <c r="T174" s="3" t="str">
        <f t="shared" si="98"/>
        <v/>
      </c>
      <c r="U174" s="3" t="str">
        <f t="shared" si="99"/>
        <v/>
      </c>
      <c r="V174" s="3" t="str">
        <f t="shared" si="100"/>
        <v/>
      </c>
      <c r="W174" s="3" t="str">
        <f t="shared" si="101"/>
        <v/>
      </c>
      <c r="X174" s="3" t="str">
        <f>IF($J174&lt;&gt;"",IF($L174&gt;W$11,IF($L174&lt;X$11,$L174-W$11,30),0)*ROUND(($M174+$U173+SUM($W174:W174))*$S$5/3000,2),"")</f>
        <v/>
      </c>
      <c r="Y174" s="3"/>
      <c r="Z174" s="3"/>
    </row>
    <row r="175" spans="4:26" x14ac:dyDescent="0.25">
      <c r="D175" s="5"/>
      <c r="E175" t="str">
        <f t="shared" si="85"/>
        <v/>
      </c>
      <c r="F175" s="5" t="str">
        <f>IF($J175&lt;&gt;"",EOMONTH(DATE(YEAR($L$6),$F$11+J175+SUM($B$12:B175),1),0),"")</f>
        <v/>
      </c>
      <c r="G175" s="22" t="str">
        <f t="shared" si="86"/>
        <v/>
      </c>
      <c r="H175" s="22" t="str">
        <f t="shared" si="87"/>
        <v/>
      </c>
      <c r="I175" s="22" t="str">
        <f t="shared" si="88"/>
        <v/>
      </c>
      <c r="J175" t="str">
        <f t="shared" si="89"/>
        <v/>
      </c>
      <c r="K175" s="5" t="str">
        <f>IF($J175&lt;&gt;"",IF(ULTIMODIA=0,IF($D175="",DATE(YEAR($L$7),MONTH($L$7)+($A$1*($G175-1))+SUM($B$12:$B175),DAY($L$7)),$D175),F175),"")</f>
        <v/>
      </c>
      <c r="L175" s="9" t="str">
        <f t="shared" si="90"/>
        <v/>
      </c>
      <c r="M175" s="3" t="str">
        <f t="shared" si="91"/>
        <v/>
      </c>
      <c r="N175" s="3" t="str">
        <f t="shared" si="92"/>
        <v/>
      </c>
      <c r="O175" s="3" t="str">
        <f t="shared" si="93"/>
        <v/>
      </c>
      <c r="P175" s="3" t="str">
        <f t="shared" si="94"/>
        <v/>
      </c>
      <c r="Q175" s="8" t="str">
        <f t="shared" si="95"/>
        <v/>
      </c>
      <c r="R175" s="8" t="str">
        <f t="shared" si="96"/>
        <v/>
      </c>
      <c r="S175" s="3" t="str">
        <f t="shared" si="97"/>
        <v/>
      </c>
      <c r="T175" s="3" t="str">
        <f t="shared" si="98"/>
        <v/>
      </c>
      <c r="U175" s="3" t="str">
        <f t="shared" si="99"/>
        <v/>
      </c>
      <c r="V175" s="3" t="str">
        <f t="shared" si="100"/>
        <v/>
      </c>
      <c r="W175" s="3" t="str">
        <f t="shared" si="101"/>
        <v/>
      </c>
      <c r="X175" s="3" t="str">
        <f>IF($J175&lt;&gt;"",IF($L175&gt;W$11,IF($L175&lt;X$11,$L175-W$11,30),0)*ROUND(($M175+$U174+SUM($W175:W175))*$S$5/3000,2),"")</f>
        <v/>
      </c>
      <c r="Y175" s="3"/>
      <c r="Z175" s="3"/>
    </row>
    <row r="176" spans="4:26" x14ac:dyDescent="0.25">
      <c r="D176" s="5"/>
      <c r="E176" t="str">
        <f t="shared" si="85"/>
        <v/>
      </c>
      <c r="F176" s="5" t="str">
        <f>IF($J176&lt;&gt;"",EOMONTH(DATE(YEAR($L$6),$F$11+J176+SUM($B$12:B176),1),0),"")</f>
        <v/>
      </c>
      <c r="G176" s="22" t="str">
        <f t="shared" si="86"/>
        <v/>
      </c>
      <c r="H176" s="22" t="str">
        <f t="shared" si="87"/>
        <v/>
      </c>
      <c r="I176" s="22" t="str">
        <f t="shared" si="88"/>
        <v/>
      </c>
      <c r="J176" t="str">
        <f t="shared" si="89"/>
        <v/>
      </c>
      <c r="K176" s="5" t="str">
        <f>IF($J176&lt;&gt;"",IF(ULTIMODIA=0,IF($D176="",DATE(YEAR($L$7),MONTH($L$7)+($A$1*($G176-1))+SUM($B$12:$B176),DAY($L$7)),$D176),F176),"")</f>
        <v/>
      </c>
      <c r="L176" s="9" t="str">
        <f t="shared" si="90"/>
        <v/>
      </c>
      <c r="M176" s="3" t="str">
        <f t="shared" si="91"/>
        <v/>
      </c>
      <c r="N176" s="3" t="str">
        <f t="shared" si="92"/>
        <v/>
      </c>
      <c r="O176" s="3" t="str">
        <f t="shared" si="93"/>
        <v/>
      </c>
      <c r="P176" s="3" t="str">
        <f t="shared" si="94"/>
        <v/>
      </c>
      <c r="Q176" s="8" t="str">
        <f t="shared" si="95"/>
        <v/>
      </c>
      <c r="R176" s="8" t="str">
        <f t="shared" si="96"/>
        <v/>
      </c>
      <c r="S176" s="3" t="str">
        <f t="shared" si="97"/>
        <v/>
      </c>
      <c r="T176" s="3" t="str">
        <f t="shared" si="98"/>
        <v/>
      </c>
      <c r="U176" s="3" t="str">
        <f t="shared" si="99"/>
        <v/>
      </c>
      <c r="V176" s="3" t="str">
        <f t="shared" si="100"/>
        <v/>
      </c>
      <c r="W176" s="3" t="str">
        <f t="shared" si="101"/>
        <v/>
      </c>
      <c r="X176" s="3" t="str">
        <f>IF($J176&lt;&gt;"",IF($L176&gt;W$11,IF($L176&lt;X$11,$L176-W$11,30),0)*ROUND(($M176+$U175+SUM($W176:W176))*$S$5/3000,2),"")</f>
        <v/>
      </c>
      <c r="Y176" s="3"/>
      <c r="Z176" s="3"/>
    </row>
    <row r="177" spans="4:26" x14ac:dyDescent="0.25">
      <c r="D177" s="5"/>
      <c r="E177" t="str">
        <f t="shared" si="85"/>
        <v/>
      </c>
      <c r="F177" s="5" t="str">
        <f>IF($J177&lt;&gt;"",EOMONTH(DATE(YEAR($L$6),$F$11+J177+SUM($B$12:B177),1),0),"")</f>
        <v/>
      </c>
      <c r="G177" s="22" t="str">
        <f t="shared" si="86"/>
        <v/>
      </c>
      <c r="H177" s="22" t="str">
        <f t="shared" si="87"/>
        <v/>
      </c>
      <c r="I177" s="22" t="str">
        <f t="shared" si="88"/>
        <v/>
      </c>
      <c r="J177" t="str">
        <f t="shared" si="89"/>
        <v/>
      </c>
      <c r="K177" s="5" t="str">
        <f>IF($J177&lt;&gt;"",IF(ULTIMODIA=0,IF($D177="",DATE(YEAR($L$7),MONTH($L$7)+($A$1*($G177-1))+SUM($B$12:$B177),DAY($L$7)),$D177),F177),"")</f>
        <v/>
      </c>
      <c r="L177" s="9" t="str">
        <f t="shared" si="90"/>
        <v/>
      </c>
      <c r="M177" s="3" t="str">
        <f t="shared" si="91"/>
        <v/>
      </c>
      <c r="N177" s="3" t="str">
        <f t="shared" si="92"/>
        <v/>
      </c>
      <c r="O177" s="3" t="str">
        <f t="shared" si="93"/>
        <v/>
      </c>
      <c r="P177" s="3" t="str">
        <f t="shared" si="94"/>
        <v/>
      </c>
      <c r="Q177" s="8" t="str">
        <f t="shared" si="95"/>
        <v/>
      </c>
      <c r="R177" s="8" t="str">
        <f t="shared" si="96"/>
        <v/>
      </c>
      <c r="S177" s="3" t="str">
        <f t="shared" si="97"/>
        <v/>
      </c>
      <c r="T177" s="3" t="str">
        <f t="shared" si="98"/>
        <v/>
      </c>
      <c r="U177" s="3" t="str">
        <f t="shared" si="99"/>
        <v/>
      </c>
      <c r="V177" s="3" t="str">
        <f t="shared" si="100"/>
        <v/>
      </c>
      <c r="W177" s="3" t="str">
        <f t="shared" si="101"/>
        <v/>
      </c>
      <c r="X177" s="3" t="str">
        <f>IF($J177&lt;&gt;"",IF($L177&gt;W$11,IF($L177&lt;X$11,$L177-W$11,30),0)*ROUND(($M177+$U176+SUM($W177:W177))*$S$5/3000,2),"")</f>
        <v/>
      </c>
      <c r="Y177" s="3"/>
      <c r="Z177" s="3"/>
    </row>
    <row r="178" spans="4:26" x14ac:dyDescent="0.25">
      <c r="D178" s="5"/>
      <c r="E178" t="str">
        <f t="shared" si="85"/>
        <v/>
      </c>
      <c r="F178" s="5" t="str">
        <f>IF($J178&lt;&gt;"",EOMONTH(DATE(YEAR($L$6),$F$11+J178+SUM($B$12:B178),1),0),"")</f>
        <v/>
      </c>
      <c r="G178" s="22" t="str">
        <f t="shared" si="86"/>
        <v/>
      </c>
      <c r="H178" s="22" t="str">
        <f t="shared" si="87"/>
        <v/>
      </c>
      <c r="I178" s="22" t="str">
        <f t="shared" si="88"/>
        <v/>
      </c>
      <c r="J178" t="str">
        <f t="shared" si="89"/>
        <v/>
      </c>
      <c r="K178" s="5" t="str">
        <f>IF($J178&lt;&gt;"",IF(ULTIMODIA=0,IF($D178="",DATE(YEAR($L$7),MONTH($L$7)+($A$1*($G178-1))+SUM($B$12:$B178),DAY($L$7)),$D178),F178),"")</f>
        <v/>
      </c>
      <c r="L178" s="9" t="str">
        <f t="shared" si="90"/>
        <v/>
      </c>
      <c r="M178" s="3" t="str">
        <f t="shared" si="91"/>
        <v/>
      </c>
      <c r="N178" s="3" t="str">
        <f t="shared" si="92"/>
        <v/>
      </c>
      <c r="O178" s="3" t="str">
        <f t="shared" si="93"/>
        <v/>
      </c>
      <c r="P178" s="3" t="str">
        <f t="shared" si="94"/>
        <v/>
      </c>
      <c r="Q178" s="8" t="str">
        <f t="shared" si="95"/>
        <v/>
      </c>
      <c r="R178" s="8" t="str">
        <f t="shared" si="96"/>
        <v/>
      </c>
      <c r="S178" s="3" t="str">
        <f t="shared" si="97"/>
        <v/>
      </c>
      <c r="T178" s="3" t="str">
        <f t="shared" si="98"/>
        <v/>
      </c>
      <c r="U178" s="3" t="str">
        <f t="shared" si="99"/>
        <v/>
      </c>
      <c r="V178" s="3" t="str">
        <f t="shared" si="100"/>
        <v/>
      </c>
      <c r="W178" s="3" t="str">
        <f t="shared" si="101"/>
        <v/>
      </c>
      <c r="X178" s="3" t="str">
        <f>IF($J178&lt;&gt;"",IF($L178&gt;W$11,IF($L178&lt;X$11,$L178-W$11,30),0)*ROUND(($M178+$U177+SUM($W178:W178))*$S$5/3000,2),"")</f>
        <v/>
      </c>
      <c r="Y178" s="3"/>
      <c r="Z178" s="3"/>
    </row>
    <row r="179" spans="4:26" x14ac:dyDescent="0.25">
      <c r="D179" s="5"/>
      <c r="E179" t="str">
        <f t="shared" si="85"/>
        <v/>
      </c>
      <c r="F179" s="5" t="str">
        <f>IF($J179&lt;&gt;"",EOMONTH(DATE(YEAR($L$6),$F$11+J179+SUM($B$12:B179),1),0),"")</f>
        <v/>
      </c>
      <c r="G179" s="22" t="str">
        <f t="shared" si="86"/>
        <v/>
      </c>
      <c r="H179" s="22" t="str">
        <f t="shared" si="87"/>
        <v/>
      </c>
      <c r="I179" s="22" t="str">
        <f t="shared" si="88"/>
        <v/>
      </c>
      <c r="J179" t="str">
        <f t="shared" si="89"/>
        <v/>
      </c>
      <c r="K179" s="5" t="str">
        <f>IF($J179&lt;&gt;"",IF(ULTIMODIA=0,IF($D179="",DATE(YEAR($L$7),MONTH($L$7)+($A$1*($G179-1))+SUM($B$12:$B179),DAY($L$7)),$D179),F179),"")</f>
        <v/>
      </c>
      <c r="L179" s="9" t="str">
        <f t="shared" si="90"/>
        <v/>
      </c>
      <c r="M179" s="3" t="str">
        <f t="shared" si="91"/>
        <v/>
      </c>
      <c r="N179" s="3" t="str">
        <f t="shared" si="92"/>
        <v/>
      </c>
      <c r="O179" s="3" t="str">
        <f t="shared" si="93"/>
        <v/>
      </c>
      <c r="P179" s="3" t="str">
        <f t="shared" si="94"/>
        <v/>
      </c>
      <c r="Q179" s="8" t="str">
        <f t="shared" si="95"/>
        <v/>
      </c>
      <c r="R179" s="8" t="str">
        <f t="shared" si="96"/>
        <v/>
      </c>
      <c r="S179" s="3" t="str">
        <f t="shared" si="97"/>
        <v/>
      </c>
      <c r="T179" s="3" t="str">
        <f t="shared" si="98"/>
        <v/>
      </c>
      <c r="U179" s="3" t="str">
        <f t="shared" si="99"/>
        <v/>
      </c>
      <c r="V179" s="3" t="str">
        <f t="shared" si="100"/>
        <v/>
      </c>
      <c r="W179" s="3" t="str">
        <f t="shared" si="101"/>
        <v/>
      </c>
      <c r="X179" s="3" t="str">
        <f>IF($J179&lt;&gt;"",IF($L179&gt;W$11,IF($L179&lt;X$11,$L179-W$11,30),0)*ROUND(($M179+$U178+SUM($W179:W179))*$S$5/3000,2),"")</f>
        <v/>
      </c>
      <c r="Y179" s="3"/>
      <c r="Z179" s="3"/>
    </row>
    <row r="180" spans="4:26" x14ac:dyDescent="0.25">
      <c r="D180" s="5"/>
      <c r="E180" t="str">
        <f t="shared" si="85"/>
        <v/>
      </c>
      <c r="F180" s="5" t="str">
        <f>IF($J180&lt;&gt;"",EOMONTH(DATE(YEAR($L$6),$F$11+J180+SUM($B$12:B180),1),0),"")</f>
        <v/>
      </c>
      <c r="G180" s="22" t="str">
        <f t="shared" si="86"/>
        <v/>
      </c>
      <c r="H180" s="22" t="str">
        <f t="shared" si="87"/>
        <v/>
      </c>
      <c r="I180" s="22" t="str">
        <f t="shared" si="88"/>
        <v/>
      </c>
      <c r="J180" t="str">
        <f t="shared" si="89"/>
        <v/>
      </c>
      <c r="K180" s="5" t="str">
        <f>IF($J180&lt;&gt;"",IF(ULTIMODIA=0,IF($D180="",DATE(YEAR($L$7),MONTH($L$7)+($A$1*($G180-1))+SUM($B$12:$B180),DAY($L$7)),$D180),F180),"")</f>
        <v/>
      </c>
      <c r="L180" s="9" t="str">
        <f t="shared" si="90"/>
        <v/>
      </c>
      <c r="M180" s="3" t="str">
        <f t="shared" si="91"/>
        <v/>
      </c>
      <c r="N180" s="3" t="str">
        <f t="shared" si="92"/>
        <v/>
      </c>
      <c r="O180" s="3" t="str">
        <f t="shared" si="93"/>
        <v/>
      </c>
      <c r="P180" s="3" t="str">
        <f t="shared" si="94"/>
        <v/>
      </c>
      <c r="Q180" s="8" t="str">
        <f t="shared" si="95"/>
        <v/>
      </c>
      <c r="R180" s="8" t="str">
        <f t="shared" si="96"/>
        <v/>
      </c>
      <c r="S180" s="3" t="str">
        <f t="shared" si="97"/>
        <v/>
      </c>
      <c r="T180" s="3" t="str">
        <f t="shared" si="98"/>
        <v/>
      </c>
      <c r="U180" s="3" t="str">
        <f t="shared" si="99"/>
        <v/>
      </c>
      <c r="V180" s="3" t="str">
        <f t="shared" si="100"/>
        <v/>
      </c>
      <c r="W180" s="3" t="str">
        <f t="shared" si="101"/>
        <v/>
      </c>
      <c r="X180" s="3" t="str">
        <f>IF($J180&lt;&gt;"",IF($L180&gt;W$11,IF($L180&lt;X$11,$L180-W$11,30),0)*ROUND(($M180+$U179+SUM($W180:W180))*$S$5/3000,2),"")</f>
        <v/>
      </c>
      <c r="Y180" s="3"/>
      <c r="Z180" s="3"/>
    </row>
    <row r="181" spans="4:26" x14ac:dyDescent="0.25">
      <c r="D181" s="5"/>
      <c r="E181" t="str">
        <f t="shared" si="85"/>
        <v/>
      </c>
      <c r="F181" s="5" t="str">
        <f>IF($J181&lt;&gt;"",EOMONTH(DATE(YEAR($L$6),$F$11+J181+SUM($B$12:B181),1),0),"")</f>
        <v/>
      </c>
      <c r="G181" s="22" t="str">
        <f t="shared" si="86"/>
        <v/>
      </c>
      <c r="H181" s="22" t="str">
        <f t="shared" si="87"/>
        <v/>
      </c>
      <c r="I181" s="22" t="str">
        <f t="shared" si="88"/>
        <v/>
      </c>
      <c r="J181" t="str">
        <f t="shared" si="89"/>
        <v/>
      </c>
      <c r="K181" s="5" t="str">
        <f>IF($J181&lt;&gt;"",IF(ULTIMODIA=0,IF($D181="",DATE(YEAR($L$7),MONTH($L$7)+($A$1*($G181-1))+SUM($B$12:$B181),DAY($L$7)),$D181),F181),"")</f>
        <v/>
      </c>
      <c r="L181" s="9" t="str">
        <f t="shared" si="90"/>
        <v/>
      </c>
      <c r="M181" s="3" t="str">
        <f t="shared" si="91"/>
        <v/>
      </c>
      <c r="N181" s="3" t="str">
        <f t="shared" si="92"/>
        <v/>
      </c>
      <c r="O181" s="3" t="str">
        <f t="shared" si="93"/>
        <v/>
      </c>
      <c r="P181" s="3" t="str">
        <f t="shared" si="94"/>
        <v/>
      </c>
      <c r="Q181" s="8" t="str">
        <f t="shared" si="95"/>
        <v/>
      </c>
      <c r="R181" s="8" t="str">
        <f t="shared" si="96"/>
        <v/>
      </c>
      <c r="S181" s="3" t="str">
        <f t="shared" si="97"/>
        <v/>
      </c>
      <c r="T181" s="3" t="str">
        <f t="shared" si="98"/>
        <v/>
      </c>
      <c r="U181" s="3" t="str">
        <f t="shared" si="99"/>
        <v/>
      </c>
      <c r="V181" s="3" t="str">
        <f t="shared" si="100"/>
        <v/>
      </c>
      <c r="W181" s="3" t="str">
        <f t="shared" si="101"/>
        <v/>
      </c>
      <c r="X181" s="3" t="str">
        <f>IF($J181&lt;&gt;"",IF($L181&gt;W$11,IF($L181&lt;X$11,$L181-W$11,30),0)*ROUND(($M181+$U180+SUM($W181:W181))*$S$5/3000,2),"")</f>
        <v/>
      </c>
      <c r="Y181" s="3"/>
      <c r="Z181" s="3"/>
    </row>
    <row r="182" spans="4:26" x14ac:dyDescent="0.25">
      <c r="D182" s="5"/>
      <c r="E182" t="str">
        <f t="shared" si="85"/>
        <v/>
      </c>
      <c r="F182" s="5" t="str">
        <f>IF($J182&lt;&gt;"",EOMONTH(DATE(YEAR($L$6),$F$11+J182+SUM($B$12:B182),1),0),"")</f>
        <v/>
      </c>
      <c r="G182" s="22" t="str">
        <f t="shared" si="86"/>
        <v/>
      </c>
      <c r="H182" s="22" t="str">
        <f t="shared" si="87"/>
        <v/>
      </c>
      <c r="I182" s="22" t="str">
        <f t="shared" si="88"/>
        <v/>
      </c>
      <c r="J182" t="str">
        <f t="shared" si="89"/>
        <v/>
      </c>
      <c r="K182" s="5" t="str">
        <f>IF($J182&lt;&gt;"",IF(ULTIMODIA=0,IF($D182="",DATE(YEAR($L$7),MONTH($L$7)+($A$1*($G182-1))+SUM($B$12:$B182),DAY($L$7)),$D182),F182),"")</f>
        <v/>
      </c>
      <c r="L182" s="9" t="str">
        <f t="shared" si="90"/>
        <v/>
      </c>
      <c r="M182" s="3" t="str">
        <f t="shared" si="91"/>
        <v/>
      </c>
      <c r="N182" s="3" t="str">
        <f t="shared" si="92"/>
        <v/>
      </c>
      <c r="O182" s="3" t="str">
        <f t="shared" si="93"/>
        <v/>
      </c>
      <c r="P182" s="3" t="str">
        <f t="shared" si="94"/>
        <v/>
      </c>
      <c r="Q182" s="8" t="str">
        <f t="shared" si="95"/>
        <v/>
      </c>
      <c r="R182" s="8" t="str">
        <f t="shared" si="96"/>
        <v/>
      </c>
      <c r="S182" s="3" t="str">
        <f t="shared" si="97"/>
        <v/>
      </c>
      <c r="T182" s="3" t="str">
        <f t="shared" si="98"/>
        <v/>
      </c>
      <c r="U182" s="3" t="str">
        <f t="shared" si="99"/>
        <v/>
      </c>
      <c r="V182" s="3" t="str">
        <f t="shared" si="100"/>
        <v/>
      </c>
      <c r="W182" s="3" t="str">
        <f t="shared" si="101"/>
        <v/>
      </c>
      <c r="X182" s="3" t="str">
        <f>IF($J182&lt;&gt;"",IF($L182&gt;W$11,IF($L182&lt;X$11,$L182-W$11,30),0)*ROUND(($M182+$U181+SUM($W182:W182))*$S$5/3000,2),"")</f>
        <v/>
      </c>
      <c r="Y182" s="3"/>
      <c r="Z182" s="3"/>
    </row>
    <row r="183" spans="4:26" x14ac:dyDescent="0.25">
      <c r="D183" s="5"/>
      <c r="E183" t="str">
        <f t="shared" si="85"/>
        <v/>
      </c>
      <c r="F183" s="5" t="str">
        <f>IF($J183&lt;&gt;"",EOMONTH(DATE(YEAR($L$6),$F$11+J183+SUM($B$12:B183),1),0),"")</f>
        <v/>
      </c>
      <c r="G183" s="22" t="str">
        <f t="shared" si="86"/>
        <v/>
      </c>
      <c r="H183" s="22" t="str">
        <f t="shared" si="87"/>
        <v/>
      </c>
      <c r="I183" s="22" t="str">
        <f t="shared" si="88"/>
        <v/>
      </c>
      <c r="J183" t="str">
        <f t="shared" si="89"/>
        <v/>
      </c>
      <c r="K183" s="5" t="str">
        <f>IF($J183&lt;&gt;"",IF(ULTIMODIA=0,IF($D183="",DATE(YEAR($L$7),MONTH($L$7)+($A$1*($G183-1))+SUM($B$12:$B183),DAY($L$7)),$D183),F183),"")</f>
        <v/>
      </c>
      <c r="L183" s="9" t="str">
        <f t="shared" si="90"/>
        <v/>
      </c>
      <c r="M183" s="3" t="str">
        <f t="shared" si="91"/>
        <v/>
      </c>
      <c r="N183" s="3" t="str">
        <f t="shared" si="92"/>
        <v/>
      </c>
      <c r="O183" s="3" t="str">
        <f t="shared" si="93"/>
        <v/>
      </c>
      <c r="P183" s="3" t="str">
        <f t="shared" si="94"/>
        <v/>
      </c>
      <c r="Q183" s="8" t="str">
        <f t="shared" si="95"/>
        <v/>
      </c>
      <c r="R183" s="8" t="str">
        <f t="shared" si="96"/>
        <v/>
      </c>
      <c r="S183" s="3" t="str">
        <f t="shared" si="97"/>
        <v/>
      </c>
      <c r="T183" s="3" t="str">
        <f t="shared" si="98"/>
        <v/>
      </c>
      <c r="U183" s="3" t="str">
        <f t="shared" si="99"/>
        <v/>
      </c>
      <c r="V183" s="3" t="str">
        <f t="shared" si="100"/>
        <v/>
      </c>
      <c r="W183" s="3" t="str">
        <f t="shared" si="101"/>
        <v/>
      </c>
      <c r="X183" s="3" t="str">
        <f>IF($J183&lt;&gt;"",IF($L183&gt;W$11,IF($L183&lt;X$11,$L183-W$11,30),0)*ROUND(($M183+$U182+SUM($W183:W183))*$S$5/3000,2),"")</f>
        <v/>
      </c>
      <c r="Y183" s="3"/>
      <c r="Z183" s="3"/>
    </row>
    <row r="184" spans="4:26" x14ac:dyDescent="0.25">
      <c r="D184" s="5"/>
      <c r="E184" t="str">
        <f t="shared" si="85"/>
        <v/>
      </c>
      <c r="F184" s="5" t="str">
        <f>IF($J184&lt;&gt;"",EOMONTH(DATE(YEAR($L$6),$F$11+J184+SUM($B$12:B184),1),0),"")</f>
        <v/>
      </c>
      <c r="G184" s="22" t="str">
        <f t="shared" si="86"/>
        <v/>
      </c>
      <c r="H184" s="22" t="str">
        <f t="shared" si="87"/>
        <v/>
      </c>
      <c r="I184" s="22" t="str">
        <f t="shared" si="88"/>
        <v/>
      </c>
      <c r="J184" t="str">
        <f t="shared" si="89"/>
        <v/>
      </c>
      <c r="K184" s="5" t="str">
        <f>IF($J184&lt;&gt;"",IF(ULTIMODIA=0,IF($D184="",DATE(YEAR($L$7),MONTH($L$7)+($A$1*($G184-1))+SUM($B$12:$B184),DAY($L$7)),$D184),F184),"")</f>
        <v/>
      </c>
      <c r="L184" s="9" t="str">
        <f t="shared" si="90"/>
        <v/>
      </c>
      <c r="M184" s="3" t="str">
        <f t="shared" si="91"/>
        <v/>
      </c>
      <c r="N184" s="3" t="str">
        <f t="shared" si="92"/>
        <v/>
      </c>
      <c r="O184" s="3" t="str">
        <f t="shared" si="93"/>
        <v/>
      </c>
      <c r="P184" s="3" t="str">
        <f t="shared" si="94"/>
        <v/>
      </c>
      <c r="Q184" s="8" t="str">
        <f t="shared" si="95"/>
        <v/>
      </c>
      <c r="R184" s="8" t="str">
        <f t="shared" si="96"/>
        <v/>
      </c>
      <c r="S184" s="3" t="str">
        <f t="shared" si="97"/>
        <v/>
      </c>
      <c r="T184" s="3" t="str">
        <f t="shared" si="98"/>
        <v/>
      </c>
      <c r="U184" s="3" t="str">
        <f t="shared" si="99"/>
        <v/>
      </c>
      <c r="V184" s="3" t="str">
        <f t="shared" si="100"/>
        <v/>
      </c>
      <c r="W184" s="3" t="str">
        <f t="shared" si="101"/>
        <v/>
      </c>
      <c r="X184" s="3" t="str">
        <f>IF($J184&lt;&gt;"",IF($L184&gt;W$11,IF($L184&lt;X$11,$L184-W$11,30),0)*ROUND(($M184+$U183+SUM($W184:W184))*$S$5/3000,2),"")</f>
        <v/>
      </c>
      <c r="Y184" s="3"/>
      <c r="Z184" s="3"/>
    </row>
    <row r="185" spans="4:26" x14ac:dyDescent="0.25">
      <c r="D185" s="5"/>
      <c r="E185" t="str">
        <f t="shared" si="85"/>
        <v/>
      </c>
      <c r="F185" s="5" t="str">
        <f>IF($J185&lt;&gt;"",EOMONTH(DATE(YEAR($L$6),$F$11+J185+SUM($B$12:B185),1),0),"")</f>
        <v/>
      </c>
      <c r="G185" s="22" t="str">
        <f t="shared" si="86"/>
        <v/>
      </c>
      <c r="H185" s="22" t="str">
        <f t="shared" si="87"/>
        <v/>
      </c>
      <c r="I185" s="22" t="str">
        <f t="shared" si="88"/>
        <v/>
      </c>
      <c r="J185" t="str">
        <f t="shared" si="89"/>
        <v/>
      </c>
      <c r="K185" s="5" t="str">
        <f>IF($J185&lt;&gt;"",IF(ULTIMODIA=0,IF($D185="",DATE(YEAR($L$7),MONTH($L$7)+($A$1*($G185-1))+SUM($B$12:$B185),DAY($L$7)),$D185),F185),"")</f>
        <v/>
      </c>
      <c r="L185" s="9" t="str">
        <f t="shared" si="90"/>
        <v/>
      </c>
      <c r="M185" s="3" t="str">
        <f t="shared" si="91"/>
        <v/>
      </c>
      <c r="N185" s="3" t="str">
        <f t="shared" si="92"/>
        <v/>
      </c>
      <c r="O185" s="3" t="str">
        <f t="shared" si="93"/>
        <v/>
      </c>
      <c r="P185" s="3" t="str">
        <f t="shared" si="94"/>
        <v/>
      </c>
      <c r="Q185" s="8" t="str">
        <f t="shared" si="95"/>
        <v/>
      </c>
      <c r="R185" s="8" t="str">
        <f t="shared" si="96"/>
        <v/>
      </c>
      <c r="S185" s="3" t="str">
        <f t="shared" si="97"/>
        <v/>
      </c>
      <c r="T185" s="3" t="str">
        <f t="shared" si="98"/>
        <v/>
      </c>
      <c r="U185" s="3" t="str">
        <f t="shared" si="99"/>
        <v/>
      </c>
      <c r="V185" s="3" t="str">
        <f t="shared" si="100"/>
        <v/>
      </c>
      <c r="W185" s="3" t="str">
        <f t="shared" si="101"/>
        <v/>
      </c>
      <c r="X185" s="3" t="str">
        <f>IF($J185&lt;&gt;"",IF($L185&gt;W$11,IF($L185&lt;X$11,$L185-W$11,30),0)*ROUND(($M185+$U184+SUM($W185:W185))*$S$5/3000,2),"")</f>
        <v/>
      </c>
      <c r="Y185" s="3"/>
      <c r="Z185" s="3"/>
    </row>
    <row r="186" spans="4:26" x14ac:dyDescent="0.25">
      <c r="D186" s="5"/>
      <c r="E186" t="str">
        <f t="shared" si="85"/>
        <v/>
      </c>
      <c r="F186" s="5" t="str">
        <f>IF($J186&lt;&gt;"",EOMONTH(DATE(YEAR($L$6),$F$11+J186+SUM($B$12:B186),1),0),"")</f>
        <v/>
      </c>
      <c r="G186" s="22" t="str">
        <f t="shared" si="86"/>
        <v/>
      </c>
      <c r="H186" s="22" t="str">
        <f t="shared" si="87"/>
        <v/>
      </c>
      <c r="I186" s="22" t="str">
        <f t="shared" si="88"/>
        <v/>
      </c>
      <c r="J186" t="str">
        <f t="shared" si="89"/>
        <v/>
      </c>
      <c r="K186" s="5" t="str">
        <f>IF($J186&lt;&gt;"",IF(ULTIMODIA=0,IF($D186="",DATE(YEAR($L$7),MONTH($L$7)+($A$1*($G186-1))+SUM($B$12:$B186),DAY($L$7)),$D186),F186),"")</f>
        <v/>
      </c>
      <c r="L186" s="9" t="str">
        <f t="shared" si="90"/>
        <v/>
      </c>
      <c r="M186" s="3" t="str">
        <f t="shared" si="91"/>
        <v/>
      </c>
      <c r="N186" s="3" t="str">
        <f t="shared" si="92"/>
        <v/>
      </c>
      <c r="O186" s="3" t="str">
        <f t="shared" si="93"/>
        <v/>
      </c>
      <c r="P186" s="3" t="str">
        <f t="shared" si="94"/>
        <v/>
      </c>
      <c r="Q186" s="8" t="str">
        <f t="shared" si="95"/>
        <v/>
      </c>
      <c r="R186" s="8" t="str">
        <f t="shared" si="96"/>
        <v/>
      </c>
      <c r="S186" s="3" t="str">
        <f t="shared" si="97"/>
        <v/>
      </c>
      <c r="T186" s="3" t="str">
        <f t="shared" si="98"/>
        <v/>
      </c>
      <c r="U186" s="3" t="str">
        <f t="shared" si="99"/>
        <v/>
      </c>
      <c r="V186" s="3" t="str">
        <f t="shared" si="100"/>
        <v/>
      </c>
      <c r="W186" s="3" t="str">
        <f t="shared" si="101"/>
        <v/>
      </c>
      <c r="X186" s="3" t="str">
        <f>IF($J186&lt;&gt;"",IF($L186&gt;W$11,IF($L186&lt;X$11,$L186-W$11,30),0)*ROUND(($M186+$U185+SUM($W186:W186))*$S$5/3000,2),"")</f>
        <v/>
      </c>
      <c r="Y186" s="3"/>
      <c r="Z186" s="3"/>
    </row>
    <row r="187" spans="4:26" x14ac:dyDescent="0.25">
      <c r="D187" s="5"/>
      <c r="E187" t="str">
        <f t="shared" si="85"/>
        <v/>
      </c>
      <c r="F187" s="5" t="str">
        <f>IF($J187&lt;&gt;"",EOMONTH(DATE(YEAR($L$6),$F$11+J187+SUM($B$12:B187),1),0),"")</f>
        <v/>
      </c>
      <c r="G187" s="22" t="str">
        <f t="shared" si="86"/>
        <v/>
      </c>
      <c r="H187" s="22" t="str">
        <f t="shared" si="87"/>
        <v/>
      </c>
      <c r="I187" s="22" t="str">
        <f t="shared" si="88"/>
        <v/>
      </c>
      <c r="J187" t="str">
        <f t="shared" si="89"/>
        <v/>
      </c>
      <c r="K187" s="5" t="str">
        <f>IF($J187&lt;&gt;"",IF(ULTIMODIA=0,IF($D187="",DATE(YEAR($L$7),MONTH($L$7)+($A$1*($G187-1))+SUM($B$12:$B187),DAY($L$7)),$D187),F187),"")</f>
        <v/>
      </c>
      <c r="L187" s="9" t="str">
        <f t="shared" si="90"/>
        <v/>
      </c>
      <c r="M187" s="3" t="str">
        <f t="shared" si="91"/>
        <v/>
      </c>
      <c r="N187" s="3" t="str">
        <f t="shared" si="92"/>
        <v/>
      </c>
      <c r="O187" s="3" t="str">
        <f t="shared" si="93"/>
        <v/>
      </c>
      <c r="P187" s="3" t="str">
        <f t="shared" si="94"/>
        <v/>
      </c>
      <c r="Q187" s="8" t="str">
        <f t="shared" si="95"/>
        <v/>
      </c>
      <c r="R187" s="8" t="str">
        <f t="shared" si="96"/>
        <v/>
      </c>
      <c r="S187" s="3" t="str">
        <f t="shared" si="97"/>
        <v/>
      </c>
      <c r="T187" s="3" t="str">
        <f t="shared" si="98"/>
        <v/>
      </c>
      <c r="U187" s="3" t="str">
        <f t="shared" si="99"/>
        <v/>
      </c>
      <c r="V187" s="3" t="str">
        <f t="shared" si="100"/>
        <v/>
      </c>
      <c r="W187" s="3" t="str">
        <f t="shared" si="101"/>
        <v/>
      </c>
      <c r="X187" s="3" t="str">
        <f>IF($J187&lt;&gt;"",IF($L187&gt;W$11,IF($L187&lt;X$11,$L187-W$11,30),0)*ROUND(($M187+$U186+SUM($W187:W187))*$S$5/3000,2),"")</f>
        <v/>
      </c>
      <c r="Y187" s="3"/>
      <c r="Z187" s="3"/>
    </row>
    <row r="188" spans="4:26" x14ac:dyDescent="0.25">
      <c r="D188" s="5"/>
      <c r="E188" t="str">
        <f t="shared" si="85"/>
        <v/>
      </c>
      <c r="F188" s="5" t="str">
        <f>IF($J188&lt;&gt;"",EOMONTH(DATE(YEAR($L$6),$F$11+J188+SUM($B$12:B188),1),0),"")</f>
        <v/>
      </c>
      <c r="G188" s="22" t="str">
        <f t="shared" si="86"/>
        <v/>
      </c>
      <c r="H188" s="22" t="str">
        <f t="shared" si="87"/>
        <v/>
      </c>
      <c r="I188" s="22" t="str">
        <f t="shared" si="88"/>
        <v/>
      </c>
      <c r="J188" t="str">
        <f t="shared" si="89"/>
        <v/>
      </c>
      <c r="K188" s="5" t="str">
        <f>IF($J188&lt;&gt;"",IF(ULTIMODIA=0,IF($D188="",DATE(YEAR($L$7),MONTH($L$7)+($A$1*($G188-1))+SUM($B$12:$B188),DAY($L$7)),$D188),F188),"")</f>
        <v/>
      </c>
      <c r="L188" s="9" t="str">
        <f t="shared" si="90"/>
        <v/>
      </c>
      <c r="M188" s="3" t="str">
        <f t="shared" si="91"/>
        <v/>
      </c>
      <c r="N188" s="3" t="str">
        <f t="shared" si="92"/>
        <v/>
      </c>
      <c r="O188" s="3" t="str">
        <f t="shared" si="93"/>
        <v/>
      </c>
      <c r="P188" s="3" t="str">
        <f t="shared" si="94"/>
        <v/>
      </c>
      <c r="Q188" s="8" t="str">
        <f t="shared" si="95"/>
        <v/>
      </c>
      <c r="R188" s="8" t="str">
        <f t="shared" si="96"/>
        <v/>
      </c>
      <c r="S188" s="3" t="str">
        <f t="shared" si="97"/>
        <v/>
      </c>
      <c r="T188" s="3" t="str">
        <f t="shared" si="98"/>
        <v/>
      </c>
      <c r="U188" s="3" t="str">
        <f t="shared" si="99"/>
        <v/>
      </c>
      <c r="V188" s="3" t="str">
        <f t="shared" si="100"/>
        <v/>
      </c>
      <c r="W188" s="3" t="str">
        <f t="shared" si="101"/>
        <v/>
      </c>
      <c r="X188" s="3" t="str">
        <f>IF($J188&lt;&gt;"",IF($L188&gt;W$11,IF($L188&lt;X$11,$L188-W$11,30),0)*ROUND(($M188+$U187+SUM($W188:W188))*$S$5/3000,2),"")</f>
        <v/>
      </c>
      <c r="Y188" s="3"/>
      <c r="Z188" s="3"/>
    </row>
    <row r="189" spans="4:26" x14ac:dyDescent="0.25">
      <c r="D189" s="5"/>
      <c r="E189" t="str">
        <f t="shared" si="85"/>
        <v/>
      </c>
      <c r="F189" s="5" t="str">
        <f>IF($J189&lt;&gt;"",EOMONTH(DATE(YEAR($L$6),$F$11+J189+SUM($B$12:B189),1),0),"")</f>
        <v/>
      </c>
      <c r="G189" s="22" t="str">
        <f t="shared" si="86"/>
        <v/>
      </c>
      <c r="H189" s="22" t="str">
        <f t="shared" si="87"/>
        <v/>
      </c>
      <c r="I189" s="22" t="str">
        <f t="shared" si="88"/>
        <v/>
      </c>
      <c r="J189" t="str">
        <f t="shared" si="89"/>
        <v/>
      </c>
      <c r="K189" s="5" t="str">
        <f>IF($J189&lt;&gt;"",IF(ULTIMODIA=0,IF($D189="",DATE(YEAR($L$7),MONTH($L$7)+($A$1*($G189-1))+SUM($B$12:$B189),DAY($L$7)),$D189),F189),"")</f>
        <v/>
      </c>
      <c r="L189" s="9" t="str">
        <f t="shared" si="90"/>
        <v/>
      </c>
      <c r="M189" s="3" t="str">
        <f t="shared" si="91"/>
        <v/>
      </c>
      <c r="N189" s="3" t="str">
        <f t="shared" si="92"/>
        <v/>
      </c>
      <c r="O189" s="3" t="str">
        <f t="shared" si="93"/>
        <v/>
      </c>
      <c r="P189" s="3" t="str">
        <f t="shared" si="94"/>
        <v/>
      </c>
      <c r="Q189" s="8" t="str">
        <f t="shared" si="95"/>
        <v/>
      </c>
      <c r="R189" s="8" t="str">
        <f t="shared" si="96"/>
        <v/>
      </c>
      <c r="S189" s="3" t="str">
        <f t="shared" si="97"/>
        <v/>
      </c>
      <c r="T189" s="3" t="str">
        <f t="shared" si="98"/>
        <v/>
      </c>
      <c r="U189" s="3" t="str">
        <f t="shared" si="99"/>
        <v/>
      </c>
      <c r="V189" s="3" t="str">
        <f t="shared" si="100"/>
        <v/>
      </c>
      <c r="W189" s="3" t="str">
        <f t="shared" si="101"/>
        <v/>
      </c>
      <c r="X189" s="3" t="str">
        <f>IF($J189&lt;&gt;"",IF($L189&gt;W$11,IF($L189&lt;X$11,$L189-W$11,30),0)*ROUND(($M189+$U188+SUM($W189:W189))*$S$5/3000,2),"")</f>
        <v/>
      </c>
      <c r="Y189" s="3"/>
      <c r="Z189" s="3"/>
    </row>
    <row r="190" spans="4:26" x14ac:dyDescent="0.25">
      <c r="D190" s="5"/>
      <c r="E190" t="str">
        <f t="shared" si="85"/>
        <v/>
      </c>
      <c r="F190" s="5" t="str">
        <f>IF($J190&lt;&gt;"",EOMONTH(DATE(YEAR($L$6),$F$11+J190+SUM($B$12:B190),1),0),"")</f>
        <v/>
      </c>
      <c r="G190" s="22" t="str">
        <f t="shared" si="86"/>
        <v/>
      </c>
      <c r="H190" s="22" t="str">
        <f t="shared" si="87"/>
        <v/>
      </c>
      <c r="I190" s="22" t="str">
        <f t="shared" si="88"/>
        <v/>
      </c>
      <c r="J190" t="str">
        <f t="shared" si="89"/>
        <v/>
      </c>
      <c r="K190" s="5" t="str">
        <f>IF($J190&lt;&gt;"",IF(ULTIMODIA=0,IF($D190="",DATE(YEAR($L$7),MONTH($L$7)+($A$1*($G190-1))+SUM($B$12:$B190),DAY($L$7)),$D190),F190),"")</f>
        <v/>
      </c>
      <c r="L190" s="9" t="str">
        <f t="shared" si="90"/>
        <v/>
      </c>
      <c r="M190" s="3" t="str">
        <f t="shared" si="91"/>
        <v/>
      </c>
      <c r="N190" s="3" t="str">
        <f t="shared" si="92"/>
        <v/>
      </c>
      <c r="O190" s="3" t="str">
        <f t="shared" si="93"/>
        <v/>
      </c>
      <c r="P190" s="3" t="str">
        <f t="shared" si="94"/>
        <v/>
      </c>
      <c r="Q190" s="8" t="str">
        <f t="shared" si="95"/>
        <v/>
      </c>
      <c r="R190" s="8" t="str">
        <f t="shared" si="96"/>
        <v/>
      </c>
      <c r="S190" s="3" t="str">
        <f t="shared" si="97"/>
        <v/>
      </c>
      <c r="T190" s="3" t="str">
        <f t="shared" si="98"/>
        <v/>
      </c>
      <c r="U190" s="3" t="str">
        <f t="shared" si="99"/>
        <v/>
      </c>
      <c r="V190" s="3" t="str">
        <f t="shared" si="100"/>
        <v/>
      </c>
      <c r="W190" s="3" t="str">
        <f t="shared" si="101"/>
        <v/>
      </c>
      <c r="X190" s="3" t="str">
        <f>IF($J190&lt;&gt;"",IF($L190&gt;W$11,IF($L190&lt;X$11,$L190-W$11,30),0)*ROUND(($M190+$U189+SUM($W190:W190))*$S$5/3000,2),"")</f>
        <v/>
      </c>
      <c r="Y190" s="3"/>
      <c r="Z190" s="3"/>
    </row>
    <row r="191" spans="4:26" x14ac:dyDescent="0.25">
      <c r="D191" s="5"/>
      <c r="E191" t="str">
        <f t="shared" si="85"/>
        <v/>
      </c>
      <c r="F191" s="5" t="str">
        <f>IF($J191&lt;&gt;"",EOMONTH(DATE(YEAR($L$6),$F$11+J191+SUM($B$12:B191),1),0),"")</f>
        <v/>
      </c>
      <c r="G191" s="22" t="str">
        <f t="shared" si="86"/>
        <v/>
      </c>
      <c r="H191" s="22" t="str">
        <f t="shared" si="87"/>
        <v/>
      </c>
      <c r="I191" s="22" t="str">
        <f t="shared" si="88"/>
        <v/>
      </c>
      <c r="J191" t="str">
        <f t="shared" si="89"/>
        <v/>
      </c>
      <c r="K191" s="5" t="str">
        <f>IF($J191&lt;&gt;"",IF(ULTIMODIA=0,IF($D191="",DATE(YEAR($L$7),MONTH($L$7)+($A$1*($G191-1))+SUM($B$12:$B191),DAY($L$7)),$D191),F191),"")</f>
        <v/>
      </c>
      <c r="L191" s="9" t="str">
        <f t="shared" si="90"/>
        <v/>
      </c>
      <c r="M191" s="3" t="str">
        <f t="shared" si="91"/>
        <v/>
      </c>
      <c r="N191" s="3" t="str">
        <f t="shared" si="92"/>
        <v/>
      </c>
      <c r="O191" s="3" t="str">
        <f t="shared" si="93"/>
        <v/>
      </c>
      <c r="P191" s="3" t="str">
        <f t="shared" si="94"/>
        <v/>
      </c>
      <c r="Q191" s="8" t="str">
        <f t="shared" si="95"/>
        <v/>
      </c>
      <c r="R191" s="8" t="str">
        <f t="shared" si="96"/>
        <v/>
      </c>
      <c r="S191" s="3" t="str">
        <f t="shared" si="97"/>
        <v/>
      </c>
      <c r="T191" s="3" t="str">
        <f t="shared" si="98"/>
        <v/>
      </c>
      <c r="U191" s="3" t="str">
        <f t="shared" si="99"/>
        <v/>
      </c>
      <c r="V191" s="3" t="str">
        <f t="shared" si="100"/>
        <v/>
      </c>
      <c r="W191" s="3" t="str">
        <f t="shared" si="101"/>
        <v/>
      </c>
      <c r="X191" s="3" t="str">
        <f>IF($J191&lt;&gt;"",IF($L191&gt;W$11,IF($L191&lt;X$11,$L191-W$11,30),0)*ROUND(($M191+$U190+SUM($W191:W191))*$S$5/3000,2),"")</f>
        <v/>
      </c>
      <c r="Y191" s="3"/>
      <c r="Z191" s="3"/>
    </row>
    <row r="192" spans="4:26" x14ac:dyDescent="0.25">
      <c r="D192" s="5"/>
      <c r="E192" t="str">
        <f t="shared" si="85"/>
        <v/>
      </c>
      <c r="F192" s="5" t="str">
        <f>IF($J192&lt;&gt;"",EOMONTH(DATE(YEAR($L$6),$F$11+J192+SUM($B$12:B192),1),0),"")</f>
        <v/>
      </c>
      <c r="G192" s="22" t="str">
        <f t="shared" si="86"/>
        <v/>
      </c>
      <c r="H192" s="22" t="str">
        <f t="shared" si="87"/>
        <v/>
      </c>
      <c r="I192" s="22" t="str">
        <f t="shared" si="88"/>
        <v/>
      </c>
      <c r="J192" t="str">
        <f t="shared" si="89"/>
        <v/>
      </c>
      <c r="K192" s="5" t="str">
        <f>IF($J192&lt;&gt;"",IF(ULTIMODIA=0,IF($D192="",DATE(YEAR($L$7),MONTH($L$7)+($A$1*($G192-1))+SUM($B$12:$B192),DAY($L$7)),$D192),F192),"")</f>
        <v/>
      </c>
      <c r="L192" s="9" t="str">
        <f t="shared" si="90"/>
        <v/>
      </c>
      <c r="M192" s="3" t="str">
        <f t="shared" si="91"/>
        <v/>
      </c>
      <c r="N192" s="3" t="str">
        <f t="shared" si="92"/>
        <v/>
      </c>
      <c r="O192" s="3" t="str">
        <f t="shared" si="93"/>
        <v/>
      </c>
      <c r="P192" s="3" t="str">
        <f t="shared" si="94"/>
        <v/>
      </c>
      <c r="Q192" s="8" t="str">
        <f t="shared" si="95"/>
        <v/>
      </c>
      <c r="R192" s="8" t="str">
        <f t="shared" si="96"/>
        <v/>
      </c>
      <c r="S192" s="3" t="str">
        <f t="shared" si="97"/>
        <v/>
      </c>
      <c r="T192" s="3" t="str">
        <f t="shared" si="98"/>
        <v/>
      </c>
      <c r="U192" s="3" t="str">
        <f t="shared" si="99"/>
        <v/>
      </c>
      <c r="V192" s="3" t="str">
        <f t="shared" si="100"/>
        <v/>
      </c>
      <c r="W192" s="3" t="str">
        <f t="shared" si="101"/>
        <v/>
      </c>
      <c r="X192" s="3" t="str">
        <f>IF($J192&lt;&gt;"",IF($L192&gt;W$11,IF($L192&lt;X$11,$L192-W$11,30),0)*ROUND(($M192+$U191+SUM($W192:W192))*$S$5/3000,2),"")</f>
        <v/>
      </c>
      <c r="Y192" s="3"/>
      <c r="Z192" s="3"/>
    </row>
    <row r="193" spans="4:26" x14ac:dyDescent="0.25">
      <c r="D193" s="5"/>
      <c r="E193" t="str">
        <f t="shared" si="85"/>
        <v/>
      </c>
      <c r="F193" s="5" t="str">
        <f>IF($J193&lt;&gt;"",EOMONTH(DATE(YEAR($L$6),$F$11+J193+SUM($B$12:B193),1),0),"")</f>
        <v/>
      </c>
      <c r="G193" s="22" t="str">
        <f t="shared" si="86"/>
        <v/>
      </c>
      <c r="H193" s="22" t="str">
        <f t="shared" si="87"/>
        <v/>
      </c>
      <c r="I193" s="22" t="str">
        <f t="shared" si="88"/>
        <v/>
      </c>
      <c r="J193" t="str">
        <f t="shared" si="89"/>
        <v/>
      </c>
      <c r="K193" s="5" t="str">
        <f>IF($J193&lt;&gt;"",IF(ULTIMODIA=0,IF($D193="",DATE(YEAR($L$7),MONTH($L$7)+($A$1*($G193-1))+SUM($B$12:$B193),DAY($L$7)),$D193),F193),"")</f>
        <v/>
      </c>
      <c r="L193" s="9" t="str">
        <f t="shared" si="90"/>
        <v/>
      </c>
      <c r="M193" s="3" t="str">
        <f t="shared" si="91"/>
        <v/>
      </c>
      <c r="N193" s="3" t="str">
        <f t="shared" si="92"/>
        <v/>
      </c>
      <c r="O193" s="3" t="str">
        <f t="shared" si="93"/>
        <v/>
      </c>
      <c r="P193" s="3" t="str">
        <f t="shared" si="94"/>
        <v/>
      </c>
      <c r="Q193" s="8" t="str">
        <f t="shared" si="95"/>
        <v/>
      </c>
      <c r="R193" s="8" t="str">
        <f t="shared" si="96"/>
        <v/>
      </c>
      <c r="S193" s="3" t="str">
        <f t="shared" si="97"/>
        <v/>
      </c>
      <c r="T193" s="3" t="str">
        <f t="shared" si="98"/>
        <v/>
      </c>
      <c r="U193" s="3" t="str">
        <f t="shared" si="99"/>
        <v/>
      </c>
      <c r="V193" s="3" t="str">
        <f t="shared" si="100"/>
        <v/>
      </c>
      <c r="W193" s="3" t="str">
        <f t="shared" si="101"/>
        <v/>
      </c>
      <c r="X193" s="3" t="str">
        <f>IF($J193&lt;&gt;"",IF($L193&gt;W$11,IF($L193&lt;X$11,$L193-W$11,30),0)*ROUND(($M193+$U192+SUM($W193:W193))*$S$5/3000,2),"")</f>
        <v/>
      </c>
      <c r="Y193" s="3"/>
      <c r="Z193" s="3"/>
    </row>
    <row r="194" spans="4:26" x14ac:dyDescent="0.25">
      <c r="D194" s="5"/>
      <c r="E194" t="str">
        <f t="shared" si="85"/>
        <v/>
      </c>
      <c r="F194" s="5" t="str">
        <f>IF($J194&lt;&gt;"",EOMONTH(DATE(YEAR($L$6),$F$11+J194+SUM($B$12:B194),1),0),"")</f>
        <v/>
      </c>
      <c r="G194" s="22" t="str">
        <f t="shared" si="86"/>
        <v/>
      </c>
      <c r="H194" s="22" t="str">
        <f t="shared" si="87"/>
        <v/>
      </c>
      <c r="I194" s="22" t="str">
        <f t="shared" si="88"/>
        <v/>
      </c>
      <c r="J194" t="str">
        <f t="shared" si="89"/>
        <v/>
      </c>
      <c r="K194" s="5" t="str">
        <f>IF($J194&lt;&gt;"",IF(ULTIMODIA=0,IF($D194="",DATE(YEAR($L$7),MONTH($L$7)+($A$1*($G194-1))+SUM($B$12:$B194),DAY($L$7)),$D194),F194),"")</f>
        <v/>
      </c>
      <c r="L194" s="9" t="str">
        <f t="shared" si="90"/>
        <v/>
      </c>
      <c r="M194" s="3" t="str">
        <f t="shared" si="91"/>
        <v/>
      </c>
      <c r="N194" s="3" t="str">
        <f t="shared" si="92"/>
        <v/>
      </c>
      <c r="O194" s="3" t="str">
        <f t="shared" si="93"/>
        <v/>
      </c>
      <c r="P194" s="3" t="str">
        <f t="shared" si="94"/>
        <v/>
      </c>
      <c r="Q194" s="8" t="str">
        <f t="shared" si="95"/>
        <v/>
      </c>
      <c r="R194" s="8" t="str">
        <f t="shared" si="96"/>
        <v/>
      </c>
      <c r="S194" s="3" t="str">
        <f t="shared" si="97"/>
        <v/>
      </c>
      <c r="T194" s="3" t="str">
        <f t="shared" si="98"/>
        <v/>
      </c>
      <c r="U194" s="3" t="str">
        <f t="shared" si="99"/>
        <v/>
      </c>
      <c r="V194" s="3" t="str">
        <f t="shared" si="100"/>
        <v/>
      </c>
      <c r="W194" s="3" t="str">
        <f t="shared" si="101"/>
        <v/>
      </c>
      <c r="X194" s="3" t="str">
        <f>IF($J194&lt;&gt;"",IF($L194&gt;W$11,IF($L194&lt;X$11,$L194-W$11,30),0)*ROUND(($M194+$U193+SUM($W194:W194))*$S$5/3000,2),"")</f>
        <v/>
      </c>
      <c r="Y194" s="3"/>
      <c r="Z194" s="3"/>
    </row>
    <row r="195" spans="4:26" x14ac:dyDescent="0.25">
      <c r="D195" s="5"/>
      <c r="E195" t="str">
        <f t="shared" si="85"/>
        <v/>
      </c>
      <c r="F195" s="5" t="str">
        <f>IF($J195&lt;&gt;"",EOMONTH(DATE(YEAR($L$6),$F$11+J195+SUM($B$12:B195),1),0),"")</f>
        <v/>
      </c>
      <c r="G195" s="22" t="str">
        <f t="shared" si="86"/>
        <v/>
      </c>
      <c r="H195" s="22" t="str">
        <f t="shared" si="87"/>
        <v/>
      </c>
      <c r="I195" s="22" t="str">
        <f t="shared" si="88"/>
        <v/>
      </c>
      <c r="J195" t="str">
        <f t="shared" si="89"/>
        <v/>
      </c>
      <c r="K195" s="5" t="str">
        <f>IF($J195&lt;&gt;"",IF(ULTIMODIA=0,IF($D195="",DATE(YEAR($L$7),MONTH($L$7)+($A$1*($G195-1))+SUM($B$12:$B195),DAY($L$7)),$D195),F195),"")</f>
        <v/>
      </c>
      <c r="L195" s="9" t="str">
        <f t="shared" si="90"/>
        <v/>
      </c>
      <c r="M195" s="3" t="str">
        <f t="shared" si="91"/>
        <v/>
      </c>
      <c r="N195" s="3" t="str">
        <f t="shared" si="92"/>
        <v/>
      </c>
      <c r="O195" s="3" t="str">
        <f t="shared" si="93"/>
        <v/>
      </c>
      <c r="P195" s="3" t="str">
        <f t="shared" si="94"/>
        <v/>
      </c>
      <c r="Q195" s="8" t="str">
        <f t="shared" si="95"/>
        <v/>
      </c>
      <c r="R195" s="8" t="str">
        <f t="shared" si="96"/>
        <v/>
      </c>
      <c r="S195" s="3" t="str">
        <f t="shared" si="97"/>
        <v/>
      </c>
      <c r="T195" s="3" t="str">
        <f t="shared" si="98"/>
        <v/>
      </c>
      <c r="U195" s="3" t="str">
        <f t="shared" si="99"/>
        <v/>
      </c>
      <c r="V195" s="3" t="str">
        <f t="shared" si="100"/>
        <v/>
      </c>
      <c r="W195" s="3" t="str">
        <f t="shared" si="101"/>
        <v/>
      </c>
      <c r="X195" s="3" t="str">
        <f>IF($J195&lt;&gt;"",IF($L195&gt;W$11,IF($L195&lt;X$11,$L195-W$11,30),0)*ROUND(($M195+$U194+SUM($W195:W195))*$S$5/3000,2),"")</f>
        <v/>
      </c>
      <c r="Y195" s="3"/>
      <c r="Z195" s="3"/>
    </row>
    <row r="196" spans="4:26" x14ac:dyDescent="0.25">
      <c r="D196" s="5"/>
      <c r="E196" t="str">
        <f t="shared" si="85"/>
        <v/>
      </c>
      <c r="F196" s="5" t="str">
        <f>IF($J196&lt;&gt;"",EOMONTH(DATE(YEAR($L$6),$F$11+J196+SUM($B$12:B196),1),0),"")</f>
        <v/>
      </c>
      <c r="G196" s="22" t="str">
        <f t="shared" si="86"/>
        <v/>
      </c>
      <c r="H196" s="22" t="str">
        <f t="shared" si="87"/>
        <v/>
      </c>
      <c r="I196" s="22" t="str">
        <f t="shared" si="88"/>
        <v/>
      </c>
      <c r="J196" t="str">
        <f t="shared" si="89"/>
        <v/>
      </c>
      <c r="K196" s="5" t="str">
        <f>IF($J196&lt;&gt;"",IF(ULTIMODIA=0,IF($D196="",DATE(YEAR($L$7),MONTH($L$7)+($A$1*($G196-1))+SUM($B$12:$B196),DAY($L$7)),$D196),F196),"")</f>
        <v/>
      </c>
      <c r="L196" s="9" t="str">
        <f t="shared" si="90"/>
        <v/>
      </c>
      <c r="M196" s="3" t="str">
        <f t="shared" si="91"/>
        <v/>
      </c>
      <c r="N196" s="3" t="str">
        <f t="shared" si="92"/>
        <v/>
      </c>
      <c r="O196" s="3" t="str">
        <f t="shared" si="93"/>
        <v/>
      </c>
      <c r="P196" s="3" t="str">
        <f t="shared" si="94"/>
        <v/>
      </c>
      <c r="Q196" s="8" t="str">
        <f t="shared" si="95"/>
        <v/>
      </c>
      <c r="R196" s="8" t="str">
        <f t="shared" si="96"/>
        <v/>
      </c>
      <c r="S196" s="3" t="str">
        <f t="shared" si="97"/>
        <v/>
      </c>
      <c r="T196" s="3" t="str">
        <f t="shared" si="98"/>
        <v/>
      </c>
      <c r="U196" s="3" t="str">
        <f t="shared" si="99"/>
        <v/>
      </c>
      <c r="V196" s="3" t="str">
        <f t="shared" si="100"/>
        <v/>
      </c>
      <c r="W196" s="3" t="str">
        <f t="shared" si="101"/>
        <v/>
      </c>
      <c r="X196" s="3" t="str">
        <f>IF($J196&lt;&gt;"",IF($L196&gt;W$11,IF($L196&lt;X$11,$L196-W$11,30),0)*ROUND(($M196+$U195+SUM($W196:W196))*$S$5/3000,2),"")</f>
        <v/>
      </c>
      <c r="Y196" s="3"/>
      <c r="Z196" s="3"/>
    </row>
    <row r="197" spans="4:26" x14ac:dyDescent="0.25">
      <c r="D197" s="5"/>
      <c r="E197" t="str">
        <f t="shared" si="85"/>
        <v/>
      </c>
      <c r="F197" s="5" t="str">
        <f>IF($J197&lt;&gt;"",EOMONTH(DATE(YEAR($L$6),$F$11+J197+SUM($B$12:B197),1),0),"")</f>
        <v/>
      </c>
      <c r="G197" s="22" t="str">
        <f t="shared" si="86"/>
        <v/>
      </c>
      <c r="H197" s="22" t="str">
        <f t="shared" si="87"/>
        <v/>
      </c>
      <c r="I197" s="22" t="str">
        <f t="shared" si="88"/>
        <v/>
      </c>
      <c r="J197" t="str">
        <f t="shared" si="89"/>
        <v/>
      </c>
      <c r="K197" s="5" t="str">
        <f>IF($J197&lt;&gt;"",IF(ULTIMODIA=0,IF($D197="",DATE(YEAR($L$7),MONTH($L$7)+($A$1*($G197-1))+SUM($B$12:$B197),DAY($L$7)),$D197),F197),"")</f>
        <v/>
      </c>
      <c r="L197" s="9" t="str">
        <f t="shared" si="90"/>
        <v/>
      </c>
      <c r="M197" s="3" t="str">
        <f t="shared" si="91"/>
        <v/>
      </c>
      <c r="N197" s="3" t="str">
        <f t="shared" si="92"/>
        <v/>
      </c>
      <c r="O197" s="3" t="str">
        <f t="shared" si="93"/>
        <v/>
      </c>
      <c r="P197" s="3" t="str">
        <f t="shared" si="94"/>
        <v/>
      </c>
      <c r="Q197" s="8" t="str">
        <f t="shared" si="95"/>
        <v/>
      </c>
      <c r="R197" s="8" t="str">
        <f t="shared" si="96"/>
        <v/>
      </c>
      <c r="S197" s="3" t="str">
        <f t="shared" si="97"/>
        <v/>
      </c>
      <c r="T197" s="3" t="str">
        <f t="shared" si="98"/>
        <v/>
      </c>
      <c r="U197" s="3" t="str">
        <f t="shared" si="99"/>
        <v/>
      </c>
      <c r="V197" s="3" t="str">
        <f t="shared" si="100"/>
        <v/>
      </c>
      <c r="W197" s="3" t="str">
        <f t="shared" si="101"/>
        <v/>
      </c>
      <c r="X197" s="3" t="str">
        <f>IF($J197&lt;&gt;"",IF($L197&gt;W$11,IF($L197&lt;X$11,$L197-W$11,30),0)*ROUND(($M197+$U196+SUM($W197:W197))*$S$5/3000,2),"")</f>
        <v/>
      </c>
      <c r="Y197" s="3"/>
      <c r="Z197" s="3"/>
    </row>
    <row r="198" spans="4:26" x14ac:dyDescent="0.25">
      <c r="D198" s="5"/>
      <c r="E198" t="str">
        <f t="shared" si="85"/>
        <v/>
      </c>
      <c r="F198" s="5" t="str">
        <f>IF($J198&lt;&gt;"",EOMONTH(DATE(YEAR($L$6),$F$11+J198+SUM($B$12:B198),1),0),"")</f>
        <v/>
      </c>
      <c r="G198" s="22" t="str">
        <f t="shared" si="86"/>
        <v/>
      </c>
      <c r="H198" s="22" t="str">
        <f t="shared" si="87"/>
        <v/>
      </c>
      <c r="I198" s="22" t="str">
        <f t="shared" si="88"/>
        <v/>
      </c>
      <c r="J198" t="str">
        <f t="shared" si="89"/>
        <v/>
      </c>
      <c r="K198" s="5" t="str">
        <f>IF($J198&lt;&gt;"",IF(ULTIMODIA=0,IF($D198="",DATE(YEAR($L$7),MONTH($L$7)+($A$1*($G198-1))+SUM($B$12:$B198),DAY($L$7)),$D198),F198),"")</f>
        <v/>
      </c>
      <c r="L198" s="9" t="str">
        <f t="shared" si="90"/>
        <v/>
      </c>
      <c r="M198" s="3" t="str">
        <f t="shared" si="91"/>
        <v/>
      </c>
      <c r="N198" s="3" t="str">
        <f t="shared" si="92"/>
        <v/>
      </c>
      <c r="O198" s="3" t="str">
        <f t="shared" si="93"/>
        <v/>
      </c>
      <c r="P198" s="3" t="str">
        <f t="shared" si="94"/>
        <v/>
      </c>
      <c r="Q198" s="8" t="str">
        <f t="shared" si="95"/>
        <v/>
      </c>
      <c r="R198" s="8" t="str">
        <f t="shared" si="96"/>
        <v/>
      </c>
      <c r="S198" s="3" t="str">
        <f t="shared" si="97"/>
        <v/>
      </c>
      <c r="T198" s="3" t="str">
        <f t="shared" si="98"/>
        <v/>
      </c>
      <c r="U198" s="3" t="str">
        <f t="shared" si="99"/>
        <v/>
      </c>
      <c r="V198" s="3" t="str">
        <f t="shared" si="100"/>
        <v/>
      </c>
      <c r="W198" s="3" t="str">
        <f t="shared" si="101"/>
        <v/>
      </c>
      <c r="X198" s="3" t="str">
        <f>IF($J198&lt;&gt;"",IF($L198&gt;W$11,IF($L198&lt;X$11,$L198-W$11,30),0)*ROUND(($M198+$U197+SUM($W198:W198))*$S$5/3000,2),"")</f>
        <v/>
      </c>
      <c r="Y198" s="3"/>
      <c r="Z198" s="3"/>
    </row>
    <row r="199" spans="4:26" x14ac:dyDescent="0.25">
      <c r="D199" s="5"/>
      <c r="E199" t="str">
        <f t="shared" si="85"/>
        <v/>
      </c>
      <c r="F199" s="5" t="str">
        <f>IF($J199&lt;&gt;"",EOMONTH(DATE(YEAR($L$6),$F$11+J199+SUM($B$12:B199),1),0),"")</f>
        <v/>
      </c>
      <c r="G199" s="22" t="str">
        <f t="shared" si="86"/>
        <v/>
      </c>
      <c r="H199" s="22" t="str">
        <f t="shared" si="87"/>
        <v/>
      </c>
      <c r="I199" s="22" t="str">
        <f t="shared" si="88"/>
        <v/>
      </c>
      <c r="J199" t="str">
        <f t="shared" si="89"/>
        <v/>
      </c>
      <c r="K199" s="5" t="str">
        <f>IF($J199&lt;&gt;"",IF(ULTIMODIA=0,IF($D199="",DATE(YEAR($L$7),MONTH($L$7)+($A$1*($G199-1))+SUM($B$12:$B199),DAY($L$7)),$D199),F199),"")</f>
        <v/>
      </c>
      <c r="L199" s="9" t="str">
        <f t="shared" si="90"/>
        <v/>
      </c>
      <c r="M199" s="3" t="str">
        <f t="shared" si="91"/>
        <v/>
      </c>
      <c r="N199" s="3" t="str">
        <f t="shared" si="92"/>
        <v/>
      </c>
      <c r="O199" s="3" t="str">
        <f t="shared" si="93"/>
        <v/>
      </c>
      <c r="P199" s="3" t="str">
        <f t="shared" si="94"/>
        <v/>
      </c>
      <c r="Q199" s="8" t="str">
        <f t="shared" si="95"/>
        <v/>
      </c>
      <c r="R199" s="8" t="str">
        <f t="shared" si="96"/>
        <v/>
      </c>
      <c r="S199" s="3" t="str">
        <f t="shared" si="97"/>
        <v/>
      </c>
      <c r="T199" s="3" t="str">
        <f t="shared" si="98"/>
        <v/>
      </c>
      <c r="U199" s="3" t="str">
        <f t="shared" si="99"/>
        <v/>
      </c>
      <c r="V199" s="3" t="str">
        <f t="shared" si="100"/>
        <v/>
      </c>
      <c r="W199" s="3" t="str">
        <f t="shared" si="101"/>
        <v/>
      </c>
      <c r="X199" s="3" t="str">
        <f>IF($J199&lt;&gt;"",IF($L199&gt;W$11,IF($L199&lt;X$11,$L199-W$11,30),0)*ROUND(($M199+$U198+SUM($W199:W199))*$S$5/3000,2),"")</f>
        <v/>
      </c>
      <c r="Y199" s="3"/>
      <c r="Z199" s="3"/>
    </row>
    <row r="200" spans="4:26" x14ac:dyDescent="0.25">
      <c r="D200" s="5"/>
      <c r="E200" t="str">
        <f t="shared" si="85"/>
        <v/>
      </c>
      <c r="F200" s="5" t="str">
        <f>IF($J200&lt;&gt;"",EOMONTH(DATE(YEAR($L$6),$F$11+J200+SUM($B$12:B200),1),0),"")</f>
        <v/>
      </c>
      <c r="G200" s="22" t="str">
        <f t="shared" si="86"/>
        <v/>
      </c>
      <c r="H200" s="22" t="str">
        <f t="shared" si="87"/>
        <v/>
      </c>
      <c r="I200" s="22" t="str">
        <f t="shared" si="88"/>
        <v/>
      </c>
      <c r="J200" t="str">
        <f t="shared" si="89"/>
        <v/>
      </c>
      <c r="K200" s="5" t="str">
        <f>IF($J200&lt;&gt;"",IF(ULTIMODIA=0,IF($D200="",DATE(YEAR($L$7),MONTH($L$7)+($A$1*($G200-1))+SUM($B$12:$B200),DAY($L$7)),$D200),F200),"")</f>
        <v/>
      </c>
      <c r="L200" s="9" t="str">
        <f t="shared" si="90"/>
        <v/>
      </c>
      <c r="M200" s="3" t="str">
        <f t="shared" si="91"/>
        <v/>
      </c>
      <c r="N200" s="3" t="str">
        <f t="shared" si="92"/>
        <v/>
      </c>
      <c r="O200" s="3" t="str">
        <f t="shared" si="93"/>
        <v/>
      </c>
      <c r="P200" s="3" t="str">
        <f t="shared" si="94"/>
        <v/>
      </c>
      <c r="Q200" s="8" t="str">
        <f t="shared" si="95"/>
        <v/>
      </c>
      <c r="R200" s="8" t="str">
        <f t="shared" si="96"/>
        <v/>
      </c>
      <c r="S200" s="3" t="str">
        <f t="shared" si="97"/>
        <v/>
      </c>
      <c r="T200" s="3" t="str">
        <f t="shared" si="98"/>
        <v/>
      </c>
      <c r="U200" s="3" t="str">
        <f t="shared" si="99"/>
        <v/>
      </c>
      <c r="V200" s="3" t="str">
        <f t="shared" si="100"/>
        <v/>
      </c>
      <c r="W200" s="3" t="str">
        <f t="shared" si="101"/>
        <v/>
      </c>
      <c r="X200" s="3" t="str">
        <f>IF($J200&lt;&gt;"",IF($L200&gt;W$11,IF($L200&lt;X$11,$L200-W$11,30),0)*ROUND(($M200+$U199+SUM($W200:W200))*$S$5/3000,2),"")</f>
        <v/>
      </c>
      <c r="Y200" s="3"/>
      <c r="Z200" s="3"/>
    </row>
    <row r="201" spans="4:26" x14ac:dyDescent="0.25">
      <c r="D201" s="5"/>
      <c r="E201" t="str">
        <f t="shared" si="85"/>
        <v/>
      </c>
      <c r="F201" s="5" t="str">
        <f>IF($J201&lt;&gt;"",EOMONTH(DATE(YEAR($L$6),$F$11+J201+SUM($B$12:B201),1),0),"")</f>
        <v/>
      </c>
      <c r="G201" s="22" t="str">
        <f t="shared" si="86"/>
        <v/>
      </c>
      <c r="H201" s="22" t="str">
        <f t="shared" si="87"/>
        <v/>
      </c>
      <c r="I201" s="22" t="str">
        <f t="shared" si="88"/>
        <v/>
      </c>
      <c r="J201" t="str">
        <f t="shared" si="89"/>
        <v/>
      </c>
      <c r="K201" s="5" t="str">
        <f>IF($J201&lt;&gt;"",IF(ULTIMODIA=0,IF($D201="",DATE(YEAR($L$7),MONTH($L$7)+($A$1*($G201-1))+SUM($B$12:$B201),DAY($L$7)),$D201),F201),"")</f>
        <v/>
      </c>
      <c r="L201" s="9" t="str">
        <f t="shared" si="90"/>
        <v/>
      </c>
      <c r="M201" s="3" t="str">
        <f t="shared" si="91"/>
        <v/>
      </c>
      <c r="N201" s="3" t="str">
        <f t="shared" si="92"/>
        <v/>
      </c>
      <c r="O201" s="3" t="str">
        <f t="shared" si="93"/>
        <v/>
      </c>
      <c r="P201" s="3" t="str">
        <f t="shared" si="94"/>
        <v/>
      </c>
      <c r="Q201" s="8" t="str">
        <f t="shared" si="95"/>
        <v/>
      </c>
      <c r="R201" s="8" t="str">
        <f t="shared" si="96"/>
        <v/>
      </c>
      <c r="S201" s="3" t="str">
        <f t="shared" si="97"/>
        <v/>
      </c>
      <c r="T201" s="3" t="str">
        <f t="shared" si="98"/>
        <v/>
      </c>
      <c r="U201" s="3" t="str">
        <f t="shared" si="99"/>
        <v/>
      </c>
      <c r="V201" s="3" t="str">
        <f t="shared" si="100"/>
        <v/>
      </c>
      <c r="W201" s="3" t="str">
        <f t="shared" si="101"/>
        <v/>
      </c>
      <c r="X201" s="3" t="str">
        <f>IF($J201&lt;&gt;"",IF($L201&gt;W$11,IF($L201&lt;X$11,$L201-W$11,30),0)*ROUND(($M201+$U200+SUM($W201:W201))*$S$5/3000,2),"")</f>
        <v/>
      </c>
      <c r="Y201" s="3"/>
      <c r="Z201" s="3"/>
    </row>
    <row r="202" spans="4:26" x14ac:dyDescent="0.25">
      <c r="D202" s="5"/>
      <c r="E202" t="str">
        <f t="shared" si="85"/>
        <v/>
      </c>
      <c r="F202" s="5" t="str">
        <f>IF($J202&lt;&gt;"",EOMONTH(DATE(YEAR($L$6),$F$11+J202+SUM($B$12:B202),1),0),"")</f>
        <v/>
      </c>
      <c r="G202" s="22" t="str">
        <f t="shared" si="86"/>
        <v/>
      </c>
      <c r="H202" s="22" t="str">
        <f t="shared" si="87"/>
        <v/>
      </c>
      <c r="I202" s="22" t="str">
        <f t="shared" si="88"/>
        <v/>
      </c>
      <c r="J202" t="str">
        <f t="shared" si="89"/>
        <v/>
      </c>
      <c r="K202" s="5" t="str">
        <f>IF($J202&lt;&gt;"",IF(ULTIMODIA=0,IF($D202="",DATE(YEAR($L$7),MONTH($L$7)+($A$1*($G202-1))+SUM($B$12:$B202),DAY($L$7)),$D202),F202),"")</f>
        <v/>
      </c>
      <c r="L202" s="9" t="str">
        <f t="shared" si="90"/>
        <v/>
      </c>
      <c r="M202" s="3" t="str">
        <f t="shared" si="91"/>
        <v/>
      </c>
      <c r="N202" s="3" t="str">
        <f t="shared" si="92"/>
        <v/>
      </c>
      <c r="O202" s="3" t="str">
        <f t="shared" si="93"/>
        <v/>
      </c>
      <c r="P202" s="3" t="str">
        <f t="shared" si="94"/>
        <v/>
      </c>
      <c r="Q202" s="8" t="str">
        <f t="shared" si="95"/>
        <v/>
      </c>
      <c r="R202" s="8" t="str">
        <f t="shared" si="96"/>
        <v/>
      </c>
      <c r="S202" s="3" t="str">
        <f t="shared" si="97"/>
        <v/>
      </c>
      <c r="T202" s="3" t="str">
        <f t="shared" si="98"/>
        <v/>
      </c>
      <c r="U202" s="3" t="str">
        <f t="shared" si="99"/>
        <v/>
      </c>
      <c r="V202" s="3" t="str">
        <f t="shared" si="100"/>
        <v/>
      </c>
      <c r="W202" s="3" t="str">
        <f t="shared" si="101"/>
        <v/>
      </c>
      <c r="X202" s="3" t="str">
        <f>IF($J202&lt;&gt;"",IF($L202&gt;W$11,IF($L202&lt;X$11,$L202-W$11,30),0)*ROUND(($M202+$U201+SUM($W202:W202))*$S$5/3000,2),"")</f>
        <v/>
      </c>
      <c r="Y202" s="3"/>
      <c r="Z202" s="3"/>
    </row>
    <row r="203" spans="4:26" x14ac:dyDescent="0.25">
      <c r="D203" s="5"/>
      <c r="E203" t="str">
        <f t="shared" si="85"/>
        <v/>
      </c>
      <c r="F203" s="5" t="str">
        <f>IF($J203&lt;&gt;"",EOMONTH(DATE(YEAR($L$6),$F$11+J203+SUM($B$12:B203),1),0),"")</f>
        <v/>
      </c>
      <c r="G203" s="22" t="str">
        <f t="shared" si="86"/>
        <v/>
      </c>
      <c r="H203" s="22" t="str">
        <f t="shared" si="87"/>
        <v/>
      </c>
      <c r="I203" s="22" t="str">
        <f t="shared" si="88"/>
        <v/>
      </c>
      <c r="J203" t="str">
        <f t="shared" si="89"/>
        <v/>
      </c>
      <c r="K203" s="5" t="str">
        <f>IF($J203&lt;&gt;"",IF(ULTIMODIA=0,IF($D203="",DATE(YEAR($L$7),MONTH($L$7)+($A$1*($G203-1))+SUM($B$12:$B203),DAY($L$7)),$D203),F203),"")</f>
        <v/>
      </c>
      <c r="L203" s="9" t="str">
        <f t="shared" si="90"/>
        <v/>
      </c>
      <c r="M203" s="3" t="str">
        <f t="shared" si="91"/>
        <v/>
      </c>
      <c r="N203" s="3" t="str">
        <f t="shared" si="92"/>
        <v/>
      </c>
      <c r="O203" s="3" t="str">
        <f t="shared" si="93"/>
        <v/>
      </c>
      <c r="P203" s="3" t="str">
        <f t="shared" si="94"/>
        <v/>
      </c>
      <c r="Q203" s="8" t="str">
        <f t="shared" si="95"/>
        <v/>
      </c>
      <c r="R203" s="8" t="str">
        <f t="shared" si="96"/>
        <v/>
      </c>
      <c r="S203" s="3" t="str">
        <f t="shared" si="97"/>
        <v/>
      </c>
      <c r="T203" s="3" t="str">
        <f t="shared" si="98"/>
        <v/>
      </c>
      <c r="U203" s="3" t="str">
        <f t="shared" si="99"/>
        <v/>
      </c>
      <c r="V203" s="3" t="str">
        <f t="shared" si="100"/>
        <v/>
      </c>
      <c r="W203" s="3" t="str">
        <f t="shared" si="101"/>
        <v/>
      </c>
      <c r="X203" s="3" t="str">
        <f>IF($J203&lt;&gt;"",IF($L203&gt;W$11,IF($L203&lt;X$11,$L203-W$11,30),0)*ROUND(($M203+$U202+SUM($W203:W203))*$S$5/3000,2),"")</f>
        <v/>
      </c>
      <c r="Y203" s="3"/>
      <c r="Z203" s="3"/>
    </row>
    <row r="204" spans="4:26" x14ac:dyDescent="0.25">
      <c r="D204" s="5"/>
      <c r="E204" t="str">
        <f t="shared" si="85"/>
        <v/>
      </c>
      <c r="F204" s="5" t="str">
        <f>IF($J204&lt;&gt;"",EOMONTH(DATE(YEAR($L$6),$F$11+J204+SUM($B$12:B204),1),0),"")</f>
        <v/>
      </c>
      <c r="G204" s="22" t="str">
        <f t="shared" si="86"/>
        <v/>
      </c>
      <c r="H204" s="22" t="str">
        <f t="shared" si="87"/>
        <v/>
      </c>
      <c r="I204" s="22" t="str">
        <f t="shared" ref="I204:I235" si="102">IF(J204&lt;&gt;"",IF(COUNTA($W204:$XFD204)*30&lt;$L204,1,0),"")</f>
        <v/>
      </c>
      <c r="J204" t="str">
        <f t="shared" si="89"/>
        <v/>
      </c>
      <c r="K204" s="5" t="str">
        <f>IF($J204&lt;&gt;"",IF(ULTIMODIA=0,IF($D204="",DATE(YEAR($L$7),MONTH($L$7)+($A$1*($G204-1))+SUM($B$12:$B204),DAY($L$7)),$D204),F204),"")</f>
        <v/>
      </c>
      <c r="L204" s="9" t="str">
        <f t="shared" si="90"/>
        <v/>
      </c>
      <c r="M204" s="3" t="str">
        <f t="shared" si="91"/>
        <v/>
      </c>
      <c r="N204" s="3" t="str">
        <f t="shared" si="92"/>
        <v/>
      </c>
      <c r="O204" s="3" t="str">
        <f t="shared" si="93"/>
        <v/>
      </c>
      <c r="P204" s="3" t="str">
        <f t="shared" si="94"/>
        <v/>
      </c>
      <c r="Q204" s="8" t="str">
        <f t="shared" si="95"/>
        <v/>
      </c>
      <c r="R204" s="8" t="str">
        <f t="shared" si="96"/>
        <v/>
      </c>
      <c r="S204" s="3" t="str">
        <f t="shared" si="97"/>
        <v/>
      </c>
      <c r="T204" s="3" t="str">
        <f t="shared" si="98"/>
        <v/>
      </c>
      <c r="U204" s="3" t="str">
        <f t="shared" si="99"/>
        <v/>
      </c>
      <c r="V204" s="3" t="str">
        <f t="shared" si="100"/>
        <v/>
      </c>
      <c r="W204" s="3" t="str">
        <f t="shared" ref="W204:W208" si="103">IF($J204&lt;&gt;"",IF($L204&gt;W$11,30,$L204)*ROUND(($M204+$U203)*$S$5/3000,2),"")</f>
        <v/>
      </c>
      <c r="X204" s="3" t="str">
        <f>IF($J204&lt;&gt;"",IF($L204&gt;W$11,IF($L204&lt;X$11,$L204-W$11,30),0)*ROUND(($M204+$U203+SUM($W204:W204))*$S$5/3000,2),"")</f>
        <v/>
      </c>
      <c r="Y204" s="3"/>
      <c r="Z204" s="3"/>
    </row>
    <row r="205" spans="4:26" x14ac:dyDescent="0.25">
      <c r="D205" s="5"/>
      <c r="E205" t="str">
        <f t="shared" ref="E205:E208" si="104">IF($J205&lt;&gt;"",TEXT(K205,"DDD"),"")</f>
        <v/>
      </c>
      <c r="F205" s="5" t="str">
        <f>IF($J205&lt;&gt;"",EOMONTH(DATE(YEAR($L$6),$F$11+J205+SUM($B$12:B205),1),0),"")</f>
        <v/>
      </c>
      <c r="G205" s="22" t="str">
        <f t="shared" si="86"/>
        <v/>
      </c>
      <c r="H205" s="22" t="str">
        <f t="shared" ref="H205:H208" si="105">IF($J205&lt;&gt;"",IF(ISNUMBER($C205),-$O205+$V205-$P205,ABS($V205)+$Q205+$R205+$S205),"")</f>
        <v/>
      </c>
      <c r="I205" s="22" t="str">
        <f t="shared" si="102"/>
        <v/>
      </c>
      <c r="J205" t="str">
        <f t="shared" si="89"/>
        <v/>
      </c>
      <c r="K205" s="5" t="str">
        <f>IF($J205&lt;&gt;"",IF(ULTIMODIA=0,IF($D205="",DATE(YEAR($L$7),MONTH($L$7)+($A$1*($G205-1))+SUM($B$12:$B205),DAY($L$7)),$D205),F205),"")</f>
        <v/>
      </c>
      <c r="L205" s="9" t="str">
        <f t="shared" ref="L205:L208" si="106">IF($J205&lt;&gt;"",$K205-$K204,"")</f>
        <v/>
      </c>
      <c r="M205" s="3" t="str">
        <f t="shared" ref="M205:M208" si="107">IF($J205&lt;&gt;"",$T204,"")</f>
        <v/>
      </c>
      <c r="N205" s="3" t="str">
        <f t="shared" si="92"/>
        <v/>
      </c>
      <c r="O205" s="3" t="str">
        <f t="shared" ref="O205:O208" si="108">IF($J205&lt;&gt;"",IF($N205-$P205&gt;0,$N205-$P205-$Q205-$R205-$S205,0),"")</f>
        <v/>
      </c>
      <c r="P205" s="3" t="str">
        <f t="shared" ref="P205:P208" si="109">IF($J205&lt;&gt;"",IF($N205&gt;=$V205+$U204+$Q205+$R205+$S205,$V205+$U204,$N205-$Q205-$R205-$S205),"")</f>
        <v/>
      </c>
      <c r="Q205" s="8" t="str">
        <f t="shared" ref="Q205:Q208" si="110">IF($J205&lt;&gt;"",IF($A205="Prepago",0,$R$6+$R$6*$B205),"")</f>
        <v/>
      </c>
      <c r="R205" s="8" t="str">
        <f t="shared" ref="R205:R208" si="111">IF($J205&lt;&gt;"",IF($A205="Prepago",0,$R$7+$R$7*$B205),"")</f>
        <v/>
      </c>
      <c r="S205" s="3" t="str">
        <f t="shared" ref="S205:S208" si="112">IF($J205&lt;&gt;"",IF($A205="Prepago",0,$R$8+$R$8*$B205),"")</f>
        <v/>
      </c>
      <c r="T205" s="3" t="str">
        <f t="shared" ref="T205:T208" si="113">IF($J205&lt;&gt;"",$M205-$O205,"")</f>
        <v/>
      </c>
      <c r="U205" s="3" t="str">
        <f t="shared" ref="U205:U208" si="114">IF($J205&lt;&gt;"",+$U204+SUM($W205:$CE205)-$P205,"")</f>
        <v/>
      </c>
      <c r="V205" s="3" t="str">
        <f t="shared" si="100"/>
        <v/>
      </c>
      <c r="W205" s="3" t="str">
        <f t="shared" si="103"/>
        <v/>
      </c>
      <c r="X205" s="3" t="str">
        <f>IF($J205&lt;&gt;"",IF($L205&gt;W$11,IF($L205&lt;X$11,$L205-W$11,30),0)*ROUND(($M205+$U204+SUM($W205:W205))*$S$5/3000,2),"")</f>
        <v/>
      </c>
      <c r="Y205" s="3"/>
      <c r="Z205" s="3"/>
    </row>
    <row r="206" spans="4:26" x14ac:dyDescent="0.25">
      <c r="D206" s="5"/>
      <c r="E206" t="str">
        <f t="shared" si="104"/>
        <v/>
      </c>
      <c r="F206" s="5" t="str">
        <f>IF($J206&lt;&gt;"",EOMONTH(DATE(YEAR($L$6),$F$11+J206+SUM($B$12:B206),1),0),"")</f>
        <v/>
      </c>
      <c r="G206" s="22" t="str">
        <f t="shared" si="86"/>
        <v/>
      </c>
      <c r="H206" s="22" t="str">
        <f t="shared" si="105"/>
        <v/>
      </c>
      <c r="I206" s="22" t="str">
        <f t="shared" si="102"/>
        <v/>
      </c>
      <c r="J206" t="str">
        <f t="shared" si="89"/>
        <v/>
      </c>
      <c r="K206" s="5" t="str">
        <f>IF($J206&lt;&gt;"",IF(ULTIMODIA=0,IF($D206="",DATE(YEAR($L$7),MONTH($L$7)+($A$1*($G206-1))+SUM($B$12:$B206),DAY($L$7)),$D206),F206),"")</f>
        <v/>
      </c>
      <c r="L206" s="9" t="str">
        <f t="shared" si="106"/>
        <v/>
      </c>
      <c r="M206" s="3" t="str">
        <f t="shared" si="107"/>
        <v/>
      </c>
      <c r="N206" s="3" t="str">
        <f t="shared" si="92"/>
        <v/>
      </c>
      <c r="O206" s="3" t="str">
        <f t="shared" si="108"/>
        <v/>
      </c>
      <c r="P206" s="3" t="str">
        <f t="shared" si="109"/>
        <v/>
      </c>
      <c r="Q206" s="8" t="str">
        <f t="shared" si="110"/>
        <v/>
      </c>
      <c r="R206" s="8" t="str">
        <f t="shared" si="111"/>
        <v/>
      </c>
      <c r="S206" s="3" t="str">
        <f t="shared" si="112"/>
        <v/>
      </c>
      <c r="T206" s="3" t="str">
        <f t="shared" si="113"/>
        <v/>
      </c>
      <c r="U206" s="3" t="str">
        <f t="shared" si="114"/>
        <v/>
      </c>
      <c r="V206" s="3" t="str">
        <f t="shared" si="100"/>
        <v/>
      </c>
      <c r="W206" s="3" t="str">
        <f t="shared" si="103"/>
        <v/>
      </c>
      <c r="X206" s="3" t="str">
        <f>IF($J206&lt;&gt;"",IF($L206&gt;W$11,IF($L206&lt;X$11,$L206-W$11,30),0)*ROUND(($M206+$U205+SUM($W206:W206))*$S$5/3000,2),"")</f>
        <v/>
      </c>
      <c r="Y206" s="3"/>
      <c r="Z206" s="3"/>
    </row>
    <row r="207" spans="4:26" x14ac:dyDescent="0.25">
      <c r="D207" s="5"/>
      <c r="E207" t="str">
        <f t="shared" si="104"/>
        <v/>
      </c>
      <c r="F207" s="5" t="str">
        <f>IF($J207&lt;&gt;"",EOMONTH(DATE(YEAR($L$6),$F$11+J207+SUM($B$12:B207),1),0),"")</f>
        <v/>
      </c>
      <c r="G207" s="22" t="str">
        <f t="shared" si="86"/>
        <v/>
      </c>
      <c r="H207" s="22" t="str">
        <f t="shared" si="105"/>
        <v/>
      </c>
      <c r="I207" s="22" t="str">
        <f t="shared" si="102"/>
        <v/>
      </c>
      <c r="J207" t="str">
        <f t="shared" si="89"/>
        <v/>
      </c>
      <c r="K207" s="5" t="str">
        <f>IF($J207&lt;&gt;"",IF(ULTIMODIA=0,IF($D207="",DATE(YEAR($L$7),MONTH($L$7)+($A$1*($G207-1))+SUM($B$12:$B207),DAY($L$7)),$D207),F207),"")</f>
        <v/>
      </c>
      <c r="L207" s="9" t="str">
        <f t="shared" si="106"/>
        <v/>
      </c>
      <c r="M207" s="3" t="str">
        <f t="shared" si="107"/>
        <v/>
      </c>
      <c r="N207" s="3" t="str">
        <f t="shared" si="92"/>
        <v/>
      </c>
      <c r="O207" s="3" t="str">
        <f t="shared" si="108"/>
        <v/>
      </c>
      <c r="P207" s="3" t="str">
        <f t="shared" si="109"/>
        <v/>
      </c>
      <c r="Q207" s="8" t="str">
        <f t="shared" si="110"/>
        <v/>
      </c>
      <c r="R207" s="8" t="str">
        <f t="shared" si="111"/>
        <v/>
      </c>
      <c r="S207" s="3" t="str">
        <f t="shared" si="112"/>
        <v/>
      </c>
      <c r="T207" s="3" t="str">
        <f t="shared" si="113"/>
        <v/>
      </c>
      <c r="U207" s="3" t="str">
        <f t="shared" si="114"/>
        <v/>
      </c>
      <c r="V207" s="3" t="str">
        <f t="shared" si="100"/>
        <v/>
      </c>
      <c r="W207" s="3" t="str">
        <f t="shared" si="103"/>
        <v/>
      </c>
      <c r="X207" s="3" t="str">
        <f>IF($J207&lt;&gt;"",IF($L207&gt;W$11,IF($L207&lt;X$11,$L207-W$11,30),0)*ROUND(($M207+$U206+SUM($W207:W207))*$S$5/3000,2),"")</f>
        <v/>
      </c>
      <c r="Y207" s="3"/>
      <c r="Z207" s="3"/>
    </row>
    <row r="208" spans="4:26" x14ac:dyDescent="0.25">
      <c r="D208" s="5"/>
      <c r="E208" t="str">
        <f t="shared" si="104"/>
        <v/>
      </c>
      <c r="F208" s="5" t="str">
        <f>IF($J208&lt;&gt;"",EOMONTH(DATE(YEAR($L$6),$F$11+J208+SUM($B$12:B208),1),0),"")</f>
        <v/>
      </c>
      <c r="G208" s="22" t="str">
        <f t="shared" si="86"/>
        <v/>
      </c>
      <c r="H208" s="22" t="str">
        <f t="shared" si="105"/>
        <v/>
      </c>
      <c r="I208" s="22" t="str">
        <f t="shared" si="102"/>
        <v/>
      </c>
      <c r="J208" t="str">
        <f t="shared" si="89"/>
        <v/>
      </c>
      <c r="K208" s="5" t="str">
        <f>IF($J208&lt;&gt;"",IF(ULTIMODIA=0,IF($D208="",DATE(YEAR($L$7),MONTH($L$7)+($A$1*($G208-1))+SUM($B$12:$B208),DAY($L$7)),$D208),F208),"")</f>
        <v/>
      </c>
      <c r="L208" s="9" t="str">
        <f t="shared" si="106"/>
        <v/>
      </c>
      <c r="M208" s="3" t="str">
        <f t="shared" si="107"/>
        <v/>
      </c>
      <c r="N208" s="3" t="str">
        <f t="shared" si="92"/>
        <v/>
      </c>
      <c r="O208" s="3" t="str">
        <f t="shared" si="108"/>
        <v/>
      </c>
      <c r="P208" s="3" t="str">
        <f t="shared" si="109"/>
        <v/>
      </c>
      <c r="Q208" s="8" t="str">
        <f t="shared" si="110"/>
        <v/>
      </c>
      <c r="R208" s="8" t="str">
        <f t="shared" si="111"/>
        <v/>
      </c>
      <c r="S208" s="3" t="str">
        <f t="shared" si="112"/>
        <v/>
      </c>
      <c r="T208" s="3" t="str">
        <f t="shared" si="113"/>
        <v/>
      </c>
      <c r="U208" s="3" t="str">
        <f t="shared" si="114"/>
        <v/>
      </c>
      <c r="V208" s="3" t="str">
        <f t="shared" si="100"/>
        <v/>
      </c>
      <c r="W208" s="3" t="str">
        <f t="shared" si="103"/>
        <v/>
      </c>
      <c r="X208" s="3" t="str">
        <f>IF($J208&lt;&gt;"",IF($L208&gt;W$11,IF($L208&lt;X$11,$L208-W$11,30),0)*ROUND(($M208+$U207+SUM($W208:W208))*$S$5/3000,2),"")</f>
        <v/>
      </c>
      <c r="Y208" s="3"/>
      <c r="Z208" s="3"/>
    </row>
  </sheetData>
  <protectedRanges>
    <protectedRange algorithmName="SHA-512" hashValue="saOoXsqAoQxcXXYzXQIOV3/apjOtIOId7A6E3Kbbks0v/+hkXCO7VppjyeJOkYNfZLM9Y82SgohJPBHQ4upYMw==" saltValue="AI4kOYg9mvAOcytG4WhlkQ==" spinCount="100000" sqref="AA10:AB10 AU11 AW11 AY11 BA11 BC11 BE11 BG11 BI11 BK11 BM11 BO11 BQ11 BS11 BU11 BW11 BY11 CA11 CC11 CE11 AE11 AG11 AI11 AK11 AM11 AO11 AQ11 AS11 AA13:AB15 AC11 K10:Z11 AA25:AB60 AA21:AB23 AB16 J10:J208 BU12:CE12 AC13:CE16 AA18:CE18 AF17:CE17 K12:W208 AC20:CE60 AD19:CE19" name="Rango1"/>
    <protectedRange algorithmName="SHA-512" hashValue="saOoXsqAoQxcXXYzXQIOV3/apjOtIOId7A6E3Kbbks0v/+hkXCO7VppjyeJOkYNfZLM9Y82SgohJPBHQ4upYMw==" saltValue="AI4kOYg9mvAOcytG4WhlkQ==" spinCount="100000" sqref="Y25:Z208 Y24:AB24 Y21:Z23 Y20:AB20 X16:AA16 X13:Z15 Y18:Z18 X18:X208 X12:BT12 X17:AE17 Y19:AC19" name="Rango1_1"/>
  </protectedRanges>
  <mergeCells count="1">
    <mergeCell ref="X6:Y6"/>
  </mergeCells>
  <conditionalFormatting sqref="V10 K11:V208">
    <cfRule type="expression" dxfId="7" priority="19">
      <formula>AND($J10&lt;&gt;"")</formula>
    </cfRule>
  </conditionalFormatting>
  <conditionalFormatting sqref="K11:U208">
    <cfRule type="expression" dxfId="6" priority="7">
      <formula>AND(ROUND(K11,0)&lt;0)</formula>
    </cfRule>
  </conditionalFormatting>
  <conditionalFormatting sqref="U7">
    <cfRule type="expression" dxfId="5" priority="6">
      <formula>AND($U$7&lt;&gt;0)</formula>
    </cfRule>
  </conditionalFormatting>
  <conditionalFormatting sqref="Z7">
    <cfRule type="expression" dxfId="4" priority="4">
      <formula>AND($Z$7&lt;&gt;"OK")</formula>
    </cfRule>
  </conditionalFormatting>
  <conditionalFormatting sqref="Z6">
    <cfRule type="expression" dxfId="3" priority="3">
      <formula>AND($Z$6&lt;&gt;"OK")</formula>
    </cfRule>
  </conditionalFormatting>
  <conditionalFormatting sqref="G12:I208 A12:D208">
    <cfRule type="expression" dxfId="2" priority="46">
      <formula>AND($J12&lt;&gt;"")</formula>
    </cfRule>
  </conditionalFormatting>
  <conditionalFormatting sqref="J10 E10:F10">
    <cfRule type="expression" dxfId="1" priority="51">
      <formula>AND(COUNTA($J:$J)-2&lt;$O$6)</formula>
    </cfRule>
  </conditionalFormatting>
  <conditionalFormatting sqref="J12:J1048576 E12:F1048576">
    <cfRule type="expression" dxfId="0" priority="54">
      <formula>AND(COUNTA($W12:$XFD12)*30&lt;$L12,$J12&lt;&gt;"")</formula>
    </cfRule>
  </conditionalFormatting>
  <dataValidations count="7">
    <dataValidation type="decimal" operator="greaterThanOrEqual" allowBlank="1" showInputMessage="1" showErrorMessage="1" errorTitle="TEA" error="Debe ser un numero positivo" sqref="R5" xr:uid="{00000000-0002-0000-0000-000000000000}">
      <formula1>0</formula1>
    </dataValidation>
    <dataValidation operator="greaterThanOrEqual" allowBlank="1" showInputMessage="1" showErrorMessage="1" errorTitle="Meses de Gracia Inicial" error="Debe ser un numero entero positivo" sqref="O7" xr:uid="{00000000-0002-0000-0000-000001000000}"/>
    <dataValidation type="whole" operator="greaterThan" allowBlank="1" showInputMessage="1" showErrorMessage="1" errorTitle="Numero de Cuotas" error="Debe ser un numero entero positivo" sqref="O6" xr:uid="{00000000-0002-0000-0000-000002000000}">
      <formula1>0</formula1>
    </dataValidation>
    <dataValidation operator="greaterThan" showInputMessage="1" showErrorMessage="1" errorTitle="Fecha de la 1ra Cuota" error="Debe ser una Fecha posterior al desembolso" sqref="L7" xr:uid="{00000000-0002-0000-0000-000003000000}"/>
    <dataValidation type="date" operator="greaterThanOrEqual" showInputMessage="1" showErrorMessage="1" errorTitle="Fecha de desembolso" error="Debe ser una Fecha" sqref="L6" xr:uid="{00000000-0002-0000-0000-000004000000}">
      <formula1>36892</formula1>
    </dataValidation>
    <dataValidation type="decimal" operator="notEqual" showInputMessage="1" showErrorMessage="1" errorTitle="Monto" error="Debe ser un dato numérico" sqref="L8" xr:uid="{00000000-0002-0000-0000-000005000000}">
      <formula1>0</formula1>
    </dataValidation>
    <dataValidation type="list" allowBlank="1" showInputMessage="1" showErrorMessage="1" sqref="A12:B208" xr:uid="{00000000-0002-0000-0000-000006000000}">
      <formula1>TIPO_CUOTAS</formula1>
    </dataValidation>
  </dataValidations>
  <pageMargins left="0.70866141732283472" right="0.70866141732283472" top="0.74803149606299213" bottom="0.35433070866141736" header="0.31496062992125984" footer="0.31496062992125984"/>
  <pageSetup scale="50" orientation="landscape" r:id="rId1"/>
  <drawing r:id="rId2"/>
  <legacyDrawing r:id="rId3"/>
  <controls>
    <mc:AlternateContent xmlns:mc="http://schemas.openxmlformats.org/markup-compatibility/2006">
      <mc:Choice Requires="x14">
        <control shapeId="1027" r:id="rId4" name="btAjustar">
          <controlPr defaultSize="0" autoLine="0" autoPict="0" r:id="rId5">
            <anchor moveWithCells="1">
              <from>
                <xdr:col>15</xdr:col>
                <xdr:colOff>85725</xdr:colOff>
                <xdr:row>4</xdr:row>
                <xdr:rowOff>66675</xdr:rowOff>
              </from>
              <to>
                <xdr:col>15</xdr:col>
                <xdr:colOff>866775</xdr:colOff>
                <xdr:row>6</xdr:row>
                <xdr:rowOff>114300</xdr:rowOff>
              </to>
            </anchor>
          </controlPr>
        </control>
      </mc:Choice>
      <mc:Fallback>
        <control shapeId="1027" r:id="rId4" name="btAjustar"/>
      </mc:Fallback>
    </mc:AlternateContent>
    <mc:AlternateContent xmlns:mc="http://schemas.openxmlformats.org/markup-compatibility/2006">
      <mc:Choice Requires="x14">
        <control shapeId="1025" r:id="rId6" name="btnLimpiar">
          <controlPr defaultSize="0" autoLine="0" autoPict="0" r:id="rId7">
            <anchor moveWithCells="1">
              <from>
                <xdr:col>0</xdr:col>
                <xdr:colOff>238125</xdr:colOff>
                <xdr:row>7</xdr:row>
                <xdr:rowOff>28575</xdr:rowOff>
              </from>
              <to>
                <xdr:col>3</xdr:col>
                <xdr:colOff>219075</xdr:colOff>
                <xdr:row>8</xdr:row>
                <xdr:rowOff>133350</xdr:rowOff>
              </to>
            </anchor>
          </controlPr>
        </control>
      </mc:Choice>
      <mc:Fallback>
        <control shapeId="1025" r:id="rId6" name="btnLimpiar"/>
      </mc:Fallback>
    </mc:AlternateContent>
    <mc:AlternateContent xmlns:mc="http://schemas.openxmlformats.org/markup-compatibility/2006">
      <mc:Choice Requires="x14">
        <control shapeId="1042" r:id="rId8" name="cbUltimoDia">
          <controlPr defaultSize="0" autoLine="0" autoPict="0" r:id="rId9">
            <anchor moveWithCells="1">
              <from>
                <xdr:col>12</xdr:col>
                <xdr:colOff>85725</xdr:colOff>
                <xdr:row>5</xdr:row>
                <xdr:rowOff>161925</xdr:rowOff>
              </from>
              <to>
                <xdr:col>12</xdr:col>
                <xdr:colOff>981075</xdr:colOff>
                <xdr:row>7</xdr:row>
                <xdr:rowOff>19050</xdr:rowOff>
              </to>
            </anchor>
          </controlPr>
        </control>
      </mc:Choice>
      <mc:Fallback>
        <control shapeId="1042" r:id="rId8" name="cbUltimoDia"/>
      </mc:Fallback>
    </mc:AlternateContent>
    <mc:AlternateContent xmlns:mc="http://schemas.openxmlformats.org/markup-compatibility/2006">
      <mc:Choice Requires="x14">
        <control shapeId="1029" r:id="rId10" name="Option Button 5">
          <controlPr defaultSize="0" autoFill="0" autoLine="0" autoPict="0" altText="Mensual Fijo">
            <anchor moveWithCells="1">
              <from>
                <xdr:col>2</xdr:col>
                <xdr:colOff>57150</xdr:colOff>
                <xdr:row>1</xdr:row>
                <xdr:rowOff>47625</xdr:rowOff>
              </from>
              <to>
                <xdr:col>3</xdr:col>
                <xdr:colOff>647700</xdr:colOff>
                <xdr:row>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1" name="Option Button 6">
          <controlPr defaultSize="0" autoFill="0" autoLine="0" autoPict="0" altText="Mensual Fijo">
            <anchor moveWithCells="1">
              <from>
                <xdr:col>2</xdr:col>
                <xdr:colOff>57150</xdr:colOff>
                <xdr:row>2</xdr:row>
                <xdr:rowOff>123825</xdr:rowOff>
              </from>
              <to>
                <xdr:col>3</xdr:col>
                <xdr:colOff>628650</xdr:colOff>
                <xdr:row>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2" name="Option Button 7">
          <controlPr defaultSize="0" autoFill="0" autoLine="0" autoPict="0" altText="Mensual Fijo">
            <anchor moveWithCells="1">
              <from>
                <xdr:col>2</xdr:col>
                <xdr:colOff>57150</xdr:colOff>
                <xdr:row>4</xdr:row>
                <xdr:rowOff>47625</xdr:rowOff>
              </from>
              <to>
                <xdr:col>3</xdr:col>
                <xdr:colOff>647700</xdr:colOff>
                <xdr:row>5</xdr:row>
                <xdr:rowOff>123825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5"/>
  <sheetViews>
    <sheetView workbookViewId="0"/>
  </sheetViews>
  <sheetFormatPr baseColWidth="10" defaultRowHeight="15" x14ac:dyDescent="0.25"/>
  <cols>
    <col min="1" max="1" width="14.140625" customWidth="1"/>
  </cols>
  <sheetData>
    <row r="1" spans="1:1" x14ac:dyDescent="0.25">
      <c r="A1" t="s">
        <v>101</v>
      </c>
    </row>
    <row r="3" spans="1:1" x14ac:dyDescent="0.25">
      <c r="A3" t="s">
        <v>103</v>
      </c>
    </row>
    <row r="4" spans="1:1" x14ac:dyDescent="0.25">
      <c r="A4" t="s">
        <v>102</v>
      </c>
    </row>
    <row r="5" spans="1:1" x14ac:dyDescent="0.25">
      <c r="A5" t="s">
        <v>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13</vt:i4>
      </vt:variant>
    </vt:vector>
  </HeadingPairs>
  <TitlesOfParts>
    <vt:vector size="15" baseType="lpstr">
      <vt:lpstr>Hoja1</vt:lpstr>
      <vt:lpstr>Hoja2</vt:lpstr>
      <vt:lpstr>areaFija</vt:lpstr>
      <vt:lpstr>ARREGLO</vt:lpstr>
      <vt:lpstr>CUOTA</vt:lpstr>
      <vt:lpstr>CUOTAADICIONAL</vt:lpstr>
      <vt:lpstr>dataGracia</vt:lpstr>
      <vt:lpstr>InicioLimpiar</vt:lpstr>
      <vt:lpstr>MONTO</vt:lpstr>
      <vt:lpstr>NCUOTAS</vt:lpstr>
      <vt:lpstr>OBJETIVO</vt:lpstr>
      <vt:lpstr>PAGO_SIN_FIJAR</vt:lpstr>
      <vt:lpstr>PGRACIA</vt:lpstr>
      <vt:lpstr>TIPO_CUOTAS</vt:lpstr>
      <vt:lpstr>ULTIMODIA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djhoncon</dc:creator>
  <cp:lastModifiedBy>Kenji Jhoncon</cp:lastModifiedBy>
  <cp:lastPrinted>2018-02-05T18:12:04Z</cp:lastPrinted>
  <dcterms:created xsi:type="dcterms:W3CDTF">2017-07-14T15:21:18Z</dcterms:created>
  <dcterms:modified xsi:type="dcterms:W3CDTF">2020-08-19T16:02:11Z</dcterms:modified>
</cp:coreProperties>
</file>