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CP\Cronogramas\09-01\"/>
    </mc:Choice>
  </mc:AlternateContent>
  <xr:revisionPtr revIDLastSave="0" documentId="13_ncr:1_{40E99E41-28F2-4ADC-9D97-7201D91048F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REGLO">Hoja1!$Z$8</definedName>
    <definedName name="CUOTA">Hoja1!$P$5</definedName>
    <definedName name="CUOTAADICIONAL">Hoja1!$P$7</definedName>
    <definedName name="dataGracia">Hoja1!$A$11</definedName>
    <definedName name="FIN_REF">Hoja1!$U$11</definedName>
    <definedName name="FinLimpiar">Hoja1!$E$12</definedName>
    <definedName name="INICIO_REF">Hoja1!$K$11</definedName>
    <definedName name="InicioLimpiar">Hoja1!$A$12</definedName>
    <definedName name="MONTO">Hoja1!$M$8</definedName>
    <definedName name="NCUOTAS">Hoja1!$P$6</definedName>
    <definedName name="OBJETIVO">Hoja1!$Z$7</definedName>
    <definedName name="PAGO_SIN_FIJAR">Hoja1!$I$11</definedName>
    <definedName name="PGRACIA">Hoja1!$P$9</definedName>
    <definedName name="TIPO_CUOTAS">Hoja2!$A$2:$A$5</definedName>
    <definedName name="ULTIMODIA">Hoja1!$B$1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G11" i="1" l="1"/>
  <c r="P9" i="1" l="1"/>
  <c r="P8" i="1" l="1"/>
  <c r="Q8" i="1" s="1"/>
  <c r="K12" i="1"/>
  <c r="K13" i="1" l="1"/>
  <c r="L11" i="1"/>
  <c r="U11" i="1"/>
  <c r="N12" i="1" s="1"/>
  <c r="AA1" i="1"/>
  <c r="Z6" i="1"/>
  <c r="U5" i="1"/>
  <c r="G13" i="1" l="1"/>
  <c r="L13" i="1" s="1"/>
  <c r="K14" i="1"/>
  <c r="K15" i="1" l="1"/>
  <c r="G15" i="1" l="1"/>
  <c r="L15" i="1" s="1"/>
  <c r="K16" i="1"/>
  <c r="C1" i="1"/>
  <c r="K17" i="1" l="1"/>
  <c r="H12" i="1"/>
  <c r="G12" i="1" s="1"/>
  <c r="L12" i="1" s="1"/>
  <c r="K18" i="1" l="1"/>
  <c r="S12" i="1"/>
  <c r="R12" i="1"/>
  <c r="T12" i="1"/>
  <c r="K19" i="1"/>
  <c r="H13" i="1"/>
  <c r="G18" i="1" l="1"/>
  <c r="L18" i="1" s="1"/>
  <c r="T13" i="1"/>
  <c r="R13" i="1"/>
  <c r="S13" i="1"/>
  <c r="F12" i="1"/>
  <c r="O12" i="1"/>
  <c r="K20" i="1"/>
  <c r="G20" i="1" l="1"/>
  <c r="L20" i="1" s="1"/>
  <c r="K21" i="1"/>
  <c r="M12" i="1"/>
  <c r="X12" i="1" s="1"/>
  <c r="K22" i="1" l="1"/>
  <c r="K23" i="1" l="1"/>
  <c r="Y12" i="1"/>
  <c r="H14" i="1"/>
  <c r="G14" i="1" s="1"/>
  <c r="L14" i="1" s="1"/>
  <c r="G23" i="1" l="1"/>
  <c r="L23" i="1" s="1"/>
  <c r="S14" i="1"/>
  <c r="R14" i="1"/>
  <c r="T14" i="1"/>
  <c r="K24" i="1"/>
  <c r="F13" i="1"/>
  <c r="Z12" i="1"/>
  <c r="AA12" i="1" s="1"/>
  <c r="M13" i="1"/>
  <c r="H15" i="1"/>
  <c r="T15" i="1" l="1"/>
  <c r="R15" i="1"/>
  <c r="S15" i="1"/>
  <c r="O15" i="1"/>
  <c r="K25" i="1"/>
  <c r="F14" i="1"/>
  <c r="AB12" i="1"/>
  <c r="M14" i="1"/>
  <c r="H16" i="1"/>
  <c r="G16" i="1" s="1"/>
  <c r="L16" i="1" s="1"/>
  <c r="G25" i="1" l="1"/>
  <c r="L25" i="1" s="1"/>
  <c r="S16" i="1"/>
  <c r="T16" i="1"/>
  <c r="R16" i="1"/>
  <c r="M15" i="1"/>
  <c r="O16" i="1"/>
  <c r="F15" i="1"/>
  <c r="K26" i="1"/>
  <c r="AC12" i="1"/>
  <c r="H17" i="1"/>
  <c r="G17" i="1" s="1"/>
  <c r="L17" i="1" s="1"/>
  <c r="R17" i="1" l="1"/>
  <c r="T17" i="1"/>
  <c r="S17" i="1"/>
  <c r="O17" i="1"/>
  <c r="K27" i="1"/>
  <c r="F16" i="1"/>
  <c r="AD12" i="1"/>
  <c r="M16" i="1"/>
  <c r="H18" i="1"/>
  <c r="G27" i="1" l="1"/>
  <c r="L27" i="1" s="1"/>
  <c r="R18" i="1"/>
  <c r="T18" i="1"/>
  <c r="S18" i="1"/>
  <c r="O18" i="1"/>
  <c r="F17" i="1"/>
  <c r="M17" i="1"/>
  <c r="K28" i="1"/>
  <c r="AE12" i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H19" i="1"/>
  <c r="G19" i="1" s="1"/>
  <c r="L19" i="1" s="1"/>
  <c r="T19" i="1" l="1"/>
  <c r="R19" i="1"/>
  <c r="S19" i="1"/>
  <c r="J12" i="1"/>
  <c r="W12" i="1"/>
  <c r="F18" i="1"/>
  <c r="M18" i="1"/>
  <c r="F19" i="1"/>
  <c r="K29" i="1"/>
  <c r="H20" i="1"/>
  <c r="R20" i="1" l="1"/>
  <c r="T20" i="1"/>
  <c r="S20" i="1"/>
  <c r="Q12" i="1"/>
  <c r="V12" i="1" s="1"/>
  <c r="M19" i="1"/>
  <c r="O19" i="1"/>
  <c r="O20" i="1"/>
  <c r="K30" i="1"/>
  <c r="H21" i="1"/>
  <c r="G21" i="1" s="1"/>
  <c r="L21" i="1" s="1"/>
  <c r="G30" i="1" l="1"/>
  <c r="L30" i="1" s="1"/>
  <c r="R21" i="1"/>
  <c r="T21" i="1"/>
  <c r="S21" i="1"/>
  <c r="P12" i="1"/>
  <c r="U12" i="1" s="1"/>
  <c r="O21" i="1"/>
  <c r="K31" i="1"/>
  <c r="F20" i="1"/>
  <c r="M20" i="1"/>
  <c r="H22" i="1"/>
  <c r="G22" i="1" s="1"/>
  <c r="L22" i="1" s="1"/>
  <c r="R22" i="1" l="1"/>
  <c r="S22" i="1"/>
  <c r="T22" i="1"/>
  <c r="O22" i="1"/>
  <c r="K32" i="1"/>
  <c r="F21" i="1"/>
  <c r="M21" i="1"/>
  <c r="H23" i="1"/>
  <c r="G32" i="1" l="1"/>
  <c r="L32" i="1" s="1"/>
  <c r="R23" i="1"/>
  <c r="S23" i="1"/>
  <c r="T23" i="1"/>
  <c r="M22" i="1"/>
  <c r="F22" i="1"/>
  <c r="O23" i="1"/>
  <c r="K33" i="1"/>
  <c r="H24" i="1"/>
  <c r="R24" i="1" l="1"/>
  <c r="G24" i="1"/>
  <c r="L24" i="1" s="1"/>
  <c r="O24" i="1" s="1"/>
  <c r="T24" i="1"/>
  <c r="S24" i="1"/>
  <c r="M23" i="1"/>
  <c r="F23" i="1"/>
  <c r="K34" i="1"/>
  <c r="H25" i="1"/>
  <c r="R25" i="1" s="1"/>
  <c r="S25" i="1" l="1"/>
  <c r="T25" i="1"/>
  <c r="M24" i="1"/>
  <c r="F24" i="1"/>
  <c r="F25" i="1"/>
  <c r="K35" i="1"/>
  <c r="H26" i="1"/>
  <c r="G26" i="1" s="1"/>
  <c r="L26" i="1" s="1"/>
  <c r="G35" i="1" l="1"/>
  <c r="L35" i="1" s="1"/>
  <c r="T26" i="1"/>
  <c r="S26" i="1"/>
  <c r="R26" i="1"/>
  <c r="M25" i="1"/>
  <c r="O25" i="1"/>
  <c r="K36" i="1"/>
  <c r="O26" i="1"/>
  <c r="H27" i="1"/>
  <c r="R27" i="1" l="1"/>
  <c r="S27" i="1"/>
  <c r="T27" i="1"/>
  <c r="K37" i="1"/>
  <c r="F26" i="1"/>
  <c r="M26" i="1"/>
  <c r="O27" i="1"/>
  <c r="H28" i="1"/>
  <c r="G28" i="1" s="1"/>
  <c r="L28" i="1" s="1"/>
  <c r="G37" i="1" l="1"/>
  <c r="L37" i="1" s="1"/>
  <c r="R28" i="1"/>
  <c r="S28" i="1"/>
  <c r="T28" i="1"/>
  <c r="H29" i="1"/>
  <c r="G29" i="1" s="1"/>
  <c r="L29" i="1" s="1"/>
  <c r="O28" i="1"/>
  <c r="K38" i="1"/>
  <c r="F27" i="1"/>
  <c r="M27" i="1"/>
  <c r="T29" i="1" l="1"/>
  <c r="S29" i="1"/>
  <c r="R29" i="1"/>
  <c r="H30" i="1"/>
  <c r="O30" i="1"/>
  <c r="F29" i="1"/>
  <c r="K39" i="1"/>
  <c r="F28" i="1"/>
  <c r="M28" i="1"/>
  <c r="R30" i="1" l="1"/>
  <c r="G39" i="1"/>
  <c r="L39" i="1" s="1"/>
  <c r="S30" i="1"/>
  <c r="T30" i="1"/>
  <c r="H31" i="1"/>
  <c r="F30" i="1"/>
  <c r="M30" i="1"/>
  <c r="O29" i="1"/>
  <c r="M29" i="1"/>
  <c r="K40" i="1"/>
  <c r="R31" i="1" l="1"/>
  <c r="G31" i="1"/>
  <c r="L31" i="1" s="1"/>
  <c r="O31" i="1" s="1"/>
  <c r="T31" i="1"/>
  <c r="S31" i="1"/>
  <c r="H32" i="1"/>
  <c r="K41" i="1"/>
  <c r="F31" i="1" l="1"/>
  <c r="M31" i="1"/>
  <c r="H33" i="1"/>
  <c r="G33" i="1" s="1"/>
  <c r="L33" i="1" s="1"/>
  <c r="O33" i="1" s="1"/>
  <c r="T32" i="1"/>
  <c r="T33" i="1" s="1"/>
  <c r="S32" i="1"/>
  <c r="S33" i="1" s="1"/>
  <c r="S34" i="1" s="1"/>
  <c r="R32" i="1"/>
  <c r="R33" i="1" s="1"/>
  <c r="R34" i="1" s="1"/>
  <c r="K42" i="1"/>
  <c r="H34" i="1"/>
  <c r="G34" i="1" s="1"/>
  <c r="L34" i="1" s="1"/>
  <c r="G42" i="1" l="1"/>
  <c r="L42" i="1" s="1"/>
  <c r="T34" i="1"/>
  <c r="F33" i="1"/>
  <c r="O34" i="1"/>
  <c r="K43" i="1"/>
  <c r="H35" i="1"/>
  <c r="R35" i="1" s="1"/>
  <c r="S35" i="1" l="1"/>
  <c r="T35" i="1"/>
  <c r="M34" i="1"/>
  <c r="F34" i="1"/>
  <c r="O35" i="1"/>
  <c r="K44" i="1"/>
  <c r="H36" i="1"/>
  <c r="G36" i="1" s="1"/>
  <c r="L36" i="1" s="1"/>
  <c r="G44" i="1" l="1"/>
  <c r="L44" i="1" s="1"/>
  <c r="T36" i="1"/>
  <c r="R36" i="1"/>
  <c r="S36" i="1"/>
  <c r="M35" i="1"/>
  <c r="F35" i="1"/>
  <c r="O36" i="1"/>
  <c r="K45" i="1"/>
  <c r="H37" i="1"/>
  <c r="T37" i="1" l="1"/>
  <c r="R37" i="1"/>
  <c r="S37" i="1"/>
  <c r="M37" i="1"/>
  <c r="M36" i="1"/>
  <c r="F36" i="1"/>
  <c r="K46" i="1"/>
  <c r="H38" i="1"/>
  <c r="G38" i="1" s="1"/>
  <c r="L38" i="1" s="1"/>
  <c r="F37" i="1" l="1"/>
  <c r="O37" i="1"/>
  <c r="T38" i="1"/>
  <c r="R38" i="1"/>
  <c r="F38" i="1"/>
  <c r="S38" i="1"/>
  <c r="K47" i="1"/>
  <c r="H39" i="1"/>
  <c r="G47" i="1" l="1"/>
  <c r="L47" i="1" s="1"/>
  <c r="O38" i="1"/>
  <c r="T39" i="1"/>
  <c r="F39" i="1"/>
  <c r="R39" i="1"/>
  <c r="S39" i="1"/>
  <c r="M38" i="1"/>
  <c r="K48" i="1"/>
  <c r="H40" i="1"/>
  <c r="G40" i="1" s="1"/>
  <c r="L40" i="1" s="1"/>
  <c r="O39" i="1" l="1"/>
  <c r="M39" i="1"/>
  <c r="R40" i="1"/>
  <c r="S40" i="1"/>
  <c r="F40" i="1"/>
  <c r="T40" i="1"/>
  <c r="K49" i="1"/>
  <c r="H41" i="1"/>
  <c r="G41" i="1" s="1"/>
  <c r="L41" i="1" s="1"/>
  <c r="L49" i="1" l="1"/>
  <c r="G49" i="1"/>
  <c r="O40" i="1"/>
  <c r="M40" i="1"/>
  <c r="S41" i="1"/>
  <c r="T41" i="1"/>
  <c r="R41" i="1"/>
  <c r="O41" i="1"/>
  <c r="T49" i="1"/>
  <c r="R49" i="1"/>
  <c r="S49" i="1"/>
  <c r="V49" i="1"/>
  <c r="Q49" i="1"/>
  <c r="K50" i="1"/>
  <c r="H42" i="1"/>
  <c r="L50" i="1" l="1"/>
  <c r="G50" i="1"/>
  <c r="S42" i="1"/>
  <c r="T42" i="1"/>
  <c r="R42" i="1"/>
  <c r="O42" i="1"/>
  <c r="M41" i="1"/>
  <c r="F41" i="1"/>
  <c r="S50" i="1"/>
  <c r="T50" i="1"/>
  <c r="R50" i="1"/>
  <c r="Q50" i="1"/>
  <c r="V50" i="1"/>
  <c r="K51" i="1"/>
  <c r="H43" i="1"/>
  <c r="G43" i="1" s="1"/>
  <c r="L43" i="1" s="1"/>
  <c r="L51" i="1" l="1"/>
  <c r="G51" i="1"/>
  <c r="M42" i="1"/>
  <c r="T43" i="1"/>
  <c r="R43" i="1"/>
  <c r="S43" i="1"/>
  <c r="O43" i="1"/>
  <c r="F42" i="1"/>
  <c r="T51" i="1"/>
  <c r="R51" i="1"/>
  <c r="S51" i="1"/>
  <c r="Q51" i="1"/>
  <c r="V51" i="1"/>
  <c r="K52" i="1"/>
  <c r="H44" i="1"/>
  <c r="L52" i="1" l="1"/>
  <c r="G52" i="1"/>
  <c r="M43" i="1"/>
  <c r="O44" i="1"/>
  <c r="S44" i="1"/>
  <c r="T44" i="1"/>
  <c r="R44" i="1"/>
  <c r="F43" i="1"/>
  <c r="R52" i="1"/>
  <c r="T52" i="1"/>
  <c r="S52" i="1"/>
  <c r="Q52" i="1"/>
  <c r="V52" i="1"/>
  <c r="K53" i="1"/>
  <c r="H45" i="1"/>
  <c r="G45" i="1" s="1"/>
  <c r="L45" i="1" s="1"/>
  <c r="L53" i="1" l="1"/>
  <c r="G53" i="1"/>
  <c r="O45" i="1"/>
  <c r="S45" i="1"/>
  <c r="T45" i="1"/>
  <c r="R45" i="1"/>
  <c r="F44" i="1"/>
  <c r="M44" i="1"/>
  <c r="S53" i="1"/>
  <c r="T53" i="1"/>
  <c r="R53" i="1"/>
  <c r="Q53" i="1"/>
  <c r="V53" i="1"/>
  <c r="K54" i="1"/>
  <c r="H46" i="1"/>
  <c r="G46" i="1" s="1"/>
  <c r="L46" i="1" s="1"/>
  <c r="L54" i="1" l="1"/>
  <c r="G54" i="1"/>
  <c r="M45" i="1"/>
  <c r="F45" i="1"/>
  <c r="F46" i="1"/>
  <c r="T46" i="1"/>
  <c r="R46" i="1"/>
  <c r="S46" i="1"/>
  <c r="S54" i="1"/>
  <c r="R54" i="1"/>
  <c r="T54" i="1"/>
  <c r="Q54" i="1"/>
  <c r="V54" i="1"/>
  <c r="K55" i="1"/>
  <c r="H47" i="1"/>
  <c r="L55" i="1" l="1"/>
  <c r="G55" i="1"/>
  <c r="O46" i="1"/>
  <c r="F47" i="1"/>
  <c r="S47" i="1"/>
  <c r="R47" i="1"/>
  <c r="T47" i="1"/>
  <c r="M46" i="1"/>
  <c r="T55" i="1"/>
  <c r="S55" i="1"/>
  <c r="R55" i="1"/>
  <c r="Q55" i="1"/>
  <c r="V55" i="1"/>
  <c r="O47" i="1"/>
  <c r="K56" i="1"/>
  <c r="H48" i="1"/>
  <c r="G48" i="1" l="1"/>
  <c r="L48" i="1" s="1"/>
  <c r="F48" i="1" s="1"/>
  <c r="R48" i="1"/>
  <c r="T48" i="1"/>
  <c r="S48" i="1"/>
  <c r="L56" i="1"/>
  <c r="G56" i="1"/>
  <c r="M47" i="1"/>
  <c r="S56" i="1"/>
  <c r="T56" i="1"/>
  <c r="R56" i="1"/>
  <c r="V56" i="1"/>
  <c r="Q56" i="1"/>
  <c r="O48" i="1"/>
  <c r="K57" i="1"/>
  <c r="H49" i="1"/>
  <c r="M48" i="1" l="1"/>
  <c r="L57" i="1"/>
  <c r="G57" i="1"/>
  <c r="S57" i="1"/>
  <c r="R57" i="1"/>
  <c r="T57" i="1"/>
  <c r="V57" i="1"/>
  <c r="Q57" i="1"/>
  <c r="O49" i="1"/>
  <c r="K58" i="1"/>
  <c r="F49" i="1"/>
  <c r="M49" i="1"/>
  <c r="H50" i="1"/>
  <c r="L58" i="1" l="1"/>
  <c r="G58" i="1"/>
  <c r="S58" i="1"/>
  <c r="R58" i="1"/>
  <c r="T58" i="1"/>
  <c r="V58" i="1"/>
  <c r="Q58" i="1"/>
  <c r="O50" i="1"/>
  <c r="K59" i="1"/>
  <c r="F50" i="1"/>
  <c r="M50" i="1"/>
  <c r="H51" i="1"/>
  <c r="L59" i="1" l="1"/>
  <c r="G59" i="1"/>
  <c r="T59" i="1"/>
  <c r="R59" i="1"/>
  <c r="S59" i="1"/>
  <c r="V59" i="1"/>
  <c r="Q59" i="1"/>
  <c r="O51" i="1"/>
  <c r="K60" i="1"/>
  <c r="F51" i="1"/>
  <c r="M51" i="1"/>
  <c r="H52" i="1"/>
  <c r="L60" i="1" l="1"/>
  <c r="G60" i="1"/>
  <c r="T60" i="1"/>
  <c r="R60" i="1"/>
  <c r="S60" i="1"/>
  <c r="V60" i="1"/>
  <c r="Q60" i="1"/>
  <c r="O52" i="1"/>
  <c r="K61" i="1"/>
  <c r="F52" i="1"/>
  <c r="M52" i="1"/>
  <c r="H53" i="1"/>
  <c r="L61" i="1" l="1"/>
  <c r="G61" i="1"/>
  <c r="T61" i="1"/>
  <c r="R61" i="1"/>
  <c r="S61" i="1"/>
  <c r="V61" i="1"/>
  <c r="Q61" i="1"/>
  <c r="O53" i="1"/>
  <c r="K62" i="1"/>
  <c r="F53" i="1"/>
  <c r="M53" i="1"/>
  <c r="H54" i="1"/>
  <c r="L62" i="1" l="1"/>
  <c r="G62" i="1"/>
  <c r="T62" i="1"/>
  <c r="R62" i="1"/>
  <c r="S62" i="1"/>
  <c r="V62" i="1"/>
  <c r="Q62" i="1"/>
  <c r="O54" i="1"/>
  <c r="K63" i="1"/>
  <c r="F54" i="1"/>
  <c r="M54" i="1"/>
  <c r="H55" i="1"/>
  <c r="L63" i="1" l="1"/>
  <c r="G63" i="1"/>
  <c r="T63" i="1"/>
  <c r="R63" i="1"/>
  <c r="S63" i="1"/>
  <c r="Q63" i="1"/>
  <c r="V63" i="1"/>
  <c r="O55" i="1"/>
  <c r="K64" i="1"/>
  <c r="F55" i="1"/>
  <c r="M55" i="1"/>
  <c r="H56" i="1"/>
  <c r="L64" i="1" l="1"/>
  <c r="G64" i="1"/>
  <c r="R64" i="1"/>
  <c r="T64" i="1"/>
  <c r="S64" i="1"/>
  <c r="Q64" i="1"/>
  <c r="V64" i="1"/>
  <c r="O56" i="1"/>
  <c r="K65" i="1"/>
  <c r="F56" i="1"/>
  <c r="M56" i="1"/>
  <c r="H57" i="1"/>
  <c r="L65" i="1" l="1"/>
  <c r="G65" i="1"/>
  <c r="S65" i="1"/>
  <c r="T65" i="1"/>
  <c r="R65" i="1"/>
  <c r="Q65" i="1"/>
  <c r="V65" i="1"/>
  <c r="O57" i="1"/>
  <c r="K66" i="1"/>
  <c r="F57" i="1"/>
  <c r="M57" i="1"/>
  <c r="H58" i="1"/>
  <c r="L66" i="1" l="1"/>
  <c r="G66" i="1"/>
  <c r="S66" i="1"/>
  <c r="R66" i="1"/>
  <c r="T66" i="1"/>
  <c r="Q66" i="1"/>
  <c r="V66" i="1"/>
  <c r="O58" i="1"/>
  <c r="K67" i="1"/>
  <c r="F58" i="1"/>
  <c r="M58" i="1"/>
  <c r="H59" i="1"/>
  <c r="L67" i="1" l="1"/>
  <c r="G67" i="1"/>
  <c r="S67" i="1"/>
  <c r="T67" i="1"/>
  <c r="R67" i="1"/>
  <c r="V67" i="1"/>
  <c r="Q67" i="1"/>
  <c r="O59" i="1"/>
  <c r="K68" i="1"/>
  <c r="F59" i="1"/>
  <c r="M59" i="1"/>
  <c r="H60" i="1"/>
  <c r="L68" i="1" l="1"/>
  <c r="G68" i="1"/>
  <c r="T68" i="1"/>
  <c r="S68" i="1"/>
  <c r="R68" i="1"/>
  <c r="Q68" i="1"/>
  <c r="V68" i="1"/>
  <c r="O60" i="1"/>
  <c r="K69" i="1"/>
  <c r="F60" i="1"/>
  <c r="M60" i="1"/>
  <c r="H61" i="1"/>
  <c r="L69" i="1" l="1"/>
  <c r="G69" i="1"/>
  <c r="S69" i="1"/>
  <c r="R69" i="1"/>
  <c r="T69" i="1"/>
  <c r="V69" i="1"/>
  <c r="Q69" i="1"/>
  <c r="O61" i="1"/>
  <c r="K70" i="1"/>
  <c r="F61" i="1"/>
  <c r="M61" i="1"/>
  <c r="H62" i="1"/>
  <c r="L70" i="1" l="1"/>
  <c r="G70" i="1"/>
  <c r="S70" i="1"/>
  <c r="R70" i="1"/>
  <c r="T70" i="1"/>
  <c r="V70" i="1"/>
  <c r="Q70" i="1"/>
  <c r="O62" i="1"/>
  <c r="K71" i="1"/>
  <c r="F62" i="1"/>
  <c r="M62" i="1"/>
  <c r="H63" i="1"/>
  <c r="L71" i="1" l="1"/>
  <c r="G71" i="1"/>
  <c r="T71" i="1"/>
  <c r="R71" i="1"/>
  <c r="S71" i="1"/>
  <c r="V71" i="1"/>
  <c r="Q71" i="1"/>
  <c r="O63" i="1"/>
  <c r="K72" i="1"/>
  <c r="F63" i="1"/>
  <c r="M63" i="1"/>
  <c r="H64" i="1"/>
  <c r="L72" i="1" l="1"/>
  <c r="G72" i="1"/>
  <c r="T72" i="1"/>
  <c r="R72" i="1"/>
  <c r="S72" i="1"/>
  <c r="V72" i="1"/>
  <c r="Q72" i="1"/>
  <c r="O64" i="1"/>
  <c r="K73" i="1"/>
  <c r="F64" i="1"/>
  <c r="M64" i="1"/>
  <c r="H65" i="1"/>
  <c r="L73" i="1" l="1"/>
  <c r="G73" i="1"/>
  <c r="T73" i="1"/>
  <c r="R73" i="1"/>
  <c r="S73" i="1"/>
  <c r="Q73" i="1"/>
  <c r="V73" i="1"/>
  <c r="O65" i="1"/>
  <c r="K74" i="1"/>
  <c r="F65" i="1"/>
  <c r="M65" i="1"/>
  <c r="H66" i="1"/>
  <c r="L74" i="1" l="1"/>
  <c r="G74" i="1"/>
  <c r="T74" i="1"/>
  <c r="R74" i="1"/>
  <c r="S74" i="1"/>
  <c r="Q74" i="1"/>
  <c r="V74" i="1"/>
  <c r="O66" i="1"/>
  <c r="K75" i="1"/>
  <c r="F66" i="1"/>
  <c r="M66" i="1"/>
  <c r="H67" i="1"/>
  <c r="L75" i="1" l="1"/>
  <c r="G75" i="1"/>
  <c r="T75" i="1"/>
  <c r="R75" i="1"/>
  <c r="S75" i="1"/>
  <c r="Q75" i="1"/>
  <c r="V75" i="1"/>
  <c r="O67" i="1"/>
  <c r="K76" i="1"/>
  <c r="F67" i="1"/>
  <c r="M67" i="1"/>
  <c r="H68" i="1"/>
  <c r="L76" i="1" l="1"/>
  <c r="G76" i="1"/>
  <c r="R76" i="1"/>
  <c r="T76" i="1"/>
  <c r="S76" i="1"/>
  <c r="Q76" i="1"/>
  <c r="V76" i="1"/>
  <c r="O68" i="1"/>
  <c r="K77" i="1"/>
  <c r="F68" i="1"/>
  <c r="M68" i="1"/>
  <c r="H69" i="1"/>
  <c r="L77" i="1" l="1"/>
  <c r="G77" i="1"/>
  <c r="S77" i="1"/>
  <c r="T77" i="1"/>
  <c r="R77" i="1"/>
  <c r="Q77" i="1"/>
  <c r="V77" i="1"/>
  <c r="O69" i="1"/>
  <c r="K78" i="1"/>
  <c r="F69" i="1"/>
  <c r="M69" i="1"/>
  <c r="H70" i="1"/>
  <c r="L78" i="1" l="1"/>
  <c r="G78" i="1"/>
  <c r="S78" i="1"/>
  <c r="T78" i="1"/>
  <c r="R78" i="1"/>
  <c r="V78" i="1"/>
  <c r="Q78" i="1"/>
  <c r="O70" i="1"/>
  <c r="K79" i="1"/>
  <c r="F70" i="1"/>
  <c r="M70" i="1"/>
  <c r="H71" i="1"/>
  <c r="L79" i="1" l="1"/>
  <c r="G79" i="1"/>
  <c r="S79" i="1"/>
  <c r="R79" i="1"/>
  <c r="T79" i="1"/>
  <c r="Q79" i="1"/>
  <c r="V79" i="1"/>
  <c r="O71" i="1"/>
  <c r="K80" i="1"/>
  <c r="F71" i="1"/>
  <c r="M71" i="1"/>
  <c r="H72" i="1"/>
  <c r="L80" i="1" l="1"/>
  <c r="G80" i="1"/>
  <c r="S80" i="1"/>
  <c r="T80" i="1"/>
  <c r="R80" i="1"/>
  <c r="V80" i="1"/>
  <c r="Q80" i="1"/>
  <c r="O72" i="1"/>
  <c r="K81" i="1"/>
  <c r="F72" i="1"/>
  <c r="M72" i="1"/>
  <c r="H73" i="1"/>
  <c r="L81" i="1" l="1"/>
  <c r="G81" i="1"/>
  <c r="S81" i="1"/>
  <c r="R81" i="1"/>
  <c r="T81" i="1"/>
  <c r="V81" i="1"/>
  <c r="Q81" i="1"/>
  <c r="O73" i="1"/>
  <c r="K82" i="1"/>
  <c r="F73" i="1"/>
  <c r="M73" i="1"/>
  <c r="H74" i="1"/>
  <c r="L82" i="1" l="1"/>
  <c r="G82" i="1"/>
  <c r="S82" i="1"/>
  <c r="R82" i="1"/>
  <c r="T82" i="1"/>
  <c r="V82" i="1"/>
  <c r="Q82" i="1"/>
  <c r="O74" i="1"/>
  <c r="K83" i="1"/>
  <c r="F74" i="1"/>
  <c r="M74" i="1"/>
  <c r="H75" i="1"/>
  <c r="L83" i="1" l="1"/>
  <c r="G83" i="1"/>
  <c r="T83" i="1"/>
  <c r="R83" i="1"/>
  <c r="S83" i="1"/>
  <c r="V83" i="1"/>
  <c r="Q83" i="1"/>
  <c r="O75" i="1"/>
  <c r="K84" i="1"/>
  <c r="F75" i="1"/>
  <c r="M75" i="1"/>
  <c r="H76" i="1"/>
  <c r="L84" i="1" l="1"/>
  <c r="G84" i="1"/>
  <c r="T84" i="1"/>
  <c r="R84" i="1"/>
  <c r="S84" i="1"/>
  <c r="Q84" i="1"/>
  <c r="V84" i="1"/>
  <c r="O76" i="1"/>
  <c r="K85" i="1"/>
  <c r="F76" i="1"/>
  <c r="M76" i="1"/>
  <c r="H77" i="1"/>
  <c r="L85" i="1" l="1"/>
  <c r="G85" i="1"/>
  <c r="T85" i="1"/>
  <c r="R85" i="1"/>
  <c r="S85" i="1"/>
  <c r="V85" i="1"/>
  <c r="Q85" i="1"/>
  <c r="O77" i="1"/>
  <c r="K86" i="1"/>
  <c r="F77" i="1"/>
  <c r="M77" i="1"/>
  <c r="H78" i="1"/>
  <c r="L86" i="1" l="1"/>
  <c r="G86" i="1"/>
  <c r="T86" i="1"/>
  <c r="R86" i="1"/>
  <c r="S86" i="1"/>
  <c r="Q86" i="1"/>
  <c r="V86" i="1"/>
  <c r="O78" i="1"/>
  <c r="K87" i="1"/>
  <c r="F78" i="1"/>
  <c r="M78" i="1"/>
  <c r="H79" i="1"/>
  <c r="L87" i="1" l="1"/>
  <c r="G87" i="1"/>
  <c r="T87" i="1"/>
  <c r="R87" i="1"/>
  <c r="S87" i="1"/>
  <c r="V87" i="1"/>
  <c r="Q87" i="1"/>
  <c r="O79" i="1"/>
  <c r="K88" i="1"/>
  <c r="F79" i="1"/>
  <c r="M79" i="1"/>
  <c r="H80" i="1"/>
  <c r="L88" i="1" l="1"/>
  <c r="G88" i="1"/>
  <c r="R88" i="1"/>
  <c r="T88" i="1"/>
  <c r="S88" i="1"/>
  <c r="Q88" i="1"/>
  <c r="V88" i="1"/>
  <c r="O80" i="1"/>
  <c r="K89" i="1"/>
  <c r="F80" i="1"/>
  <c r="M80" i="1"/>
  <c r="H81" i="1"/>
  <c r="L89" i="1" l="1"/>
  <c r="G89" i="1"/>
  <c r="S89" i="1"/>
  <c r="T89" i="1"/>
  <c r="R89" i="1"/>
  <c r="Q89" i="1"/>
  <c r="V89" i="1"/>
  <c r="O81" i="1"/>
  <c r="K90" i="1"/>
  <c r="F81" i="1"/>
  <c r="M81" i="1"/>
  <c r="H82" i="1"/>
  <c r="L90" i="1" l="1"/>
  <c r="G90" i="1"/>
  <c r="S90" i="1"/>
  <c r="R90" i="1"/>
  <c r="T90" i="1"/>
  <c r="Q90" i="1"/>
  <c r="V90" i="1"/>
  <c r="O82" i="1"/>
  <c r="K91" i="1"/>
  <c r="F82" i="1"/>
  <c r="M82" i="1"/>
  <c r="H83" i="1"/>
  <c r="L91" i="1" l="1"/>
  <c r="G91" i="1"/>
  <c r="S91" i="1"/>
  <c r="T91" i="1"/>
  <c r="R91" i="1"/>
  <c r="V91" i="1"/>
  <c r="Q91" i="1"/>
  <c r="O83" i="1"/>
  <c r="K92" i="1"/>
  <c r="F83" i="1"/>
  <c r="M83" i="1"/>
  <c r="H84" i="1"/>
  <c r="L92" i="1" l="1"/>
  <c r="G92" i="1"/>
  <c r="T92" i="1"/>
  <c r="S92" i="1"/>
  <c r="R92" i="1"/>
  <c r="Q92" i="1"/>
  <c r="V92" i="1"/>
  <c r="O84" i="1"/>
  <c r="K93" i="1"/>
  <c r="F84" i="1"/>
  <c r="M84" i="1"/>
  <c r="H85" i="1"/>
  <c r="L93" i="1" l="1"/>
  <c r="G93" i="1"/>
  <c r="S93" i="1"/>
  <c r="R93" i="1"/>
  <c r="T93" i="1"/>
  <c r="V93" i="1"/>
  <c r="Q93" i="1"/>
  <c r="O85" i="1"/>
  <c r="K94" i="1"/>
  <c r="F85" i="1"/>
  <c r="M85" i="1"/>
  <c r="H86" i="1"/>
  <c r="L94" i="1" l="1"/>
  <c r="G94" i="1"/>
  <c r="S94" i="1"/>
  <c r="R94" i="1"/>
  <c r="T94" i="1"/>
  <c r="V94" i="1"/>
  <c r="Q94" i="1"/>
  <c r="O86" i="1"/>
  <c r="K95" i="1"/>
  <c r="F86" i="1"/>
  <c r="M86" i="1"/>
  <c r="H87" i="1"/>
  <c r="L95" i="1" l="1"/>
  <c r="G95" i="1"/>
  <c r="T95" i="1"/>
  <c r="R95" i="1"/>
  <c r="S95" i="1"/>
  <c r="V95" i="1"/>
  <c r="Q95" i="1"/>
  <c r="O87" i="1"/>
  <c r="K96" i="1"/>
  <c r="F87" i="1"/>
  <c r="M87" i="1"/>
  <c r="H88" i="1"/>
  <c r="L96" i="1" l="1"/>
  <c r="G96" i="1"/>
  <c r="T96" i="1"/>
  <c r="R96" i="1"/>
  <c r="S96" i="1"/>
  <c r="V96" i="1"/>
  <c r="Q96" i="1"/>
  <c r="O88" i="1"/>
  <c r="K97" i="1"/>
  <c r="F88" i="1"/>
  <c r="M88" i="1"/>
  <c r="H89" i="1"/>
  <c r="L97" i="1" l="1"/>
  <c r="G97" i="1"/>
  <c r="T97" i="1"/>
  <c r="R97" i="1"/>
  <c r="S97" i="1"/>
  <c r="V97" i="1"/>
  <c r="Q97" i="1"/>
  <c r="O89" i="1"/>
  <c r="K98" i="1"/>
  <c r="F89" i="1"/>
  <c r="M89" i="1"/>
  <c r="H90" i="1"/>
  <c r="L98" i="1" l="1"/>
  <c r="G98" i="1"/>
  <c r="T98" i="1"/>
  <c r="R98" i="1"/>
  <c r="S98" i="1"/>
  <c r="V98" i="1"/>
  <c r="Q98" i="1"/>
  <c r="O90" i="1"/>
  <c r="K99" i="1"/>
  <c r="F90" i="1"/>
  <c r="M90" i="1"/>
  <c r="H91" i="1"/>
  <c r="L99" i="1" l="1"/>
  <c r="G99" i="1"/>
  <c r="T99" i="1"/>
  <c r="R99" i="1"/>
  <c r="S99" i="1"/>
  <c r="Q99" i="1"/>
  <c r="V99" i="1"/>
  <c r="O91" i="1"/>
  <c r="K100" i="1"/>
  <c r="F91" i="1"/>
  <c r="M91" i="1"/>
  <c r="H92" i="1"/>
  <c r="L100" i="1" l="1"/>
  <c r="G100" i="1"/>
  <c r="T100" i="1"/>
  <c r="R100" i="1"/>
  <c r="S100" i="1"/>
  <c r="Q100" i="1"/>
  <c r="V100" i="1"/>
  <c r="O92" i="1"/>
  <c r="K101" i="1"/>
  <c r="F92" i="1"/>
  <c r="M92" i="1"/>
  <c r="H93" i="1"/>
  <c r="L101" i="1" l="1"/>
  <c r="G101" i="1"/>
  <c r="S101" i="1"/>
  <c r="T101" i="1"/>
  <c r="R101" i="1"/>
  <c r="Q101" i="1"/>
  <c r="V101" i="1"/>
  <c r="O93" i="1"/>
  <c r="K102" i="1"/>
  <c r="F93" i="1"/>
  <c r="M93" i="1"/>
  <c r="H94" i="1"/>
  <c r="L102" i="1" l="1"/>
  <c r="G102" i="1"/>
  <c r="S102" i="1"/>
  <c r="R102" i="1"/>
  <c r="T102" i="1"/>
  <c r="V102" i="1"/>
  <c r="Q102" i="1"/>
  <c r="O94" i="1"/>
  <c r="K103" i="1"/>
  <c r="F94" i="1"/>
  <c r="M94" i="1"/>
  <c r="H95" i="1"/>
  <c r="L103" i="1" l="1"/>
  <c r="G103" i="1"/>
  <c r="S103" i="1"/>
  <c r="T103" i="1"/>
  <c r="R103" i="1"/>
  <c r="Q103" i="1"/>
  <c r="V103" i="1"/>
  <c r="O95" i="1"/>
  <c r="K104" i="1"/>
  <c r="F95" i="1"/>
  <c r="M95" i="1"/>
  <c r="H96" i="1"/>
  <c r="L104" i="1" l="1"/>
  <c r="G104" i="1"/>
  <c r="S104" i="1"/>
  <c r="T104" i="1"/>
  <c r="R104" i="1"/>
  <c r="Q104" i="1"/>
  <c r="V104" i="1"/>
  <c r="O96" i="1"/>
  <c r="K105" i="1"/>
  <c r="F96" i="1"/>
  <c r="M96" i="1"/>
  <c r="H97" i="1"/>
  <c r="L105" i="1" l="1"/>
  <c r="G105" i="1"/>
  <c r="S105" i="1"/>
  <c r="R105" i="1"/>
  <c r="T105" i="1"/>
  <c r="V105" i="1"/>
  <c r="Q105" i="1"/>
  <c r="O97" i="1"/>
  <c r="K106" i="1"/>
  <c r="F97" i="1"/>
  <c r="M97" i="1"/>
  <c r="H98" i="1"/>
  <c r="L106" i="1" l="1"/>
  <c r="G106" i="1"/>
  <c r="S106" i="1"/>
  <c r="R106" i="1"/>
  <c r="T106" i="1"/>
  <c r="V106" i="1"/>
  <c r="Q106" i="1"/>
  <c r="O98" i="1"/>
  <c r="K107" i="1"/>
  <c r="F98" i="1"/>
  <c r="M98" i="1"/>
  <c r="H99" i="1"/>
  <c r="L107" i="1" l="1"/>
  <c r="G107" i="1"/>
  <c r="T107" i="1"/>
  <c r="R107" i="1"/>
  <c r="S107" i="1"/>
  <c r="V107" i="1"/>
  <c r="Q107" i="1"/>
  <c r="O99" i="1"/>
  <c r="K108" i="1"/>
  <c r="F99" i="1"/>
  <c r="M99" i="1"/>
  <c r="H100" i="1"/>
  <c r="L108" i="1" l="1"/>
  <c r="G108" i="1"/>
  <c r="T108" i="1"/>
  <c r="R108" i="1"/>
  <c r="S108" i="1"/>
  <c r="V108" i="1"/>
  <c r="Q108" i="1"/>
  <c r="O100" i="1"/>
  <c r="K109" i="1"/>
  <c r="F100" i="1"/>
  <c r="M100" i="1"/>
  <c r="H101" i="1"/>
  <c r="L109" i="1" l="1"/>
  <c r="G109" i="1"/>
  <c r="T109" i="1"/>
  <c r="R109" i="1"/>
  <c r="S109" i="1"/>
  <c r="V109" i="1"/>
  <c r="Q109" i="1"/>
  <c r="O101" i="1"/>
  <c r="K110" i="1"/>
  <c r="F101" i="1"/>
  <c r="M101" i="1"/>
  <c r="H102" i="1"/>
  <c r="L110" i="1" l="1"/>
  <c r="G110" i="1"/>
  <c r="T110" i="1"/>
  <c r="R110" i="1"/>
  <c r="S110" i="1"/>
  <c r="V110" i="1"/>
  <c r="Q110" i="1"/>
  <c r="O102" i="1"/>
  <c r="K111" i="1"/>
  <c r="F102" i="1"/>
  <c r="M102" i="1"/>
  <c r="H103" i="1"/>
  <c r="L111" i="1" l="1"/>
  <c r="G111" i="1"/>
  <c r="T111" i="1"/>
  <c r="R111" i="1"/>
  <c r="S111" i="1"/>
  <c r="V111" i="1"/>
  <c r="Q111" i="1"/>
  <c r="O103" i="1"/>
  <c r="K112" i="1"/>
  <c r="F103" i="1"/>
  <c r="M103" i="1"/>
  <c r="H104" i="1"/>
  <c r="L112" i="1" l="1"/>
  <c r="G112" i="1"/>
  <c r="T112" i="1"/>
  <c r="R112" i="1"/>
  <c r="S112" i="1"/>
  <c r="Q112" i="1"/>
  <c r="V112" i="1"/>
  <c r="O104" i="1"/>
  <c r="K113" i="1"/>
  <c r="F104" i="1"/>
  <c r="M104" i="1"/>
  <c r="H105" i="1"/>
  <c r="L113" i="1" l="1"/>
  <c r="G113" i="1"/>
  <c r="S113" i="1"/>
  <c r="T113" i="1"/>
  <c r="R113" i="1"/>
  <c r="Q113" i="1"/>
  <c r="V113" i="1"/>
  <c r="O105" i="1"/>
  <c r="K114" i="1"/>
  <c r="F105" i="1"/>
  <c r="M105" i="1"/>
  <c r="H106" i="1"/>
  <c r="L114" i="1" l="1"/>
  <c r="G114" i="1"/>
  <c r="S114" i="1"/>
  <c r="R114" i="1"/>
  <c r="T114" i="1"/>
  <c r="Q114" i="1"/>
  <c r="V114" i="1"/>
  <c r="O106" i="1"/>
  <c r="K115" i="1"/>
  <c r="F106" i="1"/>
  <c r="M106" i="1"/>
  <c r="H107" i="1"/>
  <c r="L115" i="1" l="1"/>
  <c r="G115" i="1"/>
  <c r="S115" i="1"/>
  <c r="T115" i="1"/>
  <c r="R115" i="1"/>
  <c r="V115" i="1"/>
  <c r="Q115" i="1"/>
  <c r="O107" i="1"/>
  <c r="K116" i="1"/>
  <c r="F107" i="1"/>
  <c r="M107" i="1"/>
  <c r="H108" i="1"/>
  <c r="L116" i="1" l="1"/>
  <c r="G116" i="1"/>
  <c r="T116" i="1"/>
  <c r="S116" i="1"/>
  <c r="R116" i="1"/>
  <c r="V116" i="1"/>
  <c r="Q116" i="1"/>
  <c r="O108" i="1"/>
  <c r="K117" i="1"/>
  <c r="F108" i="1"/>
  <c r="M108" i="1"/>
  <c r="H109" i="1"/>
  <c r="L117" i="1" l="1"/>
  <c r="G117" i="1"/>
  <c r="S117" i="1"/>
  <c r="T117" i="1"/>
  <c r="R117" i="1"/>
  <c r="V117" i="1"/>
  <c r="Q117" i="1"/>
  <c r="O109" i="1"/>
  <c r="K118" i="1"/>
  <c r="F109" i="1"/>
  <c r="M109" i="1"/>
  <c r="H110" i="1"/>
  <c r="L118" i="1" l="1"/>
  <c r="G118" i="1"/>
  <c r="S118" i="1"/>
  <c r="T118" i="1"/>
  <c r="R118" i="1"/>
  <c r="V118" i="1"/>
  <c r="Q118" i="1"/>
  <c r="O110" i="1"/>
  <c r="K119" i="1"/>
  <c r="F110" i="1"/>
  <c r="M110" i="1"/>
  <c r="H111" i="1"/>
  <c r="L119" i="1" l="1"/>
  <c r="G119" i="1"/>
  <c r="T119" i="1"/>
  <c r="R119" i="1"/>
  <c r="S119" i="1"/>
  <c r="V119" i="1"/>
  <c r="Q119" i="1"/>
  <c r="O111" i="1"/>
  <c r="K120" i="1"/>
  <c r="F111" i="1"/>
  <c r="M111" i="1"/>
  <c r="H112" i="1"/>
  <c r="L120" i="1" l="1"/>
  <c r="G120" i="1"/>
  <c r="T120" i="1"/>
  <c r="R120" i="1"/>
  <c r="S120" i="1"/>
  <c r="V120" i="1"/>
  <c r="Q120" i="1"/>
  <c r="O112" i="1"/>
  <c r="K121" i="1"/>
  <c r="F112" i="1"/>
  <c r="M112" i="1"/>
  <c r="H113" i="1"/>
  <c r="L121" i="1" l="1"/>
  <c r="G121" i="1"/>
  <c r="T121" i="1"/>
  <c r="R121" i="1"/>
  <c r="S121" i="1"/>
  <c r="V121" i="1"/>
  <c r="Q121" i="1"/>
  <c r="O113" i="1"/>
  <c r="K122" i="1"/>
  <c r="F113" i="1"/>
  <c r="M113" i="1"/>
  <c r="H114" i="1"/>
  <c r="L122" i="1" l="1"/>
  <c r="G122" i="1"/>
  <c r="S122" i="1"/>
  <c r="T122" i="1"/>
  <c r="R122" i="1"/>
  <c r="V122" i="1"/>
  <c r="Q122" i="1"/>
  <c r="O114" i="1"/>
  <c r="K123" i="1"/>
  <c r="F114" i="1"/>
  <c r="M114" i="1"/>
  <c r="H115" i="1"/>
  <c r="L123" i="1" l="1"/>
  <c r="G123" i="1"/>
  <c r="T123" i="1"/>
  <c r="R123" i="1"/>
  <c r="S123" i="1"/>
  <c r="Q123" i="1"/>
  <c r="V123" i="1"/>
  <c r="O115" i="1"/>
  <c r="K124" i="1"/>
  <c r="F115" i="1"/>
  <c r="M115" i="1"/>
  <c r="H116" i="1"/>
  <c r="L124" i="1" l="1"/>
  <c r="G124" i="1"/>
  <c r="T124" i="1"/>
  <c r="R124" i="1"/>
  <c r="S124" i="1"/>
  <c r="Q124" i="1"/>
  <c r="V124" i="1"/>
  <c r="O116" i="1"/>
  <c r="K125" i="1"/>
  <c r="F116" i="1"/>
  <c r="M116" i="1"/>
  <c r="H117" i="1"/>
  <c r="L125" i="1" l="1"/>
  <c r="G125" i="1"/>
  <c r="S125" i="1"/>
  <c r="T125" i="1"/>
  <c r="R125" i="1"/>
  <c r="Q125" i="1"/>
  <c r="V125" i="1"/>
  <c r="O117" i="1"/>
  <c r="K126" i="1"/>
  <c r="F117" i="1"/>
  <c r="M117" i="1"/>
  <c r="H118" i="1"/>
  <c r="L126" i="1" l="1"/>
  <c r="G126" i="1"/>
  <c r="S126" i="1"/>
  <c r="T126" i="1"/>
  <c r="R126" i="1"/>
  <c r="Q126" i="1"/>
  <c r="V126" i="1"/>
  <c r="O118" i="1"/>
  <c r="K127" i="1"/>
  <c r="F118" i="1"/>
  <c r="M118" i="1"/>
  <c r="H119" i="1"/>
  <c r="L127" i="1" l="1"/>
  <c r="G127" i="1"/>
  <c r="S127" i="1"/>
  <c r="R127" i="1"/>
  <c r="T127" i="1"/>
  <c r="Q127" i="1"/>
  <c r="V127" i="1"/>
  <c r="O119" i="1"/>
  <c r="K128" i="1"/>
  <c r="F119" i="1"/>
  <c r="M119" i="1"/>
  <c r="H120" i="1"/>
  <c r="L128" i="1" l="1"/>
  <c r="G128" i="1"/>
  <c r="S128" i="1"/>
  <c r="T128" i="1"/>
  <c r="R128" i="1"/>
  <c r="Q128" i="1"/>
  <c r="V128" i="1"/>
  <c r="O120" i="1"/>
  <c r="K129" i="1"/>
  <c r="F120" i="1"/>
  <c r="M120" i="1"/>
  <c r="H121" i="1"/>
  <c r="L129" i="1" l="1"/>
  <c r="G129" i="1"/>
  <c r="S129" i="1"/>
  <c r="T129" i="1"/>
  <c r="R129" i="1"/>
  <c r="V129" i="1"/>
  <c r="Q129" i="1"/>
  <c r="O121" i="1"/>
  <c r="K130" i="1"/>
  <c r="F121" i="1"/>
  <c r="M121" i="1"/>
  <c r="H122" i="1"/>
  <c r="L130" i="1" l="1"/>
  <c r="G130" i="1"/>
  <c r="S130" i="1"/>
  <c r="T130" i="1"/>
  <c r="R130" i="1"/>
  <c r="V130" i="1"/>
  <c r="Q130" i="1"/>
  <c r="O122" i="1"/>
  <c r="K131" i="1"/>
  <c r="F122" i="1"/>
  <c r="M122" i="1"/>
  <c r="H123" i="1"/>
  <c r="L131" i="1" l="1"/>
  <c r="G131" i="1"/>
  <c r="T131" i="1"/>
  <c r="R131" i="1"/>
  <c r="S131" i="1"/>
  <c r="Q131" i="1"/>
  <c r="V131" i="1"/>
  <c r="O123" i="1"/>
  <c r="K132" i="1"/>
  <c r="F123" i="1"/>
  <c r="M123" i="1"/>
  <c r="H124" i="1"/>
  <c r="L132" i="1" l="1"/>
  <c r="G132" i="1"/>
  <c r="T132" i="1"/>
  <c r="R132" i="1"/>
  <c r="S132" i="1"/>
  <c r="V132" i="1"/>
  <c r="Q132" i="1"/>
  <c r="O124" i="1"/>
  <c r="K133" i="1"/>
  <c r="F124" i="1"/>
  <c r="M124" i="1"/>
  <c r="H125" i="1"/>
  <c r="L133" i="1" l="1"/>
  <c r="G133" i="1"/>
  <c r="T133" i="1"/>
  <c r="R133" i="1"/>
  <c r="S133" i="1"/>
  <c r="Q133" i="1"/>
  <c r="V133" i="1"/>
  <c r="O125" i="1"/>
  <c r="K134" i="1"/>
  <c r="F125" i="1"/>
  <c r="M125" i="1"/>
  <c r="H126" i="1"/>
  <c r="L134" i="1" l="1"/>
  <c r="G134" i="1"/>
  <c r="T134" i="1"/>
  <c r="R134" i="1"/>
  <c r="S134" i="1"/>
  <c r="Q134" i="1"/>
  <c r="V134" i="1"/>
  <c r="O126" i="1"/>
  <c r="K135" i="1"/>
  <c r="F126" i="1"/>
  <c r="M126" i="1"/>
  <c r="H127" i="1"/>
  <c r="L135" i="1" l="1"/>
  <c r="G135" i="1"/>
  <c r="T135" i="1"/>
  <c r="R135" i="1"/>
  <c r="S135" i="1"/>
  <c r="V135" i="1"/>
  <c r="Q135" i="1"/>
  <c r="O127" i="1"/>
  <c r="K136" i="1"/>
  <c r="F127" i="1"/>
  <c r="M127" i="1"/>
  <c r="H128" i="1"/>
  <c r="L136" i="1" l="1"/>
  <c r="G136" i="1"/>
  <c r="T136" i="1"/>
  <c r="R136" i="1"/>
  <c r="S136" i="1"/>
  <c r="Q136" i="1"/>
  <c r="V136" i="1"/>
  <c r="O128" i="1"/>
  <c r="K137" i="1"/>
  <c r="F128" i="1"/>
  <c r="M128" i="1"/>
  <c r="H129" i="1"/>
  <c r="L137" i="1" l="1"/>
  <c r="G137" i="1"/>
  <c r="S137" i="1"/>
  <c r="T137" i="1"/>
  <c r="R137" i="1"/>
  <c r="Q137" i="1"/>
  <c r="V137" i="1"/>
  <c r="O129" i="1"/>
  <c r="K138" i="1"/>
  <c r="F129" i="1"/>
  <c r="M129" i="1"/>
  <c r="H130" i="1"/>
  <c r="L138" i="1" l="1"/>
  <c r="G138" i="1"/>
  <c r="S138" i="1"/>
  <c r="R138" i="1"/>
  <c r="T138" i="1"/>
  <c r="Q138" i="1"/>
  <c r="V138" i="1"/>
  <c r="O130" i="1"/>
  <c r="K139" i="1"/>
  <c r="F130" i="1"/>
  <c r="M130" i="1"/>
  <c r="H131" i="1"/>
  <c r="L139" i="1" l="1"/>
  <c r="G139" i="1"/>
  <c r="S139" i="1"/>
  <c r="T139" i="1"/>
  <c r="R139" i="1"/>
  <c r="Q139" i="1"/>
  <c r="V139" i="1"/>
  <c r="O131" i="1"/>
  <c r="K140" i="1"/>
  <c r="F131" i="1"/>
  <c r="M131" i="1"/>
  <c r="H132" i="1"/>
  <c r="L140" i="1" l="1"/>
  <c r="G140" i="1"/>
  <c r="T140" i="1"/>
  <c r="S140" i="1"/>
  <c r="R140" i="1"/>
  <c r="Q140" i="1"/>
  <c r="V140" i="1"/>
  <c r="O132" i="1"/>
  <c r="K141" i="1"/>
  <c r="F132" i="1"/>
  <c r="M132" i="1"/>
  <c r="H133" i="1"/>
  <c r="L141" i="1" l="1"/>
  <c r="G141" i="1"/>
  <c r="S141" i="1"/>
  <c r="R141" i="1"/>
  <c r="T141" i="1"/>
  <c r="V141" i="1"/>
  <c r="Q141" i="1"/>
  <c r="O133" i="1"/>
  <c r="K142" i="1"/>
  <c r="F133" i="1"/>
  <c r="M133" i="1"/>
  <c r="H134" i="1"/>
  <c r="L142" i="1" l="1"/>
  <c r="G142" i="1"/>
  <c r="S142" i="1"/>
  <c r="R142" i="1"/>
  <c r="T142" i="1"/>
  <c r="V142" i="1"/>
  <c r="Q142" i="1"/>
  <c r="O134" i="1"/>
  <c r="K143" i="1"/>
  <c r="F134" i="1"/>
  <c r="M134" i="1"/>
  <c r="H135" i="1"/>
  <c r="L143" i="1" l="1"/>
  <c r="G143" i="1"/>
  <c r="T143" i="1"/>
  <c r="R143" i="1"/>
  <c r="S143" i="1"/>
  <c r="V143" i="1"/>
  <c r="Q143" i="1"/>
  <c r="O135" i="1"/>
  <c r="K144" i="1"/>
  <c r="F135" i="1"/>
  <c r="M135" i="1"/>
  <c r="H136" i="1"/>
  <c r="L144" i="1" l="1"/>
  <c r="G144" i="1"/>
  <c r="T144" i="1"/>
  <c r="R144" i="1"/>
  <c r="S144" i="1"/>
  <c r="Q144" i="1"/>
  <c r="V144" i="1"/>
  <c r="O136" i="1"/>
  <c r="K145" i="1"/>
  <c r="F136" i="1"/>
  <c r="M136" i="1"/>
  <c r="H137" i="1"/>
  <c r="L145" i="1" l="1"/>
  <c r="G145" i="1"/>
  <c r="T145" i="1"/>
  <c r="R145" i="1"/>
  <c r="S145" i="1"/>
  <c r="Q145" i="1"/>
  <c r="V145" i="1"/>
  <c r="O137" i="1"/>
  <c r="K146" i="1"/>
  <c r="F137" i="1"/>
  <c r="M137" i="1"/>
  <c r="H138" i="1"/>
  <c r="L146" i="1" l="1"/>
  <c r="G146" i="1"/>
  <c r="T146" i="1"/>
  <c r="R146" i="1"/>
  <c r="S146" i="1"/>
  <c r="Q146" i="1"/>
  <c r="V146" i="1"/>
  <c r="O138" i="1"/>
  <c r="K147" i="1"/>
  <c r="F138" i="1"/>
  <c r="M138" i="1"/>
  <c r="H139" i="1"/>
  <c r="L147" i="1" l="1"/>
  <c r="G147" i="1"/>
  <c r="T147" i="1"/>
  <c r="R147" i="1"/>
  <c r="S147" i="1"/>
  <c r="Q147" i="1"/>
  <c r="V147" i="1"/>
  <c r="O139" i="1"/>
  <c r="K148" i="1"/>
  <c r="F139" i="1"/>
  <c r="M139" i="1"/>
  <c r="H140" i="1"/>
  <c r="L148" i="1" l="1"/>
  <c r="G148" i="1"/>
  <c r="R148" i="1"/>
  <c r="T148" i="1"/>
  <c r="S148" i="1"/>
  <c r="Q148" i="1"/>
  <c r="V148" i="1"/>
  <c r="O140" i="1"/>
  <c r="K149" i="1"/>
  <c r="F140" i="1"/>
  <c r="M140" i="1"/>
  <c r="H141" i="1"/>
  <c r="L149" i="1" l="1"/>
  <c r="G149" i="1"/>
  <c r="S149" i="1"/>
  <c r="T149" i="1"/>
  <c r="R149" i="1"/>
  <c r="Q149" i="1"/>
  <c r="V149" i="1"/>
  <c r="O141" i="1"/>
  <c r="K150" i="1"/>
  <c r="F141" i="1"/>
  <c r="M141" i="1"/>
  <c r="H142" i="1"/>
  <c r="L150" i="1" l="1"/>
  <c r="G150" i="1"/>
  <c r="S150" i="1"/>
  <c r="R150" i="1"/>
  <c r="T150" i="1"/>
  <c r="Q150" i="1"/>
  <c r="V150" i="1"/>
  <c r="O142" i="1"/>
  <c r="K151" i="1"/>
  <c r="F142" i="1"/>
  <c r="M142" i="1"/>
  <c r="H143" i="1"/>
  <c r="L151" i="1" l="1"/>
  <c r="G151" i="1"/>
  <c r="S151" i="1"/>
  <c r="T151" i="1"/>
  <c r="R151" i="1"/>
  <c r="V151" i="1"/>
  <c r="Q151" i="1"/>
  <c r="O143" i="1"/>
  <c r="K152" i="1"/>
  <c r="F143" i="1"/>
  <c r="M143" i="1"/>
  <c r="H144" i="1"/>
  <c r="L152" i="1" l="1"/>
  <c r="G152" i="1"/>
  <c r="S152" i="1"/>
  <c r="T152" i="1"/>
  <c r="R152" i="1"/>
  <c r="V152" i="1"/>
  <c r="Q152" i="1"/>
  <c r="O144" i="1"/>
  <c r="K153" i="1"/>
  <c r="F144" i="1"/>
  <c r="M144" i="1"/>
  <c r="H145" i="1"/>
  <c r="L153" i="1" l="1"/>
  <c r="G153" i="1"/>
  <c r="S153" i="1"/>
  <c r="R153" i="1"/>
  <c r="T153" i="1"/>
  <c r="V153" i="1"/>
  <c r="Q153" i="1"/>
  <c r="O145" i="1"/>
  <c r="K154" i="1"/>
  <c r="F145" i="1"/>
  <c r="M145" i="1"/>
  <c r="H146" i="1"/>
  <c r="L154" i="1" l="1"/>
  <c r="G154" i="1"/>
  <c r="S154" i="1"/>
  <c r="R154" i="1"/>
  <c r="T154" i="1"/>
  <c r="V154" i="1"/>
  <c r="Q154" i="1"/>
  <c r="O146" i="1"/>
  <c r="K155" i="1"/>
  <c r="F146" i="1"/>
  <c r="M146" i="1"/>
  <c r="H147" i="1"/>
  <c r="L155" i="1" l="1"/>
  <c r="G155" i="1"/>
  <c r="T155" i="1"/>
  <c r="R155" i="1"/>
  <c r="S155" i="1"/>
  <c r="V155" i="1"/>
  <c r="Q155" i="1"/>
  <c r="O147" i="1"/>
  <c r="K156" i="1"/>
  <c r="F147" i="1"/>
  <c r="M147" i="1"/>
  <c r="H148" i="1"/>
  <c r="L156" i="1" l="1"/>
  <c r="G156" i="1"/>
  <c r="T156" i="1"/>
  <c r="R156" i="1"/>
  <c r="S156" i="1"/>
  <c r="V156" i="1"/>
  <c r="Q156" i="1"/>
  <c r="O148" i="1"/>
  <c r="K157" i="1"/>
  <c r="F148" i="1"/>
  <c r="M148" i="1"/>
  <c r="H149" i="1"/>
  <c r="L157" i="1" l="1"/>
  <c r="G157" i="1"/>
  <c r="T157" i="1"/>
  <c r="R157" i="1"/>
  <c r="S157" i="1"/>
  <c r="Q157" i="1"/>
  <c r="V157" i="1"/>
  <c r="O149" i="1"/>
  <c r="K158" i="1"/>
  <c r="F149" i="1"/>
  <c r="M149" i="1"/>
  <c r="H150" i="1"/>
  <c r="L158" i="1" l="1"/>
  <c r="G158" i="1"/>
  <c r="T158" i="1"/>
  <c r="R158" i="1"/>
  <c r="S158" i="1"/>
  <c r="Q158" i="1"/>
  <c r="V158" i="1"/>
  <c r="O150" i="1"/>
  <c r="K159" i="1"/>
  <c r="F150" i="1"/>
  <c r="M150" i="1"/>
  <c r="H151" i="1"/>
  <c r="L159" i="1" l="1"/>
  <c r="G159" i="1"/>
  <c r="T159" i="1"/>
  <c r="R159" i="1"/>
  <c r="S159" i="1"/>
  <c r="Q159" i="1"/>
  <c r="V159" i="1"/>
  <c r="O151" i="1"/>
  <c r="K160" i="1"/>
  <c r="F151" i="1"/>
  <c r="M151" i="1"/>
  <c r="H152" i="1"/>
  <c r="L160" i="1" l="1"/>
  <c r="G160" i="1"/>
  <c r="T160" i="1"/>
  <c r="R160" i="1"/>
  <c r="S160" i="1"/>
  <c r="Q160" i="1"/>
  <c r="V160" i="1"/>
  <c r="O152" i="1"/>
  <c r="K161" i="1"/>
  <c r="F152" i="1"/>
  <c r="M152" i="1"/>
  <c r="H153" i="1"/>
  <c r="L161" i="1" l="1"/>
  <c r="G161" i="1"/>
  <c r="S161" i="1"/>
  <c r="T161" i="1"/>
  <c r="R161" i="1"/>
  <c r="Q161" i="1"/>
  <c r="V161" i="1"/>
  <c r="O153" i="1"/>
  <c r="K162" i="1"/>
  <c r="F153" i="1"/>
  <c r="M153" i="1"/>
  <c r="H154" i="1"/>
  <c r="L162" i="1" l="1"/>
  <c r="G162" i="1"/>
  <c r="S162" i="1"/>
  <c r="R162" i="1"/>
  <c r="T162" i="1"/>
  <c r="Q162" i="1"/>
  <c r="V162" i="1"/>
  <c r="O154" i="1"/>
  <c r="K163" i="1"/>
  <c r="F154" i="1"/>
  <c r="M154" i="1"/>
  <c r="H155" i="1"/>
  <c r="L163" i="1" l="1"/>
  <c r="G163" i="1"/>
  <c r="R163" i="1"/>
  <c r="S163" i="1"/>
  <c r="T163" i="1"/>
  <c r="Q163" i="1"/>
  <c r="V163" i="1"/>
  <c r="O155" i="1"/>
  <c r="K164" i="1"/>
  <c r="F155" i="1"/>
  <c r="M155" i="1"/>
  <c r="H156" i="1"/>
  <c r="L164" i="1" l="1"/>
  <c r="G164" i="1"/>
  <c r="S164" i="1"/>
  <c r="T164" i="1"/>
  <c r="R164" i="1"/>
  <c r="Q164" i="1"/>
  <c r="V164" i="1"/>
  <c r="O156" i="1"/>
  <c r="K165" i="1"/>
  <c r="F156" i="1"/>
  <c r="M156" i="1"/>
  <c r="H157" i="1"/>
  <c r="L165" i="1" l="1"/>
  <c r="G165" i="1"/>
  <c r="S165" i="1"/>
  <c r="R165" i="1"/>
  <c r="T165" i="1"/>
  <c r="V165" i="1"/>
  <c r="Q165" i="1"/>
  <c r="O157" i="1"/>
  <c r="K166" i="1"/>
  <c r="F157" i="1"/>
  <c r="M157" i="1"/>
  <c r="H158" i="1"/>
  <c r="L166" i="1" l="1"/>
  <c r="G166" i="1"/>
  <c r="S166" i="1"/>
  <c r="R166" i="1"/>
  <c r="T166" i="1"/>
  <c r="V166" i="1"/>
  <c r="Q166" i="1"/>
  <c r="O158" i="1"/>
  <c r="K167" i="1"/>
  <c r="F158" i="1"/>
  <c r="M158" i="1"/>
  <c r="H159" i="1"/>
  <c r="L167" i="1" l="1"/>
  <c r="G167" i="1"/>
  <c r="T167" i="1"/>
  <c r="R167" i="1"/>
  <c r="S167" i="1"/>
  <c r="V167" i="1"/>
  <c r="Q167" i="1"/>
  <c r="O159" i="1"/>
  <c r="K168" i="1"/>
  <c r="F159" i="1"/>
  <c r="M159" i="1"/>
  <c r="H160" i="1"/>
  <c r="L168" i="1" l="1"/>
  <c r="G168" i="1"/>
  <c r="T168" i="1"/>
  <c r="R168" i="1"/>
  <c r="S168" i="1"/>
  <c r="V168" i="1"/>
  <c r="Q168" i="1"/>
  <c r="O160" i="1"/>
  <c r="K169" i="1"/>
  <c r="F160" i="1"/>
  <c r="M160" i="1"/>
  <c r="H161" i="1"/>
  <c r="L169" i="1" l="1"/>
  <c r="G169" i="1"/>
  <c r="S169" i="1"/>
  <c r="T169" i="1"/>
  <c r="R169" i="1"/>
  <c r="Q169" i="1"/>
  <c r="V169" i="1"/>
  <c r="O161" i="1"/>
  <c r="K170" i="1"/>
  <c r="F161" i="1"/>
  <c r="M161" i="1"/>
  <c r="H162" i="1"/>
  <c r="L170" i="1" l="1"/>
  <c r="G170" i="1"/>
  <c r="T170" i="1"/>
  <c r="R170" i="1"/>
  <c r="S170" i="1"/>
  <c r="V170" i="1"/>
  <c r="Q170" i="1"/>
  <c r="O162" i="1"/>
  <c r="K171" i="1"/>
  <c r="F162" i="1"/>
  <c r="M162" i="1"/>
  <c r="H163" i="1"/>
  <c r="L171" i="1" l="1"/>
  <c r="G171" i="1"/>
  <c r="T171" i="1"/>
  <c r="R171" i="1"/>
  <c r="S171" i="1"/>
  <c r="Q171" i="1"/>
  <c r="V171" i="1"/>
  <c r="O163" i="1"/>
  <c r="K172" i="1"/>
  <c r="F163" i="1"/>
  <c r="M163" i="1"/>
  <c r="H164" i="1"/>
  <c r="L172" i="1" l="1"/>
  <c r="G172" i="1"/>
  <c r="R172" i="1"/>
  <c r="T172" i="1"/>
  <c r="S172" i="1"/>
  <c r="Q172" i="1"/>
  <c r="V172" i="1"/>
  <c r="O164" i="1"/>
  <c r="K173" i="1"/>
  <c r="F164" i="1"/>
  <c r="M164" i="1"/>
  <c r="H165" i="1"/>
  <c r="L173" i="1" l="1"/>
  <c r="G173" i="1"/>
  <c r="S173" i="1"/>
  <c r="T173" i="1"/>
  <c r="R173" i="1"/>
  <c r="Q173" i="1"/>
  <c r="V173" i="1"/>
  <c r="O165" i="1"/>
  <c r="K174" i="1"/>
  <c r="F165" i="1"/>
  <c r="M165" i="1"/>
  <c r="H166" i="1"/>
  <c r="L174" i="1" l="1"/>
  <c r="G174" i="1"/>
  <c r="S174" i="1"/>
  <c r="R174" i="1"/>
  <c r="T174" i="1"/>
  <c r="V174" i="1"/>
  <c r="Q174" i="1"/>
  <c r="O166" i="1"/>
  <c r="K175" i="1"/>
  <c r="F166" i="1"/>
  <c r="M166" i="1"/>
  <c r="H167" i="1"/>
  <c r="L175" i="1" l="1"/>
  <c r="G175" i="1"/>
  <c r="S175" i="1"/>
  <c r="T175" i="1"/>
  <c r="R175" i="1"/>
  <c r="Q175" i="1"/>
  <c r="V175" i="1"/>
  <c r="O167" i="1"/>
  <c r="K176" i="1"/>
  <c r="F167" i="1"/>
  <c r="M167" i="1"/>
  <c r="H168" i="1"/>
  <c r="L176" i="1" l="1"/>
  <c r="G176" i="1"/>
  <c r="T176" i="1"/>
  <c r="S176" i="1"/>
  <c r="R176" i="1"/>
  <c r="Q176" i="1"/>
  <c r="V176" i="1"/>
  <c r="O168" i="1"/>
  <c r="K177" i="1"/>
  <c r="F168" i="1"/>
  <c r="M168" i="1"/>
  <c r="H169" i="1"/>
  <c r="L177" i="1" l="1"/>
  <c r="G177" i="1"/>
  <c r="S177" i="1"/>
  <c r="R177" i="1"/>
  <c r="T177" i="1"/>
  <c r="V177" i="1"/>
  <c r="Q177" i="1"/>
  <c r="O169" i="1"/>
  <c r="K178" i="1"/>
  <c r="F169" i="1"/>
  <c r="M169" i="1"/>
  <c r="H170" i="1"/>
  <c r="L178" i="1" l="1"/>
  <c r="G178" i="1"/>
  <c r="S178" i="1"/>
  <c r="R178" i="1"/>
  <c r="T178" i="1"/>
  <c r="Q178" i="1"/>
  <c r="V178" i="1"/>
  <c r="O170" i="1"/>
  <c r="K179" i="1"/>
  <c r="F170" i="1"/>
  <c r="M170" i="1"/>
  <c r="H171" i="1"/>
  <c r="L179" i="1" l="1"/>
  <c r="G179" i="1"/>
  <c r="T179" i="1"/>
  <c r="R179" i="1"/>
  <c r="S179" i="1"/>
  <c r="Q179" i="1"/>
  <c r="V179" i="1"/>
  <c r="O171" i="1"/>
  <c r="K180" i="1"/>
  <c r="F171" i="1"/>
  <c r="M171" i="1"/>
  <c r="H172" i="1"/>
  <c r="L180" i="1" l="1"/>
  <c r="G180" i="1"/>
  <c r="T180" i="1"/>
  <c r="R180" i="1"/>
  <c r="S180" i="1"/>
  <c r="Q180" i="1"/>
  <c r="V180" i="1"/>
  <c r="O172" i="1"/>
  <c r="K181" i="1"/>
  <c r="F172" i="1"/>
  <c r="M172" i="1"/>
  <c r="H173" i="1"/>
  <c r="L181" i="1" l="1"/>
  <c r="G181" i="1"/>
  <c r="S181" i="1"/>
  <c r="T181" i="1"/>
  <c r="R181" i="1"/>
  <c r="V181" i="1"/>
  <c r="Q181" i="1"/>
  <c r="O173" i="1"/>
  <c r="K182" i="1"/>
  <c r="F173" i="1"/>
  <c r="M173" i="1"/>
  <c r="H174" i="1"/>
  <c r="L182" i="1" l="1"/>
  <c r="G182" i="1"/>
  <c r="R182" i="1"/>
  <c r="T182" i="1"/>
  <c r="S182" i="1"/>
  <c r="V182" i="1"/>
  <c r="Q182" i="1"/>
  <c r="O174" i="1"/>
  <c r="K183" i="1"/>
  <c r="F174" i="1"/>
  <c r="M174" i="1"/>
  <c r="H175" i="1"/>
  <c r="L183" i="1" l="1"/>
  <c r="G183" i="1"/>
  <c r="T183" i="1"/>
  <c r="R183" i="1"/>
  <c r="S183" i="1"/>
  <c r="Q183" i="1"/>
  <c r="V183" i="1"/>
  <c r="O175" i="1"/>
  <c r="K184" i="1"/>
  <c r="F175" i="1"/>
  <c r="M175" i="1"/>
  <c r="H176" i="1"/>
  <c r="L184" i="1" l="1"/>
  <c r="G184" i="1"/>
  <c r="T184" i="1"/>
  <c r="R184" i="1"/>
  <c r="S184" i="1"/>
  <c r="Q184" i="1"/>
  <c r="V184" i="1"/>
  <c r="O176" i="1"/>
  <c r="K185" i="1"/>
  <c r="F176" i="1"/>
  <c r="M176" i="1"/>
  <c r="H177" i="1"/>
  <c r="L185" i="1" l="1"/>
  <c r="G185" i="1"/>
  <c r="S185" i="1"/>
  <c r="T185" i="1"/>
  <c r="R185" i="1"/>
  <c r="Q185" i="1"/>
  <c r="V185" i="1"/>
  <c r="O177" i="1"/>
  <c r="K186" i="1"/>
  <c r="F177" i="1"/>
  <c r="M177" i="1"/>
  <c r="H178" i="1"/>
  <c r="L186" i="1" l="1"/>
  <c r="G186" i="1"/>
  <c r="S186" i="1"/>
  <c r="R186" i="1"/>
  <c r="T186" i="1"/>
  <c r="Q186" i="1"/>
  <c r="V186" i="1"/>
  <c r="O178" i="1"/>
  <c r="K187" i="1"/>
  <c r="F178" i="1"/>
  <c r="M178" i="1"/>
  <c r="H179" i="1"/>
  <c r="L187" i="1" l="1"/>
  <c r="G187" i="1"/>
  <c r="S187" i="1"/>
  <c r="R187" i="1"/>
  <c r="T187" i="1"/>
  <c r="Q187" i="1"/>
  <c r="V187" i="1"/>
  <c r="O179" i="1"/>
  <c r="K188" i="1"/>
  <c r="F179" i="1"/>
  <c r="M179" i="1"/>
  <c r="H180" i="1"/>
  <c r="L188" i="1" l="1"/>
  <c r="G188" i="1"/>
  <c r="S188" i="1"/>
  <c r="T188" i="1"/>
  <c r="R188" i="1"/>
  <c r="Q188" i="1"/>
  <c r="V188" i="1"/>
  <c r="O180" i="1"/>
  <c r="K189" i="1"/>
  <c r="F180" i="1"/>
  <c r="M180" i="1"/>
  <c r="H181" i="1"/>
  <c r="L189" i="1" l="1"/>
  <c r="G189" i="1"/>
  <c r="S189" i="1"/>
  <c r="T189" i="1"/>
  <c r="R189" i="1"/>
  <c r="V189" i="1"/>
  <c r="Q189" i="1"/>
  <c r="O181" i="1"/>
  <c r="K190" i="1"/>
  <c r="F181" i="1"/>
  <c r="M181" i="1"/>
  <c r="X49" i="1"/>
  <c r="H182" i="1"/>
  <c r="L190" i="1" l="1"/>
  <c r="G190" i="1"/>
  <c r="S190" i="1"/>
  <c r="T190" i="1"/>
  <c r="R190" i="1"/>
  <c r="V190" i="1"/>
  <c r="Q190" i="1"/>
  <c r="O182" i="1"/>
  <c r="K191" i="1"/>
  <c r="F182" i="1"/>
  <c r="M182" i="1"/>
  <c r="Y49" i="1"/>
  <c r="J49" i="1" s="1"/>
  <c r="H183" i="1"/>
  <c r="L191" i="1" l="1"/>
  <c r="G191" i="1"/>
  <c r="T191" i="1"/>
  <c r="R191" i="1"/>
  <c r="S191" i="1"/>
  <c r="V191" i="1"/>
  <c r="Q191" i="1"/>
  <c r="O183" i="1"/>
  <c r="K192" i="1"/>
  <c r="F183" i="1"/>
  <c r="M183" i="1"/>
  <c r="W49" i="1"/>
  <c r="H184" i="1"/>
  <c r="L192" i="1" l="1"/>
  <c r="G192" i="1"/>
  <c r="T192" i="1"/>
  <c r="R192" i="1"/>
  <c r="S192" i="1"/>
  <c r="V192" i="1"/>
  <c r="Q192" i="1"/>
  <c r="O184" i="1"/>
  <c r="O192" i="1"/>
  <c r="K193" i="1"/>
  <c r="F184" i="1"/>
  <c r="M184" i="1"/>
  <c r="P49" i="1"/>
  <c r="H185" i="1"/>
  <c r="L193" i="1" l="1"/>
  <c r="G193" i="1"/>
  <c r="T193" i="1"/>
  <c r="R193" i="1"/>
  <c r="S193" i="1"/>
  <c r="V193" i="1"/>
  <c r="Q193" i="1"/>
  <c r="O185" i="1"/>
  <c r="O193" i="1"/>
  <c r="K194" i="1"/>
  <c r="F185" i="1"/>
  <c r="M185" i="1"/>
  <c r="U49" i="1"/>
  <c r="N50" i="1" s="1"/>
  <c r="I49" i="1"/>
  <c r="H186" i="1"/>
  <c r="L194" i="1" l="1"/>
  <c r="G194" i="1"/>
  <c r="T194" i="1"/>
  <c r="R194" i="1"/>
  <c r="S194" i="1"/>
  <c r="V194" i="1"/>
  <c r="Q194" i="1"/>
  <c r="O186" i="1"/>
  <c r="O194" i="1"/>
  <c r="K195" i="1"/>
  <c r="F186" i="1"/>
  <c r="M186" i="1"/>
  <c r="X50" i="1"/>
  <c r="Y50" i="1" s="1"/>
  <c r="W50" i="1" s="1"/>
  <c r="H187" i="1"/>
  <c r="L195" i="1" l="1"/>
  <c r="G195" i="1"/>
  <c r="T195" i="1"/>
  <c r="R195" i="1"/>
  <c r="S195" i="1"/>
  <c r="V195" i="1"/>
  <c r="Q195" i="1"/>
  <c r="O187" i="1"/>
  <c r="O195" i="1"/>
  <c r="F195" i="1"/>
  <c r="X195" i="1"/>
  <c r="K196" i="1"/>
  <c r="I195" i="1"/>
  <c r="Y195" i="1"/>
  <c r="F187" i="1"/>
  <c r="M187" i="1"/>
  <c r="J50" i="1"/>
  <c r="H188" i="1"/>
  <c r="L196" i="1" l="1"/>
  <c r="G196" i="1"/>
  <c r="T196" i="1"/>
  <c r="R196" i="1"/>
  <c r="S196" i="1"/>
  <c r="Q196" i="1"/>
  <c r="V196" i="1"/>
  <c r="O188" i="1"/>
  <c r="O196" i="1"/>
  <c r="F196" i="1"/>
  <c r="X196" i="1"/>
  <c r="Y196" i="1"/>
  <c r="I196" i="1"/>
  <c r="K197" i="1"/>
  <c r="F188" i="1"/>
  <c r="M188" i="1"/>
  <c r="P50" i="1"/>
  <c r="H189" i="1"/>
  <c r="L197" i="1" l="1"/>
  <c r="G197" i="1"/>
  <c r="S197" i="1"/>
  <c r="T197" i="1"/>
  <c r="R197" i="1"/>
  <c r="Q197" i="1"/>
  <c r="V197" i="1"/>
  <c r="O189" i="1"/>
  <c r="O197" i="1"/>
  <c r="F197" i="1"/>
  <c r="K198" i="1"/>
  <c r="Y197" i="1"/>
  <c r="I197" i="1"/>
  <c r="X197" i="1"/>
  <c r="F189" i="1"/>
  <c r="M189" i="1"/>
  <c r="U50" i="1"/>
  <c r="N51" i="1" s="1"/>
  <c r="I50" i="1"/>
  <c r="N195" i="1"/>
  <c r="U195" i="1"/>
  <c r="P195" i="1"/>
  <c r="M195" i="1"/>
  <c r="H190" i="1"/>
  <c r="L198" i="1" l="1"/>
  <c r="G198" i="1"/>
  <c r="S198" i="1"/>
  <c r="T198" i="1"/>
  <c r="R198" i="1"/>
  <c r="Q198" i="1"/>
  <c r="V198" i="1"/>
  <c r="O190" i="1"/>
  <c r="O198" i="1"/>
  <c r="X198" i="1"/>
  <c r="I198" i="1"/>
  <c r="Y198" i="1"/>
  <c r="F198" i="1"/>
  <c r="K199" i="1"/>
  <c r="F190" i="1"/>
  <c r="M190" i="1"/>
  <c r="X51" i="1"/>
  <c r="Y51" i="1" s="1"/>
  <c r="N196" i="1"/>
  <c r="P196" i="1"/>
  <c r="U196" i="1"/>
  <c r="M196" i="1"/>
  <c r="H191" i="1"/>
  <c r="L199" i="1" l="1"/>
  <c r="G199" i="1"/>
  <c r="R199" i="1"/>
  <c r="S199" i="1"/>
  <c r="T199" i="1"/>
  <c r="V199" i="1"/>
  <c r="Q199" i="1"/>
  <c r="O191" i="1"/>
  <c r="O199" i="1"/>
  <c r="Y199" i="1"/>
  <c r="F199" i="1"/>
  <c r="I199" i="1"/>
  <c r="X199" i="1"/>
  <c r="K200" i="1"/>
  <c r="F191" i="1"/>
  <c r="M191" i="1"/>
  <c r="J51" i="1"/>
  <c r="W51" i="1"/>
  <c r="U197" i="1"/>
  <c r="M197" i="1"/>
  <c r="N197" i="1"/>
  <c r="P197" i="1"/>
  <c r="H192" i="1"/>
  <c r="L200" i="1" l="1"/>
  <c r="G200" i="1"/>
  <c r="S200" i="1"/>
  <c r="T200" i="1"/>
  <c r="R200" i="1"/>
  <c r="Q200" i="1"/>
  <c r="V200" i="1"/>
  <c r="O200" i="1"/>
  <c r="K201" i="1"/>
  <c r="I200" i="1"/>
  <c r="Y200" i="1"/>
  <c r="X200" i="1"/>
  <c r="F200" i="1"/>
  <c r="F192" i="1"/>
  <c r="M192" i="1"/>
  <c r="U198" i="1"/>
  <c r="M198" i="1"/>
  <c r="N198" i="1"/>
  <c r="P198" i="1"/>
  <c r="J197" i="1"/>
  <c r="H193" i="1"/>
  <c r="L201" i="1" l="1"/>
  <c r="G201" i="1"/>
  <c r="S201" i="1"/>
  <c r="R201" i="1"/>
  <c r="T201" i="1"/>
  <c r="V201" i="1"/>
  <c r="Q201" i="1"/>
  <c r="O201" i="1"/>
  <c r="K202" i="1"/>
  <c r="Y201" i="1"/>
  <c r="X201" i="1"/>
  <c r="I201" i="1"/>
  <c r="F201" i="1"/>
  <c r="F193" i="1"/>
  <c r="M193" i="1"/>
  <c r="P51" i="1"/>
  <c r="U199" i="1"/>
  <c r="P199" i="1"/>
  <c r="M199" i="1"/>
  <c r="N199" i="1"/>
  <c r="J198" i="1"/>
  <c r="H194" i="1"/>
  <c r="L202" i="1" l="1"/>
  <c r="G202" i="1"/>
  <c r="S202" i="1"/>
  <c r="R202" i="1"/>
  <c r="T202" i="1"/>
  <c r="V202" i="1"/>
  <c r="Q202" i="1"/>
  <c r="O202" i="1"/>
  <c r="X202" i="1"/>
  <c r="Y202" i="1"/>
  <c r="K203" i="1"/>
  <c r="F202" i="1"/>
  <c r="I202" i="1"/>
  <c r="F194" i="1"/>
  <c r="Z3" i="1"/>
  <c r="M194" i="1"/>
  <c r="U51" i="1"/>
  <c r="N52" i="1" s="1"/>
  <c r="X52" i="1" s="1"/>
  <c r="Y52" i="1" s="1"/>
  <c r="I51" i="1"/>
  <c r="N200" i="1"/>
  <c r="U200" i="1"/>
  <c r="P200" i="1"/>
  <c r="M200" i="1"/>
  <c r="J199" i="1"/>
  <c r="H195" i="1"/>
  <c r="L203" i="1" l="1"/>
  <c r="G203" i="1"/>
  <c r="T203" i="1"/>
  <c r="R203" i="1"/>
  <c r="S203" i="1"/>
  <c r="V203" i="1"/>
  <c r="Q203" i="1"/>
  <c r="O203" i="1"/>
  <c r="I203" i="1"/>
  <c r="K204" i="1"/>
  <c r="X203" i="1"/>
  <c r="F203" i="1"/>
  <c r="Y203" i="1"/>
  <c r="J52" i="1"/>
  <c r="W52" i="1"/>
  <c r="N201" i="1"/>
  <c r="U201" i="1"/>
  <c r="P201" i="1"/>
  <c r="M201" i="1"/>
  <c r="J200" i="1"/>
  <c r="H196" i="1"/>
  <c r="L204" i="1" l="1"/>
  <c r="G204" i="1"/>
  <c r="T204" i="1"/>
  <c r="R204" i="1"/>
  <c r="S204" i="1"/>
  <c r="Q204" i="1"/>
  <c r="V204" i="1"/>
  <c r="O204" i="1"/>
  <c r="I204" i="1"/>
  <c r="K205" i="1"/>
  <c r="Y204" i="1"/>
  <c r="X204" i="1"/>
  <c r="F204" i="1"/>
  <c r="U202" i="1"/>
  <c r="N202" i="1"/>
  <c r="P202" i="1"/>
  <c r="M202" i="1"/>
  <c r="J201" i="1"/>
  <c r="H197" i="1"/>
  <c r="L205" i="1" l="1"/>
  <c r="G205" i="1"/>
  <c r="T205" i="1"/>
  <c r="R205" i="1"/>
  <c r="S205" i="1"/>
  <c r="V205" i="1"/>
  <c r="Q205" i="1"/>
  <c r="O205" i="1"/>
  <c r="Y205" i="1"/>
  <c r="I205" i="1"/>
  <c r="X205" i="1"/>
  <c r="F205" i="1"/>
  <c r="K206" i="1"/>
  <c r="P52" i="1"/>
  <c r="U203" i="1"/>
  <c r="P203" i="1"/>
  <c r="M203" i="1"/>
  <c r="N203" i="1"/>
  <c r="J202" i="1"/>
  <c r="H198" i="1"/>
  <c r="L206" i="1" l="1"/>
  <c r="G206" i="1"/>
  <c r="R206" i="1"/>
  <c r="T206" i="1"/>
  <c r="S206" i="1"/>
  <c r="Q206" i="1"/>
  <c r="V206" i="1"/>
  <c r="O206" i="1"/>
  <c r="F206" i="1"/>
  <c r="X206" i="1"/>
  <c r="Y206" i="1"/>
  <c r="K207" i="1"/>
  <c r="I206" i="1"/>
  <c r="U52" i="1"/>
  <c r="N53" i="1" s="1"/>
  <c r="I52" i="1"/>
  <c r="X53" i="1"/>
  <c r="Y53" i="1" s="1"/>
  <c r="U204" i="1"/>
  <c r="N204" i="1"/>
  <c r="M204" i="1"/>
  <c r="P204" i="1"/>
  <c r="J203" i="1"/>
  <c r="H199" i="1"/>
  <c r="L207" i="1" l="1"/>
  <c r="G207" i="1"/>
  <c r="T207" i="1"/>
  <c r="R207" i="1"/>
  <c r="S207" i="1"/>
  <c r="Q207" i="1"/>
  <c r="V207" i="1"/>
  <c r="O207" i="1"/>
  <c r="Y207" i="1"/>
  <c r="F207" i="1"/>
  <c r="X207" i="1"/>
  <c r="K208" i="1"/>
  <c r="I207" i="1"/>
  <c r="J53" i="1"/>
  <c r="W53" i="1"/>
  <c r="P205" i="1"/>
  <c r="U205" i="1"/>
  <c r="N205" i="1"/>
  <c r="M205" i="1"/>
  <c r="J204" i="1"/>
  <c r="H200" i="1"/>
  <c r="L208" i="1" l="1"/>
  <c r="G208" i="1"/>
  <c r="T208" i="1"/>
  <c r="R208" i="1"/>
  <c r="S208" i="1"/>
  <c r="Q208" i="1"/>
  <c r="V208" i="1"/>
  <c r="AH6" i="1"/>
  <c r="U6" i="1"/>
  <c r="U7" i="1"/>
  <c r="U8" i="1"/>
  <c r="O208" i="1"/>
  <c r="F208" i="1"/>
  <c r="I208" i="1"/>
  <c r="X208" i="1"/>
  <c r="Y208" i="1"/>
  <c r="N206" i="1"/>
  <c r="P206" i="1"/>
  <c r="U206" i="1"/>
  <c r="M206" i="1"/>
  <c r="J205" i="1"/>
  <c r="H201" i="1"/>
  <c r="P53" i="1" l="1"/>
  <c r="U207" i="1"/>
  <c r="N207" i="1"/>
  <c r="P207" i="1"/>
  <c r="M207" i="1"/>
  <c r="J206" i="1"/>
  <c r="H202" i="1"/>
  <c r="U53" i="1" l="1"/>
  <c r="N54" i="1" s="1"/>
  <c r="I53" i="1"/>
  <c r="X54" i="1"/>
  <c r="Y54" i="1" s="1"/>
  <c r="U208" i="1"/>
  <c r="N208" i="1"/>
  <c r="P208" i="1"/>
  <c r="M208" i="1"/>
  <c r="J207" i="1"/>
  <c r="H203" i="1"/>
  <c r="W54" i="1" l="1"/>
  <c r="J54" i="1"/>
  <c r="J208" i="1"/>
  <c r="H204" i="1"/>
  <c r="H205" i="1" l="1"/>
  <c r="P54" i="1" l="1"/>
  <c r="H206" i="1"/>
  <c r="U54" i="1" l="1"/>
  <c r="N55" i="1" s="1"/>
  <c r="X55" i="1" s="1"/>
  <c r="Y55" i="1" s="1"/>
  <c r="I54" i="1"/>
  <c r="H207" i="1"/>
  <c r="W55" i="1" l="1"/>
  <c r="J55" i="1"/>
  <c r="H208" i="1"/>
  <c r="P55" i="1" l="1"/>
  <c r="U55" i="1" l="1"/>
  <c r="N56" i="1" s="1"/>
  <c r="X56" i="1" s="1"/>
  <c r="Y56" i="1" s="1"/>
  <c r="I55" i="1"/>
  <c r="W56" i="1" l="1"/>
  <c r="J56" i="1"/>
  <c r="P56" i="1" l="1"/>
  <c r="U56" i="1" l="1"/>
  <c r="N57" i="1" s="1"/>
  <c r="X57" i="1" s="1"/>
  <c r="Y57" i="1" s="1"/>
  <c r="I56" i="1"/>
  <c r="J57" i="1" l="1"/>
  <c r="W57" i="1"/>
  <c r="P57" i="1" l="1"/>
  <c r="U57" i="1" l="1"/>
  <c r="N58" i="1" s="1"/>
  <c r="X58" i="1" s="1"/>
  <c r="Y58" i="1" s="1"/>
  <c r="I57" i="1"/>
  <c r="W58" i="1" l="1"/>
  <c r="J58" i="1"/>
  <c r="P58" i="1" l="1"/>
  <c r="U58" i="1" l="1"/>
  <c r="N59" i="1" s="1"/>
  <c r="X59" i="1" s="1"/>
  <c r="I58" i="1"/>
  <c r="Y59" i="1" l="1"/>
  <c r="J59" i="1" s="1"/>
  <c r="W59" i="1" l="1"/>
  <c r="P59" i="1" l="1"/>
  <c r="U59" i="1" l="1"/>
  <c r="N60" i="1" s="1"/>
  <c r="I59" i="1"/>
  <c r="X60" i="1"/>
  <c r="Y60" i="1" l="1"/>
  <c r="J60" i="1" s="1"/>
  <c r="W60" i="1" l="1"/>
  <c r="P60" i="1" l="1"/>
  <c r="U60" i="1" l="1"/>
  <c r="N61" i="1" s="1"/>
  <c r="I60" i="1"/>
  <c r="X61" i="1"/>
  <c r="Y61" i="1" s="1"/>
  <c r="W61" i="1" l="1"/>
  <c r="J61" i="1"/>
  <c r="P61" i="1" l="1"/>
  <c r="U61" i="1" l="1"/>
  <c r="N62" i="1" s="1"/>
  <c r="X62" i="1" s="1"/>
  <c r="Y62" i="1" s="1"/>
  <c r="I61" i="1"/>
  <c r="W62" i="1" l="1"/>
  <c r="J62" i="1"/>
  <c r="P62" i="1" l="1"/>
  <c r="U62" i="1" l="1"/>
  <c r="N63" i="1" s="1"/>
  <c r="X63" i="1" s="1"/>
  <c r="Y63" i="1" s="1"/>
  <c r="I62" i="1"/>
  <c r="W63" i="1" l="1"/>
  <c r="J63" i="1"/>
  <c r="P63" i="1" l="1"/>
  <c r="U63" i="1" l="1"/>
  <c r="N64" i="1" s="1"/>
  <c r="X64" i="1" s="1"/>
  <c r="I63" i="1"/>
  <c r="Y64" i="1" l="1"/>
  <c r="W64" i="1" s="1"/>
  <c r="P64" i="1" l="1"/>
  <c r="U64" i="1" s="1"/>
  <c r="N65" i="1" s="1"/>
  <c r="J64" i="1"/>
  <c r="I64" i="1" l="1"/>
  <c r="X65" i="1"/>
  <c r="Y65" i="1" l="1"/>
  <c r="J65" i="1" l="1"/>
  <c r="W65" i="1"/>
  <c r="P65" i="1" l="1"/>
  <c r="U65" i="1" l="1"/>
  <c r="N66" i="1" s="1"/>
  <c r="X66" i="1" s="1"/>
  <c r="I65" i="1"/>
  <c r="Y66" i="1" l="1"/>
  <c r="J66" i="1" s="1"/>
  <c r="W66" i="1" l="1"/>
  <c r="P66" i="1" l="1"/>
  <c r="U66" i="1" l="1"/>
  <c r="N67" i="1" s="1"/>
  <c r="X67" i="1" s="1"/>
  <c r="Y67" i="1" s="1"/>
  <c r="I66" i="1"/>
  <c r="J67" i="1" l="1"/>
  <c r="W67" i="1"/>
  <c r="P67" i="1" l="1"/>
  <c r="U67" i="1" l="1"/>
  <c r="N68" i="1" s="1"/>
  <c r="X68" i="1" s="1"/>
  <c r="I67" i="1"/>
  <c r="Y68" i="1" l="1"/>
  <c r="J68" i="1" s="1"/>
  <c r="W68" i="1" l="1"/>
  <c r="P68" i="1" l="1"/>
  <c r="U68" i="1" l="1"/>
  <c r="N69" i="1" s="1"/>
  <c r="I68" i="1"/>
  <c r="X69" i="1"/>
  <c r="Y69" i="1" s="1"/>
  <c r="W69" i="1" l="1"/>
  <c r="J69" i="1"/>
  <c r="P69" i="1" l="1"/>
  <c r="U69" i="1" l="1"/>
  <c r="N70" i="1" s="1"/>
  <c r="I69" i="1"/>
  <c r="X70" i="1"/>
  <c r="Y70" i="1" l="1"/>
  <c r="W70" i="1" s="1"/>
  <c r="P70" i="1" l="1"/>
  <c r="U70" i="1" s="1"/>
  <c r="N71" i="1" s="1"/>
  <c r="J70" i="1"/>
  <c r="I70" i="1" l="1"/>
  <c r="X71" i="1" l="1"/>
  <c r="Y71" i="1" l="1"/>
  <c r="W71" i="1" l="1"/>
  <c r="J71" i="1"/>
  <c r="P71" i="1" l="1"/>
  <c r="U71" i="1" l="1"/>
  <c r="N72" i="1" s="1"/>
  <c r="X72" i="1" s="1"/>
  <c r="Y72" i="1" s="1"/>
  <c r="I71" i="1"/>
  <c r="W72" i="1" l="1"/>
  <c r="J72" i="1"/>
  <c r="P72" i="1" l="1"/>
  <c r="U72" i="1" l="1"/>
  <c r="N73" i="1" s="1"/>
  <c r="X73" i="1" s="1"/>
  <c r="Y73" i="1" s="1"/>
  <c r="I72" i="1"/>
  <c r="J73" i="1" l="1"/>
  <c r="W73" i="1"/>
  <c r="P73" i="1" l="1"/>
  <c r="U73" i="1" l="1"/>
  <c r="N74" i="1" s="1"/>
  <c r="I73" i="1"/>
  <c r="X74" i="1"/>
  <c r="Y74" i="1" s="1"/>
  <c r="J74" i="1" l="1"/>
  <c r="W74" i="1"/>
  <c r="P74" i="1" l="1"/>
  <c r="U74" i="1" l="1"/>
  <c r="N75" i="1" s="1"/>
  <c r="X75" i="1" s="1"/>
  <c r="I74" i="1"/>
  <c r="Y75" i="1" l="1"/>
  <c r="W75" i="1" s="1"/>
  <c r="P75" i="1" l="1"/>
  <c r="U75" i="1" s="1"/>
  <c r="N76" i="1" s="1"/>
  <c r="J75" i="1"/>
  <c r="I75" i="1" l="1"/>
  <c r="X76" i="1"/>
  <c r="Y76" i="1" s="1"/>
  <c r="J76" i="1" l="1"/>
  <c r="W76" i="1"/>
  <c r="P76" i="1" l="1"/>
  <c r="U76" i="1" l="1"/>
  <c r="N77" i="1" s="1"/>
  <c r="X77" i="1" s="1"/>
  <c r="Y77" i="1" s="1"/>
  <c r="I76" i="1"/>
  <c r="W77" i="1" l="1"/>
  <c r="J77" i="1"/>
  <c r="P77" i="1" l="1"/>
  <c r="U77" i="1" l="1"/>
  <c r="N78" i="1" s="1"/>
  <c r="I77" i="1"/>
  <c r="X78" i="1"/>
  <c r="Y78" i="1" s="1"/>
  <c r="J78" i="1" l="1"/>
  <c r="W78" i="1"/>
  <c r="P78" i="1" l="1"/>
  <c r="U78" i="1" l="1"/>
  <c r="N79" i="1" s="1"/>
  <c r="X79" i="1" s="1"/>
  <c r="I78" i="1"/>
  <c r="Y79" i="1" l="1"/>
  <c r="J79" i="1" s="1"/>
  <c r="W79" i="1" l="1"/>
  <c r="P79" i="1" l="1"/>
  <c r="U79" i="1" l="1"/>
  <c r="N80" i="1" s="1"/>
  <c r="X80" i="1" s="1"/>
  <c r="I79" i="1"/>
  <c r="Y80" i="1" l="1"/>
  <c r="J80" i="1" s="1"/>
  <c r="W80" i="1" l="1"/>
  <c r="P80" i="1" l="1"/>
  <c r="U80" i="1" l="1"/>
  <c r="N81" i="1" s="1"/>
  <c r="X81" i="1" s="1"/>
  <c r="I80" i="1"/>
  <c r="Y81" i="1" l="1"/>
  <c r="W81" i="1" s="1"/>
  <c r="P81" i="1" l="1"/>
  <c r="U81" i="1" s="1"/>
  <c r="N82" i="1" s="1"/>
  <c r="J81" i="1"/>
  <c r="I81" i="1" l="1"/>
  <c r="X82" i="1"/>
  <c r="Y82" i="1" l="1"/>
  <c r="W82" i="1" s="1"/>
  <c r="P82" i="1" l="1"/>
  <c r="U82" i="1" s="1"/>
  <c r="N83" i="1" s="1"/>
  <c r="J82" i="1"/>
  <c r="I82" i="1" l="1"/>
  <c r="X83" i="1"/>
  <c r="Y83" i="1" l="1"/>
  <c r="W83" i="1" s="1"/>
  <c r="P83" i="1" l="1"/>
  <c r="U83" i="1" s="1"/>
  <c r="N84" i="1" s="1"/>
  <c r="J83" i="1"/>
  <c r="I83" i="1" l="1"/>
  <c r="X84" i="1"/>
  <c r="Y84" i="1" l="1"/>
  <c r="W84" i="1" s="1"/>
  <c r="P84" i="1" l="1"/>
  <c r="U84" i="1" s="1"/>
  <c r="N85" i="1" s="1"/>
  <c r="J84" i="1"/>
  <c r="I84" i="1" l="1"/>
  <c r="X85" i="1" l="1"/>
  <c r="Y85" i="1" l="1"/>
  <c r="W85" i="1" s="1"/>
  <c r="P85" i="1" l="1"/>
  <c r="U85" i="1" s="1"/>
  <c r="N86" i="1" s="1"/>
  <c r="J85" i="1"/>
  <c r="I85" i="1" l="1"/>
  <c r="X86" i="1"/>
  <c r="Y86" i="1" s="1"/>
  <c r="W86" i="1" l="1"/>
  <c r="J86" i="1"/>
  <c r="P86" i="1" l="1"/>
  <c r="U86" i="1" l="1"/>
  <c r="N87" i="1" s="1"/>
  <c r="I86" i="1"/>
  <c r="X87" i="1"/>
  <c r="Y87" i="1" s="1"/>
  <c r="W87" i="1" l="1"/>
  <c r="J87" i="1"/>
  <c r="P87" i="1" l="1"/>
  <c r="U87" i="1" l="1"/>
  <c r="N88" i="1" s="1"/>
  <c r="X88" i="1" s="1"/>
  <c r="Y88" i="1" s="1"/>
  <c r="I87" i="1"/>
  <c r="W88" i="1" l="1"/>
  <c r="J88" i="1"/>
  <c r="P88" i="1" l="1"/>
  <c r="U88" i="1" l="1"/>
  <c r="N89" i="1" s="1"/>
  <c r="I88" i="1"/>
  <c r="X89" i="1"/>
  <c r="Y89" i="1" s="1"/>
  <c r="W89" i="1" l="1"/>
  <c r="J89" i="1"/>
  <c r="P89" i="1" l="1"/>
  <c r="U89" i="1" l="1"/>
  <c r="N90" i="1" s="1"/>
  <c r="I89" i="1"/>
  <c r="X90" i="1"/>
  <c r="Y90" i="1" l="1"/>
  <c r="J90" i="1" s="1"/>
  <c r="W90" i="1" l="1"/>
  <c r="P90" i="1" l="1"/>
  <c r="U90" i="1" l="1"/>
  <c r="N91" i="1" s="1"/>
  <c r="I90" i="1"/>
  <c r="X91" i="1"/>
  <c r="Y91" i="1" s="1"/>
  <c r="W91" i="1" l="1"/>
  <c r="J91" i="1"/>
  <c r="P91" i="1" l="1"/>
  <c r="U91" i="1" l="1"/>
  <c r="N92" i="1" s="1"/>
  <c r="I91" i="1"/>
  <c r="X92" i="1"/>
  <c r="Y92" i="1" s="1"/>
  <c r="J92" i="1" l="1"/>
  <c r="W92" i="1"/>
  <c r="P92" i="1" l="1"/>
  <c r="U92" i="1" l="1"/>
  <c r="N93" i="1" s="1"/>
  <c r="I92" i="1"/>
  <c r="X93" i="1"/>
  <c r="Y93" i="1" s="1"/>
  <c r="W93" i="1" l="1"/>
  <c r="J93" i="1"/>
  <c r="P93" i="1" l="1"/>
  <c r="U93" i="1" l="1"/>
  <c r="N94" i="1" s="1"/>
  <c r="X94" i="1" s="1"/>
  <c r="Y94" i="1" s="1"/>
  <c r="I93" i="1"/>
  <c r="J94" i="1" l="1"/>
  <c r="W94" i="1"/>
  <c r="P94" i="1" l="1"/>
  <c r="U94" i="1" l="1"/>
  <c r="N95" i="1" s="1"/>
  <c r="I94" i="1"/>
  <c r="X95" i="1"/>
  <c r="Y95" i="1" s="1"/>
  <c r="W95" i="1" l="1"/>
  <c r="J95" i="1"/>
  <c r="P95" i="1" l="1"/>
  <c r="U95" i="1" l="1"/>
  <c r="N96" i="1" s="1"/>
  <c r="I95" i="1"/>
  <c r="X96" i="1"/>
  <c r="Y96" i="1" s="1"/>
  <c r="W96" i="1" l="1"/>
  <c r="J96" i="1"/>
  <c r="P96" i="1" l="1"/>
  <c r="U96" i="1" l="1"/>
  <c r="N97" i="1" s="1"/>
  <c r="X97" i="1" s="1"/>
  <c r="Y97" i="1" s="1"/>
  <c r="I96" i="1"/>
  <c r="J97" i="1" l="1"/>
  <c r="W97" i="1"/>
  <c r="P97" i="1" l="1"/>
  <c r="U97" i="1" l="1"/>
  <c r="N98" i="1" s="1"/>
  <c r="X98" i="1" s="1"/>
  <c r="I97" i="1"/>
  <c r="Y98" i="1" l="1"/>
  <c r="W98" i="1" s="1"/>
  <c r="P98" i="1" l="1"/>
  <c r="U98" i="1" s="1"/>
  <c r="N99" i="1" s="1"/>
  <c r="J98" i="1"/>
  <c r="I98" i="1" l="1"/>
  <c r="X99" i="1"/>
  <c r="Y99" i="1" s="1"/>
  <c r="J99" i="1" l="1"/>
  <c r="W99" i="1"/>
  <c r="P99" i="1" l="1"/>
  <c r="U99" i="1" l="1"/>
  <c r="N100" i="1" s="1"/>
  <c r="X100" i="1" s="1"/>
  <c r="I99" i="1"/>
  <c r="Y100" i="1" l="1"/>
  <c r="J100" i="1" s="1"/>
  <c r="W100" i="1" l="1"/>
  <c r="P100" i="1" l="1"/>
  <c r="U100" i="1" l="1"/>
  <c r="N101" i="1" s="1"/>
  <c r="I100" i="1"/>
  <c r="X101" i="1"/>
  <c r="Y101" i="1" l="1"/>
  <c r="J101" i="1" s="1"/>
  <c r="W101" i="1" l="1"/>
  <c r="P101" i="1" l="1"/>
  <c r="U101" i="1" l="1"/>
  <c r="N102" i="1" s="1"/>
  <c r="I101" i="1"/>
  <c r="X102" i="1"/>
  <c r="Y102" i="1" s="1"/>
  <c r="J102" i="1" l="1"/>
  <c r="W102" i="1"/>
  <c r="P102" i="1" l="1"/>
  <c r="U102" i="1" l="1"/>
  <c r="N103" i="1" s="1"/>
  <c r="I102" i="1"/>
  <c r="X103" i="1"/>
  <c r="Y103" i="1" s="1"/>
  <c r="W103" i="1" l="1"/>
  <c r="J103" i="1"/>
  <c r="P103" i="1" l="1"/>
  <c r="U103" i="1" l="1"/>
  <c r="N104" i="1" s="1"/>
  <c r="I103" i="1"/>
  <c r="X104" i="1"/>
  <c r="Y104" i="1" l="1"/>
  <c r="W104" i="1" s="1"/>
  <c r="P104" i="1" l="1"/>
  <c r="U104" i="1" s="1"/>
  <c r="N105" i="1" s="1"/>
  <c r="J104" i="1"/>
  <c r="I104" i="1" l="1"/>
  <c r="X105" i="1" l="1"/>
  <c r="Y105" i="1" l="1"/>
  <c r="J105" i="1" s="1"/>
  <c r="W105" i="1" l="1"/>
  <c r="P105" i="1" l="1"/>
  <c r="U105" i="1" l="1"/>
  <c r="N106" i="1" s="1"/>
  <c r="X106" i="1" s="1"/>
  <c r="I105" i="1"/>
  <c r="Y106" i="1" l="1"/>
  <c r="W106" i="1" s="1"/>
  <c r="P106" i="1" l="1"/>
  <c r="U106" i="1" s="1"/>
  <c r="N107" i="1" s="1"/>
  <c r="J106" i="1"/>
  <c r="I106" i="1" l="1"/>
  <c r="X107" i="1" l="1"/>
  <c r="Y107" i="1" l="1"/>
  <c r="W107" i="1" s="1"/>
  <c r="P107" i="1" l="1"/>
  <c r="U107" i="1" s="1"/>
  <c r="N108" i="1" s="1"/>
  <c r="J107" i="1"/>
  <c r="I107" i="1" l="1"/>
  <c r="X108" i="1"/>
  <c r="Y108" i="1" l="1"/>
  <c r="J108" i="1" s="1"/>
  <c r="W108" i="1" l="1"/>
  <c r="W195" i="1"/>
  <c r="J195" i="1" l="1"/>
  <c r="P108" i="1" l="1"/>
  <c r="W196" i="1"/>
  <c r="U108" i="1" l="1"/>
  <c r="N109" i="1" s="1"/>
  <c r="X109" i="1" s="1"/>
  <c r="I108" i="1"/>
  <c r="J196" i="1"/>
  <c r="Y109" i="1" l="1"/>
  <c r="J109" i="1" s="1"/>
  <c r="W197" i="1"/>
  <c r="W109" i="1" l="1"/>
  <c r="W198" i="1"/>
  <c r="W199" i="1" l="1"/>
  <c r="P109" i="1" l="1"/>
  <c r="W200" i="1"/>
  <c r="U109" i="1" l="1"/>
  <c r="N110" i="1" s="1"/>
  <c r="I109" i="1"/>
  <c r="X110" i="1"/>
  <c r="W201" i="1"/>
  <c r="Y110" i="1" l="1"/>
  <c r="W110" i="1" s="1"/>
  <c r="W202" i="1"/>
  <c r="P110" i="1" l="1"/>
  <c r="U110" i="1" s="1"/>
  <c r="N111" i="1" s="1"/>
  <c r="J110" i="1"/>
  <c r="W203" i="1"/>
  <c r="I110" i="1" l="1"/>
  <c r="W204" i="1"/>
  <c r="X111" i="1" l="1"/>
  <c r="Y111" i="1" s="1"/>
  <c r="W205" i="1"/>
  <c r="W111" i="1" l="1"/>
  <c r="J111" i="1"/>
  <c r="W206" i="1"/>
  <c r="W207" i="1" l="1"/>
  <c r="P111" i="1" l="1"/>
  <c r="W208" i="1"/>
  <c r="U111" i="1" l="1"/>
  <c r="N112" i="1" s="1"/>
  <c r="X112" i="1" s="1"/>
  <c r="Y112" i="1" s="1"/>
  <c r="I111" i="1"/>
  <c r="J112" i="1" l="1"/>
  <c r="W112" i="1"/>
  <c r="P112" i="1" l="1"/>
  <c r="U112" i="1" l="1"/>
  <c r="N113" i="1" s="1"/>
  <c r="I112" i="1"/>
  <c r="X113" i="1"/>
  <c r="Y113" i="1" s="1"/>
  <c r="J113" i="1" l="1"/>
  <c r="W113" i="1"/>
  <c r="P113" i="1" l="1"/>
  <c r="U113" i="1" l="1"/>
  <c r="N114" i="1" s="1"/>
  <c r="X114" i="1" s="1"/>
  <c r="Y114" i="1" s="1"/>
  <c r="I113" i="1"/>
  <c r="J114" i="1" l="1"/>
  <c r="W114" i="1"/>
  <c r="P114" i="1" l="1"/>
  <c r="U114" i="1" l="1"/>
  <c r="N115" i="1" s="1"/>
  <c r="X115" i="1" s="1"/>
  <c r="I114" i="1"/>
  <c r="Y115" i="1" l="1"/>
  <c r="W115" i="1" s="1"/>
  <c r="P115" i="1" l="1"/>
  <c r="U115" i="1" s="1"/>
  <c r="N116" i="1" s="1"/>
  <c r="J115" i="1"/>
  <c r="I115" i="1" l="1"/>
  <c r="X116" i="1"/>
  <c r="Y116" i="1" s="1"/>
  <c r="W116" i="1" l="1"/>
  <c r="J116" i="1"/>
  <c r="P116" i="1" l="1"/>
  <c r="U116" i="1" l="1"/>
  <c r="N117" i="1" s="1"/>
  <c r="X117" i="1" s="1"/>
  <c r="Y117" i="1" s="1"/>
  <c r="I116" i="1"/>
  <c r="W117" i="1" l="1"/>
  <c r="J117" i="1"/>
  <c r="P117" i="1" l="1"/>
  <c r="U117" i="1" l="1"/>
  <c r="N118" i="1" s="1"/>
  <c r="I117" i="1"/>
  <c r="X118" i="1"/>
  <c r="Y118" i="1" l="1"/>
  <c r="W118" i="1" s="1"/>
  <c r="P118" i="1" l="1"/>
  <c r="U118" i="1" s="1"/>
  <c r="N119" i="1" s="1"/>
  <c r="J118" i="1"/>
  <c r="I118" i="1" l="1"/>
  <c r="X119" i="1" l="1"/>
  <c r="Y119" i="1" l="1"/>
  <c r="W119" i="1" s="1"/>
  <c r="P119" i="1" l="1"/>
  <c r="U119" i="1" s="1"/>
  <c r="N120" i="1" s="1"/>
  <c r="J119" i="1"/>
  <c r="I119" i="1" l="1"/>
  <c r="X120" i="1"/>
  <c r="Y120" i="1" l="1"/>
  <c r="J120" i="1" s="1"/>
  <c r="W120" i="1" l="1"/>
  <c r="P120" i="1" l="1"/>
  <c r="U120" i="1" l="1"/>
  <c r="N121" i="1" s="1"/>
  <c r="X121" i="1" s="1"/>
  <c r="Y121" i="1" s="1"/>
  <c r="I120" i="1"/>
  <c r="J121" i="1" l="1"/>
  <c r="W121" i="1"/>
  <c r="P121" i="1" l="1"/>
  <c r="U121" i="1" l="1"/>
  <c r="N122" i="1" s="1"/>
  <c r="X122" i="1" s="1"/>
  <c r="I121" i="1"/>
  <c r="Y122" i="1" l="1"/>
  <c r="W122" i="1" s="1"/>
  <c r="P122" i="1" l="1"/>
  <c r="U122" i="1" s="1"/>
  <c r="N123" i="1" s="1"/>
  <c r="J122" i="1"/>
  <c r="I122" i="1" l="1"/>
  <c r="X123" i="1"/>
  <c r="Y123" i="1" l="1"/>
  <c r="J123" i="1" s="1"/>
  <c r="W123" i="1" l="1"/>
  <c r="P123" i="1" l="1"/>
  <c r="U123" i="1" l="1"/>
  <c r="N124" i="1" s="1"/>
  <c r="I123" i="1"/>
  <c r="X124" i="1"/>
  <c r="Y124" i="1" l="1"/>
  <c r="W124" i="1" s="1"/>
  <c r="P124" i="1" l="1"/>
  <c r="U124" i="1" s="1"/>
  <c r="N125" i="1" s="1"/>
  <c r="J124" i="1"/>
  <c r="I124" i="1" l="1"/>
  <c r="X125" i="1" l="1"/>
  <c r="Y125" i="1" l="1"/>
  <c r="J125" i="1" s="1"/>
  <c r="W125" i="1" l="1"/>
  <c r="P125" i="1" l="1"/>
  <c r="U125" i="1" l="1"/>
  <c r="N126" i="1" s="1"/>
  <c r="I125" i="1"/>
  <c r="X126" i="1"/>
  <c r="Y126" i="1" l="1"/>
  <c r="W126" i="1" s="1"/>
  <c r="P126" i="1" l="1"/>
  <c r="U126" i="1" s="1"/>
  <c r="N127" i="1" s="1"/>
  <c r="J126" i="1"/>
  <c r="I126" i="1" l="1"/>
  <c r="X127" i="1"/>
  <c r="Y127" i="1" s="1"/>
  <c r="J127" i="1" l="1"/>
  <c r="W127" i="1"/>
  <c r="P127" i="1" l="1"/>
  <c r="U127" i="1" l="1"/>
  <c r="N128" i="1" s="1"/>
  <c r="I127" i="1"/>
  <c r="X128" i="1"/>
  <c r="Y128" i="1" s="1"/>
  <c r="J128" i="1" l="1"/>
  <c r="W128" i="1"/>
  <c r="P128" i="1" l="1"/>
  <c r="U128" i="1" l="1"/>
  <c r="N129" i="1" s="1"/>
  <c r="I128" i="1"/>
  <c r="X129" i="1"/>
  <c r="Y129" i="1" s="1"/>
  <c r="W129" i="1" l="1"/>
  <c r="J129" i="1"/>
  <c r="P129" i="1" l="1"/>
  <c r="U129" i="1" l="1"/>
  <c r="N130" i="1" s="1"/>
  <c r="I129" i="1"/>
  <c r="X130" i="1"/>
  <c r="Y130" i="1" l="1"/>
  <c r="J130" i="1" s="1"/>
  <c r="W130" i="1" l="1"/>
  <c r="P130" i="1" l="1"/>
  <c r="U130" i="1" l="1"/>
  <c r="N131" i="1" s="1"/>
  <c r="I130" i="1"/>
  <c r="X131" i="1"/>
  <c r="Y131" i="1" l="1"/>
  <c r="W131" i="1" s="1"/>
  <c r="P131" i="1" l="1"/>
  <c r="U131" i="1" s="1"/>
  <c r="N132" i="1" s="1"/>
  <c r="J131" i="1"/>
  <c r="I131" i="1" l="1"/>
  <c r="X132" i="1"/>
  <c r="Y132" i="1" l="1"/>
  <c r="J132" i="1" s="1"/>
  <c r="W132" i="1" l="1"/>
  <c r="P132" i="1" l="1"/>
  <c r="U132" i="1" l="1"/>
  <c r="N133" i="1" s="1"/>
  <c r="I132" i="1"/>
  <c r="X133" i="1"/>
  <c r="Y133" i="1" l="1"/>
  <c r="J133" i="1" s="1"/>
  <c r="W133" i="1" l="1"/>
  <c r="P133" i="1" l="1"/>
  <c r="U133" i="1" l="1"/>
  <c r="N134" i="1" s="1"/>
  <c r="I133" i="1"/>
  <c r="X134" i="1"/>
  <c r="Y134" i="1" l="1"/>
  <c r="W134" i="1" s="1"/>
  <c r="P134" i="1" l="1"/>
  <c r="U134" i="1" s="1"/>
  <c r="N135" i="1" s="1"/>
  <c r="J134" i="1"/>
  <c r="I134" i="1" l="1"/>
  <c r="X135" i="1" l="1"/>
  <c r="Y135" i="1" s="1"/>
  <c r="W135" i="1" l="1"/>
  <c r="J135" i="1"/>
  <c r="P135" i="1" l="1"/>
  <c r="U135" i="1" l="1"/>
  <c r="N136" i="1" s="1"/>
  <c r="I135" i="1"/>
  <c r="X136" i="1"/>
  <c r="Y136" i="1" s="1"/>
  <c r="J136" i="1" l="1"/>
  <c r="W136" i="1"/>
  <c r="P136" i="1" l="1"/>
  <c r="U136" i="1" l="1"/>
  <c r="N137" i="1" s="1"/>
  <c r="I136" i="1"/>
  <c r="X137" i="1"/>
  <c r="Y137" i="1" s="1"/>
  <c r="W137" i="1" l="1"/>
  <c r="J137" i="1"/>
  <c r="P137" i="1" l="1"/>
  <c r="U137" i="1" l="1"/>
  <c r="N138" i="1" s="1"/>
  <c r="I137" i="1"/>
  <c r="X138" i="1"/>
  <c r="Y138" i="1" s="1"/>
  <c r="J138" i="1" l="1"/>
  <c r="W138" i="1"/>
  <c r="P138" i="1" l="1"/>
  <c r="U138" i="1" l="1"/>
  <c r="N139" i="1" s="1"/>
  <c r="I138" i="1"/>
  <c r="X139" i="1"/>
  <c r="Y139" i="1" l="1"/>
  <c r="W139" i="1" s="1"/>
  <c r="P139" i="1" l="1"/>
  <c r="U139" i="1" s="1"/>
  <c r="N140" i="1" s="1"/>
  <c r="J139" i="1"/>
  <c r="I139" i="1" l="1"/>
  <c r="X140" i="1" l="1"/>
  <c r="Y140" i="1" s="1"/>
  <c r="W140" i="1" l="1"/>
  <c r="J140" i="1"/>
  <c r="P140" i="1" l="1"/>
  <c r="U140" i="1" l="1"/>
  <c r="N141" i="1" s="1"/>
  <c r="X141" i="1" s="1"/>
  <c r="I140" i="1"/>
  <c r="Y141" i="1" l="1"/>
  <c r="J141" i="1" s="1"/>
  <c r="W141" i="1" l="1"/>
  <c r="P141" i="1" l="1"/>
  <c r="U141" i="1" l="1"/>
  <c r="N142" i="1" s="1"/>
  <c r="X142" i="1" s="1"/>
  <c r="Y142" i="1" s="1"/>
  <c r="I141" i="1"/>
  <c r="W142" i="1" l="1"/>
  <c r="J142" i="1"/>
  <c r="P142" i="1" l="1"/>
  <c r="U142" i="1" l="1"/>
  <c r="N143" i="1" s="1"/>
  <c r="X143" i="1" s="1"/>
  <c r="Y143" i="1" s="1"/>
  <c r="I142" i="1"/>
  <c r="J143" i="1" l="1"/>
  <c r="W143" i="1"/>
  <c r="P143" i="1" l="1"/>
  <c r="U143" i="1" l="1"/>
  <c r="N144" i="1" s="1"/>
  <c r="X144" i="1" s="1"/>
  <c r="I143" i="1"/>
  <c r="Y144" i="1" l="1"/>
  <c r="J144" i="1" s="1"/>
  <c r="W144" i="1" l="1"/>
  <c r="P144" i="1" l="1"/>
  <c r="U144" i="1" l="1"/>
  <c r="N145" i="1" s="1"/>
  <c r="I144" i="1"/>
  <c r="X145" i="1"/>
  <c r="Y145" i="1" l="1"/>
  <c r="J145" i="1" s="1"/>
  <c r="W145" i="1" l="1"/>
  <c r="P145" i="1" l="1"/>
  <c r="U145" i="1" l="1"/>
  <c r="N146" i="1" s="1"/>
  <c r="X146" i="1" s="1"/>
  <c r="Y146" i="1" s="1"/>
  <c r="I145" i="1"/>
  <c r="J146" i="1" l="1"/>
  <c r="W146" i="1"/>
  <c r="P146" i="1" l="1"/>
  <c r="U146" i="1" l="1"/>
  <c r="N147" i="1" s="1"/>
  <c r="X147" i="1" s="1"/>
  <c r="I146" i="1"/>
  <c r="Y147" i="1" l="1"/>
  <c r="J147" i="1" s="1"/>
  <c r="W147" i="1" l="1"/>
  <c r="P147" i="1" l="1"/>
  <c r="U147" i="1" l="1"/>
  <c r="N148" i="1" s="1"/>
  <c r="X148" i="1" s="1"/>
  <c r="I147" i="1"/>
  <c r="Y148" i="1" l="1"/>
  <c r="W148" i="1" s="1"/>
  <c r="P148" i="1" l="1"/>
  <c r="U148" i="1" s="1"/>
  <c r="N149" i="1" s="1"/>
  <c r="J148" i="1"/>
  <c r="I148" i="1" l="1"/>
  <c r="X149" i="1" l="1"/>
  <c r="Y149" i="1" l="1"/>
  <c r="W149" i="1" s="1"/>
  <c r="P149" i="1" l="1"/>
  <c r="U149" i="1" s="1"/>
  <c r="N150" i="1" s="1"/>
  <c r="J149" i="1"/>
  <c r="I149" i="1" l="1"/>
  <c r="X150" i="1"/>
  <c r="Y150" i="1" l="1"/>
  <c r="W150" i="1" s="1"/>
  <c r="P150" i="1" l="1"/>
  <c r="U150" i="1" s="1"/>
  <c r="N151" i="1" s="1"/>
  <c r="J150" i="1"/>
  <c r="I150" i="1" l="1"/>
  <c r="X151" i="1"/>
  <c r="Y151" i="1" l="1"/>
  <c r="J151" i="1" s="1"/>
  <c r="W151" i="1" l="1"/>
  <c r="P151" i="1" l="1"/>
  <c r="U151" i="1" l="1"/>
  <c r="N152" i="1" s="1"/>
  <c r="X152" i="1" s="1"/>
  <c r="I151" i="1"/>
  <c r="Y152" i="1" l="1"/>
  <c r="W152" i="1" s="1"/>
  <c r="P152" i="1" l="1"/>
  <c r="U152" i="1" s="1"/>
  <c r="N153" i="1" s="1"/>
  <c r="J152" i="1"/>
  <c r="I152" i="1" l="1"/>
  <c r="X153" i="1" l="1"/>
  <c r="Y153" i="1" s="1"/>
  <c r="J153" i="1" l="1"/>
  <c r="W153" i="1"/>
  <c r="P153" i="1" l="1"/>
  <c r="U153" i="1" l="1"/>
  <c r="N154" i="1" s="1"/>
  <c r="I153" i="1"/>
  <c r="X154" i="1"/>
  <c r="Y154" i="1" s="1"/>
  <c r="J154" i="1" l="1"/>
  <c r="W154" i="1"/>
  <c r="P154" i="1" l="1"/>
  <c r="U154" i="1" l="1"/>
  <c r="N155" i="1" s="1"/>
  <c r="X155" i="1" s="1"/>
  <c r="I154" i="1"/>
  <c r="Y155" i="1" l="1"/>
  <c r="J155" i="1" s="1"/>
  <c r="W155" i="1" l="1"/>
  <c r="P155" i="1" l="1"/>
  <c r="U155" i="1" l="1"/>
  <c r="N156" i="1" s="1"/>
  <c r="I155" i="1"/>
  <c r="X156" i="1"/>
  <c r="Y156" i="1" s="1"/>
  <c r="W156" i="1" l="1"/>
  <c r="J156" i="1"/>
  <c r="P156" i="1" l="1"/>
  <c r="U156" i="1" l="1"/>
  <c r="N157" i="1" s="1"/>
  <c r="I156" i="1"/>
  <c r="X157" i="1"/>
  <c r="Y157" i="1" l="1"/>
  <c r="J157" i="1" s="1"/>
  <c r="W157" i="1" l="1"/>
  <c r="P157" i="1" l="1"/>
  <c r="U157" i="1" l="1"/>
  <c r="N158" i="1" s="1"/>
  <c r="X158" i="1" s="1"/>
  <c r="I157" i="1"/>
  <c r="Y158" i="1" l="1"/>
  <c r="W158" i="1" s="1"/>
  <c r="P158" i="1" l="1"/>
  <c r="U158" i="1" s="1"/>
  <c r="N159" i="1" s="1"/>
  <c r="J158" i="1"/>
  <c r="I158" i="1" l="1"/>
  <c r="X159" i="1" l="1"/>
  <c r="Y159" i="1" s="1"/>
  <c r="J159" i="1" l="1"/>
  <c r="W159" i="1"/>
  <c r="P159" i="1" l="1"/>
  <c r="U159" i="1" l="1"/>
  <c r="N160" i="1" s="1"/>
  <c r="X160" i="1" s="1"/>
  <c r="Y160" i="1" s="1"/>
  <c r="I159" i="1"/>
  <c r="J160" i="1" l="1"/>
  <c r="W160" i="1"/>
  <c r="P160" i="1" l="1"/>
  <c r="U160" i="1" l="1"/>
  <c r="N161" i="1" s="1"/>
  <c r="I160" i="1"/>
  <c r="X161" i="1"/>
  <c r="Y161" i="1" s="1"/>
  <c r="J161" i="1" l="1"/>
  <c r="W161" i="1"/>
  <c r="P161" i="1" l="1"/>
  <c r="U161" i="1" l="1"/>
  <c r="N162" i="1" s="1"/>
  <c r="X162" i="1" s="1"/>
  <c r="Y162" i="1" s="1"/>
  <c r="I161" i="1"/>
  <c r="W162" i="1" l="1"/>
  <c r="J162" i="1"/>
  <c r="P162" i="1" l="1"/>
  <c r="U162" i="1" l="1"/>
  <c r="N163" i="1" s="1"/>
  <c r="X163" i="1" s="1"/>
  <c r="I162" i="1"/>
  <c r="Y163" i="1" l="1"/>
  <c r="J163" i="1" s="1"/>
  <c r="W163" i="1" l="1"/>
  <c r="P163" i="1" l="1"/>
  <c r="U163" i="1" l="1"/>
  <c r="N164" i="1" s="1"/>
  <c r="X164" i="1" s="1"/>
  <c r="I163" i="1"/>
  <c r="Y164" i="1" l="1"/>
  <c r="W164" i="1" s="1"/>
  <c r="P164" i="1" l="1"/>
  <c r="U164" i="1" s="1"/>
  <c r="N165" i="1" s="1"/>
  <c r="J164" i="1"/>
  <c r="I164" i="1" l="1"/>
  <c r="X165" i="1"/>
  <c r="Y165" i="1" l="1"/>
  <c r="W165" i="1" s="1"/>
  <c r="I165" i="1" l="1"/>
  <c r="P165" i="1"/>
  <c r="U165" i="1" s="1"/>
  <c r="N166" i="1" s="1"/>
  <c r="J165" i="1"/>
  <c r="X166" i="1" l="1"/>
  <c r="Y166" i="1" l="1"/>
  <c r="J166" i="1" s="1"/>
  <c r="W166" i="1" l="1"/>
  <c r="I166" i="1" l="1"/>
  <c r="P166" i="1" l="1"/>
  <c r="U166" i="1" s="1"/>
  <c r="N167" i="1" s="1"/>
  <c r="X167" i="1" l="1"/>
  <c r="Y167" i="1" l="1"/>
  <c r="W167" i="1" s="1"/>
  <c r="I167" i="1" l="1"/>
  <c r="P167" i="1"/>
  <c r="U167" i="1" s="1"/>
  <c r="N168" i="1" s="1"/>
  <c r="J167" i="1"/>
  <c r="X168" i="1" l="1"/>
  <c r="Y168" i="1" l="1"/>
  <c r="J168" i="1" s="1"/>
  <c r="W168" i="1" l="1"/>
  <c r="I168" i="1" l="1"/>
  <c r="P168" i="1" l="1"/>
  <c r="U168" i="1" s="1"/>
  <c r="N169" i="1" l="1"/>
  <c r="X169" i="1" l="1"/>
  <c r="Y169" i="1" s="1"/>
  <c r="W169" i="1" l="1"/>
  <c r="J169" i="1"/>
  <c r="I169" i="1" l="1"/>
  <c r="P169" i="1" l="1"/>
  <c r="U169" i="1" s="1"/>
  <c r="N170" i="1" s="1"/>
  <c r="X170" i="1" l="1"/>
  <c r="Y170" i="1" s="1"/>
  <c r="J170" i="1" l="1"/>
  <c r="W170" i="1"/>
  <c r="I170" i="1" l="1"/>
  <c r="P170" i="1" l="1"/>
  <c r="U170" i="1" s="1"/>
  <c r="N171" i="1" s="1"/>
  <c r="X171" i="1" l="1"/>
  <c r="Y171" i="1" s="1"/>
  <c r="J171" i="1" l="1"/>
  <c r="W171" i="1"/>
  <c r="I171" i="1" l="1"/>
  <c r="P171" i="1" l="1"/>
  <c r="U171" i="1" s="1"/>
  <c r="N172" i="1" s="1"/>
  <c r="X172" i="1" l="1"/>
  <c r="Y172" i="1" s="1"/>
  <c r="J172" i="1" l="1"/>
  <c r="W172" i="1"/>
  <c r="I172" i="1" l="1"/>
  <c r="P172" i="1" l="1"/>
  <c r="U172" i="1" s="1"/>
  <c r="N173" i="1" s="1"/>
  <c r="X173" i="1" l="1"/>
  <c r="Y173" i="1" s="1"/>
  <c r="J173" i="1" l="1"/>
  <c r="W173" i="1"/>
  <c r="I173" i="1" l="1"/>
  <c r="P173" i="1" l="1"/>
  <c r="U173" i="1" s="1"/>
  <c r="N174" i="1" s="1"/>
  <c r="X174" i="1" l="1"/>
  <c r="Y174" i="1" l="1"/>
  <c r="W174" i="1" s="1"/>
  <c r="I174" i="1" l="1"/>
  <c r="P174" i="1"/>
  <c r="U174" i="1" s="1"/>
  <c r="N175" i="1" s="1"/>
  <c r="J174" i="1"/>
  <c r="X175" i="1" l="1"/>
  <c r="Y175" i="1" l="1"/>
  <c r="W175" i="1" s="1"/>
  <c r="I175" i="1" l="1"/>
  <c r="P175" i="1"/>
  <c r="U175" i="1" s="1"/>
  <c r="N176" i="1" s="1"/>
  <c r="J175" i="1"/>
  <c r="X176" i="1" l="1"/>
  <c r="Y176" i="1" l="1"/>
  <c r="W176" i="1" s="1"/>
  <c r="I176" i="1" l="1"/>
  <c r="P176" i="1"/>
  <c r="U176" i="1" s="1"/>
  <c r="N177" i="1" s="1"/>
  <c r="J176" i="1"/>
  <c r="X177" i="1" l="1"/>
  <c r="Y177" i="1" s="1"/>
  <c r="J177" i="1" l="1"/>
  <c r="W177" i="1"/>
  <c r="I177" i="1" l="1"/>
  <c r="P177" i="1" l="1"/>
  <c r="U177" i="1" s="1"/>
  <c r="N178" i="1" s="1"/>
  <c r="X178" i="1" l="1"/>
  <c r="Y178" i="1" s="1"/>
  <c r="W178" i="1" l="1"/>
  <c r="J178" i="1"/>
  <c r="I178" i="1" l="1"/>
  <c r="P178" i="1" l="1"/>
  <c r="U178" i="1" s="1"/>
  <c r="N179" i="1" s="1"/>
  <c r="X179" i="1" l="1"/>
  <c r="Y179" i="1" l="1"/>
  <c r="W179" i="1" s="1"/>
  <c r="I179" i="1" l="1"/>
  <c r="P179" i="1"/>
  <c r="U179" i="1" s="1"/>
  <c r="N180" i="1" s="1"/>
  <c r="J179" i="1"/>
  <c r="X180" i="1" l="1"/>
  <c r="Y180" i="1" s="1"/>
  <c r="J180" i="1" l="1"/>
  <c r="W180" i="1"/>
  <c r="I180" i="1" l="1"/>
  <c r="P180" i="1" l="1"/>
  <c r="U180" i="1" s="1"/>
  <c r="N181" i="1" s="1"/>
  <c r="X181" i="1" l="1"/>
  <c r="Y181" i="1" s="1"/>
  <c r="W181" i="1" l="1"/>
  <c r="J181" i="1"/>
  <c r="I181" i="1" l="1"/>
  <c r="P181" i="1" l="1"/>
  <c r="U181" i="1" s="1"/>
  <c r="N182" i="1" s="1"/>
  <c r="X182" i="1" l="1"/>
  <c r="Y182" i="1" l="1"/>
  <c r="W182" i="1" s="1"/>
  <c r="I182" i="1" l="1"/>
  <c r="P182" i="1"/>
  <c r="U182" i="1" s="1"/>
  <c r="N183" i="1" s="1"/>
  <c r="J182" i="1"/>
  <c r="X183" i="1" l="1"/>
  <c r="Y183" i="1" l="1"/>
  <c r="W183" i="1" s="1"/>
  <c r="I183" i="1" l="1"/>
  <c r="P183" i="1"/>
  <c r="U183" i="1" s="1"/>
  <c r="N184" i="1" s="1"/>
  <c r="J183" i="1"/>
  <c r="X184" i="1" l="1"/>
  <c r="Y184" i="1" l="1"/>
  <c r="J184" i="1" s="1"/>
  <c r="W184" i="1" l="1"/>
  <c r="I184" i="1" l="1"/>
  <c r="P184" i="1" l="1"/>
  <c r="U184" i="1" s="1"/>
  <c r="N185" i="1" s="1"/>
  <c r="X185" i="1" l="1"/>
  <c r="Y185" i="1" l="1"/>
  <c r="W185" i="1" s="1"/>
  <c r="I185" i="1" l="1"/>
  <c r="P185" i="1"/>
  <c r="U185" i="1" s="1"/>
  <c r="N186" i="1" s="1"/>
  <c r="J185" i="1"/>
  <c r="X186" i="1" l="1"/>
  <c r="Y186" i="1" l="1"/>
  <c r="J186" i="1" s="1"/>
  <c r="W186" i="1" l="1"/>
  <c r="I186" i="1" l="1"/>
  <c r="P186" i="1" l="1"/>
  <c r="U186" i="1" s="1"/>
  <c r="N187" i="1" s="1"/>
  <c r="X187" i="1" l="1"/>
  <c r="Y187" i="1" l="1"/>
  <c r="J187" i="1" s="1"/>
  <c r="W187" i="1" l="1"/>
  <c r="I187" i="1" l="1"/>
  <c r="P187" i="1" l="1"/>
  <c r="U187" i="1" s="1"/>
  <c r="N188" i="1" s="1"/>
  <c r="X188" i="1" l="1"/>
  <c r="Y188" i="1" s="1"/>
  <c r="W188" i="1" l="1"/>
  <c r="J188" i="1"/>
  <c r="I188" i="1" l="1"/>
  <c r="P188" i="1" l="1"/>
  <c r="U188" i="1" s="1"/>
  <c r="N189" i="1" s="1"/>
  <c r="X189" i="1" l="1"/>
  <c r="Y189" i="1" s="1"/>
  <c r="W189" i="1" l="1"/>
  <c r="J189" i="1"/>
  <c r="I189" i="1" l="1"/>
  <c r="P189" i="1" l="1"/>
  <c r="U189" i="1" s="1"/>
  <c r="N190" i="1" s="1"/>
  <c r="X190" i="1" l="1"/>
  <c r="Y190" i="1" s="1"/>
  <c r="W190" i="1" l="1"/>
  <c r="J190" i="1"/>
  <c r="I190" i="1" l="1"/>
  <c r="P190" i="1" l="1"/>
  <c r="U190" i="1" s="1"/>
  <c r="N191" i="1" s="1"/>
  <c r="X191" i="1" l="1"/>
  <c r="Y191" i="1" l="1"/>
  <c r="J191" i="1" s="1"/>
  <c r="W191" i="1" l="1"/>
  <c r="I191" i="1" l="1"/>
  <c r="P191" i="1" l="1"/>
  <c r="U191" i="1" s="1"/>
  <c r="N192" i="1" l="1"/>
  <c r="X192" i="1" l="1"/>
  <c r="Y192" i="1" s="1"/>
  <c r="W192" i="1" l="1"/>
  <c r="J192" i="1"/>
  <c r="I192" i="1" l="1"/>
  <c r="P192" i="1" l="1"/>
  <c r="U192" i="1" s="1"/>
  <c r="N193" i="1" l="1"/>
  <c r="X193" i="1" l="1"/>
  <c r="Y193" i="1" l="1"/>
  <c r="W193" i="1" s="1"/>
  <c r="I193" i="1" l="1"/>
  <c r="J193" i="1"/>
  <c r="P193" i="1" l="1"/>
  <c r="U193" i="1" s="1"/>
  <c r="N194" i="1" l="1"/>
  <c r="X194" i="1" l="1"/>
  <c r="Y194" i="1" s="1"/>
  <c r="W194" i="1" l="1"/>
  <c r="J194" i="1"/>
  <c r="I194" i="1" l="1"/>
  <c r="P194" i="1" l="1"/>
  <c r="U194" i="1" s="1"/>
  <c r="O32" i="1"/>
  <c r="M33" i="1" l="1"/>
  <c r="F32" i="1"/>
  <c r="M32" i="1"/>
  <c r="O14" i="1" l="1"/>
  <c r="O13" i="1"/>
  <c r="Z5" i="1" l="1"/>
  <c r="I12" i="1"/>
  <c r="N13" i="1" l="1"/>
  <c r="X13" i="1" s="1"/>
  <c r="Y13" i="1" l="1"/>
  <c r="W13" i="1" s="1"/>
  <c r="Q13" i="1" l="1"/>
  <c r="V13" i="1" s="1"/>
  <c r="J13" i="1"/>
  <c r="P13" i="1" l="1"/>
  <c r="U13" i="1" l="1"/>
  <c r="N14" i="1" s="1"/>
  <c r="X14" i="1" s="1"/>
  <c r="Y14" i="1" s="1"/>
  <c r="W14" i="1" s="1"/>
  <c r="I13" i="1"/>
  <c r="Q14" i="1" l="1"/>
  <c r="J14" i="1"/>
  <c r="V14" i="1" l="1"/>
  <c r="P14" i="1"/>
  <c r="U14" i="1" l="1"/>
  <c r="N15" i="1" s="1"/>
  <c r="X15" i="1" s="1"/>
  <c r="I14" i="1"/>
  <c r="Y15" i="1" l="1"/>
  <c r="W15" i="1" s="1"/>
  <c r="Q15" i="1" l="1"/>
  <c r="J15" i="1"/>
  <c r="P15" i="1" l="1"/>
  <c r="U15" i="1" s="1"/>
  <c r="N16" i="1" s="1"/>
  <c r="V15" i="1"/>
  <c r="I15" i="1" l="1"/>
  <c r="X16" i="1"/>
  <c r="Y16" i="1" s="1"/>
  <c r="W16" i="1" s="1"/>
  <c r="J16" i="1" l="1"/>
  <c r="Q16" i="1"/>
  <c r="V16" i="1" l="1"/>
  <c r="P16" i="1"/>
  <c r="U16" i="1" l="1"/>
  <c r="N17" i="1" s="1"/>
  <c r="X17" i="1" s="1"/>
  <c r="Y17" i="1" s="1"/>
  <c r="I16" i="1"/>
  <c r="W17" i="1" l="1"/>
  <c r="J17" i="1"/>
  <c r="Q17" i="1" l="1"/>
  <c r="V17" i="1" l="1"/>
  <c r="P17" i="1"/>
  <c r="U17" i="1" l="1"/>
  <c r="N18" i="1" s="1"/>
  <c r="X18" i="1" s="1"/>
  <c r="I17" i="1"/>
  <c r="Y18" i="1" l="1"/>
  <c r="J18" i="1" s="1"/>
  <c r="W18" i="1" l="1"/>
  <c r="Q18" i="1" l="1"/>
  <c r="V18" i="1" l="1"/>
  <c r="P18" i="1"/>
  <c r="U18" i="1" l="1"/>
  <c r="N19" i="1" s="1"/>
  <c r="X19" i="1" s="1"/>
  <c r="I18" i="1"/>
  <c r="Y19" i="1" l="1"/>
  <c r="W19" i="1" s="1"/>
  <c r="Q19" i="1" l="1"/>
  <c r="P19" i="1" s="1"/>
  <c r="U19" i="1" s="1"/>
  <c r="N20" i="1" s="1"/>
  <c r="J19" i="1"/>
  <c r="I19" i="1" l="1"/>
  <c r="V19" i="1"/>
  <c r="X20" i="1" s="1"/>
  <c r="Y20" i="1" s="1"/>
  <c r="W20" i="1" l="1"/>
  <c r="J20" i="1"/>
  <c r="Q20" i="1" l="1"/>
  <c r="P20" i="1" s="1"/>
  <c r="U20" i="1" s="1"/>
  <c r="N21" i="1" s="1"/>
  <c r="I20" i="1" l="1"/>
  <c r="V20" i="1"/>
  <c r="X21" i="1" s="1"/>
  <c r="Y21" i="1" s="1"/>
  <c r="W21" i="1" l="1"/>
  <c r="J21" i="1"/>
  <c r="Q21" i="1" l="1"/>
  <c r="V21" i="1" s="1"/>
  <c r="P21" i="1" l="1"/>
  <c r="U21" i="1" l="1"/>
  <c r="N22" i="1" s="1"/>
  <c r="X22" i="1" s="1"/>
  <c r="I21" i="1"/>
  <c r="Y22" i="1" l="1"/>
  <c r="J22" i="1" s="1"/>
  <c r="W22" i="1" l="1"/>
  <c r="Q22" i="1" l="1"/>
  <c r="P22" i="1" s="1"/>
  <c r="U22" i="1" s="1"/>
  <c r="N23" i="1" s="1"/>
  <c r="I22" i="1" l="1"/>
  <c r="V22" i="1"/>
  <c r="X23" i="1" s="1"/>
  <c r="Y23" i="1" s="1"/>
  <c r="W23" i="1" l="1"/>
  <c r="J23" i="1"/>
  <c r="Q23" i="1" l="1"/>
  <c r="P23" i="1" s="1"/>
  <c r="U23" i="1" s="1"/>
  <c r="N24" i="1" s="1"/>
  <c r="I23" i="1" l="1"/>
  <c r="V23" i="1"/>
  <c r="X24" i="1" s="1"/>
  <c r="Y24" i="1" l="1"/>
  <c r="J24" i="1" s="1"/>
  <c r="W24" i="1" l="1"/>
  <c r="Q24" i="1" l="1"/>
  <c r="P24" i="1" s="1"/>
  <c r="U24" i="1" s="1"/>
  <c r="N25" i="1" s="1"/>
  <c r="I24" i="1" l="1"/>
  <c r="V24" i="1"/>
  <c r="X25" i="1" s="1"/>
  <c r="Y25" i="1" l="1"/>
  <c r="W25" i="1" s="1"/>
  <c r="Q25" i="1" l="1"/>
  <c r="P25" i="1" s="1"/>
  <c r="U25" i="1" s="1"/>
  <c r="N26" i="1" s="1"/>
  <c r="J25" i="1"/>
  <c r="I25" i="1" l="1"/>
  <c r="V25" i="1"/>
  <c r="X26" i="1" s="1"/>
  <c r="Y26" i="1" l="1"/>
  <c r="J26" i="1" s="1"/>
  <c r="W26" i="1" l="1"/>
  <c r="Q26" i="1" l="1"/>
  <c r="P26" i="1" s="1"/>
  <c r="U26" i="1" s="1"/>
  <c r="N27" i="1" s="1"/>
  <c r="I26" i="1" l="1"/>
  <c r="V26" i="1"/>
  <c r="X27" i="1" s="1"/>
  <c r="Y27" i="1" s="1"/>
  <c r="W27" i="1" l="1"/>
  <c r="J27" i="1"/>
  <c r="Q27" i="1" l="1"/>
  <c r="P27" i="1" s="1"/>
  <c r="U27" i="1" s="1"/>
  <c r="N28" i="1" s="1"/>
  <c r="I27" i="1" l="1"/>
  <c r="V27" i="1"/>
  <c r="X28" i="1" s="1"/>
  <c r="Y28" i="1" l="1"/>
  <c r="J28" i="1" s="1"/>
  <c r="W28" i="1" l="1"/>
  <c r="Q28" i="1" l="1"/>
  <c r="P28" i="1" s="1"/>
  <c r="U28" i="1" s="1"/>
  <c r="N29" i="1" s="1"/>
  <c r="I28" i="1" l="1"/>
  <c r="V28" i="1"/>
  <c r="X29" i="1" s="1"/>
  <c r="Y29" i="1" s="1"/>
  <c r="J29" i="1" l="1"/>
  <c r="W29" i="1"/>
  <c r="Q29" i="1" l="1"/>
  <c r="P29" i="1" s="1"/>
  <c r="U29" i="1" s="1"/>
  <c r="N30" i="1" s="1"/>
  <c r="I29" i="1" l="1"/>
  <c r="V29" i="1"/>
  <c r="X30" i="1" s="1"/>
  <c r="Y30" i="1" s="1"/>
  <c r="W30" i="1" l="1"/>
  <c r="J30" i="1"/>
  <c r="Q30" i="1" l="1"/>
  <c r="P30" i="1" s="1"/>
  <c r="U30" i="1" s="1"/>
  <c r="N31" i="1" s="1"/>
  <c r="I30" i="1" l="1"/>
  <c r="V30" i="1"/>
  <c r="X31" i="1" s="1"/>
  <c r="Y31" i="1" s="1"/>
  <c r="W31" i="1" l="1"/>
  <c r="J31" i="1"/>
  <c r="Q31" i="1" l="1"/>
  <c r="P31" i="1" s="1"/>
  <c r="U31" i="1" s="1"/>
  <c r="N32" i="1" s="1"/>
  <c r="I31" i="1" l="1"/>
  <c r="V31" i="1"/>
  <c r="X32" i="1" s="1"/>
  <c r="Y32" i="1" l="1"/>
  <c r="J32" i="1" s="1"/>
  <c r="W32" i="1" l="1"/>
  <c r="Q32" i="1" l="1"/>
  <c r="P32" i="1" s="1"/>
  <c r="U32" i="1" s="1"/>
  <c r="N33" i="1" s="1"/>
  <c r="I32" i="1" l="1"/>
  <c r="V32" i="1"/>
  <c r="X33" i="1" s="1"/>
  <c r="Y33" i="1" s="1"/>
  <c r="W33" i="1" l="1"/>
  <c r="J33" i="1"/>
  <c r="Q33" i="1" l="1"/>
  <c r="P33" i="1" s="1"/>
  <c r="U33" i="1" s="1"/>
  <c r="N34" i="1" s="1"/>
  <c r="I33" i="1" l="1"/>
  <c r="V33" i="1"/>
  <c r="X34" i="1" s="1"/>
  <c r="Y34" i="1" l="1"/>
  <c r="W34" i="1" s="1"/>
  <c r="Q34" i="1" l="1"/>
  <c r="P34" i="1" s="1"/>
  <c r="U34" i="1" s="1"/>
  <c r="N35" i="1" s="1"/>
  <c r="J34" i="1"/>
  <c r="I34" i="1" l="1"/>
  <c r="V34" i="1"/>
  <c r="X35" i="1" s="1"/>
  <c r="Y35" i="1" l="1"/>
  <c r="J35" i="1" s="1"/>
  <c r="W35" i="1" l="1"/>
  <c r="Q35" i="1" l="1"/>
  <c r="V35" i="1" l="1"/>
  <c r="P35" i="1"/>
  <c r="U35" i="1" l="1"/>
  <c r="N36" i="1" s="1"/>
  <c r="I35" i="1"/>
  <c r="X36" i="1" l="1"/>
  <c r="Y36" i="1" s="1"/>
  <c r="J36" i="1" s="1"/>
  <c r="W36" i="1" l="1"/>
  <c r="Q36" i="1" l="1"/>
  <c r="V36" i="1" s="1"/>
  <c r="P36" i="1" l="1"/>
  <c r="U36" i="1" l="1"/>
  <c r="N37" i="1" s="1"/>
  <c r="I36" i="1"/>
  <c r="X37" i="1" l="1"/>
  <c r="Y37" i="1" l="1"/>
  <c r="J37" i="1" s="1"/>
  <c r="W37" i="1" l="1"/>
  <c r="Q37" i="1" s="1"/>
  <c r="P37" i="1" s="1"/>
  <c r="U37" i="1" l="1"/>
  <c r="N38" i="1" s="1"/>
  <c r="I37" i="1"/>
  <c r="V37" i="1"/>
  <c r="X38" i="1" l="1"/>
  <c r="Y38" i="1" s="1"/>
  <c r="W38" i="1" s="1"/>
  <c r="J38" i="1" l="1"/>
  <c r="Q38" i="1"/>
  <c r="V38" i="1" s="1"/>
  <c r="P38" i="1" l="1"/>
  <c r="U38" i="1" l="1"/>
  <c r="N39" i="1" s="1"/>
  <c r="X39" i="1" s="1"/>
  <c r="Y39" i="1" s="1"/>
  <c r="J39" i="1" s="1"/>
  <c r="I38" i="1"/>
  <c r="W39" i="1" l="1"/>
  <c r="Q39" i="1" l="1"/>
  <c r="V39" i="1" s="1"/>
  <c r="P39" i="1" l="1"/>
  <c r="U39" i="1" l="1"/>
  <c r="N40" i="1" s="1"/>
  <c r="X40" i="1" s="1"/>
  <c r="I39" i="1"/>
  <c r="Y40" i="1" l="1"/>
  <c r="J40" i="1" s="1"/>
  <c r="W40" i="1" l="1"/>
  <c r="Q40" i="1" s="1"/>
  <c r="P40" i="1" s="1"/>
  <c r="U40" i="1" s="1"/>
  <c r="N41" i="1" s="1"/>
  <c r="V40" i="1" l="1"/>
  <c r="X41" i="1" s="1"/>
  <c r="I40" i="1"/>
  <c r="Y41" i="1" l="1"/>
  <c r="W41" i="1" s="1"/>
  <c r="J41" i="1" l="1"/>
  <c r="Q41" i="1"/>
  <c r="P41" i="1" s="1"/>
  <c r="U41" i="1" s="1"/>
  <c r="N42" i="1" s="1"/>
  <c r="V41" i="1" l="1"/>
  <c r="X42" i="1" s="1"/>
  <c r="I41" i="1"/>
  <c r="Y42" i="1" l="1"/>
  <c r="J42" i="1" s="1"/>
  <c r="W42" i="1" l="1"/>
  <c r="Q42" i="1" l="1"/>
  <c r="P42" i="1" s="1"/>
  <c r="U42" i="1" s="1"/>
  <c r="N43" i="1" s="1"/>
  <c r="V42" i="1" l="1"/>
  <c r="X43" i="1" s="1"/>
  <c r="I42" i="1"/>
  <c r="Y43" i="1" l="1"/>
  <c r="J43" i="1" s="1"/>
  <c r="W43" i="1" l="1"/>
  <c r="Q43" i="1" l="1"/>
  <c r="P43" i="1" s="1"/>
  <c r="U43" i="1" s="1"/>
  <c r="N44" i="1" s="1"/>
  <c r="V43" i="1" l="1"/>
  <c r="X44" i="1" s="1"/>
  <c r="Y44" i="1" s="1"/>
  <c r="W44" i="1" s="1"/>
  <c r="I43" i="1"/>
  <c r="J44" i="1" l="1"/>
  <c r="Q44" i="1"/>
  <c r="P44" i="1" s="1"/>
  <c r="U44" i="1" s="1"/>
  <c r="N45" i="1" s="1"/>
  <c r="V44" i="1" l="1"/>
  <c r="X45" i="1" s="1"/>
  <c r="I44" i="1"/>
  <c r="Y45" i="1" l="1"/>
  <c r="W45" i="1" s="1"/>
  <c r="J45" i="1" l="1"/>
  <c r="Q45" i="1"/>
  <c r="P45" i="1" s="1"/>
  <c r="U45" i="1" s="1"/>
  <c r="N46" i="1" s="1"/>
  <c r="V45" i="1" l="1"/>
  <c r="X46" i="1" s="1"/>
  <c r="Y46" i="1" s="1"/>
  <c r="W46" i="1" s="1"/>
  <c r="I45" i="1"/>
  <c r="Q46" i="1" l="1"/>
  <c r="P46" i="1" s="1"/>
  <c r="U46" i="1" s="1"/>
  <c r="N47" i="1" s="1"/>
  <c r="J46" i="1"/>
  <c r="V46" i="1" l="1"/>
  <c r="X47" i="1" s="1"/>
  <c r="I46" i="1"/>
  <c r="Y47" i="1" l="1"/>
  <c r="W47" i="1" s="1"/>
  <c r="J47" i="1" l="1"/>
  <c r="Q47" i="1"/>
  <c r="V47" i="1" s="1"/>
  <c r="I47" i="1"/>
  <c r="P47" i="1" l="1"/>
  <c r="U47" i="1" s="1"/>
  <c r="N48" i="1" l="1"/>
  <c r="X48" i="1" s="1"/>
  <c r="Y48" i="1" l="1"/>
  <c r="W48" i="1" s="1"/>
  <c r="J48" i="1"/>
  <c r="AH7" i="1" s="1"/>
  <c r="Q48" i="1" l="1"/>
  <c r="I48" i="1"/>
  <c r="I11" i="1" s="1"/>
  <c r="V48" i="1"/>
  <c r="P48" i="1" l="1"/>
  <c r="U48" i="1" s="1"/>
  <c r="Z4" i="1"/>
  <c r="N49" i="1" l="1"/>
  <c r="Z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P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P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P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Q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P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<sst xmlns="http://schemas.openxmlformats.org/spreadsheetml/2006/main" count="123" uniqueCount="122">
  <si>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</si>
  <si>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</si>
  <si>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</si>
  <si>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</si>
  <si>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</si>
  <si>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</si>
  <si>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</si>
  <si>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</si>
  <si>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</si>
  <si>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</si>
  <si>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</si>
  <si>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</si>
  <si>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</si>
  <si>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</si>
  <si>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</si>
  <si>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</si>
  <si>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1ra Cuota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</si>
  <si>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</si>
  <si>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</si>
  <si>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</si>
  <si>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</si>
  <si>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</si>
  <si>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</si>
  <si>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</si>
  <si>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</si>
  <si>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</si>
  <si>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</si>
  <si>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</si>
  <si>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</si>
  <si>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</si>
  <si>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</si>
  <si>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</si>
  <si>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</si>
  <si>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</si>
  <si>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</si>
  <si>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</si>
  <si>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</si>
  <si>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</si>
  <si>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</si>
  <si>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</si>
  <si>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</si>
  <si>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</si>
  <si>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</si>
  <si>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</si>
  <si>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</si>
  <si>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</si>
  <si>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</si>
  <si>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</si>
  <si>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</si>
  <si>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</si>
  <si>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</si>
  <si>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</si>
  <si>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</si>
  <si>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</si>
  <si>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</si>
  <si>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</si>
  <si>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</si>
  <si>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</si>
  <si>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</si>
  <si>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</si>
  <si>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</si>
  <si>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</si>
  <si>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</si>
  <si>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</si>
  <si>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</si>
  <si>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</si>
  <si>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</si>
  <si>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</si>
  <si>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</si>
  <si>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</si>
  <si>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</si>
  <si>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</si>
  <si>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</si>
  <si>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</si>
  <si>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</si>
  <si>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</si>
  <si>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</si>
  <si>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</si>
  <si>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</si>
  <si>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</si>
  <si>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</si>
  <si>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</si>
  <si>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</si>
  <si>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</si>
  <si>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</si>
  <si>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</si>
  <si>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</si>
  <si>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</si>
  <si>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</si>
  <si>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</si>
  <si>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</si>
  <si>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</si>
  <si>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</si>
  <si>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</si>
  <si>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</si>
  <si>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</si>
  <si>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</si>
  <si>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</si>
  <si>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</si>
  <si>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</si>
  <si>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</si>
  <si>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</si>
  <si>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</si>
  <si>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</si>
  <si>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</si>
  <si>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</si>
  <si>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</si>
  <si>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</si>
  <si>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</si>
  <si>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</si>
  <si>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</si>
  <si>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PagoSinFijar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</si>
  <si>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</si>
  <si>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</si>
  <si>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</si>
  <si>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</si>
  <si>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</si>
  <si>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</si>
  <si>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</si>
  <si>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</si>
  <si>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v6.8</t>
  </si>
  <si>
    <t>Doble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</si>
</sst>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3">
    <cellStyle name="Millares" xfId="1" builtinId="3"/>
    <cellStyle name="Normal" xfId="0" builtinId="0"/>
    <cellStyle name="Porcentaje" xfId="2" builtinId="5"/>
  </cellStyles>
  <dxfs count="11">
    <dxf>
      <fill>
        <patternFill>
          <bgColor theme="6" tint="0.79998168889431442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550068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288131</xdr:colOff>
          <xdr:row>4</xdr:row>
          <xdr:rowOff>54768</xdr:rowOff>
        </xdr:from>
        <xdr:to>
          <xdr:col>17</xdr:col>
          <xdr:colOff>273843</xdr:colOff>
          <xdr:row>6</xdr:row>
          <xdr:rowOff>102393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4</xdr:col>
          <xdr:colOff>40481</xdr:colOff>
          <xdr:row>2</xdr:row>
          <xdr:rowOff>88107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123825</xdr:rowOff>
        </xdr:from>
        <xdr:to>
          <xdr:col>4</xdr:col>
          <xdr:colOff>21431</xdr:colOff>
          <xdr:row>4</xdr:row>
          <xdr:rowOff>28575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4</xdr:col>
          <xdr:colOff>40481</xdr:colOff>
          <xdr:row>5</xdr:row>
          <xdr:rowOff>123825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</xdr:row>
          <xdr:rowOff>161925</xdr:rowOff>
        </xdr:from>
        <xdr:to>
          <xdr:col>13</xdr:col>
          <xdr:colOff>981075</xdr:colOff>
          <xdr:row>7</xdr:row>
          <xdr:rowOff>19050</xdr:rowOff>
        </xdr:to>
        <xdr:sp macro="" textlink="">
          <xdr:nvSpPr>
            <xdr:cNvPr id="1042" name="cbUltimoDi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419099</xdr:colOff>
          <xdr:row>3</xdr:row>
          <xdr:rowOff>166688</xdr:rowOff>
        </xdr:from>
        <xdr:to>
          <xdr:col>23</xdr:col>
          <xdr:colOff>654842</xdr:colOff>
          <xdr:row>6</xdr:row>
          <xdr:rowOff>138113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F208"/>
  <sheetViews>
    <sheetView tabSelected="1" zoomScale="80" zoomScaleNormal="80" workbookViewId="0">
      <pane ySplit="10" topLeftCell="A11" activePane="bottomLeft" state="frozen"/>
      <selection pane="bottomLeft" activeCell="L4" sqref="L4"/>
    </sheetView>
  </sheetViews>
  <sheetFormatPr baseColWidth="10" defaultRowHeight="15" x14ac:dyDescent="0.25"/>
  <cols>
    <col min="1" max="1" width="13.28515625" customWidth="1"/>
    <col min="2" max="2" width="5.42578125" customWidth="1"/>
    <col min="3" max="3" width="11" style="20" customWidth="1"/>
    <col min="4" max="4" width="11.140625" style="20" customWidth="1"/>
    <col min="5" max="5" width="12.28515625" customWidth="1"/>
    <col min="6" max="6" width="6.28515625" hidden="1" customWidth="1"/>
    <col min="7" max="7" width="12.7109375" style="22" hidden="1" customWidth="1"/>
    <col min="8" max="10" width="9.28515625" style="22" hidden="1" customWidth="1"/>
    <col min="11" max="11" width="5.140625" customWidth="1"/>
    <col min="12" max="12" width="13.7109375" customWidth="1"/>
    <col min="13" max="13" width="17.140625" customWidth="1"/>
    <col min="14" max="14" width="15" customWidth="1"/>
    <col min="15" max="15" width="14" customWidth="1"/>
    <col min="16" max="16" width="14.28515625" customWidth="1"/>
    <col min="17" max="20" width="13.7109375" customWidth="1"/>
    <col min="21" max="21" width="19.28515625" customWidth="1"/>
    <col min="22" max="22" width="13.28515625" customWidth="1"/>
    <col min="23" max="23" width="15.5703125" hidden="1" customWidth="1"/>
    <col min="24" max="24" width="13.7109375" customWidth="1"/>
    <col min="25" max="25" width="13.5703125" customWidth="1"/>
    <col min="26" max="26" width="14.7109375" customWidth="1"/>
  </cols>
  <sheetData>
    <row r="1" spans="1:84" ht="16.5" customHeight="1" x14ac:dyDescent="0.25">
      <c r="A1" s="1">
        <v>1</v>
      </c>
      <c r="B1" s="1">
        <v>1</v>
      </c>
      <c r="C1" s="19" t="str">
        <f>CONCATENATE($M$1,$M$2,$O$1,$O$2,$Q$1,$Q$2,$S$1,$S$2,$U$1,$U$2,$X$1,$X$2)</f>
        <v>111111111111</v>
      </c>
      <c r="D1" s="19"/>
      <c r="E1" s="4"/>
      <c r="H1" s="21"/>
      <c r="I1" s="21"/>
      <c r="J1" s="21"/>
      <c r="K1" s="30" t="s">
        <v>121</v>
      </c>
      <c r="L1" s="2" t="s">
        <v>0</v>
      </c>
      <c r="M1" s="11">
        <v>1</v>
      </c>
      <c r="N1" s="2" t="s">
        <v>1</v>
      </c>
      <c r="O1" s="11">
        <v>1</v>
      </c>
      <c r="P1" s="2" t="s">
        <v>2</v>
      </c>
      <c r="Q1" s="11">
        <v>1</v>
      </c>
      <c r="R1" s="2" t="s">
        <v>3</v>
      </c>
      <c r="S1" s="11">
        <v>1</v>
      </c>
      <c r="T1" s="2" t="s">
        <v>4</v>
      </c>
      <c r="U1" s="11">
        <v>1</v>
      </c>
      <c r="V1" s="2" t="s">
        <v>5</v>
      </c>
      <c r="W1" s="2"/>
      <c r="X1" s="11">
        <v>1</v>
      </c>
      <c r="Z1" s="14">
        <v>1.388843</v>
      </c>
      <c r="AA1" s="27">
        <f>ROUND(($Z$1/100+1)^12-1,2)</f>
        <v>0.18</v>
      </c>
    </row>
    <row r="2" spans="1:84" ht="18" customHeight="1" x14ac:dyDescent="0.25">
      <c r="A2" t="s">
        <v>120</v>
      </c>
      <c r="K2" s="31"/>
      <c r="L2" s="2" t="s">
        <v>6</v>
      </c>
      <c r="M2" s="11">
        <v>1</v>
      </c>
      <c r="N2" s="2" t="s">
        <v>7</v>
      </c>
      <c r="O2" s="11">
        <v>1</v>
      </c>
      <c r="P2" s="2" t="s">
        <v>8</v>
      </c>
      <c r="Q2" s="11">
        <v>1</v>
      </c>
      <c r="R2" s="2" t="s">
        <v>9</v>
      </c>
      <c r="S2" s="11">
        <v>1</v>
      </c>
      <c r="T2" s="2" t="s">
        <v>10</v>
      </c>
      <c r="U2" s="11">
        <v>1</v>
      </c>
      <c r="V2" s="2" t="s">
        <v>11</v>
      </c>
      <c r="W2" s="2"/>
      <c r="X2" s="11">
        <v>1</v>
      </c>
    </row>
    <row r="3" spans="1:84" x14ac:dyDescent="0.25">
      <c r="Y3" s="17" t="s">
        <v>114</v>
      </c>
      <c r="Z3" s="3">
        <f>INDEX($O$12:$O1000,+NCUOTAS+CUOTAADICIONAL+PGRACIA)</f>
        <v>507.62999999999994</v>
      </c>
    </row>
    <row r="4" spans="1:84" x14ac:dyDescent="0.25">
      <c r="Y4" s="17" t="s">
        <v>37</v>
      </c>
      <c r="Z4" s="3">
        <f>SUM($Q$12:$Q1000)</f>
        <v>3069.23</v>
      </c>
      <c r="AB4" s="25" t="s">
        <v>106</v>
      </c>
    </row>
    <row r="5" spans="1:84" x14ac:dyDescent="0.25">
      <c r="N5" s="5"/>
      <c r="O5" t="s">
        <v>13</v>
      </c>
      <c r="P5" s="8">
        <v>507.75999999999993</v>
      </c>
      <c r="S5" t="s">
        <v>40</v>
      </c>
      <c r="T5" s="16">
        <v>0.1285</v>
      </c>
      <c r="U5" s="18">
        <f>ROUND(((1+$T$5)^(1/12)-1)*100,6)</f>
        <v>1.012502</v>
      </c>
      <c r="Y5" s="17" t="s">
        <v>61</v>
      </c>
      <c r="Z5" s="3">
        <f>SUM($O$12:$O1000)</f>
        <v>18279.23</v>
      </c>
    </row>
    <row r="6" spans="1:84" x14ac:dyDescent="0.25">
      <c r="G6" s="5"/>
      <c r="L6" t="s">
        <v>12</v>
      </c>
      <c r="M6" s="12">
        <v>43889</v>
      </c>
      <c r="N6" s="23"/>
      <c r="O6" t="s">
        <v>17</v>
      </c>
      <c r="P6" s="14">
        <v>36</v>
      </c>
      <c r="S6" t="s">
        <v>35</v>
      </c>
      <c r="T6" s="15">
        <v>0</v>
      </c>
      <c r="U6" s="3">
        <f>SUM($R$12:$R1000)</f>
        <v>0</v>
      </c>
      <c r="W6" s="3"/>
      <c r="Y6" s="17" t="s">
        <v>39</v>
      </c>
      <c r="Z6">
        <f>DAY($M$7)</f>
        <v>30</v>
      </c>
      <c r="AB6" s="29" t="s">
        <v>107</v>
      </c>
      <c r="AC6" s="29"/>
      <c r="AH6" t="str">
        <f>IF(COUNTA($K$12:$K1000)&lt;$P$6,"Falta Extender la formula hacia abajo","OK")</f>
        <v>OK</v>
      </c>
    </row>
    <row r="7" spans="1:84" x14ac:dyDescent="0.25">
      <c r="L7" t="s">
        <v>16</v>
      </c>
      <c r="M7" s="12">
        <v>43920</v>
      </c>
      <c r="O7" s="3" t="s">
        <v>113</v>
      </c>
      <c r="P7" s="14">
        <v>0</v>
      </c>
      <c r="S7" t="s">
        <v>36</v>
      </c>
      <c r="T7" s="15">
        <v>0</v>
      </c>
      <c r="U7" s="3">
        <f>SUM($S$12:$S1000)</f>
        <v>0</v>
      </c>
      <c r="W7" s="8"/>
      <c r="Y7" s="17" t="s">
        <v>15</v>
      </c>
      <c r="Z7" s="3">
        <f>ROUND(INDEX($U$12:$U1000,+NCUOTAS+CUOTAADICIONAL+PGRACIA),2)</f>
        <v>0</v>
      </c>
      <c r="AB7" s="26" t="s">
        <v>108</v>
      </c>
      <c r="AC7" s="26"/>
      <c r="AH7" t="str">
        <f>IF(SUM($J$12:$J1000)&gt;0,"Falta Extender la formula hacia la derecha","OK")</f>
        <v>OK</v>
      </c>
    </row>
    <row r="8" spans="1:84" x14ac:dyDescent="0.25">
      <c r="L8" t="s">
        <v>19</v>
      </c>
      <c r="M8" s="13">
        <v>15210</v>
      </c>
      <c r="O8" t="s">
        <v>117</v>
      </c>
      <c r="P8">
        <f>SUM($B$12:$B1048576)</f>
        <v>0</v>
      </c>
      <c r="Q8">
        <f>SUM(P6:P8)</f>
        <v>36</v>
      </c>
      <c r="S8" t="s">
        <v>34</v>
      </c>
      <c r="T8" s="15">
        <v>0</v>
      </c>
      <c r="U8" s="3">
        <f>SUM($T$12:$T1000)</f>
        <v>0</v>
      </c>
      <c r="W8" s="3"/>
      <c r="Y8" s="17" t="s">
        <v>105</v>
      </c>
      <c r="Z8" s="8">
        <v>0.13</v>
      </c>
    </row>
    <row r="9" spans="1:84" x14ac:dyDescent="0.25">
      <c r="L9" s="5"/>
      <c r="M9" s="6"/>
      <c r="O9" s="3" t="s">
        <v>116</v>
      </c>
      <c r="P9">
        <f>COUNTIF($A$12:$A1048576,"Prepago")</f>
        <v>0</v>
      </c>
    </row>
    <row r="10" spans="1:84" x14ac:dyDescent="0.25">
      <c r="A10" t="s">
        <v>100</v>
      </c>
      <c r="B10" t="s">
        <v>112</v>
      </c>
      <c r="C10" s="24" t="s">
        <v>99</v>
      </c>
      <c r="D10" s="24" t="s">
        <v>119</v>
      </c>
      <c r="E10" t="s">
        <v>110</v>
      </c>
      <c r="F10" t="s">
        <v>115</v>
      </c>
      <c r="G10" s="22" t="s">
        <v>118</v>
      </c>
      <c r="H10" s="22" t="s">
        <v>104</v>
      </c>
      <c r="I10" s="22" t="s">
        <v>111</v>
      </c>
      <c r="J10" s="22" t="s">
        <v>109</v>
      </c>
      <c r="K10" t="s">
        <v>21</v>
      </c>
      <c r="L10" t="s">
        <v>22</v>
      </c>
      <c r="M10" t="s">
        <v>23</v>
      </c>
      <c r="N10" t="s">
        <v>24</v>
      </c>
      <c r="O10" t="s">
        <v>21</v>
      </c>
      <c r="P10" t="s">
        <v>25</v>
      </c>
      <c r="Q10" t="s">
        <v>26</v>
      </c>
      <c r="R10" t="s">
        <v>14</v>
      </c>
      <c r="S10" t="s">
        <v>18</v>
      </c>
      <c r="T10" t="s">
        <v>20</v>
      </c>
      <c r="U10" t="s">
        <v>27</v>
      </c>
      <c r="V10" t="s">
        <v>28</v>
      </c>
      <c r="W10" t="s">
        <v>41</v>
      </c>
      <c r="X10" t="s">
        <v>29</v>
      </c>
      <c r="Y10" t="s">
        <v>30</v>
      </c>
      <c r="Z10" t="s">
        <v>31</v>
      </c>
      <c r="AA10" t="s">
        <v>32</v>
      </c>
      <c r="AB10" t="s">
        <v>33</v>
      </c>
      <c r="AC10" t="s">
        <v>38</v>
      </c>
      <c r="AD10" t="s">
        <v>43</v>
      </c>
      <c r="AE10" t="s">
        <v>44</v>
      </c>
      <c r="AF10" t="s">
        <v>45</v>
      </c>
      <c r="AG10" t="s">
        <v>46</v>
      </c>
      <c r="AH10" t="s">
        <v>47</v>
      </c>
      <c r="AI10" t="s">
        <v>48</v>
      </c>
      <c r="AJ10" t="s">
        <v>49</v>
      </c>
      <c r="AK10" t="s">
        <v>50</v>
      </c>
      <c r="AL10" t="s">
        <v>51</v>
      </c>
      <c r="AM10" t="s">
        <v>52</v>
      </c>
      <c r="AN10" t="s">
        <v>53</v>
      </c>
      <c r="AO10" t="s">
        <v>54</v>
      </c>
      <c r="AP10" t="s">
        <v>55</v>
      </c>
      <c r="AQ10" t="s">
        <v>56</v>
      </c>
      <c r="AR10" t="s">
        <v>57</v>
      </c>
      <c r="AS10" t="s">
        <v>58</v>
      </c>
      <c r="AT10" t="s">
        <v>59</v>
      </c>
      <c r="AU10" t="s">
        <v>60</v>
      </c>
      <c r="AV10" t="s">
        <v>62</v>
      </c>
      <c r="AW10" t="s">
        <v>63</v>
      </c>
      <c r="AX10" t="s">
        <v>64</v>
      </c>
      <c r="AY10" t="s">
        <v>65</v>
      </c>
      <c r="AZ10" t="s">
        <v>66</v>
      </c>
      <c r="BA10" t="s">
        <v>67</v>
      </c>
      <c r="BB10" t="s">
        <v>68</v>
      </c>
      <c r="BC10" t="s">
        <v>69</v>
      </c>
      <c r="BD10" t="s">
        <v>70</v>
      </c>
      <c r="BE10" t="s">
        <v>71</v>
      </c>
      <c r="BF10" t="s">
        <v>72</v>
      </c>
      <c r="BG10" t="s">
        <v>73</v>
      </c>
      <c r="BH10" t="s">
        <v>74</v>
      </c>
      <c r="BI10" t="s">
        <v>75</v>
      </c>
      <c r="BJ10" t="s">
        <v>76</v>
      </c>
      <c r="BK10" t="s">
        <v>77</v>
      </c>
      <c r="BL10" t="s">
        <v>78</v>
      </c>
      <c r="BM10" t="s">
        <v>79</v>
      </c>
      <c r="BN10" t="s">
        <v>80</v>
      </c>
      <c r="BO10" t="s">
        <v>81</v>
      </c>
      <c r="BP10" t="s">
        <v>82</v>
      </c>
      <c r="BQ10" t="s">
        <v>83</v>
      </c>
      <c r="BR10" t="s">
        <v>84</v>
      </c>
      <c r="BS10" t="s">
        <v>85</v>
      </c>
      <c r="BT10" t="s">
        <v>86</v>
      </c>
      <c r="BU10" t="s">
        <v>87</v>
      </c>
      <c r="BV10" t="s">
        <v>88</v>
      </c>
      <c r="BW10" t="s">
        <v>89</v>
      </c>
      <c r="BX10" t="s">
        <v>90</v>
      </c>
      <c r="BY10" t="s">
        <v>91</v>
      </c>
      <c r="BZ10" t="s">
        <v>92</v>
      </c>
      <c r="CA10" t="s">
        <v>93</v>
      </c>
      <c r="CB10" t="s">
        <v>94</v>
      </c>
      <c r="CC10" t="s">
        <v>95</v>
      </c>
      <c r="CD10" t="s">
        <v>96</v>
      </c>
      <c r="CE10" t="s">
        <v>97</v>
      </c>
      <c r="CF10" t="s">
        <v>98</v>
      </c>
    </row>
    <row r="11" spans="1:84" x14ac:dyDescent="0.25">
      <c r="A11" s="28"/>
      <c r="B11" s="28"/>
      <c r="C11" s="28">
        <f>COUNTA($C$12:$C1000)</f>
        <v>0</v>
      </c>
      <c r="D11" s="28"/>
      <c r="E11" s="28"/>
      <c r="G11" s="22">
        <f>MONTH(M6)</f>
        <v>2</v>
      </c>
      <c r="H11" s="22">
        <v>0</v>
      </c>
      <c r="I11" s="22">
        <f>SUM($I$12:$I208)</f>
        <v>3069.23</v>
      </c>
      <c r="K11">
        <v>0</v>
      </c>
      <c r="L11" s="7">
        <f>$M$6</f>
        <v>43889</v>
      </c>
      <c r="U11" s="8">
        <f>$M$8</f>
        <v>15210</v>
      </c>
      <c r="X11">
        <v>30</v>
      </c>
      <c r="Y11">
        <v>60</v>
      </c>
      <c r="Z11">
        <v>90</v>
      </c>
      <c r="AA11">
        <v>120</v>
      </c>
      <c r="AB11">
        <v>150</v>
      </c>
      <c r="AC11">
        <v>180</v>
      </c>
      <c r="AD11">
        <v>210</v>
      </c>
      <c r="AE11">
        <v>240</v>
      </c>
      <c r="AF11">
        <v>270</v>
      </c>
      <c r="AG11">
        <v>300</v>
      </c>
      <c r="AH11">
        <v>330</v>
      </c>
      <c r="AI11">
        <v>360</v>
      </c>
      <c r="AJ11">
        <v>390</v>
      </c>
      <c r="AK11">
        <v>420</v>
      </c>
      <c r="AL11">
        <v>450</v>
      </c>
      <c r="AM11">
        <v>480</v>
      </c>
      <c r="AN11">
        <v>510</v>
      </c>
      <c r="AO11">
        <v>540</v>
      </c>
      <c r="AP11">
        <v>570</v>
      </c>
      <c r="AQ11">
        <v>600</v>
      </c>
      <c r="AR11">
        <v>630</v>
      </c>
      <c r="AS11">
        <v>660</v>
      </c>
      <c r="AT11">
        <v>690</v>
      </c>
      <c r="AU11">
        <v>720</v>
      </c>
      <c r="AV11">
        <v>750</v>
      </c>
      <c r="AW11">
        <v>780</v>
      </c>
      <c r="AX11">
        <v>810</v>
      </c>
      <c r="AY11">
        <v>840</v>
      </c>
      <c r="AZ11">
        <v>870</v>
      </c>
      <c r="BA11">
        <v>900</v>
      </c>
      <c r="BB11">
        <v>930</v>
      </c>
      <c r="BC11">
        <v>960</v>
      </c>
      <c r="BD11">
        <v>990</v>
      </c>
      <c r="BE11">
        <v>1020</v>
      </c>
      <c r="BF11">
        <v>1050</v>
      </c>
      <c r="BG11">
        <v>1080</v>
      </c>
      <c r="BH11">
        <v>1110</v>
      </c>
      <c r="BI11">
        <v>1140</v>
      </c>
      <c r="BJ11">
        <v>1170</v>
      </c>
      <c r="BK11">
        <v>1200</v>
      </c>
      <c r="BL11">
        <v>1230</v>
      </c>
      <c r="BM11">
        <v>1260</v>
      </c>
      <c r="BN11">
        <v>1290</v>
      </c>
      <c r="BO11">
        <v>1320</v>
      </c>
      <c r="BP11">
        <v>1350</v>
      </c>
      <c r="BQ11">
        <v>1380</v>
      </c>
      <c r="BR11">
        <v>1410</v>
      </c>
      <c r="BS11">
        <v>1440</v>
      </c>
      <c r="BT11">
        <v>1470</v>
      </c>
      <c r="BU11">
        <v>1500</v>
      </c>
      <c r="BV11">
        <v>1530</v>
      </c>
      <c r="BW11">
        <v>1560</v>
      </c>
      <c r="BX11">
        <v>1590</v>
      </c>
      <c r="BY11">
        <v>1620</v>
      </c>
      <c r="BZ11">
        <v>1650</v>
      </c>
      <c r="CA11">
        <v>1680</v>
      </c>
      <c r="CB11">
        <v>1710</v>
      </c>
      <c r="CC11">
        <v>1740</v>
      </c>
      <c r="CD11">
        <v>1770</v>
      </c>
      <c r="CE11">
        <v>1800</v>
      </c>
      <c r="CF11">
        <v>1830</v>
      </c>
    </row>
    <row r="12" spans="1:84" x14ac:dyDescent="0.25">
      <c r="E12" s="5"/>
      <c r="F12" t="str">
        <f t="shared" ref="F12:F43" si="0">IF($K12&lt;&gt;"",TEXT(L12,"DDD"),"")</f>
        <v>lu</v>
      </c>
      <c r="G12" s="5">
        <f>IF($K12&lt;&gt;"",IF(DAY(EOMONTH(DATE(YEAR($M$6),$G$11+K12+SUM($B$12:B12),1),0))&gt;DAY($M$7),DATE(YEAR($M$7),MONTH($M$7)+($A$1*($H12-1))+SUM($B$12:$B12),DAY($M$7)),EOMONTH(DATE(YEAR($M$6),$G$11+K12+SUM($B$12:B12),1),0)),"")</f>
        <v>43920</v>
      </c>
      <c r="H12" s="22">
        <f t="shared" ref="H12:H43" si="1">IF($K12&lt;&gt;"",IF($A12="Prepago",$H11,$H11+1),"")</f>
        <v>1</v>
      </c>
      <c r="I12" s="22">
        <f t="shared" ref="I12:I43" si="2">IF($K12&lt;&gt;"",IF(ISNUMBER($C12),-$P12+$W12-$Q12,ABS($W12)+$R12+$S12+$T12),"")</f>
        <v>159.09</v>
      </c>
      <c r="J12" s="22">
        <f t="shared" ref="J12:J43" si="3">IF(K12&lt;&gt;"",IF(COUNTA($X12:$XFD12)*30&lt;$M12,1,0),"")</f>
        <v>0</v>
      </c>
      <c r="K12">
        <f t="shared" ref="K12:K43" si="4">IF($K11&lt;NCUOTAS+CUOTAADICIONAL+PGRACIA,$K11+1,"")</f>
        <v>1</v>
      </c>
      <c r="L12" s="5">
        <f>IF($K12&lt;&gt;"",IF($E12="",IF(ULTIMODIA=0,DATE(YEAR($M$7),MONTH($M$7)+($A$1*($H12-1))+SUM($B$12:$B12),DAY($M$7)),$G12),$E12),"")</f>
        <v>43920</v>
      </c>
      <c r="M12" s="9">
        <f t="shared" ref="M12:M43" si="5">IF($K12&lt;&gt;"",$L12-$L11,"")</f>
        <v>31</v>
      </c>
      <c r="N12" s="3">
        <f t="shared" ref="N12:N43" si="6">IF($K12&lt;&gt;"",$U11,"")</f>
        <v>15210</v>
      </c>
      <c r="O12" s="3">
        <f t="shared" ref="O12:O43" si="7">IF($K12&lt;&gt;"",IF($A12="Gracia Parcial",IF(AND($C12&lt;$W12+$R12+$S12+$T12+$V11,$C12&gt;0),$C12,$W12+$R12+$S12+$T12+$V11),IF($A12="Gracia Total",0,IF($A12="Prepago",$C12,IF(ISNUMBER($C12),$C12*VALUE(MID($C$1,MONTH($L12),1)),$P$5*VALUE(MID($C$1,MONTH($L12),1))))))-IF($K13="",ARREGLO,0),"")</f>
        <v>507.75999999999993</v>
      </c>
      <c r="P12" s="3">
        <f t="shared" ref="P12:P43" si="8">IF($K12&lt;&gt;"",IF($O12-$Q12&gt;0,$O12-$Q12-$R12-$S12-$T12,0),"")</f>
        <v>348.66999999999996</v>
      </c>
      <c r="Q12" s="3">
        <f t="shared" ref="Q12:Q43" si="9">IF($K12&lt;&gt;"",IF($O12&gt;=IF($D12="",$W12,$D12)+$V11+$R12+$S12+$T12,IF($D12="",$W12,$D12)+$V11,$O12-$R12-$S12-$T12),"")</f>
        <v>159.09</v>
      </c>
      <c r="R12" s="3">
        <f>IF($K12&lt;&gt;"",IF($A12="Prepago",0,IF(ROUND(($H12+SUM($B$12:$B12))*$T$6,2)&gt;ROUND(SUM($R$11:$R11)+$T$6,2),$T$6*2,$T$6)),"")</f>
        <v>0</v>
      </c>
      <c r="S12" s="3">
        <f>IF($K12&lt;&gt;"",IF($A12="Prepago",0,IF(ROUND(($H12+SUM($B$12:$B12))*$T$7,2)&gt;ROUND(SUM($S$11:$S11)+$T$7,2),$T$7*2,$T$7)),"")</f>
        <v>0</v>
      </c>
      <c r="T12" s="3">
        <f>IF($K12&lt;&gt;"",IF($A12="Prepago",0,IF(ROUND(($H12+SUM($B$12:$B12))*$T$8,2)&gt;ROUND(SUM($T$11:$T11)+$T$8,2),$T$8*2,$T$8)),"")</f>
        <v>0</v>
      </c>
      <c r="U12" s="3">
        <f t="shared" ref="U12:U43" si="10">IF($K12&lt;&gt;"",$N12-$P12,"")</f>
        <v>14861.33</v>
      </c>
      <c r="V12" s="3">
        <f>IF($K12&lt;&gt;"",+$V11+IF($D12="",$W12,$D12)-$Q12,"")</f>
        <v>0</v>
      </c>
      <c r="W12" s="3">
        <f t="shared" ref="W12:W43" si="11">IF($K12&lt;&gt;"",SUM($X12:$XFD12),"")</f>
        <v>159.09</v>
      </c>
      <c r="X12" s="3">
        <f>IF($K12&lt;&gt;"",IF($M12&gt;X$11,30,$M12)*ROUND(($N12+$V11)*$U$5/3000,2),"")</f>
        <v>153.9</v>
      </c>
      <c r="Y12" s="3">
        <f>IF($K12&lt;&gt;"",IF($M12&gt;X$11,IF($M12&lt;Y$11,$M12-X$11,30),0)*ROUND(($N12+$V11+SUM($X12:X12))*$U$5/3000,2),"")</f>
        <v>5.19</v>
      </c>
      <c r="Z12" s="3">
        <f>IF($K12&lt;&gt;"",IF($M12&gt;Y$11,IF($M12&lt;Z$11,$M12-Y$11,30),0)*ROUND(($N12+$V11+SUM($X12:Y12))*$U$5/3000,2),"")</f>
        <v>0</v>
      </c>
      <c r="AA12" s="3">
        <f>IF($K12&lt;&gt;"",IF($M12&gt;Z$11,IF($M12&lt;AA$11,$M12-Z$11,30),0)*ROUND(($N12+$V11+SUM($X12:Z12))*$U$5/3000,2),"")</f>
        <v>0</v>
      </c>
      <c r="AB12" s="3">
        <f>IF($K12&lt;&gt;"",IF($M12&gt;AA$11,IF($M12&lt;AB$11,$M12-AA$11,30),0)*ROUND(($N12+$V11+SUM($X12:AA12))*$U$5/3000,2),"")</f>
        <v>0</v>
      </c>
      <c r="AC12" s="3">
        <f>IF($K12&lt;&gt;"",IF($M12&gt;AB$11,IF($M12&lt;AC$11,$M12-AB$11,30),0)*ROUND(($N12+$V11+SUM($X12:AB12))*$U$5/3000,2),"")</f>
        <v>0</v>
      </c>
      <c r="AD12" s="3">
        <f>IF($K12&lt;&gt;"",IF($M12&gt;AC$11,IF($M12&lt;AD$11,$M12-AC$11,30),0)*ROUND(($N12+$V11+SUM($X12:AC12))*$U$5/3000,2),"")</f>
        <v>0</v>
      </c>
      <c r="AE12" s="3">
        <f>IF($K12&lt;&gt;"",IF($M12&gt;AD$11,IF($M12&lt;AE$11,$M12-AD$11,30),0)*ROUND(($N12+$V11+SUM($X12:AD12))*$U$5/3000,2),"")</f>
        <v>0</v>
      </c>
      <c r="AF12" s="3">
        <f>IF($K12&lt;&gt;"",IF($M12&gt;AE$11,IF($M12&lt;AF$11,$M12-AE$11,30),0)*ROUND(($N12+$V11+SUM($X12:AE12))*$U$5/3000,2),"")</f>
        <v>0</v>
      </c>
      <c r="AG12" s="3">
        <f>IF($K12&lt;&gt;"",IF($M12&gt;AF$11,IF($M12&lt;AG$11,$M12-AF$11,30),0)*ROUND(($N12+$V11+SUM($X12:AF12))*$U$5/3000,2),"")</f>
        <v>0</v>
      </c>
      <c r="AH12" s="3">
        <f>IF($K12&lt;&gt;"",IF($M12&gt;AG$11,IF($M12&lt;AH$11,$M12-AG$11,30),0)*ROUND(($N12+$V11+SUM($X12:AG12))*$U$5/3000,2),"")</f>
        <v>0</v>
      </c>
      <c r="AI12" s="3">
        <f>IF($K12&lt;&gt;"",IF($M12&gt;AH$11,IF($M12&lt;AI$11,$M12-AH$11,30),0)*ROUND(($N12+$V11+SUM($X12:AH12))*$U$5/3000,2),"")</f>
        <v>0</v>
      </c>
      <c r="AJ12" s="3">
        <f>IF($K12&lt;&gt;"",IF($M12&gt;AI$11,IF($M12&lt;AJ$11,$M12-AI$11,30),0)*ROUND(($N12+$V11+SUM($X12:AI12))*$U$5/3000,2),"")</f>
        <v>0</v>
      </c>
      <c r="AK12" s="3">
        <f>IF($K12&lt;&gt;"",IF($M12&gt;AJ$11,IF($M12&lt;AK$11,$M12-AJ$11,30),0)*ROUND(($N12+$V11+SUM($X12:AJ12))*$U$5/3000,2),"")</f>
        <v>0</v>
      </c>
      <c r="AL12" s="3">
        <f>IF($K12&lt;&gt;"",IF($M12&gt;AK$11,IF($M12&lt;AL$11,$M12-AK$11,30),0)*ROUND(($N12+$V11+SUM($X12:AK12))*$U$5/3000,2),"")</f>
        <v>0</v>
      </c>
      <c r="AM12" s="3">
        <f>IF($K12&lt;&gt;"",IF($M12&gt;AL$11,IF($M12&lt;AM$11,$M12-AL$11,30),0)*ROUND(($N12+$V11+SUM($X12:AL12))*$U$5/3000,2),"")</f>
        <v>0</v>
      </c>
      <c r="AN12" s="3">
        <f>IF($K12&lt;&gt;"",IF($M12&gt;AM$11,IF($M12&lt;AN$11,$M12-AM$11,30),0)*ROUND(($N12+$V11+SUM($X12:AM12))*$U$5/3000,2),"")</f>
        <v>0</v>
      </c>
      <c r="AO12" s="3">
        <f>IF($K12&lt;&gt;"",IF($M12&gt;AN$11,IF($M12&lt;AO$11,$M12-AN$11,30),0)*ROUND(($N12+$V11+SUM($X12:AN12))*$U$5/3000,2),"")</f>
        <v>0</v>
      </c>
      <c r="AP12" s="3">
        <f>IF($K12&lt;&gt;"",IF($M12&gt;AO$11,IF($M12&lt;AP$11,$M12-AO$11,30),0)*ROUND(($N12+$V11+SUM($X12:AO12))*$U$5/3000,2),"")</f>
        <v>0</v>
      </c>
      <c r="AQ12" s="3">
        <f>IF($K12&lt;&gt;"",IF($M12&gt;AP$11,IF($M12&lt;AQ$11,$M12-AP$11,30),0)*ROUND(($N12+$V11+SUM($X12:AP12))*$U$5/3000,2),"")</f>
        <v>0</v>
      </c>
      <c r="AR12" s="3">
        <f>IF($K12&lt;&gt;"",IF($M12&gt;AQ$11,IF($M12&lt;AR$11,$M12-AQ$11,30),0)*ROUND(($N12+$V11+SUM($X12:AQ12))*$U$5/3000,2),"")</f>
        <v>0</v>
      </c>
      <c r="AS12" s="3">
        <f>IF($K12&lt;&gt;"",IF($M12&gt;AR$11,IF($M12&lt;AS$11,$M12-AR$11,30),0)*ROUND(($N12+$V11+SUM($X12:AR12))*$U$5/3000,2),"")</f>
        <v>0</v>
      </c>
      <c r="AT12" s="3">
        <f>IF($K12&lt;&gt;"",IF($M12&gt;AS$11,IF($M12&lt;AT$11,$M12-AS$11,30),0)*ROUND(($N12+$V11+SUM($X12:AS12))*$U$5/3000,2),"")</f>
        <v>0</v>
      </c>
      <c r="AU12" s="3">
        <f>IF($K12&lt;&gt;"",IF($M12&gt;AT$11,IF($M12&lt;AU$11,$M12-AT$11,30),0)*ROUND(($N12+$V11+SUM($X12:AT12))*$U$5/3000,2),"")</f>
        <v>0</v>
      </c>
      <c r="AV12" s="3">
        <f>IF($K12&lt;&gt;"",IF($M12&gt;AU$11,IF($M12&lt;AV$11,$M12-AU$11,30),0)*ROUND(($N12+$V11+SUM($X12:AU12))*$U$5/3000,2),"")</f>
        <v>0</v>
      </c>
      <c r="AW12" s="3">
        <f>IF($K12&lt;&gt;"",IF($M12&gt;AV$11,IF($M12&lt;AW$11,$M12-AV$11,30),0)*ROUND(($N12+$V11+SUM($X12:AV12))*$U$5/3000,2),"")</f>
        <v>0</v>
      </c>
      <c r="AX12" s="3">
        <f>IF($K12&lt;&gt;"",IF($M12&gt;AW$11,IF($M12&lt;AX$11,$M12-AW$11,30),0)*ROUND(($N12+$V11+SUM($X12:AW12))*$U$5/3000,2),"")</f>
        <v>0</v>
      </c>
      <c r="AY12" s="3">
        <f>IF($K12&lt;&gt;"",IF($M12&gt;AX$11,IF($M12&lt;AY$11,$M12-AX$11,30),0)*ROUND(($N12+$V11+SUM($X12:AX12))*$U$5/3000,2),"")</f>
        <v>0</v>
      </c>
      <c r="AZ12" s="3">
        <f>IF($K12&lt;&gt;"",IF($M12&gt;AY$11,IF($M12&lt;AZ$11,$M12-AY$11,30),0)*ROUND(($N12+$V11+SUM($X12:AY12))*$U$5/3000,2),"")</f>
        <v>0</v>
      </c>
      <c r="BA12" s="3">
        <f>IF($K12&lt;&gt;"",IF($M12&gt;AZ$11,IF($M12&lt;BA$11,$M12-AZ$11,30),0)*ROUND(($N12+$V11+SUM($X12:AZ12))*$U$5/3000,2),"")</f>
        <v>0</v>
      </c>
      <c r="BB12" s="3">
        <f>IF($K12&lt;&gt;"",IF($M12&gt;BA$11,IF($M12&lt;BB$11,$M12-BA$11,30),0)*ROUND(($N12+$V11+SUM($X12:BA12))*$U$5/3000,2),"")</f>
        <v>0</v>
      </c>
      <c r="BC12" s="3">
        <f>IF($K12&lt;&gt;"",IF($M12&gt;BB$11,IF($M12&lt;BC$11,$M12-BB$11,30),0)*ROUND(($N12+$V11+SUM($X12:BB12))*$U$5/3000,2),"")</f>
        <v>0</v>
      </c>
      <c r="BD12" s="3">
        <f>IF($K12&lt;&gt;"",IF($M12&gt;BC$11,IF($M12&lt;BD$11,$M12-BC$11,30),0)*ROUND(($N12+$V11+SUM($X12:BC12))*$U$5/3000,2),"")</f>
        <v>0</v>
      </c>
      <c r="BE12" s="3">
        <f>IF($K12&lt;&gt;"",IF($M12&gt;BD$11,IF($M12&lt;BE$11,$M12-BD$11,30),0)*ROUND(($N12+$V11+SUM($X12:BD12))*$U$5/3000,2),"")</f>
        <v>0</v>
      </c>
      <c r="BF12" s="3">
        <f>IF($K12&lt;&gt;"",IF($M12&gt;BE$11,IF($M12&lt;BF$11,$M12-BE$11,30),0)*ROUND(($N12+$V11+SUM($X12:BE12))*$U$5/3000,2),"")</f>
        <v>0</v>
      </c>
      <c r="BG12" s="3">
        <f>IF($K12&lt;&gt;"",IF($M12&gt;BF$11,IF($M12&lt;BG$11,$M12-BF$11,30),0)*ROUND(($N12+$V11+SUM($X12:BF12))*$U$5/3000,2),"")</f>
        <v>0</v>
      </c>
      <c r="BH12" s="3">
        <f>IF($K12&lt;&gt;"",IF($M12&gt;BG$11,IF($M12&lt;BH$11,$M12-BG$11,30),0)*ROUND(($N12+$V11+SUM($X12:BG12))*$U$5/3000,2),"")</f>
        <v>0</v>
      </c>
      <c r="BI12" s="3">
        <f>IF($K12&lt;&gt;"",IF($M12&gt;BH$11,IF($M12&lt;BI$11,$M12-BH$11,30),0)*ROUND(($N12+$V11+SUM($X12:BH12))*$U$5/3000,2),"")</f>
        <v>0</v>
      </c>
      <c r="BJ12" s="3">
        <f>IF($K12&lt;&gt;"",IF($M12&gt;BI$11,IF($M12&lt;BJ$11,$M12-BI$11,30),0)*ROUND(($N12+$V11+SUM($X12:BI12))*$U$5/3000,2),"")</f>
        <v>0</v>
      </c>
      <c r="BK12" s="3">
        <f>IF($K12&lt;&gt;"",IF($M12&gt;BJ$11,IF($M12&lt;BK$11,$M12-BJ$11,30),0)*ROUND(($N12+$V11+SUM($X12:BJ12))*$U$5/3000,2),"")</f>
        <v>0</v>
      </c>
      <c r="BL12" s="3">
        <f>IF($K12&lt;&gt;"",IF($M12&gt;BK$11,IF($M12&lt;BL$11,$M12-BK$11,30),0)*ROUND(($N12+$V11+SUM($X12:BK12))*$U$5/3000,2),"")</f>
        <v>0</v>
      </c>
      <c r="BM12" s="3">
        <f>IF($K12&lt;&gt;"",IF($M12&gt;BL$11,IF($M12&lt;BM$11,$M12-BL$11,30),0)*ROUND(($N12+$V11+SUM($X12:BL12))*$U$5/3000,2),"")</f>
        <v>0</v>
      </c>
      <c r="BN12" s="3">
        <f>IF($K12&lt;&gt;"",IF($M12&gt;BM$11,IF($M12&lt;BN$11,$M12-BM$11,30),0)*ROUND(($N12+$V11+SUM($X12:BM12))*$U$5/3000,2),"")</f>
        <v>0</v>
      </c>
      <c r="BO12" s="3">
        <f>IF($K12&lt;&gt;"",IF($M12&gt;BN$11,IF($M12&lt;BO$11,$M12-BN$11,30),0)*ROUND(($N12+$V11+SUM($X12:BN12))*$U$5/3000,2),"")</f>
        <v>0</v>
      </c>
      <c r="BP12" s="3">
        <f>IF($K12&lt;&gt;"",IF($M12&gt;BO$11,IF($M12&lt;BP$11,$M12-BO$11,30),0)*ROUND(($N12+$V11+SUM($X12:BO12))*$U$5/3000,2),"")</f>
        <v>0</v>
      </c>
      <c r="BQ12" s="3">
        <f>IF($K12&lt;&gt;"",IF($M12&gt;BP$11,IF($M12&lt;BQ$11,$M12-BP$11,30),0)*ROUND(($N12+$V11+SUM($X12:BP12))*$U$5/3000,2),"")</f>
        <v>0</v>
      </c>
      <c r="BR12" s="3">
        <f>IF($K12&lt;&gt;"",IF($M12&gt;BQ$11,IF($M12&lt;BR$11,$M12-BQ$11,30),0)*ROUND(($N12+$V11+SUM($X12:BQ12))*$U$5/3000,2),"")</f>
        <v>0</v>
      </c>
      <c r="BS12" s="3">
        <f>IF($K12&lt;&gt;"",IF($M12&gt;BR$11,IF($M12&lt;BS$11,$M12-BR$11,30),0)*ROUND(($N12+$V11+SUM($X12:BR12))*$U$5/3000,2),"")</f>
        <v>0</v>
      </c>
      <c r="BT12" s="3">
        <f>IF($K12&lt;&gt;"",IF($M12&gt;BS$11,IF($M12&lt;BT$11,$M12-BS$11,30),0)*ROUND(($N12+$V11+SUM($X12:BS12))*$U$5/3000,2),"")</f>
        <v>0</v>
      </c>
      <c r="BU12" s="3">
        <f>IF($K12&lt;&gt;"",IF($M12&gt;BT$11,IF($M12&lt;BU$11,$M12-BT$11,30),0)*ROUND(($N12+$V11+SUM($X12:BT12))*$U$5/3000,2),"")</f>
        <v>0</v>
      </c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</row>
    <row r="13" spans="1:84" x14ac:dyDescent="0.25">
      <c r="E13" s="5"/>
      <c r="F13" t="str">
        <f t="shared" si="0"/>
        <v>ju</v>
      </c>
      <c r="G13" s="5">
        <f>IF($K13&lt;&gt;"",IF(DAY(EOMONTH(DATE(YEAR($M$6),$G$11+K13+SUM($B$12:B13),1),0))&gt;DAY($M$7),DATE(YEAR($M$7),MONTH($M$7)+($A$1*($H13-1))+SUM($B$12:$B13),DAY($M$7)),EOMONTH(DATE(YEAR($M$6),$G$11+K13+SUM($B$12:B13),1),0)),"")</f>
        <v>43951</v>
      </c>
      <c r="H13" s="22">
        <f t="shared" si="1"/>
        <v>2</v>
      </c>
      <c r="I13" s="22">
        <f t="shared" si="2"/>
        <v>155.66999999999999</v>
      </c>
      <c r="J13" s="22">
        <f t="shared" si="3"/>
        <v>0</v>
      </c>
      <c r="K13">
        <f t="shared" si="4"/>
        <v>2</v>
      </c>
      <c r="L13" s="5">
        <f>IF($K13&lt;&gt;"",IF($E13="",IF(ULTIMODIA=0,DATE(YEAR($M$7),MONTH($M$7)+($A$1*($H13-1))+SUM($B$12:$B13),DAY($M$7)),$G13),$E13),"")</f>
        <v>43951</v>
      </c>
      <c r="M13" s="9">
        <f t="shared" si="5"/>
        <v>31</v>
      </c>
      <c r="N13" s="3">
        <f t="shared" si="6"/>
        <v>14861.33</v>
      </c>
      <c r="O13" s="3">
        <f t="shared" si="7"/>
        <v>507.75999999999993</v>
      </c>
      <c r="P13" s="3">
        <f t="shared" si="8"/>
        <v>352.08999999999992</v>
      </c>
      <c r="Q13" s="3">
        <f t="shared" si="9"/>
        <v>155.66999999999999</v>
      </c>
      <c r="R13" s="3">
        <f>IF($K13&lt;&gt;"",IF($A13="Prepago",0,IF(ROUND(($H13+SUM($B$12:$B13))*$T$6,2)&gt;ROUND(SUM($R$11:$R12)+$T$6,2),$T$6*2,$T$6)),"")</f>
        <v>0</v>
      </c>
      <c r="S13" s="3">
        <f>IF($K13&lt;&gt;"",IF($A13="Prepago",0,IF(ROUND(($H13+SUM($B$12:$B13))*$T$7,2)&gt;ROUND(SUM($S$11:$S12)+$T$7,2),$T$7*2,$T$7)),"")</f>
        <v>0</v>
      </c>
      <c r="T13" s="3">
        <f>IF($K13&lt;&gt;"",IF($A13="Prepago",0,IF(ROUND(($H13+SUM($B$12:$B13))*$T$8,2)&gt;ROUND(SUM($T$11:$T12)+$T$8,2),$T$8*2,$T$8)),"")</f>
        <v>0</v>
      </c>
      <c r="U13" s="3">
        <f t="shared" si="10"/>
        <v>14509.24</v>
      </c>
      <c r="V13" s="3">
        <f>IF($K13&lt;&gt;"",+$V12+IF($D13="",$W13,$D13)-$Q13,"")</f>
        <v>0</v>
      </c>
      <c r="W13" s="3">
        <f t="shared" si="11"/>
        <v>155.66999999999999</v>
      </c>
      <c r="X13" s="3">
        <f>IF($K13&lt;&gt;"",IF($M13&gt;X$11,30,$M13)*ROUND(($N13+$V12)*$U$5/3000,2),"")</f>
        <v>150.6</v>
      </c>
      <c r="Y13" s="3">
        <f>IF($K13&lt;&gt;"",IF($M13&gt;X$11,IF($M13&lt;Y$11,$M13-X$11,30),0)*ROUND(($N13+$V12+SUM($X13:X13))*$U$5/3000,2),"")</f>
        <v>5.07</v>
      </c>
      <c r="Z13" s="3"/>
      <c r="AA13" s="3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</row>
    <row r="14" spans="1:84" x14ac:dyDescent="0.25">
      <c r="E14" s="5"/>
      <c r="F14" t="str">
        <f t="shared" si="0"/>
        <v>sá</v>
      </c>
      <c r="G14" s="5">
        <f>IF($K14&lt;&gt;"",IF(DAY(EOMONTH(DATE(YEAR($M$6),$G$11+K14+SUM($B$12:B14),1),0))&gt;DAY($M$7),DATE(YEAR($M$7),MONTH($M$7)+($A$1*($H14-1))+SUM($B$12:$B14),DAY($M$7)),EOMONTH(DATE(YEAR($M$6),$G$11+K14+SUM($B$12:B14),1),0)),"")</f>
        <v>43981</v>
      </c>
      <c r="H14" s="22">
        <f t="shared" si="1"/>
        <v>3</v>
      </c>
      <c r="I14" s="22">
        <f t="shared" si="2"/>
        <v>147</v>
      </c>
      <c r="J14" s="22">
        <f t="shared" si="3"/>
        <v>0</v>
      </c>
      <c r="K14">
        <f t="shared" si="4"/>
        <v>3</v>
      </c>
      <c r="L14" s="5">
        <f>IF($K14&lt;&gt;"",IF($E14="",IF(ULTIMODIA=0,DATE(YEAR($M$7),MONTH($M$7)+($A$1*($H14-1))+SUM($B$12:$B14),DAY($M$7)),$G14),$E14),"")</f>
        <v>43981</v>
      </c>
      <c r="M14" s="9">
        <f t="shared" si="5"/>
        <v>30</v>
      </c>
      <c r="N14" s="3">
        <f t="shared" si="6"/>
        <v>14509.24</v>
      </c>
      <c r="O14" s="3">
        <f t="shared" si="7"/>
        <v>507.75999999999993</v>
      </c>
      <c r="P14" s="3">
        <f t="shared" si="8"/>
        <v>360.75999999999993</v>
      </c>
      <c r="Q14" s="3">
        <f t="shared" si="9"/>
        <v>147</v>
      </c>
      <c r="R14" s="3">
        <f>IF($K14&lt;&gt;"",IF($A14="Prepago",0,IF(ROUND(($H14+SUM($B$12:$B14))*$T$6,2)&gt;ROUND(SUM($R$11:$R13)+$T$6,2),$T$6*2,$T$6)),"")</f>
        <v>0</v>
      </c>
      <c r="S14" s="3">
        <f>IF($K14&lt;&gt;"",IF($A14="Prepago",0,IF(ROUND(($H14+SUM($B$12:$B14))*$T$7,2)&gt;ROUND(SUM($S$11:$S13)+$T$7,2),$T$7*2,$T$7)),"")</f>
        <v>0</v>
      </c>
      <c r="T14" s="3">
        <f>IF($K14&lt;&gt;"",IF($A14="Prepago",0,IF(ROUND(($H14+SUM($B$12:$B14))*$T$8,2)&gt;ROUND(SUM($T$11:$T13)+$T$8,2),$T$8*2,$T$8)),"")</f>
        <v>0</v>
      </c>
      <c r="U14" s="3">
        <f t="shared" si="10"/>
        <v>14148.48</v>
      </c>
      <c r="V14" s="3">
        <f t="shared" ref="V14:V76" si="12">IF($K14&lt;&gt;"",+$V13+IF($D14="",$W14,$D14)-$Q14,"")</f>
        <v>0</v>
      </c>
      <c r="W14" s="3">
        <f t="shared" si="11"/>
        <v>147</v>
      </c>
      <c r="X14" s="3">
        <f>IF($K14&lt;&gt;"",IF($M14&gt;X$11,30,$M14)*ROUND(($N14+$V13)*$U$5/3000,2),"")</f>
        <v>147</v>
      </c>
      <c r="Y14" s="3">
        <f>IF($K14&lt;&gt;"",IF($M14&gt;X$11,IF($M14&lt;Y$11,$M14-X$11,30),0)*ROUND(($N14+$V13+SUM($X14:X14))*$U$5/3000,2),"")</f>
        <v>0</v>
      </c>
      <c r="Z14" s="3"/>
      <c r="AA14" s="3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</row>
    <row r="15" spans="1:84" x14ac:dyDescent="0.25">
      <c r="E15" s="5"/>
      <c r="F15" t="str">
        <f t="shared" si="0"/>
        <v>ma</v>
      </c>
      <c r="G15" s="5">
        <f>IF($K15&lt;&gt;"",IF(DAY(EOMONTH(DATE(YEAR($M$6),$G$11+K15+SUM($B$12:B15),1),0))&gt;DAY($M$7),DATE(YEAR($M$7),MONTH($M$7)+($A$1*($H15-1))+SUM($B$12:$B15),DAY($M$7)),EOMONTH(DATE(YEAR($M$6),$G$11+K15+SUM($B$12:B15),1),0)),"")</f>
        <v>44012</v>
      </c>
      <c r="H15" s="22">
        <f t="shared" si="1"/>
        <v>4</v>
      </c>
      <c r="I15" s="22">
        <f t="shared" si="2"/>
        <v>148.22</v>
      </c>
      <c r="J15" s="22">
        <f t="shared" si="3"/>
        <v>0</v>
      </c>
      <c r="K15">
        <f t="shared" si="4"/>
        <v>4</v>
      </c>
      <c r="L15" s="5">
        <f>IF($K15&lt;&gt;"",IF($E15="",IF(ULTIMODIA=0,DATE(YEAR($M$7),MONTH($M$7)+($A$1*($H15-1))+SUM($B$12:$B15),DAY($M$7)),$G15),$E15),"")</f>
        <v>44012</v>
      </c>
      <c r="M15" s="9">
        <f t="shared" si="5"/>
        <v>31</v>
      </c>
      <c r="N15" s="3">
        <f t="shared" si="6"/>
        <v>14148.48</v>
      </c>
      <c r="O15" s="3">
        <f t="shared" si="7"/>
        <v>507.75999999999993</v>
      </c>
      <c r="P15" s="3">
        <f t="shared" si="8"/>
        <v>359.53999999999996</v>
      </c>
      <c r="Q15" s="3">
        <f t="shared" si="9"/>
        <v>148.22</v>
      </c>
      <c r="R15" s="3">
        <f>IF($K15&lt;&gt;"",IF($A15="Prepago",0,IF(ROUND(($H15+SUM($B$12:$B15))*$T$6,2)&gt;ROUND(SUM($R$11:$R14)+$T$6,2),$T$6*2,$T$6)),"")</f>
        <v>0</v>
      </c>
      <c r="S15" s="3">
        <f>IF($K15&lt;&gt;"",IF($A15="Prepago",0,IF(ROUND(($H15+SUM($B$12:$B15))*$T$7,2)&gt;ROUND(SUM($S$11:$S14)+$T$7,2),$T$7*2,$T$7)),"")</f>
        <v>0</v>
      </c>
      <c r="T15" s="3">
        <f>IF($K15&lt;&gt;"",IF($A15="Prepago",0,IF(ROUND(($H15+SUM($B$12:$B15))*$T$8,2)&gt;ROUND(SUM($T$11:$T14)+$T$8,2),$T$8*2,$T$8)),"")</f>
        <v>0</v>
      </c>
      <c r="U15" s="3">
        <f t="shared" si="10"/>
        <v>13788.939999999999</v>
      </c>
      <c r="V15" s="3">
        <f t="shared" si="12"/>
        <v>0</v>
      </c>
      <c r="W15" s="3">
        <f t="shared" si="11"/>
        <v>148.22</v>
      </c>
      <c r="X15" s="3">
        <f>IF($K15&lt;&gt;"",IF($M15&gt;X$11,30,$M15)*ROUND(($N15+$V14)*$U$5/3000,2),"")</f>
        <v>143.4</v>
      </c>
      <c r="Y15" s="3">
        <f>IF($K15&lt;&gt;"",IF($M15&gt;X$11,IF($M15&lt;Y$11,$M15-X$11,30),0)*ROUND(($N15+$V14+SUM($X15:X15))*$U$5/3000,2),"")</f>
        <v>4.82</v>
      </c>
      <c r="Z15" s="3"/>
      <c r="AA15" s="3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</row>
    <row r="16" spans="1:84" x14ac:dyDescent="0.25">
      <c r="E16" s="5"/>
      <c r="F16" t="str">
        <f t="shared" si="0"/>
        <v>ju</v>
      </c>
      <c r="G16" s="5">
        <f>IF($K16&lt;&gt;"",IF(DAY(EOMONTH(DATE(YEAR($M$6),$G$11+K16+SUM($B$12:B16),1),0))&gt;DAY($M$7),DATE(YEAR($M$7),MONTH($M$7)+($A$1*($H16-1))+SUM($B$12:$B16),DAY($M$7)),EOMONTH(DATE(YEAR($M$6),$G$11+K16+SUM($B$12:B16),1),0)),"")</f>
        <v>44042</v>
      </c>
      <c r="H16" s="22">
        <f t="shared" si="1"/>
        <v>5</v>
      </c>
      <c r="I16" s="22">
        <f t="shared" si="2"/>
        <v>139.5</v>
      </c>
      <c r="J16" s="22">
        <f t="shared" si="3"/>
        <v>0</v>
      </c>
      <c r="K16">
        <f t="shared" si="4"/>
        <v>5</v>
      </c>
      <c r="L16" s="5">
        <f>IF($K16&lt;&gt;"",IF($E16="",IF(ULTIMODIA=0,DATE(YEAR($M$7),MONTH($M$7)+($A$1*($H16-1))+SUM($B$12:$B16),DAY($M$7)),$G16),$E16),"")</f>
        <v>44042</v>
      </c>
      <c r="M16" s="9">
        <f t="shared" si="5"/>
        <v>30</v>
      </c>
      <c r="N16" s="3">
        <f t="shared" si="6"/>
        <v>13788.939999999999</v>
      </c>
      <c r="O16" s="3">
        <f t="shared" si="7"/>
        <v>507.75999999999993</v>
      </c>
      <c r="P16" s="3">
        <f t="shared" si="8"/>
        <v>368.25999999999993</v>
      </c>
      <c r="Q16" s="3">
        <f t="shared" si="9"/>
        <v>139.5</v>
      </c>
      <c r="R16" s="3">
        <f>IF($K16&lt;&gt;"",IF($A16="Prepago",0,IF(ROUND(($H16+SUM($B$12:$B16))*$T$6,2)&gt;ROUND(SUM($R$11:$R15)+$T$6,2),$T$6*2,$T$6)),"")</f>
        <v>0</v>
      </c>
      <c r="S16" s="3">
        <f>IF($K16&lt;&gt;"",IF($A16="Prepago",0,IF(ROUND(($H16+SUM($B$12:$B16))*$T$7,2)&gt;ROUND(SUM($S$11:$S15)+$T$7,2),$T$7*2,$T$7)),"")</f>
        <v>0</v>
      </c>
      <c r="T16" s="3">
        <f>IF($K16&lt;&gt;"",IF($A16="Prepago",0,IF(ROUND(($H16+SUM($B$12:$B16))*$T$8,2)&gt;ROUND(SUM($T$11:$T15)+$T$8,2),$T$8*2,$T$8)),"")</f>
        <v>0</v>
      </c>
      <c r="U16" s="3">
        <f t="shared" si="10"/>
        <v>13420.679999999998</v>
      </c>
      <c r="V16" s="3">
        <f t="shared" si="12"/>
        <v>0</v>
      </c>
      <c r="W16" s="3">
        <f t="shared" si="11"/>
        <v>139.5</v>
      </c>
      <c r="X16" s="3">
        <f>IF($K16&lt;&gt;"",IF($M16&gt;X$11,30,$M16)*ROUND(($N16+$V15)*$U$5/3000,2),"")</f>
        <v>139.5</v>
      </c>
      <c r="Y16" s="3">
        <f>IF($K16&lt;&gt;"",IF($M16&gt;X$11,IF($M16&lt;Y$11,$M16-X$11,30),0)*ROUND(($N16+$V15+SUM($X16:X16))*$U$5/3000,2),"")</f>
        <v>0</v>
      </c>
      <c r="Z16" s="3"/>
      <c r="AA16" s="3"/>
      <c r="AB16" s="3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</row>
    <row r="17" spans="1:84" x14ac:dyDescent="0.25">
      <c r="E17" s="5"/>
      <c r="F17" t="str">
        <f t="shared" si="0"/>
        <v>do</v>
      </c>
      <c r="G17" s="5">
        <f>IF($K17&lt;&gt;"",IF(DAY(EOMONTH(DATE(YEAR($M$6),$G$11+K17+SUM($B$12:B17),1),0))&gt;DAY($M$7),DATE(YEAR($M$7),MONTH($M$7)+($A$1*($H17-1))+SUM($B$12:$B17),DAY($M$7)),EOMONTH(DATE(YEAR($M$6),$G$11+K17+SUM($B$12:B17),1),0)),"")</f>
        <v>44073</v>
      </c>
      <c r="H17" s="22">
        <f t="shared" si="1"/>
        <v>6</v>
      </c>
      <c r="I17" s="22">
        <f t="shared" si="2"/>
        <v>140.48000000000002</v>
      </c>
      <c r="J17" s="22">
        <f t="shared" si="3"/>
        <v>0</v>
      </c>
      <c r="K17">
        <f t="shared" si="4"/>
        <v>6</v>
      </c>
      <c r="L17" s="5">
        <f>IF($K17&lt;&gt;"",IF($E17="",IF(ULTIMODIA=0,DATE(YEAR($M$7),MONTH($M$7)+($A$1*($H17-1))+SUM($B$12:$B17),DAY($M$7)),$G17),$E17),"")</f>
        <v>44073</v>
      </c>
      <c r="M17" s="9">
        <f t="shared" si="5"/>
        <v>31</v>
      </c>
      <c r="N17" s="3">
        <f t="shared" si="6"/>
        <v>13420.679999999998</v>
      </c>
      <c r="O17" s="3">
        <f t="shared" si="7"/>
        <v>507.75999999999993</v>
      </c>
      <c r="P17" s="3">
        <f t="shared" si="8"/>
        <v>367.27999999999992</v>
      </c>
      <c r="Q17" s="3">
        <f t="shared" si="9"/>
        <v>140.48000000000002</v>
      </c>
      <c r="R17" s="3">
        <f>IF($K17&lt;&gt;"",IF($A17="Prepago",0,IF(ROUND(($H17+SUM($B$12:$B17))*$T$6,2)&gt;ROUND(SUM($R$11:$R16)+$T$6,2),$T$6*2,$T$6)),"")</f>
        <v>0</v>
      </c>
      <c r="S17" s="3">
        <f>IF($K17&lt;&gt;"",IF($A17="Prepago",0,IF(ROUND(($H17+SUM($B$12:$B17))*$T$7,2)&gt;ROUND(SUM($S$11:$S16)+$T$7,2),$T$7*2,$T$7)),"")</f>
        <v>0</v>
      </c>
      <c r="T17" s="3">
        <f>IF($K17&lt;&gt;"",IF($A17="Prepago",0,IF(ROUND(($H17+SUM($B$12:$B17))*$T$8,2)&gt;ROUND(SUM($T$11:$T16)+$T$8,2),$T$8*2,$T$8)),"")</f>
        <v>0</v>
      </c>
      <c r="U17" s="3">
        <f t="shared" si="10"/>
        <v>13053.399999999998</v>
      </c>
      <c r="V17" s="3">
        <f t="shared" si="12"/>
        <v>0</v>
      </c>
      <c r="W17" s="3">
        <f t="shared" si="11"/>
        <v>140.48000000000002</v>
      </c>
      <c r="X17" s="3">
        <f>IF($K17&lt;&gt;"",IF($M17&gt;X$11,30,$M17)*ROUND(($N17+$V16)*$U$5/3000,2),"")</f>
        <v>135.9</v>
      </c>
      <c r="Y17" s="3">
        <f>IF($K17&lt;&gt;"",IF($M17&gt;X$11,IF($M17&lt;Y$11,$M17-X$11,30),0)*ROUND(($N17+$V16+SUM($X17:X17))*$U$5/3000,2),"")</f>
        <v>4.58</v>
      </c>
      <c r="Z17" s="3"/>
      <c r="AA17" s="3"/>
      <c r="AB17" s="3"/>
      <c r="AC17" s="3"/>
      <c r="AD17" s="3"/>
      <c r="AE17" s="3"/>
      <c r="AF17" s="3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</row>
    <row r="18" spans="1:84" x14ac:dyDescent="0.25">
      <c r="E18" s="5"/>
      <c r="F18" t="str">
        <f t="shared" si="0"/>
        <v>mi</v>
      </c>
      <c r="G18" s="5">
        <f>IF($K18&lt;&gt;"",IF(DAY(EOMONTH(DATE(YEAR($M$6),$G$11+K18+SUM($B$12:B18),1),0))&gt;DAY($M$7),DATE(YEAR($M$7),MONTH($M$7)+($A$1*($H18-1))+SUM($B$12:$B18),DAY($M$7)),EOMONTH(DATE(YEAR($M$6),$G$11+K18+SUM($B$12:B18),1),0)),"")</f>
        <v>44104</v>
      </c>
      <c r="H18" s="22">
        <f t="shared" si="1"/>
        <v>7</v>
      </c>
      <c r="I18" s="22">
        <f t="shared" si="2"/>
        <v>136.75</v>
      </c>
      <c r="J18" s="22">
        <f t="shared" si="3"/>
        <v>0</v>
      </c>
      <c r="K18">
        <f t="shared" si="4"/>
        <v>7</v>
      </c>
      <c r="L18" s="5">
        <f>IF($K18&lt;&gt;"",IF($E18="",IF(ULTIMODIA=0,DATE(YEAR($M$7),MONTH($M$7)+($A$1*($H18-1))+SUM($B$12:$B18),DAY($M$7)),$G18),$E18),"")</f>
        <v>44104</v>
      </c>
      <c r="M18" s="9">
        <f t="shared" si="5"/>
        <v>31</v>
      </c>
      <c r="N18" s="3">
        <f t="shared" si="6"/>
        <v>13053.399999999998</v>
      </c>
      <c r="O18" s="3">
        <f t="shared" si="7"/>
        <v>507.75999999999993</v>
      </c>
      <c r="P18" s="3">
        <f t="shared" si="8"/>
        <v>371.00999999999993</v>
      </c>
      <c r="Q18" s="3">
        <f t="shared" si="9"/>
        <v>136.75</v>
      </c>
      <c r="R18" s="3">
        <f>IF($K18&lt;&gt;"",IF($A18="Prepago",0,IF(ROUND(($H18+SUM($B$12:$B18))*$T$6,2)&gt;ROUND(SUM($R$11:$R17)+$T$6,2),$T$6*2,$T$6)),"")</f>
        <v>0</v>
      </c>
      <c r="S18" s="3">
        <f>IF($K18&lt;&gt;"",IF($A18="Prepago",0,IF(ROUND(($H18+SUM($B$12:$B18))*$T$7,2)&gt;ROUND(SUM($S$11:$S17)+$T$7,2),$T$7*2,$T$7)),"")</f>
        <v>0</v>
      </c>
      <c r="T18" s="3">
        <f>IF($K18&lt;&gt;"",IF($A18="Prepago",0,IF(ROUND(($H18+SUM($B$12:$B18))*$T$8,2)&gt;ROUND(SUM($T$11:$T17)+$T$8,2),$T$8*2,$T$8)),"")</f>
        <v>0</v>
      </c>
      <c r="U18" s="3">
        <f t="shared" si="10"/>
        <v>12682.389999999998</v>
      </c>
      <c r="V18" s="3">
        <f t="shared" si="12"/>
        <v>0</v>
      </c>
      <c r="W18" s="3">
        <f t="shared" si="11"/>
        <v>136.75</v>
      </c>
      <c r="X18" s="3">
        <f>IF($K18&lt;&gt;"",IF($M18&gt;X$11,30,$M18)*ROUND(($N18+$V17)*$U$5/3000,2),"")</f>
        <v>132.30000000000001</v>
      </c>
      <c r="Y18" s="3">
        <f>IF($K18&lt;&gt;"",IF($M18&gt;X$11,IF($M18&lt;Y$11,$M18-X$11,30),0)*ROUND(($N18+$V17+SUM($X18:X18))*$U$5/3000,2),"")</f>
        <v>4.45</v>
      </c>
      <c r="Z18" s="3"/>
      <c r="AA18" s="3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</row>
    <row r="19" spans="1:84" x14ac:dyDescent="0.25">
      <c r="E19" s="5"/>
      <c r="F19" t="str">
        <f t="shared" si="0"/>
        <v>vi</v>
      </c>
      <c r="G19" s="5">
        <f>IF($K19&lt;&gt;"",IF(DAY(EOMONTH(DATE(YEAR($M$6),$G$11+K19+SUM($B$12:B19),1),0))&gt;DAY($M$7),DATE(YEAR($M$7),MONTH($M$7)+($A$1*($H19-1))+SUM($B$12:$B19),DAY($M$7)),EOMONTH(DATE(YEAR($M$6),$G$11+K19+SUM($B$12:B19),1),0)),"")</f>
        <v>44134</v>
      </c>
      <c r="H19" s="22">
        <f t="shared" si="1"/>
        <v>8</v>
      </c>
      <c r="I19" s="22">
        <f t="shared" si="2"/>
        <v>128.4</v>
      </c>
      <c r="J19" s="22">
        <f t="shared" si="3"/>
        <v>0</v>
      </c>
      <c r="K19">
        <f t="shared" si="4"/>
        <v>8</v>
      </c>
      <c r="L19" s="5">
        <f>IF($K19&lt;&gt;"",IF($E19="",IF(ULTIMODIA=0,DATE(YEAR($M$7),MONTH($M$7)+($A$1*($H19-1))+SUM($B$12:$B19),DAY($M$7)),$G19),$E19),"")</f>
        <v>44134</v>
      </c>
      <c r="M19" s="9">
        <f t="shared" si="5"/>
        <v>30</v>
      </c>
      <c r="N19" s="3">
        <f t="shared" si="6"/>
        <v>12682.389999999998</v>
      </c>
      <c r="O19" s="3">
        <f t="shared" si="7"/>
        <v>507.75999999999993</v>
      </c>
      <c r="P19" s="3">
        <f t="shared" si="8"/>
        <v>379.3599999999999</v>
      </c>
      <c r="Q19" s="3">
        <f t="shared" si="9"/>
        <v>128.4</v>
      </c>
      <c r="R19" s="3">
        <f>IF($K19&lt;&gt;"",IF($A19="Prepago",0,IF(ROUND(($H19+SUM($B$12:$B19))*$T$6,2)&gt;ROUND(SUM($R$11:$R18)+$T$6,2),$T$6*2,$T$6)),"")</f>
        <v>0</v>
      </c>
      <c r="S19" s="3">
        <f>IF($K19&lt;&gt;"",IF($A19="Prepago",0,IF(ROUND(($H19+SUM($B$12:$B19))*$T$7,2)&gt;ROUND(SUM($S$11:$S18)+$T$7,2),$T$7*2,$T$7)),"")</f>
        <v>0</v>
      </c>
      <c r="T19" s="3">
        <f>IF($K19&lt;&gt;"",IF($A19="Prepago",0,IF(ROUND(($H19+SUM($B$12:$B19))*$T$8,2)&gt;ROUND(SUM($T$11:$T18)+$T$8,2),$T$8*2,$T$8)),"")</f>
        <v>0</v>
      </c>
      <c r="U19" s="3">
        <f t="shared" si="10"/>
        <v>12303.029999999997</v>
      </c>
      <c r="V19" s="3">
        <f t="shared" si="12"/>
        <v>0</v>
      </c>
      <c r="W19" s="3">
        <f t="shared" si="11"/>
        <v>128.4</v>
      </c>
      <c r="X19" s="3">
        <f>IF($K19&lt;&gt;"",IF($M19&gt;X$11,30,$M19)*ROUND(($N19+$V18)*$U$5/3000,2),"")</f>
        <v>128.4</v>
      </c>
      <c r="Y19" s="3">
        <f>IF($K19&lt;&gt;"",IF($M19&gt;X$11,IF($M19&lt;Y$11,$M19-X$11,30),0)*ROUND(($N19+$V18+SUM($X19:X19))*$U$5/3000,2),"")</f>
        <v>0</v>
      </c>
      <c r="Z19" s="3"/>
      <c r="AA19" s="3"/>
      <c r="AB19" s="3"/>
      <c r="AC19" s="3"/>
      <c r="AD19" s="3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</row>
    <row r="20" spans="1:84" s="10" customFormat="1" x14ac:dyDescent="0.25">
      <c r="A20"/>
      <c r="B20"/>
      <c r="C20" s="20"/>
      <c r="D20" s="20"/>
      <c r="E20" s="5"/>
      <c r="F20" t="str">
        <f t="shared" si="0"/>
        <v>lu</v>
      </c>
      <c r="G20" s="5">
        <f>IF($K20&lt;&gt;"",IF(DAY(EOMONTH(DATE(YEAR($M$6),$G$11+K20+SUM($B$12:B20),1),0))&gt;DAY($M$7),DATE(YEAR($M$7),MONTH($M$7)+($A$1*($H20-1))+SUM($B$12:$B20),DAY($M$7)),EOMONTH(DATE(YEAR($M$6),$G$11+K20+SUM($B$12:B20),1),0)),"")</f>
        <v>44165</v>
      </c>
      <c r="H20" s="22">
        <f t="shared" si="1"/>
        <v>9</v>
      </c>
      <c r="I20" s="22">
        <f t="shared" si="2"/>
        <v>128.69000000000003</v>
      </c>
      <c r="J20" s="22">
        <f t="shared" si="3"/>
        <v>0</v>
      </c>
      <c r="K20">
        <f t="shared" si="4"/>
        <v>9</v>
      </c>
      <c r="L20" s="5">
        <f>IF($K20&lt;&gt;"",IF($E20="",IF(ULTIMODIA=0,DATE(YEAR($M$7),MONTH($M$7)+($A$1*($H20-1))+SUM($B$12:$B20),DAY($M$7)),$G20),$E20),"")</f>
        <v>44165</v>
      </c>
      <c r="M20" s="9">
        <f t="shared" si="5"/>
        <v>31</v>
      </c>
      <c r="N20" s="3">
        <f t="shared" si="6"/>
        <v>12303.029999999997</v>
      </c>
      <c r="O20" s="3">
        <f t="shared" si="7"/>
        <v>507.75999999999993</v>
      </c>
      <c r="P20" s="3">
        <f t="shared" si="8"/>
        <v>379.06999999999994</v>
      </c>
      <c r="Q20" s="3">
        <f t="shared" si="9"/>
        <v>128.69000000000003</v>
      </c>
      <c r="R20" s="3">
        <f>IF($K20&lt;&gt;"",IF($A20="Prepago",0,IF(ROUND(($H20+SUM($B$12:$B20))*$T$6,2)&gt;ROUND(SUM($R$11:$R19)+$T$6,2),$T$6*2,$T$6)),"")</f>
        <v>0</v>
      </c>
      <c r="S20" s="3">
        <f>IF($K20&lt;&gt;"",IF($A20="Prepago",0,IF(ROUND(($H20+SUM($B$12:$B20))*$T$7,2)&gt;ROUND(SUM($S$11:$S19)+$T$7,2),$T$7*2,$T$7)),"")</f>
        <v>0</v>
      </c>
      <c r="T20" s="3">
        <f>IF($K20&lt;&gt;"",IF($A20="Prepago",0,IF(ROUND(($H20+SUM($B$12:$B20))*$T$8,2)&gt;ROUND(SUM($T$11:$T19)+$T$8,2),$T$8*2,$T$8)),"")</f>
        <v>0</v>
      </c>
      <c r="U20" s="3">
        <f t="shared" si="10"/>
        <v>11923.959999999997</v>
      </c>
      <c r="V20" s="3">
        <f t="shared" si="12"/>
        <v>0</v>
      </c>
      <c r="W20" s="3">
        <f t="shared" si="11"/>
        <v>128.69000000000003</v>
      </c>
      <c r="X20" s="3">
        <f>IF($K20&lt;&gt;"",IF($M20&gt;X$11,30,$M20)*ROUND(($N20+$V19)*$U$5/3000,2),"")</f>
        <v>124.50000000000001</v>
      </c>
      <c r="Y20" s="3">
        <f>IF($K20&lt;&gt;"",IF($M20&gt;X$11,IF($M20&lt;Y$11,$M20-X$11,30),0)*ROUND(($N20+$V19+SUM($X20:X20))*$U$5/3000,2),"")</f>
        <v>4.1900000000000004</v>
      </c>
      <c r="Z20" s="3"/>
      <c r="AA20" s="3"/>
      <c r="AB20" s="3"/>
      <c r="AC20" s="3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</row>
    <row r="21" spans="1:84" x14ac:dyDescent="0.25">
      <c r="E21" s="5"/>
      <c r="F21" t="str">
        <f t="shared" si="0"/>
        <v>mi</v>
      </c>
      <c r="G21" s="5">
        <f>IF($K21&lt;&gt;"",IF(DAY(EOMONTH(DATE(YEAR($M$6),$G$11+K21+SUM($B$12:B21),1),0))&gt;DAY($M$7),DATE(YEAR($M$7),MONTH($M$7)+($A$1*($H21-1))+SUM($B$12:$B21),DAY($M$7)),EOMONTH(DATE(YEAR($M$6),$G$11+K21+SUM($B$12:B21),1),0)),"")</f>
        <v>44195</v>
      </c>
      <c r="H21" s="22">
        <f t="shared" si="1"/>
        <v>10</v>
      </c>
      <c r="I21" s="22">
        <f t="shared" si="2"/>
        <v>120.6</v>
      </c>
      <c r="J21" s="22">
        <f t="shared" si="3"/>
        <v>0</v>
      </c>
      <c r="K21">
        <f t="shared" si="4"/>
        <v>10</v>
      </c>
      <c r="L21" s="5">
        <f>IF($K21&lt;&gt;"",IF($E21="",IF(ULTIMODIA=0,DATE(YEAR($M$7),MONTH($M$7)+($A$1*($H21-1))+SUM($B$12:$B21),DAY($M$7)),$G21),$E21),"")</f>
        <v>44195</v>
      </c>
      <c r="M21" s="9">
        <f t="shared" si="5"/>
        <v>30</v>
      </c>
      <c r="N21" s="3">
        <f t="shared" si="6"/>
        <v>11923.959999999997</v>
      </c>
      <c r="O21" s="3">
        <f t="shared" si="7"/>
        <v>507.75999999999993</v>
      </c>
      <c r="P21" s="3">
        <f t="shared" si="8"/>
        <v>387.15999999999997</v>
      </c>
      <c r="Q21" s="3">
        <f t="shared" si="9"/>
        <v>120.6</v>
      </c>
      <c r="R21" s="3">
        <f>IF($K21&lt;&gt;"",IF($A21="Prepago",0,IF(ROUND(($H21+SUM($B$12:$B21))*$T$6,2)&gt;ROUND(SUM($R$11:$R20)+$T$6,2),$T$6*2,$T$6)),"")</f>
        <v>0</v>
      </c>
      <c r="S21" s="3">
        <f>IF($K21&lt;&gt;"",IF($A21="Prepago",0,IF(ROUND(($H21+SUM($B$12:$B21))*$T$7,2)&gt;ROUND(SUM($S$11:$S20)+$T$7,2),$T$7*2,$T$7)),"")</f>
        <v>0</v>
      </c>
      <c r="T21" s="3">
        <f>IF($K21&lt;&gt;"",IF($A21="Prepago",0,IF(ROUND(($H21+SUM($B$12:$B21))*$T$8,2)&gt;ROUND(SUM($T$11:$T20)+$T$8,2),$T$8*2,$T$8)),"")</f>
        <v>0</v>
      </c>
      <c r="U21" s="3">
        <f t="shared" si="10"/>
        <v>11536.799999999997</v>
      </c>
      <c r="V21" s="3">
        <f t="shared" si="12"/>
        <v>0</v>
      </c>
      <c r="W21" s="3">
        <f t="shared" si="11"/>
        <v>120.6</v>
      </c>
      <c r="X21" s="3">
        <f>IF($K21&lt;&gt;"",IF($M21&gt;X$11,30,$M21)*ROUND(($N21+$V20)*$U$5/3000,2),"")</f>
        <v>120.6</v>
      </c>
      <c r="Y21" s="3">
        <f>IF($K21&lt;&gt;"",IF($M21&gt;X$11,IF($M21&lt;Y$11,$M21-X$11,30),0)*ROUND(($N21+$V20+SUM($X21:X21))*$U$5/3000,2),"")</f>
        <v>0</v>
      </c>
      <c r="Z21" s="3"/>
      <c r="AA21" s="3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</row>
    <row r="22" spans="1:84" x14ac:dyDescent="0.25">
      <c r="E22" s="5"/>
      <c r="F22" t="str">
        <f t="shared" si="0"/>
        <v>sá</v>
      </c>
      <c r="G22" s="5">
        <f>IF($K22&lt;&gt;"",IF(DAY(EOMONTH(DATE(YEAR($M$6),$G$11+K22+SUM($B$12:B22),1),0))&gt;DAY($M$7),DATE(YEAR($M$7),MONTH($M$7)+($A$1*($H22-1))+SUM($B$12:$B22),DAY($M$7)),EOMONTH(DATE(YEAR($M$6),$G$11+K22+SUM($B$12:B22),1),0)),"")</f>
        <v>44226</v>
      </c>
      <c r="H22" s="22">
        <f t="shared" si="1"/>
        <v>11</v>
      </c>
      <c r="I22" s="22">
        <f t="shared" si="2"/>
        <v>120.63000000000001</v>
      </c>
      <c r="J22" s="22">
        <f t="shared" si="3"/>
        <v>0</v>
      </c>
      <c r="K22">
        <f t="shared" si="4"/>
        <v>11</v>
      </c>
      <c r="L22" s="5">
        <f>IF($K22&lt;&gt;"",IF($E22="",IF(ULTIMODIA=0,DATE(YEAR($M$7),MONTH($M$7)+($A$1*($H22-1))+SUM($B$12:$B22),DAY($M$7)),$G22),$E22),"")</f>
        <v>44226</v>
      </c>
      <c r="M22" s="9">
        <f t="shared" si="5"/>
        <v>31</v>
      </c>
      <c r="N22" s="3">
        <f t="shared" si="6"/>
        <v>11536.799999999997</v>
      </c>
      <c r="O22" s="3">
        <f t="shared" si="7"/>
        <v>507.75999999999993</v>
      </c>
      <c r="P22" s="3">
        <f t="shared" si="8"/>
        <v>387.12999999999994</v>
      </c>
      <c r="Q22" s="3">
        <f t="shared" si="9"/>
        <v>120.63000000000001</v>
      </c>
      <c r="R22" s="3">
        <f>IF($K22&lt;&gt;"",IF($A22="Prepago",0,IF(ROUND(($H22+SUM($B$12:$B22))*$T$6,2)&gt;ROUND(SUM($R$11:$R21)+$T$6,2),$T$6*2,$T$6)),"")</f>
        <v>0</v>
      </c>
      <c r="S22" s="3">
        <f>IF($K22&lt;&gt;"",IF($A22="Prepago",0,IF(ROUND(($H22+SUM($B$12:$B22))*$T$7,2)&gt;ROUND(SUM($S$11:$S21)+$T$7,2),$T$7*2,$T$7)),"")</f>
        <v>0</v>
      </c>
      <c r="T22" s="3">
        <f>IF($K22&lt;&gt;"",IF($A22="Prepago",0,IF(ROUND(($H22+SUM($B$12:$B22))*$T$8,2)&gt;ROUND(SUM($T$11:$T21)+$T$8,2),$T$8*2,$T$8)),"")</f>
        <v>0</v>
      </c>
      <c r="U22" s="3">
        <f t="shared" si="10"/>
        <v>11149.669999999998</v>
      </c>
      <c r="V22" s="3">
        <f t="shared" si="12"/>
        <v>0</v>
      </c>
      <c r="W22" s="3">
        <f t="shared" si="11"/>
        <v>120.63000000000001</v>
      </c>
      <c r="X22" s="3">
        <f>IF($K22&lt;&gt;"",IF($M22&gt;X$11,30,$M22)*ROUND(($N22+$V21)*$U$5/3000,2),"")</f>
        <v>116.7</v>
      </c>
      <c r="Y22" s="3">
        <f>IF($K22&lt;&gt;"",IF($M22&gt;X$11,IF($M22&lt;Y$11,$M22-X$11,30),0)*ROUND(($N22+$V21+SUM($X22:X22))*$U$5/3000,2),"")</f>
        <v>3.93</v>
      </c>
      <c r="Z22" s="3"/>
      <c r="AA22" s="3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</row>
    <row r="23" spans="1:84" x14ac:dyDescent="0.25">
      <c r="E23" s="5"/>
      <c r="F23" t="str">
        <f t="shared" si="0"/>
        <v>do</v>
      </c>
      <c r="G23" s="5">
        <f>IF($K23&lt;&gt;"",IF(DAY(EOMONTH(DATE(YEAR($M$6),$G$11+K23+SUM($B$12:B23),1),0))&gt;DAY($M$7),DATE(YEAR($M$7),MONTH($M$7)+($A$1*($H23-1))+SUM($B$12:$B23),DAY($M$7)),EOMONTH(DATE(YEAR($M$6),$G$11+K23+SUM($B$12:B23),1),0)),"")</f>
        <v>44255</v>
      </c>
      <c r="H23" s="22">
        <f t="shared" si="1"/>
        <v>12</v>
      </c>
      <c r="I23" s="22">
        <f t="shared" si="2"/>
        <v>109.03999999999999</v>
      </c>
      <c r="J23" s="22">
        <f t="shared" si="3"/>
        <v>0</v>
      </c>
      <c r="K23">
        <f t="shared" si="4"/>
        <v>12</v>
      </c>
      <c r="L23" s="5">
        <f>IF($K23&lt;&gt;"",IF($E23="",IF(ULTIMODIA=0,DATE(YEAR($M$7),MONTH($M$7)+($A$1*($H23-1))+SUM($B$12:$B23),DAY($M$7)),$G23),$E23),"")</f>
        <v>44255</v>
      </c>
      <c r="M23" s="9">
        <f t="shared" si="5"/>
        <v>29</v>
      </c>
      <c r="N23" s="3">
        <f t="shared" si="6"/>
        <v>11149.669999999998</v>
      </c>
      <c r="O23" s="3">
        <f t="shared" si="7"/>
        <v>507.75999999999993</v>
      </c>
      <c r="P23" s="3">
        <f t="shared" si="8"/>
        <v>398.71999999999991</v>
      </c>
      <c r="Q23" s="3">
        <f t="shared" si="9"/>
        <v>109.03999999999999</v>
      </c>
      <c r="R23" s="3">
        <f>IF($K23&lt;&gt;"",IF($A23="Prepago",0,IF(ROUND(($H23+SUM($B$12:$B23))*$T$6,2)&gt;ROUND(SUM($R$11:$R22)+$T$6,2),$T$6*2,$T$6)),"")</f>
        <v>0</v>
      </c>
      <c r="S23" s="3">
        <f>IF($K23&lt;&gt;"",IF($A23="Prepago",0,IF(ROUND(($H23+SUM($B$12:$B23))*$T$7,2)&gt;ROUND(SUM($S$11:$S22)+$T$7,2),$T$7*2,$T$7)),"")</f>
        <v>0</v>
      </c>
      <c r="T23" s="3">
        <f>IF($K23&lt;&gt;"",IF($A23="Prepago",0,IF(ROUND(($H23+SUM($B$12:$B23))*$T$8,2)&gt;ROUND(SUM($T$11:$T22)+$T$8,2),$T$8*2,$T$8)),"")</f>
        <v>0</v>
      </c>
      <c r="U23" s="3">
        <f t="shared" si="10"/>
        <v>10750.949999999999</v>
      </c>
      <c r="V23" s="3">
        <f t="shared" si="12"/>
        <v>0</v>
      </c>
      <c r="W23" s="3">
        <f t="shared" si="11"/>
        <v>109.03999999999999</v>
      </c>
      <c r="X23" s="3">
        <f>IF($K23&lt;&gt;"",IF($M23&gt;X$11,30,$M23)*ROUND(($N23+$V22)*$U$5/3000,2),"")</f>
        <v>109.03999999999999</v>
      </c>
      <c r="Y23" s="3">
        <f>IF($K23&lt;&gt;"",IF($M23&gt;X$11,IF($M23&lt;Y$11,$M23-X$11,30),0)*ROUND(($N23+$V22+SUM($X23:X23))*$U$5/3000,2),"")</f>
        <v>0</v>
      </c>
      <c r="Z23" s="3"/>
      <c r="AA23" s="3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</row>
    <row r="24" spans="1:84" x14ac:dyDescent="0.25">
      <c r="E24" s="5"/>
      <c r="F24" t="str">
        <f t="shared" si="0"/>
        <v>ma</v>
      </c>
      <c r="G24" s="5">
        <f>IF($K24&lt;&gt;"",IF(DAY(EOMONTH(DATE(YEAR($M$6),$G$11+K24+SUM($B$12:B24),1),0))&gt;DAY($M$7),DATE(YEAR($M$7),MONTH($M$7)+($A$1*($H24-1))+SUM($B$12:$B24),DAY($M$7)),EOMONTH(DATE(YEAR($M$6),$G$11+K24+SUM($B$12:B24),1),0)),"")</f>
        <v>44285</v>
      </c>
      <c r="H24" s="22">
        <f t="shared" si="1"/>
        <v>13</v>
      </c>
      <c r="I24" s="22">
        <f t="shared" si="2"/>
        <v>108.89999999999999</v>
      </c>
      <c r="J24" s="22">
        <f t="shared" si="3"/>
        <v>0</v>
      </c>
      <c r="K24">
        <f t="shared" si="4"/>
        <v>13</v>
      </c>
      <c r="L24" s="5">
        <f>IF($K24&lt;&gt;"",IF($E24="",IF(ULTIMODIA=0,DATE(YEAR($M$7),MONTH($M$7)+($A$1*($H24-1))+SUM($B$12:$B24),DAY($M$7)),$G24),$E24),"")</f>
        <v>44285</v>
      </c>
      <c r="M24" s="9">
        <f t="shared" si="5"/>
        <v>30</v>
      </c>
      <c r="N24" s="3">
        <f t="shared" si="6"/>
        <v>10750.949999999999</v>
      </c>
      <c r="O24" s="3">
        <f t="shared" si="7"/>
        <v>507.75999999999993</v>
      </c>
      <c r="P24" s="3">
        <f t="shared" si="8"/>
        <v>398.85999999999996</v>
      </c>
      <c r="Q24" s="3">
        <f t="shared" si="9"/>
        <v>108.89999999999999</v>
      </c>
      <c r="R24" s="3">
        <f>IF($K24&lt;&gt;"",IF($A24="Prepago",0,IF(ROUND(($H24+SUM($B$12:$B24))*$T$6,2)&gt;ROUND(SUM($R$11:$R23)+$T$6,2),$T$6*2,$T$6)),"")</f>
        <v>0</v>
      </c>
      <c r="S24" s="3">
        <f>IF($K24&lt;&gt;"",IF($A24="Prepago",0,IF(ROUND(($H24+SUM($B$12:$B24))*$T$7,2)&gt;ROUND(SUM($S$11:$S23)+$T$7,2),$T$7*2,$T$7)),"")</f>
        <v>0</v>
      </c>
      <c r="T24" s="3">
        <f>IF($K24&lt;&gt;"",IF($A24="Prepago",0,IF(ROUND(($H24+SUM($B$12:$B24))*$T$8,2)&gt;ROUND(SUM($T$11:$T23)+$T$8,2),$T$8*2,$T$8)),"")</f>
        <v>0</v>
      </c>
      <c r="U24" s="3">
        <f t="shared" si="10"/>
        <v>10352.089999999998</v>
      </c>
      <c r="V24" s="3">
        <f t="shared" si="12"/>
        <v>0</v>
      </c>
      <c r="W24" s="3">
        <f t="shared" si="11"/>
        <v>108.89999999999999</v>
      </c>
      <c r="X24" s="3">
        <f>IF($K24&lt;&gt;"",IF($M24&gt;X$11,30,$M24)*ROUND(($N24+$V23)*$U$5/3000,2),"")</f>
        <v>108.89999999999999</v>
      </c>
      <c r="Y24" s="3">
        <f>IF($K24&lt;&gt;"",IF($M24&gt;X$11,IF($M24&lt;Y$11,$M24-X$11,30),0)*ROUND(($N24+$V23+SUM($X24:X24))*$U$5/3000,2),"")</f>
        <v>0</v>
      </c>
      <c r="Z24" s="3"/>
      <c r="AA24" s="3"/>
      <c r="AB24" s="3"/>
      <c r="AC24" s="3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</row>
    <row r="25" spans="1:84" x14ac:dyDescent="0.25">
      <c r="E25" s="5"/>
      <c r="F25" t="str">
        <f t="shared" si="0"/>
        <v>vi</v>
      </c>
      <c r="G25" s="5">
        <f>IF($K25&lt;&gt;"",IF(DAY(EOMONTH(DATE(YEAR($M$6),$G$11+K25+SUM($B$12:B25),1),0))&gt;DAY($M$7),DATE(YEAR($M$7),MONTH($M$7)+($A$1*($H25-1))+SUM($B$12:$B25),DAY($M$7)),EOMONTH(DATE(YEAR($M$6),$G$11+K25+SUM($B$12:B25),1),0)),"")</f>
        <v>44316</v>
      </c>
      <c r="H25" s="22">
        <f t="shared" si="1"/>
        <v>14</v>
      </c>
      <c r="I25" s="22">
        <f t="shared" si="2"/>
        <v>108.23</v>
      </c>
      <c r="J25" s="22">
        <f t="shared" si="3"/>
        <v>0</v>
      </c>
      <c r="K25">
        <f t="shared" si="4"/>
        <v>14</v>
      </c>
      <c r="L25" s="5">
        <f>IF($K25&lt;&gt;"",IF($E25="",IF(ULTIMODIA=0,DATE(YEAR($M$7),MONTH($M$7)+($A$1*($H25-1))+SUM($B$12:$B25),DAY($M$7)),$G25),$E25),"")</f>
        <v>44316</v>
      </c>
      <c r="M25" s="9">
        <f t="shared" si="5"/>
        <v>31</v>
      </c>
      <c r="N25" s="3">
        <f t="shared" si="6"/>
        <v>10352.089999999998</v>
      </c>
      <c r="O25" s="3">
        <f t="shared" si="7"/>
        <v>507.75999999999993</v>
      </c>
      <c r="P25" s="3">
        <f t="shared" si="8"/>
        <v>399.52999999999992</v>
      </c>
      <c r="Q25" s="3">
        <f t="shared" si="9"/>
        <v>108.23</v>
      </c>
      <c r="R25" s="3">
        <f>IF($K25&lt;&gt;"",IF($A25="Prepago",0,IF(ROUND(($H25+SUM($B$12:$B25))*$T$6,2)&gt;ROUND(SUM($R$11:$R24)+$T$6,2),$T$6*2,$T$6)),"")</f>
        <v>0</v>
      </c>
      <c r="S25" s="3">
        <f>IF($K25&lt;&gt;"",IF($A25="Prepago",0,IF(ROUND(($H25+SUM($B$12:$B25))*$T$7,2)&gt;ROUND(SUM($S$11:$S24)+$T$7,2),$T$7*2,$T$7)),"")</f>
        <v>0</v>
      </c>
      <c r="T25" s="3">
        <f>IF($K25&lt;&gt;"",IF($A25="Prepago",0,IF(ROUND(($H25+SUM($B$12:$B25))*$T$8,2)&gt;ROUND(SUM($T$11:$T24)+$T$8,2),$T$8*2,$T$8)),"")</f>
        <v>0</v>
      </c>
      <c r="U25" s="3">
        <f t="shared" si="10"/>
        <v>9952.5599999999977</v>
      </c>
      <c r="V25" s="3">
        <f t="shared" si="12"/>
        <v>0</v>
      </c>
      <c r="W25" s="3">
        <f t="shared" si="11"/>
        <v>108.23</v>
      </c>
      <c r="X25" s="3">
        <f>IF($K25&lt;&gt;"",IF($M25&gt;X$11,30,$M25)*ROUND(($N25+$V24)*$U$5/3000,2),"")</f>
        <v>104.7</v>
      </c>
      <c r="Y25" s="3">
        <f>IF($K25&lt;&gt;"",IF($M25&gt;X$11,IF($M25&lt;Y$11,$M25-X$11,30),0)*ROUND(($N25+$V24+SUM($X25:X25))*$U$5/3000,2),"")</f>
        <v>3.53</v>
      </c>
      <c r="Z25" s="3"/>
      <c r="AA25" s="3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</row>
    <row r="26" spans="1:84" x14ac:dyDescent="0.25">
      <c r="E26" s="5"/>
      <c r="F26" t="str">
        <f t="shared" si="0"/>
        <v>do</v>
      </c>
      <c r="G26" s="5">
        <f>IF($K26&lt;&gt;"",IF(DAY(EOMONTH(DATE(YEAR($M$6),$G$11+K26+SUM($B$12:B26),1),0))&gt;DAY($M$7),DATE(YEAR($M$7),MONTH($M$7)+($A$1*($H26-1))+SUM($B$12:$B26),DAY($M$7)),EOMONTH(DATE(YEAR($M$6),$G$11+K26+SUM($B$12:B26),1),0)),"")</f>
        <v>44346</v>
      </c>
      <c r="H26" s="22">
        <f t="shared" si="1"/>
        <v>15</v>
      </c>
      <c r="I26" s="22">
        <f t="shared" si="2"/>
        <v>100.8</v>
      </c>
      <c r="J26" s="22">
        <f t="shared" si="3"/>
        <v>0</v>
      </c>
      <c r="K26">
        <f t="shared" si="4"/>
        <v>15</v>
      </c>
      <c r="L26" s="5">
        <f>IF($K26&lt;&gt;"",IF($E26="",IF(ULTIMODIA=0,DATE(YEAR($M$7),MONTH($M$7)+($A$1*($H26-1))+SUM($B$12:$B26),DAY($M$7)),$G26),$E26),"")</f>
        <v>44346</v>
      </c>
      <c r="M26" s="9">
        <f t="shared" si="5"/>
        <v>30</v>
      </c>
      <c r="N26" s="3">
        <f t="shared" si="6"/>
        <v>9952.5599999999977</v>
      </c>
      <c r="O26" s="3">
        <f t="shared" si="7"/>
        <v>507.75999999999993</v>
      </c>
      <c r="P26" s="3">
        <f t="shared" si="8"/>
        <v>406.95999999999992</v>
      </c>
      <c r="Q26" s="3">
        <f t="shared" si="9"/>
        <v>100.8</v>
      </c>
      <c r="R26" s="3">
        <f>IF($K26&lt;&gt;"",IF($A26="Prepago",0,IF(ROUND(($H26+SUM($B$12:$B26))*$T$6,2)&gt;ROUND(SUM($R$11:$R25)+$T$6,2),$T$6*2,$T$6)),"")</f>
        <v>0</v>
      </c>
      <c r="S26" s="3">
        <f>IF($K26&lt;&gt;"",IF($A26="Prepago",0,IF(ROUND(($H26+SUM($B$12:$B26))*$T$7,2)&gt;ROUND(SUM($S$11:$S25)+$T$7,2),$T$7*2,$T$7)),"")</f>
        <v>0</v>
      </c>
      <c r="T26" s="3">
        <f>IF($K26&lt;&gt;"",IF($A26="Prepago",0,IF(ROUND(($H26+SUM($B$12:$B26))*$T$8,2)&gt;ROUND(SUM($T$11:$T25)+$T$8,2),$T$8*2,$T$8)),"")</f>
        <v>0</v>
      </c>
      <c r="U26" s="3">
        <f t="shared" si="10"/>
        <v>9545.5999999999985</v>
      </c>
      <c r="V26" s="3">
        <f t="shared" si="12"/>
        <v>0</v>
      </c>
      <c r="W26" s="3">
        <f t="shared" si="11"/>
        <v>100.8</v>
      </c>
      <c r="X26" s="3">
        <f>IF($K26&lt;&gt;"",IF($M26&gt;X$11,30,$M26)*ROUND(($N26+$V25)*$U$5/3000,2),"")</f>
        <v>100.8</v>
      </c>
      <c r="Y26" s="3">
        <f>IF($K26&lt;&gt;"",IF($M26&gt;X$11,IF($M26&lt;Y$11,$M26-X$11,30),0)*ROUND(($N26+$V25+SUM($X26:X26))*$U$5/3000,2),"")</f>
        <v>0</v>
      </c>
      <c r="Z26" s="3"/>
      <c r="AA26" s="3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</row>
    <row r="27" spans="1:84" x14ac:dyDescent="0.25">
      <c r="E27" s="5"/>
      <c r="F27" t="str">
        <f t="shared" si="0"/>
        <v>mi</v>
      </c>
      <c r="G27" s="5">
        <f>IF($K27&lt;&gt;"",IF(DAY(EOMONTH(DATE(YEAR($M$6),$G$11+K27+SUM($B$12:B27),1),0))&gt;DAY($M$7),DATE(YEAR($M$7),MONTH($M$7)+($A$1*($H27-1))+SUM($B$12:$B27),DAY($M$7)),EOMONTH(DATE(YEAR($M$6),$G$11+K27+SUM($B$12:B27),1),0)),"")</f>
        <v>44377</v>
      </c>
      <c r="H27" s="22">
        <f t="shared" si="1"/>
        <v>16</v>
      </c>
      <c r="I27" s="22">
        <f t="shared" si="2"/>
        <v>99.850000000000009</v>
      </c>
      <c r="J27" s="22">
        <f t="shared" si="3"/>
        <v>0</v>
      </c>
      <c r="K27">
        <f t="shared" si="4"/>
        <v>16</v>
      </c>
      <c r="L27" s="5">
        <f>IF($K27&lt;&gt;"",IF($E27="",IF(ULTIMODIA=0,DATE(YEAR($M$7),MONTH($M$7)+($A$1*($H27-1))+SUM($B$12:$B27),DAY($M$7)),$G27),$E27),"")</f>
        <v>44377</v>
      </c>
      <c r="M27" s="9">
        <f t="shared" si="5"/>
        <v>31</v>
      </c>
      <c r="N27" s="3">
        <f t="shared" si="6"/>
        <v>9545.5999999999985</v>
      </c>
      <c r="O27" s="3">
        <f t="shared" si="7"/>
        <v>507.75999999999993</v>
      </c>
      <c r="P27" s="3">
        <f t="shared" si="8"/>
        <v>407.90999999999991</v>
      </c>
      <c r="Q27" s="3">
        <f t="shared" si="9"/>
        <v>99.850000000000009</v>
      </c>
      <c r="R27" s="3">
        <f>IF($K27&lt;&gt;"",IF($A27="Prepago",0,IF(ROUND(($H27+SUM($B$12:$B27))*$T$6,2)&gt;ROUND(SUM($R$11:$R26)+$T$6,2),$T$6*2,$T$6)),"")</f>
        <v>0</v>
      </c>
      <c r="S27" s="3">
        <f>IF($K27&lt;&gt;"",IF($A27="Prepago",0,IF(ROUND(($H27+SUM($B$12:$B27))*$T$7,2)&gt;ROUND(SUM($S$11:$S26)+$T$7,2),$T$7*2,$T$7)),"")</f>
        <v>0</v>
      </c>
      <c r="T27" s="3">
        <f>IF($K27&lt;&gt;"",IF($A27="Prepago",0,IF(ROUND(($H27+SUM($B$12:$B27))*$T$8,2)&gt;ROUND(SUM($T$11:$T26)+$T$8,2),$T$8*2,$T$8)),"")</f>
        <v>0</v>
      </c>
      <c r="U27" s="3">
        <f t="shared" si="10"/>
        <v>9137.6899999999987</v>
      </c>
      <c r="V27" s="3">
        <f t="shared" si="12"/>
        <v>0</v>
      </c>
      <c r="W27" s="3">
        <f t="shared" si="11"/>
        <v>99.850000000000009</v>
      </c>
      <c r="X27" s="3">
        <f>IF($K27&lt;&gt;"",IF($M27&gt;X$11,30,$M27)*ROUND(($N27+$V26)*$U$5/3000,2),"")</f>
        <v>96.600000000000009</v>
      </c>
      <c r="Y27" s="3">
        <f>IF($K27&lt;&gt;"",IF($M27&gt;X$11,IF($M27&lt;Y$11,$M27-X$11,30),0)*ROUND(($N27+$V26+SUM($X27:X27))*$U$5/3000,2),"")</f>
        <v>3.25</v>
      </c>
      <c r="Z27" s="3"/>
      <c r="AA27" s="3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</row>
    <row r="28" spans="1:84" x14ac:dyDescent="0.25">
      <c r="E28" s="5"/>
      <c r="F28" t="str">
        <f t="shared" si="0"/>
        <v>vi</v>
      </c>
      <c r="G28" s="5">
        <f>IF($K28&lt;&gt;"",IF(DAY(EOMONTH(DATE(YEAR($M$6),$G$11+K28+SUM($B$12:B28),1),0))&gt;DAY($M$7),DATE(YEAR($M$7),MONTH($M$7)+($A$1*($H28-1))+SUM($B$12:$B28),DAY($M$7)),EOMONTH(DATE(YEAR($M$6),$G$11+K28+SUM($B$12:B28),1),0)),"")</f>
        <v>44407</v>
      </c>
      <c r="H28" s="22">
        <f t="shared" si="1"/>
        <v>17</v>
      </c>
      <c r="I28" s="22">
        <f t="shared" si="2"/>
        <v>92.4</v>
      </c>
      <c r="J28" s="22">
        <f t="shared" si="3"/>
        <v>0</v>
      </c>
      <c r="K28">
        <f t="shared" si="4"/>
        <v>17</v>
      </c>
      <c r="L28" s="5">
        <f>IF($K28&lt;&gt;"",IF($E28="",IF(ULTIMODIA=0,DATE(YEAR($M$7),MONTH($M$7)+($A$1*($H28-1))+SUM($B$12:$B28),DAY($M$7)),$G28),$E28),"")</f>
        <v>44407</v>
      </c>
      <c r="M28" s="9">
        <f t="shared" si="5"/>
        <v>30</v>
      </c>
      <c r="N28" s="3">
        <f t="shared" si="6"/>
        <v>9137.6899999999987</v>
      </c>
      <c r="O28" s="3">
        <f t="shared" si="7"/>
        <v>507.75999999999993</v>
      </c>
      <c r="P28" s="3">
        <f t="shared" si="8"/>
        <v>415.3599999999999</v>
      </c>
      <c r="Q28" s="3">
        <f t="shared" si="9"/>
        <v>92.4</v>
      </c>
      <c r="R28" s="3">
        <f>IF($K28&lt;&gt;"",IF($A28="Prepago",0,IF(ROUND(($H28+SUM($B$12:$B28))*$T$6,2)&gt;ROUND(SUM($R$11:$R27)+$T$6,2),$T$6*2,$T$6)),"")</f>
        <v>0</v>
      </c>
      <c r="S28" s="3">
        <f>IF($K28&lt;&gt;"",IF($A28="Prepago",0,IF(ROUND(($H28+SUM($B$12:$B28))*$T$7,2)&gt;ROUND(SUM($S$11:$S27)+$T$7,2),$T$7*2,$T$7)),"")</f>
        <v>0</v>
      </c>
      <c r="T28" s="3">
        <f>IF($K28&lt;&gt;"",IF($A28="Prepago",0,IF(ROUND(($H28+SUM($B$12:$B28))*$T$8,2)&gt;ROUND(SUM($T$11:$T27)+$T$8,2),$T$8*2,$T$8)),"")</f>
        <v>0</v>
      </c>
      <c r="U28" s="3">
        <f t="shared" si="10"/>
        <v>8722.3299999999981</v>
      </c>
      <c r="V28" s="3">
        <f t="shared" si="12"/>
        <v>0</v>
      </c>
      <c r="W28" s="3">
        <f t="shared" si="11"/>
        <v>92.4</v>
      </c>
      <c r="X28" s="3">
        <f>IF($K28&lt;&gt;"",IF($M28&gt;X$11,30,$M28)*ROUND(($N28+$V27)*$U$5/3000,2),"")</f>
        <v>92.4</v>
      </c>
      <c r="Y28" s="3">
        <f>IF($K28&lt;&gt;"",IF($M28&gt;X$11,IF($M28&lt;Y$11,$M28-X$11,30),0)*ROUND(($N28+$V27+SUM($X28:X28))*$U$5/3000,2),"")</f>
        <v>0</v>
      </c>
      <c r="Z28" s="3"/>
      <c r="AA28" s="3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</row>
    <row r="29" spans="1:84" x14ac:dyDescent="0.25">
      <c r="E29" s="5"/>
      <c r="F29" t="str">
        <f t="shared" si="0"/>
        <v>lu</v>
      </c>
      <c r="G29" s="5">
        <f>IF($K29&lt;&gt;"",IF(DAY(EOMONTH(DATE(YEAR($M$6),$G$11+K29+SUM($B$12:B29),1),0))&gt;DAY($M$7),DATE(YEAR($M$7),MONTH($M$7)+($A$1*($H29-1))+SUM($B$12:$B29),DAY($M$7)),EOMONTH(DATE(YEAR($M$6),$G$11+K29+SUM($B$12:B29),1),0)),"")</f>
        <v>44438</v>
      </c>
      <c r="H29" s="22">
        <f t="shared" si="1"/>
        <v>18</v>
      </c>
      <c r="I29" s="22">
        <f t="shared" si="2"/>
        <v>91.17</v>
      </c>
      <c r="J29" s="22">
        <f t="shared" si="3"/>
        <v>0</v>
      </c>
      <c r="K29">
        <f t="shared" si="4"/>
        <v>18</v>
      </c>
      <c r="L29" s="5">
        <f>IF($K29&lt;&gt;"",IF($E29="",IF(ULTIMODIA=0,DATE(YEAR($M$7),MONTH($M$7)+($A$1*($H29-1))+SUM($B$12:$B29),DAY($M$7)),$G29),$E29),"")</f>
        <v>44438</v>
      </c>
      <c r="M29" s="9">
        <f t="shared" si="5"/>
        <v>31</v>
      </c>
      <c r="N29" s="3">
        <f t="shared" si="6"/>
        <v>8722.3299999999981</v>
      </c>
      <c r="O29" s="3">
        <f t="shared" si="7"/>
        <v>507.75999999999993</v>
      </c>
      <c r="P29" s="3">
        <f t="shared" si="8"/>
        <v>416.58999999999992</v>
      </c>
      <c r="Q29" s="3">
        <f t="shared" si="9"/>
        <v>91.17</v>
      </c>
      <c r="R29" s="3">
        <f>IF($K29&lt;&gt;"",IF($A29="Prepago",0,IF(ROUND(($H29+SUM($B$12:$B29))*$T$6,2)&gt;ROUND(SUM($R$11:$R28)+$T$6,2),$T$6*2,$T$6)),"")</f>
        <v>0</v>
      </c>
      <c r="S29" s="3">
        <f>IF($K29&lt;&gt;"",IF($A29="Prepago",0,IF(ROUND(($H29+SUM($B$12:$B29))*$T$7,2)&gt;ROUND(SUM($S$11:$S28)+$T$7,2),$T$7*2,$T$7)),"")</f>
        <v>0</v>
      </c>
      <c r="T29" s="3">
        <f>IF($K29&lt;&gt;"",IF($A29="Prepago",0,IF(ROUND(($H29+SUM($B$12:$B29))*$T$8,2)&gt;ROUND(SUM($T$11:$T28)+$T$8,2),$T$8*2,$T$8)),"")</f>
        <v>0</v>
      </c>
      <c r="U29" s="3">
        <f t="shared" si="10"/>
        <v>8305.739999999998</v>
      </c>
      <c r="V29" s="3">
        <f t="shared" si="12"/>
        <v>0</v>
      </c>
      <c r="W29" s="3">
        <f t="shared" si="11"/>
        <v>91.17</v>
      </c>
      <c r="X29" s="3">
        <f>IF($K29&lt;&gt;"",IF($M29&gt;X$11,30,$M29)*ROUND(($N29+$V28)*$U$5/3000,2),"")</f>
        <v>88.2</v>
      </c>
      <c r="Y29" s="3">
        <f>IF($K29&lt;&gt;"",IF($M29&gt;X$11,IF($M29&lt;Y$11,$M29-X$11,30),0)*ROUND(($N29+$V28+SUM($X29:X29))*$U$5/3000,2),"")</f>
        <v>2.97</v>
      </c>
      <c r="Z29" s="3"/>
      <c r="AA29" s="3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</row>
    <row r="30" spans="1:84" x14ac:dyDescent="0.25">
      <c r="E30" s="5"/>
      <c r="F30" t="str">
        <f t="shared" si="0"/>
        <v>ju</v>
      </c>
      <c r="G30" s="5">
        <f>IF($K30&lt;&gt;"",IF(DAY(EOMONTH(DATE(YEAR($M$6),$G$11+K30+SUM($B$12:B30),1),0))&gt;DAY($M$7),DATE(YEAR($M$7),MONTH($M$7)+($A$1*($H30-1))+SUM($B$12:$B30),DAY($M$7)),EOMONTH(DATE(YEAR($M$6),$G$11+K30+SUM($B$12:B30),1),0)),"")</f>
        <v>44469</v>
      </c>
      <c r="H30" s="22">
        <f t="shared" si="1"/>
        <v>19</v>
      </c>
      <c r="I30" s="22">
        <f t="shared" si="2"/>
        <v>86.83</v>
      </c>
      <c r="J30" s="22">
        <f t="shared" si="3"/>
        <v>0</v>
      </c>
      <c r="K30">
        <f t="shared" si="4"/>
        <v>19</v>
      </c>
      <c r="L30" s="5">
        <f>IF($K30&lt;&gt;"",IF($E30="",IF(ULTIMODIA=0,DATE(YEAR($M$7),MONTH($M$7)+($A$1*($H30-1))+SUM($B$12:$B30),DAY($M$7)),$G30),$E30),"")</f>
        <v>44469</v>
      </c>
      <c r="M30" s="9">
        <f t="shared" si="5"/>
        <v>31</v>
      </c>
      <c r="N30" s="3">
        <f t="shared" si="6"/>
        <v>8305.739999999998</v>
      </c>
      <c r="O30" s="3">
        <f t="shared" si="7"/>
        <v>507.75999999999993</v>
      </c>
      <c r="P30" s="3">
        <f t="shared" si="8"/>
        <v>420.92999999999995</v>
      </c>
      <c r="Q30" s="3">
        <f t="shared" si="9"/>
        <v>86.83</v>
      </c>
      <c r="R30" s="3">
        <f>IF($K30&lt;&gt;"",IF($A30="Prepago",0,IF(ROUND(($H30+SUM($B$12:$B30))*$T$6,2)&gt;ROUND(SUM($R$11:$R29)+$T$6,2),$T$6*2,$T$6)),"")</f>
        <v>0</v>
      </c>
      <c r="S30" s="3">
        <f>IF($K30&lt;&gt;"",IF($A30="Prepago",0,IF(ROUND(($H30+SUM($B$12:$B30))*$T$7,2)&gt;ROUND(SUM($S$11:$S29)+$T$7,2),$T$7*2,$T$7)),"")</f>
        <v>0</v>
      </c>
      <c r="T30" s="3">
        <f>IF($K30&lt;&gt;"",IF($A30="Prepago",0,IF(ROUND(($H30+SUM($B$12:$B30))*$T$8,2)&gt;ROUND(SUM($T$11:$T29)+$T$8,2),$T$8*2,$T$8)),"")</f>
        <v>0</v>
      </c>
      <c r="U30" s="3">
        <f t="shared" si="10"/>
        <v>7884.8099999999977</v>
      </c>
      <c r="V30" s="3">
        <f t="shared" si="12"/>
        <v>0</v>
      </c>
      <c r="W30" s="3">
        <f t="shared" si="11"/>
        <v>86.83</v>
      </c>
      <c r="X30" s="3">
        <f>IF($K30&lt;&gt;"",IF($M30&gt;X$11,30,$M30)*ROUND(($N30+$V29)*$U$5/3000,2),"")</f>
        <v>84</v>
      </c>
      <c r="Y30" s="3">
        <f>IF($K30&lt;&gt;"",IF($M30&gt;X$11,IF($M30&lt;Y$11,$M30-X$11,30),0)*ROUND(($N30+$V29+SUM($X30:X30))*$U$5/3000,2),"")</f>
        <v>2.83</v>
      </c>
      <c r="Z30" s="3"/>
      <c r="AA30" s="3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</row>
    <row r="31" spans="1:84" x14ac:dyDescent="0.25">
      <c r="E31" s="5"/>
      <c r="F31" t="str">
        <f t="shared" si="0"/>
        <v>sá</v>
      </c>
      <c r="G31" s="5">
        <f>IF($K31&lt;&gt;"",IF(DAY(EOMONTH(DATE(YEAR($M$6),$G$11+K31+SUM($B$12:B31),1),0))&gt;DAY($M$7),DATE(YEAR($M$7),MONTH($M$7)+($A$1*($H31-1))+SUM($B$12:$B31),DAY($M$7)),EOMONTH(DATE(YEAR($M$6),$G$11+K31+SUM($B$12:B31),1),0)),"")</f>
        <v>44499</v>
      </c>
      <c r="H31" s="22">
        <f t="shared" si="1"/>
        <v>20</v>
      </c>
      <c r="I31" s="22">
        <f t="shared" si="2"/>
        <v>79.800000000000011</v>
      </c>
      <c r="J31" s="22">
        <f t="shared" si="3"/>
        <v>0</v>
      </c>
      <c r="K31">
        <f t="shared" si="4"/>
        <v>20</v>
      </c>
      <c r="L31" s="5">
        <f>IF($K31&lt;&gt;"",IF($E31="",IF(ULTIMODIA=0,DATE(YEAR($M$7),MONTH($M$7)+($A$1*($H31-1))+SUM($B$12:$B31),DAY($M$7)),$G31),$E31),"")</f>
        <v>44499</v>
      </c>
      <c r="M31" s="9">
        <f t="shared" si="5"/>
        <v>30</v>
      </c>
      <c r="N31" s="3">
        <f t="shared" si="6"/>
        <v>7884.8099999999977</v>
      </c>
      <c r="O31" s="3">
        <f t="shared" si="7"/>
        <v>507.75999999999993</v>
      </c>
      <c r="P31" s="3">
        <f t="shared" si="8"/>
        <v>427.95999999999992</v>
      </c>
      <c r="Q31" s="3">
        <f t="shared" si="9"/>
        <v>79.800000000000011</v>
      </c>
      <c r="R31" s="3">
        <f>IF($K31&lt;&gt;"",IF($A31="Prepago",0,IF(ROUND(($H31+SUM($B$12:$B31))*$T$6,2)&gt;ROUND(SUM($R$11:$R30)+$T$6,2),$T$6*2,$T$6)),"")</f>
        <v>0</v>
      </c>
      <c r="S31" s="3">
        <f>IF($K31&lt;&gt;"",IF($A31="Prepago",0,IF(ROUND(($H31+SUM($B$12:$B31))*$T$7,2)&gt;ROUND(SUM($S$11:$S30)+$T$7,2),$T$7*2,$T$7)),"")</f>
        <v>0</v>
      </c>
      <c r="T31" s="3">
        <f>IF($K31&lt;&gt;"",IF($A31="Prepago",0,IF(ROUND(($H31+SUM($B$12:$B31))*$T$8,2)&gt;ROUND(SUM($T$11:$T30)+$T$8,2),$T$8*2,$T$8)),"")</f>
        <v>0</v>
      </c>
      <c r="U31" s="3">
        <f t="shared" si="10"/>
        <v>7456.8499999999976</v>
      </c>
      <c r="V31" s="3">
        <f t="shared" si="12"/>
        <v>0</v>
      </c>
      <c r="W31" s="3">
        <f t="shared" si="11"/>
        <v>79.800000000000011</v>
      </c>
      <c r="X31" s="3">
        <f>IF($K31&lt;&gt;"",IF($M31&gt;X$11,30,$M31)*ROUND(($N31+$V30)*$U$5/3000,2),"")</f>
        <v>79.800000000000011</v>
      </c>
      <c r="Y31" s="3">
        <f>IF($K31&lt;&gt;"",IF($M31&gt;X$11,IF($M31&lt;Y$11,$M31-X$11,30),0)*ROUND(($N31+$V30+SUM($X31:X31))*$U$5/3000,2),"")</f>
        <v>0</v>
      </c>
      <c r="Z31" s="3"/>
      <c r="AA31" s="3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</row>
    <row r="32" spans="1:84" x14ac:dyDescent="0.25">
      <c r="E32" s="5"/>
      <c r="F32" t="str">
        <f t="shared" si="0"/>
        <v>ma</v>
      </c>
      <c r="G32" s="5">
        <f>IF($K32&lt;&gt;"",IF(DAY(EOMONTH(DATE(YEAR($M$6),$G$11+K32+SUM($B$12:B32),1),0))&gt;DAY($M$7),DATE(YEAR($M$7),MONTH($M$7)+($A$1*($H32-1))+SUM($B$12:$B32),DAY($M$7)),EOMONTH(DATE(YEAR($M$6),$G$11+K32+SUM($B$12:B32),1),0)),"")</f>
        <v>44530</v>
      </c>
      <c r="H32" s="22">
        <f t="shared" si="1"/>
        <v>21</v>
      </c>
      <c r="I32" s="22">
        <f t="shared" si="2"/>
        <v>78.14</v>
      </c>
      <c r="J32" s="22">
        <f t="shared" si="3"/>
        <v>0</v>
      </c>
      <c r="K32">
        <f t="shared" si="4"/>
        <v>21</v>
      </c>
      <c r="L32" s="5">
        <f>IF($K32&lt;&gt;"",IF($E32="",IF(ULTIMODIA=0,DATE(YEAR($M$7),MONTH($M$7)+($A$1*($H32-1))+SUM($B$12:$B32),DAY($M$7)),$G32),$E32),"")</f>
        <v>44530</v>
      </c>
      <c r="M32" s="9">
        <f t="shared" si="5"/>
        <v>31</v>
      </c>
      <c r="N32" s="3">
        <f t="shared" si="6"/>
        <v>7456.8499999999976</v>
      </c>
      <c r="O32" s="3">
        <f t="shared" si="7"/>
        <v>507.75999999999993</v>
      </c>
      <c r="P32" s="3">
        <f t="shared" si="8"/>
        <v>429.61999999999995</v>
      </c>
      <c r="Q32" s="3">
        <f t="shared" si="9"/>
        <v>78.14</v>
      </c>
      <c r="R32" s="3">
        <f>IF($K32&lt;&gt;"",IF($A32="Prepago",0,IF(ROUND(($H32+SUM($B$12:$B32))*$T$6,2)&gt;ROUND(SUM($R$11:$R31)+$T$6,2),$T$6*2,$T$6)),"")</f>
        <v>0</v>
      </c>
      <c r="S32" s="3">
        <f>IF($K32&lt;&gt;"",IF($A32="Prepago",0,IF(ROUND(($H32+SUM($B$12:$B32))*$T$7,2)&gt;ROUND(SUM($S$11:$S31)+$T$7,2),$T$7*2,$T$7)),"")</f>
        <v>0</v>
      </c>
      <c r="T32" s="3">
        <f>IF($K32&lt;&gt;"",IF($A32="Prepago",0,IF(ROUND(($H32+SUM($B$12:$B32))*$T$8,2)&gt;ROUND(SUM($T$11:$T31)+$T$8,2),$T$8*2,$T$8)),"")</f>
        <v>0</v>
      </c>
      <c r="U32" s="3">
        <f t="shared" si="10"/>
        <v>7027.2299999999977</v>
      </c>
      <c r="V32" s="3">
        <f t="shared" si="12"/>
        <v>0</v>
      </c>
      <c r="W32" s="3">
        <f t="shared" si="11"/>
        <v>78.14</v>
      </c>
      <c r="X32" s="3">
        <f>IF($K32&lt;&gt;"",IF($M32&gt;X$11,30,$M32)*ROUND(($N32+$V31)*$U$5/3000,2),"")</f>
        <v>75.599999999999994</v>
      </c>
      <c r="Y32" s="3">
        <f>IF($K32&lt;&gt;"",IF($M32&gt;X$11,IF($M32&lt;Y$11,$M32-X$11,30),0)*ROUND(($N32+$V31+SUM($X32:X32))*$U$5/3000,2),"")</f>
        <v>2.54</v>
      </c>
      <c r="Z32" s="3"/>
      <c r="AA32" s="3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</row>
    <row r="33" spans="5:84" x14ac:dyDescent="0.25">
      <c r="E33" s="5"/>
      <c r="F33" t="str">
        <f t="shared" si="0"/>
        <v>ju</v>
      </c>
      <c r="G33" s="5">
        <f>IF($K33&lt;&gt;"",IF(DAY(EOMONTH(DATE(YEAR($M$6),$G$11+K33+SUM($B$12:B33),1),0))&gt;DAY($M$7),DATE(YEAR($M$7),MONTH($M$7)+($A$1*($H33-1))+SUM($B$12:$B33),DAY($M$7)),EOMONTH(DATE(YEAR($M$6),$G$11+K33+SUM($B$12:B33),1),0)),"")</f>
        <v>44560</v>
      </c>
      <c r="H33" s="22">
        <f t="shared" si="1"/>
        <v>22</v>
      </c>
      <c r="I33" s="22">
        <f t="shared" si="2"/>
        <v>71.100000000000009</v>
      </c>
      <c r="J33" s="22">
        <f t="shared" si="3"/>
        <v>0</v>
      </c>
      <c r="K33">
        <f t="shared" si="4"/>
        <v>22</v>
      </c>
      <c r="L33" s="5">
        <f>IF($K33&lt;&gt;"",IF($E33="",IF(ULTIMODIA=0,DATE(YEAR($M$7),MONTH($M$7)+($A$1*($H33-1))+SUM($B$12:$B33),DAY($M$7)),$G33),$E33),"")</f>
        <v>44560</v>
      </c>
      <c r="M33" s="9">
        <f t="shared" si="5"/>
        <v>30</v>
      </c>
      <c r="N33" s="3">
        <f t="shared" si="6"/>
        <v>7027.2299999999977</v>
      </c>
      <c r="O33" s="3">
        <f t="shared" si="7"/>
        <v>507.75999999999993</v>
      </c>
      <c r="P33" s="3">
        <f t="shared" si="8"/>
        <v>436.65999999999991</v>
      </c>
      <c r="Q33" s="3">
        <f t="shared" si="9"/>
        <v>71.100000000000009</v>
      </c>
      <c r="R33" s="3">
        <f>IF($K33&lt;&gt;"",IF($A33="Prepago",0,IF(ROUND(($H33+SUM($B$12:$B33))*$T$6,2)&gt;ROUND(SUM($R$11:$R32)+$T$6,2),$T$6*2,$T$6)),"")</f>
        <v>0</v>
      </c>
      <c r="S33" s="3">
        <f>IF($K33&lt;&gt;"",IF($A33="Prepago",0,IF(ROUND(($H33+SUM($B$12:$B33))*$T$7,2)&gt;ROUND(SUM($S$11:$S32)+$T$7,2),$T$7*2,$T$7)),"")</f>
        <v>0</v>
      </c>
      <c r="T33" s="3">
        <f>IF($K33&lt;&gt;"",IF($A33="Prepago",0,IF(ROUND(($H33+SUM($B$12:$B33))*$T$8,2)&gt;ROUND(SUM($T$11:$T32)+$T$8,2),$T$8*2,$T$8)),"")</f>
        <v>0</v>
      </c>
      <c r="U33" s="3">
        <f t="shared" si="10"/>
        <v>6590.5699999999979</v>
      </c>
      <c r="V33" s="3">
        <f t="shared" si="12"/>
        <v>0</v>
      </c>
      <c r="W33" s="3">
        <f t="shared" si="11"/>
        <v>71.100000000000009</v>
      </c>
      <c r="X33" s="3">
        <f>IF($K33&lt;&gt;"",IF($M33&gt;X$11,30,$M33)*ROUND(($N33+$V32)*$U$5/3000,2),"")</f>
        <v>71.100000000000009</v>
      </c>
      <c r="Y33" s="3">
        <f>IF($K33&lt;&gt;"",IF($M33&gt;X$11,IF($M33&lt;Y$11,$M33-X$11,30),0)*ROUND(($N33+$V32+SUM($X33:X33))*$U$5/3000,2),"")</f>
        <v>0</v>
      </c>
      <c r="Z33" s="3"/>
      <c r="AA33" s="3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</row>
    <row r="34" spans="5:84" x14ac:dyDescent="0.25">
      <c r="E34" s="5"/>
      <c r="F34" t="str">
        <f t="shared" si="0"/>
        <v>do</v>
      </c>
      <c r="G34" s="5">
        <f>IF($K34&lt;&gt;"",IF(DAY(EOMONTH(DATE(YEAR($M$6),$G$11+K34+SUM($B$12:B34),1),0))&gt;DAY($M$7),DATE(YEAR($M$7),MONTH($M$7)+($A$1*($H34-1))+SUM($B$12:$B34),DAY($M$7)),EOMONTH(DATE(YEAR($M$6),$G$11+K34+SUM($B$12:B34),1),0)),"")</f>
        <v>44591</v>
      </c>
      <c r="H34" s="22">
        <f t="shared" si="1"/>
        <v>23</v>
      </c>
      <c r="I34" s="22">
        <f t="shared" si="2"/>
        <v>68.850000000000009</v>
      </c>
      <c r="J34" s="22">
        <f t="shared" si="3"/>
        <v>0</v>
      </c>
      <c r="K34">
        <f t="shared" si="4"/>
        <v>23</v>
      </c>
      <c r="L34" s="5">
        <f>IF($K34&lt;&gt;"",IF($E34="",IF(ULTIMODIA=0,DATE(YEAR($M$7),MONTH($M$7)+($A$1*($H34-1))+SUM($B$12:$B34),DAY($M$7)),$G34),$E34),"")</f>
        <v>44591</v>
      </c>
      <c r="M34" s="9">
        <f t="shared" si="5"/>
        <v>31</v>
      </c>
      <c r="N34" s="3">
        <f t="shared" si="6"/>
        <v>6590.5699999999979</v>
      </c>
      <c r="O34" s="3">
        <f t="shared" si="7"/>
        <v>507.75999999999993</v>
      </c>
      <c r="P34" s="3">
        <f t="shared" si="8"/>
        <v>438.90999999999991</v>
      </c>
      <c r="Q34" s="3">
        <f t="shared" si="9"/>
        <v>68.850000000000009</v>
      </c>
      <c r="R34" s="3">
        <f>IF($K34&lt;&gt;"",IF($A34="Prepago",0,IF(ROUND(($H34+SUM($B$12:$B34))*$T$6,2)&gt;ROUND(SUM($R$11:$R33)+$T$6,2),$T$6*2,$T$6)),"")</f>
        <v>0</v>
      </c>
      <c r="S34" s="3">
        <f>IF($K34&lt;&gt;"",IF($A34="Prepago",0,IF(ROUND(($H34+SUM($B$12:$B34))*$T$7,2)&gt;ROUND(SUM($S$11:$S33)+$T$7,2),$T$7*2,$T$7)),"")</f>
        <v>0</v>
      </c>
      <c r="T34" s="3">
        <f>IF($K34&lt;&gt;"",IF($A34="Prepago",0,IF(ROUND(($H34+SUM($B$12:$B34))*$T$8,2)&gt;ROUND(SUM($T$11:$T33)+$T$8,2),$T$8*2,$T$8)),"")</f>
        <v>0</v>
      </c>
      <c r="U34" s="3">
        <f t="shared" si="10"/>
        <v>6151.659999999998</v>
      </c>
      <c r="V34" s="3">
        <f t="shared" si="12"/>
        <v>0</v>
      </c>
      <c r="W34" s="3">
        <f t="shared" si="11"/>
        <v>68.850000000000009</v>
      </c>
      <c r="X34" s="3">
        <f>IF($K34&lt;&gt;"",IF($M34&gt;X$11,30,$M34)*ROUND(($N34+$V33)*$U$5/3000,2),"")</f>
        <v>66.600000000000009</v>
      </c>
      <c r="Y34" s="3">
        <f>IF($K34&lt;&gt;"",IF($M34&gt;X$11,IF($M34&lt;Y$11,$M34-X$11,30),0)*ROUND(($N34+$V33+SUM($X34:X34))*$U$5/3000,2),"")</f>
        <v>2.25</v>
      </c>
      <c r="Z34" s="3"/>
      <c r="AA34" s="3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</row>
    <row r="35" spans="5:84" x14ac:dyDescent="0.25">
      <c r="E35" s="5"/>
      <c r="F35" t="str">
        <f t="shared" si="0"/>
        <v>lu</v>
      </c>
      <c r="G35" s="5">
        <f>IF($K35&lt;&gt;"",IF(DAY(EOMONTH(DATE(YEAR($M$6),$G$11+K35+SUM($B$12:B35),1),0))&gt;DAY($M$7),DATE(YEAR($M$7),MONTH($M$7)+($A$1*($H35-1))+SUM($B$12:$B35),DAY($M$7)),EOMONTH(DATE(YEAR($M$6),$G$11+K35+SUM($B$12:B35),1),0)),"")</f>
        <v>44620</v>
      </c>
      <c r="H35" s="22">
        <f t="shared" si="1"/>
        <v>24</v>
      </c>
      <c r="I35" s="22">
        <f t="shared" si="2"/>
        <v>60.32</v>
      </c>
      <c r="J35" s="22">
        <f t="shared" si="3"/>
        <v>0</v>
      </c>
      <c r="K35">
        <f t="shared" si="4"/>
        <v>24</v>
      </c>
      <c r="L35" s="5">
        <f>IF($K35&lt;&gt;"",IF($E35="",IF(ULTIMODIA=0,DATE(YEAR($M$7),MONTH($M$7)+($A$1*($H35-1))+SUM($B$12:$B35),DAY($M$7)),$G35),$E35),"")</f>
        <v>44620</v>
      </c>
      <c r="M35" s="9">
        <f t="shared" si="5"/>
        <v>29</v>
      </c>
      <c r="N35" s="3">
        <f t="shared" si="6"/>
        <v>6151.659999999998</v>
      </c>
      <c r="O35" s="3">
        <f t="shared" si="7"/>
        <v>507.75999999999993</v>
      </c>
      <c r="P35" s="3">
        <f t="shared" si="8"/>
        <v>447.43999999999994</v>
      </c>
      <c r="Q35" s="3">
        <f t="shared" si="9"/>
        <v>60.32</v>
      </c>
      <c r="R35" s="3">
        <f>IF($K35&lt;&gt;"",IF($A35="Prepago",0,IF(ROUND(($H35+SUM($B$12:$B35))*$T$6,2)&gt;ROUND(SUM($R$11:$R34)+$T$6,2),$T$6*2,$T$6)),"")</f>
        <v>0</v>
      </c>
      <c r="S35" s="3">
        <f>IF($K35&lt;&gt;"",IF($A35="Prepago",0,IF(ROUND(($H35+SUM($B$12:$B35))*$T$7,2)&gt;ROUND(SUM($S$11:$S34)+$T$7,2),$T$7*2,$T$7)),"")</f>
        <v>0</v>
      </c>
      <c r="T35" s="3">
        <f>IF($K35&lt;&gt;"",IF($A35="Prepago",0,IF(ROUND(($H35+SUM($B$12:$B35))*$T$8,2)&gt;ROUND(SUM($T$11:$T34)+$T$8,2),$T$8*2,$T$8)),"")</f>
        <v>0</v>
      </c>
      <c r="U35" s="3">
        <f t="shared" si="10"/>
        <v>5704.2199999999984</v>
      </c>
      <c r="V35" s="3">
        <f t="shared" si="12"/>
        <v>0</v>
      </c>
      <c r="W35" s="3">
        <f t="shared" si="11"/>
        <v>60.32</v>
      </c>
      <c r="X35" s="3">
        <f>IF($K35&lt;&gt;"",IF($M35&gt;X$11,30,$M35)*ROUND(($N35+$V34)*$U$5/3000,2),"")</f>
        <v>60.32</v>
      </c>
      <c r="Y35" s="3">
        <f>IF($K35&lt;&gt;"",IF($M35&gt;X$11,IF($M35&lt;Y$11,$M35-X$11,30),0)*ROUND(($N35+$V34+SUM($X35:X35))*$U$5/3000,2),"")</f>
        <v>0</v>
      </c>
      <c r="Z35" s="3"/>
      <c r="AA35" s="3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</row>
    <row r="36" spans="5:84" x14ac:dyDescent="0.25">
      <c r="E36" s="5"/>
      <c r="F36" t="str">
        <f t="shared" si="0"/>
        <v>mi</v>
      </c>
      <c r="G36" s="5">
        <f>IF($K36&lt;&gt;"",IF(DAY(EOMONTH(DATE(YEAR($M$6),$G$11+K36+SUM($B$12:B36),1),0))&gt;DAY($M$7),DATE(YEAR($M$7),MONTH($M$7)+($A$1*($H36-1))+SUM($B$12:$B36),DAY($M$7)),EOMONTH(DATE(YEAR($M$6),$G$11+K36+SUM($B$12:B36),1),0)),"")</f>
        <v>44650</v>
      </c>
      <c r="H36" s="22">
        <f t="shared" si="1"/>
        <v>25</v>
      </c>
      <c r="I36" s="22">
        <f t="shared" si="2"/>
        <v>57.9</v>
      </c>
      <c r="J36" s="22">
        <f t="shared" si="3"/>
        <v>0</v>
      </c>
      <c r="K36">
        <f t="shared" si="4"/>
        <v>25</v>
      </c>
      <c r="L36" s="5">
        <f>IF($K36&lt;&gt;"",IF($E36="",IF(ULTIMODIA=0,DATE(YEAR($M$7),MONTH($M$7)+($A$1*($H36-1))+SUM($B$12:$B36),DAY($M$7)),$G36),$E36),"")</f>
        <v>44650</v>
      </c>
      <c r="M36" s="9">
        <f t="shared" si="5"/>
        <v>30</v>
      </c>
      <c r="N36" s="3">
        <f t="shared" si="6"/>
        <v>5704.2199999999984</v>
      </c>
      <c r="O36" s="3">
        <f t="shared" si="7"/>
        <v>507.75999999999993</v>
      </c>
      <c r="P36" s="3">
        <f t="shared" si="8"/>
        <v>449.85999999999996</v>
      </c>
      <c r="Q36" s="3">
        <f t="shared" si="9"/>
        <v>57.9</v>
      </c>
      <c r="R36" s="3">
        <f>IF($K36&lt;&gt;"",IF($A36="Prepago",0,IF(ROUND(($H36+SUM($B$12:$B36))*$T$6,2)&gt;ROUND(SUM($R$11:$R35)+$T$6,2),$T$6*2,$T$6)),"")</f>
        <v>0</v>
      </c>
      <c r="S36" s="3">
        <f>IF($K36&lt;&gt;"",IF($A36="Prepago",0,IF(ROUND(($H36+SUM($B$12:$B36))*$T$7,2)&gt;ROUND(SUM($S$11:$S35)+$T$7,2),$T$7*2,$T$7)),"")</f>
        <v>0</v>
      </c>
      <c r="T36" s="3">
        <f>IF($K36&lt;&gt;"",IF($A36="Prepago",0,IF(ROUND(($H36+SUM($B$12:$B36))*$T$8,2)&gt;ROUND(SUM($T$11:$T35)+$T$8,2),$T$8*2,$T$8)),"")</f>
        <v>0</v>
      </c>
      <c r="U36" s="3">
        <f t="shared" si="10"/>
        <v>5254.3599999999988</v>
      </c>
      <c r="V36" s="3">
        <f t="shared" si="12"/>
        <v>0</v>
      </c>
      <c r="W36" s="3">
        <f t="shared" si="11"/>
        <v>57.9</v>
      </c>
      <c r="X36" s="3">
        <f>IF($K36&lt;&gt;"",IF($M36&gt;X$11,30,$M36)*ROUND(($N36+$V35)*$U$5/3000,2),"")</f>
        <v>57.9</v>
      </c>
      <c r="Y36" s="3">
        <f>IF($K36&lt;&gt;"",IF($M36&gt;X$11,IF($M36&lt;Y$11,$M36-X$11,30),0)*ROUND(($N36+$V35+SUM($X36:X36))*$U$5/3000,2),"")</f>
        <v>0</v>
      </c>
      <c r="Z36" s="3"/>
      <c r="AA36" s="3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</row>
    <row r="37" spans="5:84" x14ac:dyDescent="0.25">
      <c r="E37" s="5"/>
      <c r="F37" t="str">
        <f t="shared" si="0"/>
        <v>sá</v>
      </c>
      <c r="G37" s="5">
        <f>IF($K37&lt;&gt;"",IF(DAY(EOMONTH(DATE(YEAR($M$6),$G$11+K37+SUM($B$12:B37),1),0))&gt;DAY($M$7),DATE(YEAR($M$7),MONTH($M$7)+($A$1*($H37-1))+SUM($B$12:$B37),DAY($M$7)),EOMONTH(DATE(YEAR($M$6),$G$11+K37+SUM($B$12:B37),1),0)),"")</f>
        <v>44681</v>
      </c>
      <c r="H37" s="22">
        <f t="shared" si="1"/>
        <v>26</v>
      </c>
      <c r="I37" s="22">
        <f t="shared" si="2"/>
        <v>54.89</v>
      </c>
      <c r="J37" s="22">
        <f t="shared" si="3"/>
        <v>0</v>
      </c>
      <c r="K37">
        <f t="shared" si="4"/>
        <v>26</v>
      </c>
      <c r="L37" s="5">
        <f>IF($K37&lt;&gt;"",IF($E37="",IF(ULTIMODIA=0,DATE(YEAR($M$7),MONTH($M$7)+($A$1*($H37-1))+SUM($B$12:$B37),DAY($M$7)),$G37),$E37),"")</f>
        <v>44681</v>
      </c>
      <c r="M37" s="9">
        <f t="shared" si="5"/>
        <v>31</v>
      </c>
      <c r="N37" s="3">
        <f t="shared" si="6"/>
        <v>5254.3599999999988</v>
      </c>
      <c r="O37" s="3">
        <f t="shared" si="7"/>
        <v>507.75999999999993</v>
      </c>
      <c r="P37" s="3">
        <f t="shared" si="8"/>
        <v>452.86999999999995</v>
      </c>
      <c r="Q37" s="3">
        <f t="shared" si="9"/>
        <v>54.89</v>
      </c>
      <c r="R37" s="3">
        <f>IF($K37&lt;&gt;"",IF($A37="Prepago",0,IF(ROUND(($H37+SUM($B$12:$B37))*$T$6,2)&gt;ROUND(SUM($R$11:$R36)+$T$6,2),$T$6*2,$T$6)),"")</f>
        <v>0</v>
      </c>
      <c r="S37" s="3">
        <f>IF($K37&lt;&gt;"",IF($A37="Prepago",0,IF(ROUND(($H37+SUM($B$12:$B37))*$T$7,2)&gt;ROUND(SUM($S$11:$S36)+$T$7,2),$T$7*2,$T$7)),"")</f>
        <v>0</v>
      </c>
      <c r="T37" s="3">
        <f>IF($K37&lt;&gt;"",IF($A37="Prepago",0,IF(ROUND(($H37+SUM($B$12:$B37))*$T$8,2)&gt;ROUND(SUM($T$11:$T36)+$T$8,2),$T$8*2,$T$8)),"")</f>
        <v>0</v>
      </c>
      <c r="U37" s="3">
        <f t="shared" si="10"/>
        <v>4801.4899999999989</v>
      </c>
      <c r="V37" s="3">
        <f t="shared" si="12"/>
        <v>0</v>
      </c>
      <c r="W37" s="3">
        <f t="shared" si="11"/>
        <v>54.89</v>
      </c>
      <c r="X37" s="3">
        <f>IF($K37&lt;&gt;"",IF($M37&gt;X$11,30,$M37)*ROUND(($N37+$V36)*$U$5/3000,2),"")</f>
        <v>53.1</v>
      </c>
      <c r="Y37" s="3">
        <f>IF($K37&lt;&gt;"",IF($M37&gt;X$11,IF($M37&lt;Y$11,$M37-X$11,30),0)*ROUND(($N37+$V36+SUM($X37:X37))*$U$5/3000,2),"")</f>
        <v>1.79</v>
      </c>
      <c r="Z37" s="3"/>
      <c r="AA37" s="3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</row>
    <row r="38" spans="5:84" x14ac:dyDescent="0.25">
      <c r="E38" s="5"/>
      <c r="F38" t="str">
        <f t="shared" si="0"/>
        <v>lu</v>
      </c>
      <c r="G38" s="5">
        <f>IF($K38&lt;&gt;"",IF(DAY(EOMONTH(DATE(YEAR($M$6),$G$11+K38+SUM($B$12:B38),1),0))&gt;DAY($M$7),DATE(YEAR($M$7),MONTH($M$7)+($A$1*($H38-1))+SUM($B$12:$B38),DAY($M$7)),EOMONTH(DATE(YEAR($M$6),$G$11+K38+SUM($B$12:B38),1),0)),"")</f>
        <v>44711</v>
      </c>
      <c r="H38" s="22">
        <f t="shared" si="1"/>
        <v>27</v>
      </c>
      <c r="I38" s="22">
        <f t="shared" si="2"/>
        <v>48.6</v>
      </c>
      <c r="J38" s="22">
        <f t="shared" si="3"/>
        <v>0</v>
      </c>
      <c r="K38">
        <f t="shared" si="4"/>
        <v>27</v>
      </c>
      <c r="L38" s="5">
        <f>IF($K38&lt;&gt;"",IF($E38="",IF(ULTIMODIA=0,DATE(YEAR($M$7),MONTH($M$7)+($A$1*($H38-1))+SUM($B$12:$B38),DAY($M$7)),$G38),$E38),"")</f>
        <v>44711</v>
      </c>
      <c r="M38" s="9">
        <f t="shared" si="5"/>
        <v>30</v>
      </c>
      <c r="N38" s="3">
        <f t="shared" si="6"/>
        <v>4801.4899999999989</v>
      </c>
      <c r="O38" s="3">
        <f t="shared" si="7"/>
        <v>507.75999999999993</v>
      </c>
      <c r="P38" s="3">
        <f t="shared" si="8"/>
        <v>459.15999999999991</v>
      </c>
      <c r="Q38" s="3">
        <f t="shared" si="9"/>
        <v>48.6</v>
      </c>
      <c r="R38" s="3">
        <f>IF($K38&lt;&gt;"",IF($A38="Prepago",0,IF(ROUND(($H38+SUM($B$12:$B38))*$T$6,2)&gt;ROUND(SUM($R$11:$R37)+$T$6,2),$T$6*2,$T$6)),"")</f>
        <v>0</v>
      </c>
      <c r="S38" s="3">
        <f>IF($K38&lt;&gt;"",IF($A38="Prepago",0,IF(ROUND(($H38+SUM($B$12:$B38))*$T$7,2)&gt;ROUND(SUM($S$11:$S37)+$T$7,2),$T$7*2,$T$7)),"")</f>
        <v>0</v>
      </c>
      <c r="T38" s="3">
        <f>IF($K38&lt;&gt;"",IF($A38="Prepago",0,IF(ROUND(($H38+SUM($B$12:$B38))*$T$8,2)&gt;ROUND(SUM($T$11:$T37)+$T$8,2),$T$8*2,$T$8)),"")</f>
        <v>0</v>
      </c>
      <c r="U38" s="3">
        <f t="shared" si="10"/>
        <v>4342.329999999999</v>
      </c>
      <c r="V38" s="3">
        <f t="shared" si="12"/>
        <v>0</v>
      </c>
      <c r="W38" s="3">
        <f t="shared" si="11"/>
        <v>48.6</v>
      </c>
      <c r="X38" s="3">
        <f>IF($K38&lt;&gt;"",IF($M38&gt;X$11,30,$M38)*ROUND(($N38+$V37)*$U$5/3000,2),"")</f>
        <v>48.6</v>
      </c>
      <c r="Y38" s="3">
        <f>IF($K38&lt;&gt;"",IF($M38&gt;X$11,IF($M38&lt;Y$11,$M38-X$11,30),0)*ROUND(($N38+$V37+SUM($X38:X38))*$U$5/3000,2),"")</f>
        <v>0</v>
      </c>
      <c r="Z38" s="3"/>
      <c r="AA38" s="3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</row>
    <row r="39" spans="5:84" x14ac:dyDescent="0.25">
      <c r="E39" s="5"/>
      <c r="F39" t="str">
        <f t="shared" si="0"/>
        <v>ju</v>
      </c>
      <c r="G39" s="5">
        <f>IF($K39&lt;&gt;"",IF(DAY(EOMONTH(DATE(YEAR($M$6),$G$11+K39+SUM($B$12:B39),1),0))&gt;DAY($M$7),DATE(YEAR($M$7),MONTH($M$7)+($A$1*($H39-1))+SUM($B$12:$B39),DAY($M$7)),EOMONTH(DATE(YEAR($M$6),$G$11+K39+SUM($B$12:B39),1),0)),"")</f>
        <v>44742</v>
      </c>
      <c r="H39" s="22">
        <f t="shared" si="1"/>
        <v>28</v>
      </c>
      <c r="I39" s="22">
        <f t="shared" si="2"/>
        <v>45.58</v>
      </c>
      <c r="J39" s="22">
        <f t="shared" si="3"/>
        <v>0</v>
      </c>
      <c r="K39">
        <f t="shared" si="4"/>
        <v>28</v>
      </c>
      <c r="L39" s="5">
        <f>IF($K39&lt;&gt;"",IF($E39="",IF(ULTIMODIA=0,DATE(YEAR($M$7),MONTH($M$7)+($A$1*($H39-1))+SUM($B$12:$B39),DAY($M$7)),$G39),$E39),"")</f>
        <v>44742</v>
      </c>
      <c r="M39" s="9">
        <f t="shared" si="5"/>
        <v>31</v>
      </c>
      <c r="N39" s="3">
        <f t="shared" si="6"/>
        <v>4342.329999999999</v>
      </c>
      <c r="O39" s="3">
        <f t="shared" si="7"/>
        <v>507.75999999999993</v>
      </c>
      <c r="P39" s="3">
        <f t="shared" si="8"/>
        <v>462.17999999999995</v>
      </c>
      <c r="Q39" s="3">
        <f t="shared" si="9"/>
        <v>45.58</v>
      </c>
      <c r="R39" s="3">
        <f>IF($K39&lt;&gt;"",IF($A39="Prepago",0,IF(ROUND(($H39+SUM($B$12:$B39))*$T$6,2)&gt;ROUND(SUM($R$11:$R38)+$T$6,2),$T$6*2,$T$6)),"")</f>
        <v>0</v>
      </c>
      <c r="S39" s="3">
        <f>IF($K39&lt;&gt;"",IF($A39="Prepago",0,IF(ROUND(($H39+SUM($B$12:$B39))*$T$7,2)&gt;ROUND(SUM($S$11:$S38)+$T$7,2),$T$7*2,$T$7)),"")</f>
        <v>0</v>
      </c>
      <c r="T39" s="3">
        <f>IF($K39&lt;&gt;"",IF($A39="Prepago",0,IF(ROUND(($H39+SUM($B$12:$B39))*$T$8,2)&gt;ROUND(SUM($T$11:$T38)+$T$8,2),$T$8*2,$T$8)),"")</f>
        <v>0</v>
      </c>
      <c r="U39" s="3">
        <f t="shared" si="10"/>
        <v>3880.1499999999992</v>
      </c>
      <c r="V39" s="3">
        <f t="shared" si="12"/>
        <v>0</v>
      </c>
      <c r="W39" s="3">
        <f t="shared" si="11"/>
        <v>45.58</v>
      </c>
      <c r="X39" s="3">
        <f>IF($K39&lt;&gt;"",IF($M39&gt;X$11,30,$M39)*ROUND(($N39+$V38)*$U$5/3000,2),"")</f>
        <v>44.1</v>
      </c>
      <c r="Y39" s="3">
        <f>IF($K39&lt;&gt;"",IF($M39&gt;X$11,IF($M39&lt;Y$11,$M39-X$11,30),0)*ROUND(($N39+$V38+SUM($X39:X39))*$U$5/3000,2),"")</f>
        <v>1.48</v>
      </c>
      <c r="Z39" s="3"/>
      <c r="AA39" s="3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</row>
    <row r="40" spans="5:84" x14ac:dyDescent="0.25">
      <c r="E40" s="5"/>
      <c r="F40" t="str">
        <f t="shared" si="0"/>
        <v>sá</v>
      </c>
      <c r="G40" s="5">
        <f>IF($K40&lt;&gt;"",IF(DAY(EOMONTH(DATE(YEAR($M$6),$G$11+K40+SUM($B$12:B40),1),0))&gt;DAY($M$7),DATE(YEAR($M$7),MONTH($M$7)+($A$1*($H40-1))+SUM($B$12:$B40),DAY($M$7)),EOMONTH(DATE(YEAR($M$6),$G$11+K40+SUM($B$12:B40),1),0)),"")</f>
        <v>44772</v>
      </c>
      <c r="H40" s="22">
        <f t="shared" si="1"/>
        <v>29</v>
      </c>
      <c r="I40" s="22">
        <f t="shared" si="2"/>
        <v>39.300000000000004</v>
      </c>
      <c r="J40" s="22">
        <f t="shared" si="3"/>
        <v>0</v>
      </c>
      <c r="K40">
        <f t="shared" si="4"/>
        <v>29</v>
      </c>
      <c r="L40" s="5">
        <f>IF($K40&lt;&gt;"",IF($E40="",IF(ULTIMODIA=0,DATE(YEAR($M$7),MONTH($M$7)+($A$1*($H40-1))+SUM($B$12:$B40),DAY($M$7)),$G40),$E40),"")</f>
        <v>44772</v>
      </c>
      <c r="M40" s="9">
        <f t="shared" si="5"/>
        <v>30</v>
      </c>
      <c r="N40" s="3">
        <f t="shared" si="6"/>
        <v>3880.1499999999992</v>
      </c>
      <c r="O40" s="3">
        <f t="shared" si="7"/>
        <v>507.75999999999993</v>
      </c>
      <c r="P40" s="3">
        <f t="shared" si="8"/>
        <v>468.45999999999992</v>
      </c>
      <c r="Q40" s="3">
        <f t="shared" si="9"/>
        <v>39.300000000000004</v>
      </c>
      <c r="R40" s="3">
        <f>IF($K40&lt;&gt;"",IF($A40="Prepago",0,IF(ROUND(($H40+SUM($B$12:$B40))*$T$6,2)&gt;ROUND(SUM($R$11:$R39)+$T$6,2),$T$6*2,$T$6)),"")</f>
        <v>0</v>
      </c>
      <c r="S40" s="3">
        <f>IF($K40&lt;&gt;"",IF($A40="Prepago",0,IF(ROUND(($H40+SUM($B$12:$B40))*$T$7,2)&gt;ROUND(SUM($S$11:$S39)+$T$7,2),$T$7*2,$T$7)),"")</f>
        <v>0</v>
      </c>
      <c r="T40" s="3">
        <f>IF($K40&lt;&gt;"",IF($A40="Prepago",0,IF(ROUND(($H40+SUM($B$12:$B40))*$T$8,2)&gt;ROUND(SUM($T$11:$T39)+$T$8,2),$T$8*2,$T$8)),"")</f>
        <v>0</v>
      </c>
      <c r="U40" s="3">
        <f t="shared" si="10"/>
        <v>3411.6899999999991</v>
      </c>
      <c r="V40" s="3">
        <f t="shared" si="12"/>
        <v>0</v>
      </c>
      <c r="W40" s="3">
        <f t="shared" si="11"/>
        <v>39.300000000000004</v>
      </c>
      <c r="X40" s="3">
        <f>IF($K40&lt;&gt;"",IF($M40&gt;X$11,30,$M40)*ROUND(($N40+$V39)*$U$5/3000,2),"")</f>
        <v>39.300000000000004</v>
      </c>
      <c r="Y40" s="3">
        <f>IF($K40&lt;&gt;"",IF($M40&gt;X$11,IF($M40&lt;Y$11,$M40-X$11,30),0)*ROUND(($N40+$V39+SUM($X40:X40))*$U$5/3000,2),"")</f>
        <v>0</v>
      </c>
      <c r="Z40" s="3"/>
      <c r="AA40" s="3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</row>
    <row r="41" spans="5:84" x14ac:dyDescent="0.25">
      <c r="E41" s="5"/>
      <c r="F41" t="str">
        <f t="shared" si="0"/>
        <v>ma</v>
      </c>
      <c r="G41" s="5">
        <f>IF($K41&lt;&gt;"",IF(DAY(EOMONTH(DATE(YEAR($M$6),$G$11+K41+SUM($B$12:B41),1),0))&gt;DAY($M$7),DATE(YEAR($M$7),MONTH($M$7)+($A$1*($H41-1))+SUM($B$12:$B41),DAY($M$7)),EOMONTH(DATE(YEAR($M$6),$G$11+K41+SUM($B$12:B41),1),0)),"")</f>
        <v>44803</v>
      </c>
      <c r="H41" s="22">
        <f t="shared" si="1"/>
        <v>30</v>
      </c>
      <c r="I41" s="22">
        <f t="shared" si="2"/>
        <v>35.659999999999997</v>
      </c>
      <c r="J41" s="22">
        <f t="shared" si="3"/>
        <v>0</v>
      </c>
      <c r="K41">
        <f t="shared" si="4"/>
        <v>30</v>
      </c>
      <c r="L41" s="5">
        <f>IF($K41&lt;&gt;"",IF($E41="",IF(ULTIMODIA=0,DATE(YEAR($M$7),MONTH($M$7)+($A$1*($H41-1))+SUM($B$12:$B41),DAY($M$7)),$G41),$E41),"")</f>
        <v>44803</v>
      </c>
      <c r="M41" s="9">
        <f t="shared" si="5"/>
        <v>31</v>
      </c>
      <c r="N41" s="3">
        <f t="shared" si="6"/>
        <v>3411.6899999999991</v>
      </c>
      <c r="O41" s="3">
        <f t="shared" si="7"/>
        <v>507.75999999999993</v>
      </c>
      <c r="P41" s="3">
        <f t="shared" si="8"/>
        <v>472.09999999999991</v>
      </c>
      <c r="Q41" s="3">
        <f t="shared" si="9"/>
        <v>35.659999999999997</v>
      </c>
      <c r="R41" s="3">
        <f>IF($K41&lt;&gt;"",IF($A41="Prepago",0,IF(ROUND(($H41+SUM($B$12:$B41))*$T$6,2)&gt;ROUND(SUM($R$11:$R40)+$T$6,2),$T$6*2,$T$6)),"")</f>
        <v>0</v>
      </c>
      <c r="S41" s="3">
        <f>IF($K41&lt;&gt;"",IF($A41="Prepago",0,IF(ROUND(($H41+SUM($B$12:$B41))*$T$7,2)&gt;ROUND(SUM($S$11:$S40)+$T$7,2),$T$7*2,$T$7)),"")</f>
        <v>0</v>
      </c>
      <c r="T41" s="3">
        <f>IF($K41&lt;&gt;"",IF($A41="Prepago",0,IF(ROUND(($H41+SUM($B$12:$B41))*$T$8,2)&gt;ROUND(SUM($T$11:$T40)+$T$8,2),$T$8*2,$T$8)),"")</f>
        <v>0</v>
      </c>
      <c r="U41" s="3">
        <f t="shared" si="10"/>
        <v>2939.5899999999992</v>
      </c>
      <c r="V41" s="3">
        <f t="shared" si="12"/>
        <v>0</v>
      </c>
      <c r="W41" s="3">
        <f t="shared" si="11"/>
        <v>35.659999999999997</v>
      </c>
      <c r="X41" s="3">
        <f>IF($K41&lt;&gt;"",IF($M41&gt;X$11,30,$M41)*ROUND(($N41+$V40)*$U$5/3000,2),"")</f>
        <v>34.5</v>
      </c>
      <c r="Y41" s="3">
        <f>IF($K41&lt;&gt;"",IF($M41&gt;X$11,IF($M41&lt;Y$11,$M41-X$11,30),0)*ROUND(($N41+$V40+SUM($X41:X41))*$U$5/3000,2),"")</f>
        <v>1.1599999999999999</v>
      </c>
      <c r="Z41" s="3"/>
      <c r="AA41" s="3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</row>
    <row r="42" spans="5:84" x14ac:dyDescent="0.25">
      <c r="E42" s="5"/>
      <c r="F42" t="str">
        <f t="shared" si="0"/>
        <v>vi</v>
      </c>
      <c r="G42" s="5">
        <f>IF($K42&lt;&gt;"",IF(DAY(EOMONTH(DATE(YEAR($M$6),$G$11+K42+SUM($B$12:B42),1),0))&gt;DAY($M$7),DATE(YEAR($M$7),MONTH($M$7)+($A$1*($H42-1))+SUM($B$12:$B42),DAY($M$7)),EOMONTH(DATE(YEAR($M$6),$G$11+K42+SUM($B$12:B42),1),0)),"")</f>
        <v>44834</v>
      </c>
      <c r="H42" s="22">
        <f t="shared" si="1"/>
        <v>31</v>
      </c>
      <c r="I42" s="22">
        <f t="shared" si="2"/>
        <v>30.7</v>
      </c>
      <c r="J42" s="22">
        <f t="shared" si="3"/>
        <v>0</v>
      </c>
      <c r="K42">
        <f t="shared" si="4"/>
        <v>31</v>
      </c>
      <c r="L42" s="5">
        <f>IF($K42&lt;&gt;"",IF($E42="",IF(ULTIMODIA=0,DATE(YEAR($M$7),MONTH($M$7)+($A$1*($H42-1))+SUM($B$12:$B42),DAY($M$7)),$G42),$E42),"")</f>
        <v>44834</v>
      </c>
      <c r="M42" s="9">
        <f t="shared" si="5"/>
        <v>31</v>
      </c>
      <c r="N42" s="3">
        <f t="shared" si="6"/>
        <v>2939.5899999999992</v>
      </c>
      <c r="O42" s="3">
        <f t="shared" si="7"/>
        <v>507.75999999999993</v>
      </c>
      <c r="P42" s="3">
        <f t="shared" si="8"/>
        <v>477.05999999999995</v>
      </c>
      <c r="Q42" s="3">
        <f t="shared" si="9"/>
        <v>30.7</v>
      </c>
      <c r="R42" s="3">
        <f>IF($K42&lt;&gt;"",IF($A42="Prepago",0,IF(ROUND(($H42+SUM($B$12:$B42))*$T$6,2)&gt;ROUND(SUM($R$11:$R41)+$T$6,2),$T$6*2,$T$6)),"")</f>
        <v>0</v>
      </c>
      <c r="S42" s="3">
        <f>IF($K42&lt;&gt;"",IF($A42="Prepago",0,IF(ROUND(($H42+SUM($B$12:$B42))*$T$7,2)&gt;ROUND(SUM($S$11:$S41)+$T$7,2),$T$7*2,$T$7)),"")</f>
        <v>0</v>
      </c>
      <c r="T42" s="3">
        <f>IF($K42&lt;&gt;"",IF($A42="Prepago",0,IF(ROUND(($H42+SUM($B$12:$B42))*$T$8,2)&gt;ROUND(SUM($T$11:$T41)+$T$8,2),$T$8*2,$T$8)),"")</f>
        <v>0</v>
      </c>
      <c r="U42" s="3">
        <f t="shared" si="10"/>
        <v>2462.5299999999993</v>
      </c>
      <c r="V42" s="3">
        <f t="shared" si="12"/>
        <v>0</v>
      </c>
      <c r="W42" s="3">
        <f t="shared" si="11"/>
        <v>30.7</v>
      </c>
      <c r="X42" s="3">
        <f>IF($K42&lt;&gt;"",IF($M42&gt;X$11,30,$M42)*ROUND(($N42+$V41)*$U$5/3000,2),"")</f>
        <v>29.7</v>
      </c>
      <c r="Y42" s="3">
        <f>IF($K42&lt;&gt;"",IF($M42&gt;X$11,IF($M42&lt;Y$11,$M42-X$11,30),0)*ROUND(($N42+$V41+SUM($X42:X42))*$U$5/3000,2),"")</f>
        <v>1</v>
      </c>
      <c r="Z42" s="3"/>
      <c r="AA42" s="3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</row>
    <row r="43" spans="5:84" x14ac:dyDescent="0.25">
      <c r="E43" s="5"/>
      <c r="F43" t="str">
        <f t="shared" si="0"/>
        <v>do</v>
      </c>
      <c r="G43" s="5">
        <f>IF($K43&lt;&gt;"",IF(DAY(EOMONTH(DATE(YEAR($M$6),$G$11+K43+SUM($B$12:B43),1),0))&gt;DAY($M$7),DATE(YEAR($M$7),MONTH($M$7)+($A$1*($H43-1))+SUM($B$12:$B43),DAY($M$7)),EOMONTH(DATE(YEAR($M$6),$G$11+K43+SUM($B$12:B43),1),0)),"")</f>
        <v>44864</v>
      </c>
      <c r="H43" s="22">
        <f t="shared" si="1"/>
        <v>32</v>
      </c>
      <c r="I43" s="22">
        <f t="shared" si="2"/>
        <v>24.9</v>
      </c>
      <c r="J43" s="22">
        <f t="shared" si="3"/>
        <v>0</v>
      </c>
      <c r="K43">
        <f t="shared" si="4"/>
        <v>32</v>
      </c>
      <c r="L43" s="5">
        <f>IF($K43&lt;&gt;"",IF($E43="",IF(ULTIMODIA=0,DATE(YEAR($M$7),MONTH($M$7)+($A$1*($H43-1))+SUM($B$12:$B43),DAY($M$7)),$G43),$E43),"")</f>
        <v>44864</v>
      </c>
      <c r="M43" s="9">
        <f t="shared" si="5"/>
        <v>30</v>
      </c>
      <c r="N43" s="3">
        <f t="shared" si="6"/>
        <v>2462.5299999999993</v>
      </c>
      <c r="O43" s="3">
        <f t="shared" si="7"/>
        <v>507.75999999999993</v>
      </c>
      <c r="P43" s="3">
        <f t="shared" si="8"/>
        <v>482.85999999999996</v>
      </c>
      <c r="Q43" s="3">
        <f t="shared" si="9"/>
        <v>24.9</v>
      </c>
      <c r="R43" s="3">
        <f>IF($K43&lt;&gt;"",IF($A43="Prepago",0,IF(ROUND(($H43+SUM($B$12:$B43))*$T$6,2)&gt;ROUND(SUM($R$11:$R42)+$T$6,2),$T$6*2,$T$6)),"")</f>
        <v>0</v>
      </c>
      <c r="S43" s="3">
        <f>IF($K43&lt;&gt;"",IF($A43="Prepago",0,IF(ROUND(($H43+SUM($B$12:$B43))*$T$7,2)&gt;ROUND(SUM($S$11:$S42)+$T$7,2),$T$7*2,$T$7)),"")</f>
        <v>0</v>
      </c>
      <c r="T43" s="3">
        <f>IF($K43&lt;&gt;"",IF($A43="Prepago",0,IF(ROUND(($H43+SUM($B$12:$B43))*$T$8,2)&gt;ROUND(SUM($T$11:$T42)+$T$8,2),$T$8*2,$T$8)),"")</f>
        <v>0</v>
      </c>
      <c r="U43" s="3">
        <f t="shared" si="10"/>
        <v>1979.6699999999994</v>
      </c>
      <c r="V43" s="3">
        <f t="shared" si="12"/>
        <v>0</v>
      </c>
      <c r="W43" s="3">
        <f t="shared" si="11"/>
        <v>24.9</v>
      </c>
      <c r="X43" s="3">
        <f>IF($K43&lt;&gt;"",IF($M43&gt;X$11,30,$M43)*ROUND(($N43+$V42)*$U$5/3000,2),"")</f>
        <v>24.9</v>
      </c>
      <c r="Y43" s="3">
        <f>IF($K43&lt;&gt;"",IF($M43&gt;X$11,IF($M43&lt;Y$11,$M43-X$11,30),0)*ROUND(($N43+$V42+SUM($X43:X43))*$U$5/3000,2),"")</f>
        <v>0</v>
      </c>
      <c r="Z43" s="3"/>
      <c r="AA43" s="3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</row>
    <row r="44" spans="5:84" x14ac:dyDescent="0.25">
      <c r="E44" s="5"/>
      <c r="F44" t="str">
        <f t="shared" ref="F44:F75" si="13">IF($K44&lt;&gt;"",TEXT(L44,"DDD"),"")</f>
        <v>mi</v>
      </c>
      <c r="G44" s="5">
        <f>IF($K44&lt;&gt;"",IF(DAY(EOMONTH(DATE(YEAR($M$6),$G$11+K44+SUM($B$12:B44),1),0))&gt;DAY($M$7),DATE(YEAR($M$7),MONTH($M$7)+($A$1*($H44-1))+SUM($B$12:$B44),DAY($M$7)),EOMONTH(DATE(YEAR($M$6),$G$11+K44+SUM($B$12:B44),1),0)),"")</f>
        <v>44895</v>
      </c>
      <c r="H44" s="22">
        <f t="shared" ref="H44:H75" si="14">IF($K44&lt;&gt;"",IF($A44="Prepago",$H43,$H43+1),"")</f>
        <v>33</v>
      </c>
      <c r="I44" s="22">
        <f t="shared" ref="I44:I75" si="15">IF($K44&lt;&gt;"",IF(ISNUMBER($C44),-$P44+$W44-$Q44,ABS($W44)+$R44+$S44+$T44),"")</f>
        <v>20.770000000000003</v>
      </c>
      <c r="J44" s="22">
        <f t="shared" ref="J44:J75" si="16">IF(K44&lt;&gt;"",IF(COUNTA($X44:$XFD44)*30&lt;$M44,1,0),"")</f>
        <v>0</v>
      </c>
      <c r="K44">
        <f t="shared" ref="K44:K75" si="17">IF($K43&lt;NCUOTAS+CUOTAADICIONAL+PGRACIA,$K43+1,"")</f>
        <v>33</v>
      </c>
      <c r="L44" s="5">
        <f>IF($K44&lt;&gt;"",IF($E44="",IF(ULTIMODIA=0,DATE(YEAR($M$7),MONTH($M$7)+($A$1*($H44-1))+SUM($B$12:$B44),DAY($M$7)),$G44),$E44),"")</f>
        <v>44895</v>
      </c>
      <c r="M44" s="9">
        <f t="shared" ref="M44:M75" si="18">IF($K44&lt;&gt;"",$L44-$L43,"")</f>
        <v>31</v>
      </c>
      <c r="N44" s="3">
        <f t="shared" ref="N44:N75" si="19">IF($K44&lt;&gt;"",$U43,"")</f>
        <v>1979.6699999999994</v>
      </c>
      <c r="O44" s="3">
        <f t="shared" ref="O44:O75" si="20">IF($K44&lt;&gt;"",IF($A44="Gracia Parcial",IF(AND($C44&lt;$W44+$R44+$S44+$T44+$V43,$C44&gt;0),$C44,$W44+$R44+$S44+$T44+$V43),IF($A44="Gracia Total",0,IF($A44="Prepago",$C44,IF(ISNUMBER($C44),$C44*VALUE(MID($C$1,MONTH($L44),1)),$P$5*VALUE(MID($C$1,MONTH($L44),1))))))-IF($K45="",ARREGLO,0),"")</f>
        <v>507.75999999999993</v>
      </c>
      <c r="P44" s="3">
        <f t="shared" ref="P44:P75" si="21">IF($K44&lt;&gt;"",IF($O44-$Q44&gt;0,$O44-$Q44-$R44-$S44-$T44,0),"")</f>
        <v>486.98999999999995</v>
      </c>
      <c r="Q44" s="3">
        <f t="shared" ref="Q44:Q75" si="22">IF($K44&lt;&gt;"",IF($O44&gt;=IF($D44="",$W44,$D44)+$V43+$R44+$S44+$T44,IF($D44="",$W44,$D44)+$V43,$O44-$R44-$S44-$T44),"")</f>
        <v>20.770000000000003</v>
      </c>
      <c r="R44" s="3">
        <f>IF($K44&lt;&gt;"",IF($A44="Prepago",0,IF(ROUND(($H44+SUM($B$12:$B44))*$T$6,2)&gt;ROUND(SUM($R$11:$R43)+$T$6,2),$T$6*2,$T$6)),"")</f>
        <v>0</v>
      </c>
      <c r="S44" s="3">
        <f>IF($K44&lt;&gt;"",IF($A44="Prepago",0,IF(ROUND(($H44+SUM($B$12:$B44))*$T$7,2)&gt;ROUND(SUM($S$11:$S43)+$T$7,2),$T$7*2,$T$7)),"")</f>
        <v>0</v>
      </c>
      <c r="T44" s="3">
        <f>IF($K44&lt;&gt;"",IF($A44="Prepago",0,IF(ROUND(($H44+SUM($B$12:$B44))*$T$8,2)&gt;ROUND(SUM($T$11:$T43)+$T$8,2),$T$8*2,$T$8)),"")</f>
        <v>0</v>
      </c>
      <c r="U44" s="3">
        <f t="shared" ref="U44:U75" si="23">IF($K44&lt;&gt;"",$N44-$P44,"")</f>
        <v>1492.6799999999994</v>
      </c>
      <c r="V44" s="3">
        <f t="shared" si="12"/>
        <v>0</v>
      </c>
      <c r="W44" s="3">
        <f t="shared" ref="W44:W75" si="24">IF($K44&lt;&gt;"",SUM($X44:$XFD44),"")</f>
        <v>20.770000000000003</v>
      </c>
      <c r="X44" s="3">
        <f>IF($K44&lt;&gt;"",IF($M44&gt;X$11,30,$M44)*ROUND(($N44+$V43)*$U$5/3000,2),"")</f>
        <v>20.100000000000001</v>
      </c>
      <c r="Y44" s="3">
        <f>IF($K44&lt;&gt;"",IF($M44&gt;X$11,IF($M44&lt;Y$11,$M44-X$11,30),0)*ROUND(($N44+$V43+SUM($X44:X44))*$U$5/3000,2),"")</f>
        <v>0.67</v>
      </c>
      <c r="Z44" s="3"/>
      <c r="AA44" s="3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</row>
    <row r="45" spans="5:84" x14ac:dyDescent="0.25">
      <c r="E45" s="5"/>
      <c r="F45" t="str">
        <f t="shared" si="13"/>
        <v>vi</v>
      </c>
      <c r="G45" s="5">
        <f>IF($K45&lt;&gt;"",IF(DAY(EOMONTH(DATE(YEAR($M$6),$G$11+K45+SUM($B$12:B45),1),0))&gt;DAY($M$7),DATE(YEAR($M$7),MONTH($M$7)+($A$1*($H45-1))+SUM($B$12:$B45),DAY($M$7)),EOMONTH(DATE(YEAR($M$6),$G$11+K45+SUM($B$12:B45),1),0)),"")</f>
        <v>44925</v>
      </c>
      <c r="H45" s="22">
        <f t="shared" si="14"/>
        <v>34</v>
      </c>
      <c r="I45" s="22">
        <f t="shared" si="15"/>
        <v>15</v>
      </c>
      <c r="J45" s="22">
        <f t="shared" si="16"/>
        <v>0</v>
      </c>
      <c r="K45">
        <f t="shared" si="17"/>
        <v>34</v>
      </c>
      <c r="L45" s="5">
        <f>IF($K45&lt;&gt;"",IF($E45="",IF(ULTIMODIA=0,DATE(YEAR($M$7),MONTH($M$7)+($A$1*($H45-1))+SUM($B$12:$B45),DAY($M$7)),$G45),$E45),"")</f>
        <v>44925</v>
      </c>
      <c r="M45" s="9">
        <f t="shared" si="18"/>
        <v>30</v>
      </c>
      <c r="N45" s="3">
        <f t="shared" si="19"/>
        <v>1492.6799999999994</v>
      </c>
      <c r="O45" s="3">
        <f t="shared" si="20"/>
        <v>507.75999999999993</v>
      </c>
      <c r="P45" s="3">
        <f t="shared" si="21"/>
        <v>492.75999999999993</v>
      </c>
      <c r="Q45" s="3">
        <f t="shared" si="22"/>
        <v>15</v>
      </c>
      <c r="R45" s="3">
        <f>IF($K45&lt;&gt;"",IF($A45="Prepago",0,IF(ROUND(($H45+SUM($B$12:$B45))*$T$6,2)&gt;ROUND(SUM($R$11:$R44)+$T$6,2),$T$6*2,$T$6)),"")</f>
        <v>0</v>
      </c>
      <c r="S45" s="3">
        <f>IF($K45&lt;&gt;"",IF($A45="Prepago",0,IF(ROUND(($H45+SUM($B$12:$B45))*$T$7,2)&gt;ROUND(SUM($S$11:$S44)+$T$7,2),$T$7*2,$T$7)),"")</f>
        <v>0</v>
      </c>
      <c r="T45" s="3">
        <f>IF($K45&lt;&gt;"",IF($A45="Prepago",0,IF(ROUND(($H45+SUM($B$12:$B45))*$T$8,2)&gt;ROUND(SUM($T$11:$T44)+$T$8,2),$T$8*2,$T$8)),"")</f>
        <v>0</v>
      </c>
      <c r="U45" s="3">
        <f t="shared" si="23"/>
        <v>999.91999999999939</v>
      </c>
      <c r="V45" s="3">
        <f t="shared" si="12"/>
        <v>0</v>
      </c>
      <c r="W45" s="3">
        <f t="shared" si="24"/>
        <v>15</v>
      </c>
      <c r="X45" s="3">
        <f>IF($K45&lt;&gt;"",IF($M45&gt;X$11,30,$M45)*ROUND(($N45+$V44)*$U$5/3000,2),"")</f>
        <v>15</v>
      </c>
      <c r="Y45" s="3">
        <f>IF($K45&lt;&gt;"",IF($M45&gt;X$11,IF($M45&lt;Y$11,$M45-X$11,30),0)*ROUND(($N45+$V44+SUM($X45:X45))*$U$5/3000,2),"")</f>
        <v>0</v>
      </c>
      <c r="Z45" s="3"/>
      <c r="AA45" s="3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</row>
    <row r="46" spans="5:84" x14ac:dyDescent="0.25">
      <c r="E46" s="5"/>
      <c r="F46" t="str">
        <f t="shared" si="13"/>
        <v>lu</v>
      </c>
      <c r="G46" s="5">
        <f>IF($K46&lt;&gt;"",IF(DAY(EOMONTH(DATE(YEAR($M$6),$G$11+K46+SUM($B$12:B46),1),0))&gt;DAY($M$7),DATE(YEAR($M$7),MONTH($M$7)+($A$1*($H46-1))+SUM($B$12:$B46),DAY($M$7)),EOMONTH(DATE(YEAR($M$6),$G$11+K46+SUM($B$12:B46),1),0)),"")</f>
        <v>44956</v>
      </c>
      <c r="H46" s="22">
        <f t="shared" si="14"/>
        <v>35</v>
      </c>
      <c r="I46" s="22">
        <f t="shared" si="15"/>
        <v>10.540000000000001</v>
      </c>
      <c r="J46" s="22">
        <f t="shared" si="16"/>
        <v>0</v>
      </c>
      <c r="K46">
        <f t="shared" si="17"/>
        <v>35</v>
      </c>
      <c r="L46" s="5">
        <f>IF($K46&lt;&gt;"",IF($E46="",IF(ULTIMODIA=0,DATE(YEAR($M$7),MONTH($M$7)+($A$1*($H46-1))+SUM($B$12:$B46),DAY($M$7)),$G46),$E46),"")</f>
        <v>44956</v>
      </c>
      <c r="M46" s="9">
        <f t="shared" si="18"/>
        <v>31</v>
      </c>
      <c r="N46" s="3">
        <f t="shared" si="19"/>
        <v>999.91999999999939</v>
      </c>
      <c r="O46" s="3">
        <f t="shared" si="20"/>
        <v>507.75999999999993</v>
      </c>
      <c r="P46" s="3">
        <f t="shared" si="21"/>
        <v>497.21999999999991</v>
      </c>
      <c r="Q46" s="3">
        <f t="shared" si="22"/>
        <v>10.540000000000001</v>
      </c>
      <c r="R46" s="3">
        <f>IF($K46&lt;&gt;"",IF($A46="Prepago",0,IF(ROUND(($H46+SUM($B$12:$B46))*$T$6,2)&gt;ROUND(SUM($R$11:$R45)+$T$6,2),$T$6*2,$T$6)),"")</f>
        <v>0</v>
      </c>
      <c r="S46" s="3">
        <f>IF($K46&lt;&gt;"",IF($A46="Prepago",0,IF(ROUND(($H46+SUM($B$12:$B46))*$T$7,2)&gt;ROUND(SUM($S$11:$S45)+$T$7,2),$T$7*2,$T$7)),"")</f>
        <v>0</v>
      </c>
      <c r="T46" s="3">
        <f>IF($K46&lt;&gt;"",IF($A46="Prepago",0,IF(ROUND(($H46+SUM($B$12:$B46))*$T$8,2)&gt;ROUND(SUM($T$11:$T45)+$T$8,2),$T$8*2,$T$8)),"")</f>
        <v>0</v>
      </c>
      <c r="U46" s="3">
        <f t="shared" si="23"/>
        <v>502.69999999999948</v>
      </c>
      <c r="V46" s="3">
        <f t="shared" si="12"/>
        <v>0</v>
      </c>
      <c r="W46" s="3">
        <f t="shared" si="24"/>
        <v>10.540000000000001</v>
      </c>
      <c r="X46" s="3">
        <f>IF($K46&lt;&gt;"",IF($M46&gt;X$11,30,$M46)*ROUND(($N46+$V45)*$U$5/3000,2),"")</f>
        <v>10.200000000000001</v>
      </c>
      <c r="Y46" s="3">
        <f>IF($K46&lt;&gt;"",IF($M46&gt;X$11,IF($M46&lt;Y$11,$M46-X$11,30),0)*ROUND(($N46+$V45+SUM($X46:X46))*$U$5/3000,2),"")</f>
        <v>0.34</v>
      </c>
      <c r="Z46" s="3"/>
      <c r="AA46" s="3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</row>
    <row r="47" spans="5:84" x14ac:dyDescent="0.25">
      <c r="E47" s="5"/>
      <c r="F47" t="str">
        <f t="shared" si="13"/>
        <v>ma</v>
      </c>
      <c r="G47" s="5">
        <f>IF($K47&lt;&gt;"",IF(DAY(EOMONTH(DATE(YEAR($M$6),$G$11+K47+SUM($B$12:B47),1),0))&gt;DAY($M$7),DATE(YEAR($M$7),MONTH($M$7)+($A$1*($H47-1))+SUM($B$12:$B47),DAY($M$7)),EOMONTH(DATE(YEAR($M$6),$G$11+K47+SUM($B$12:B47),1),0)),"")</f>
        <v>44985</v>
      </c>
      <c r="H47" s="22">
        <f t="shared" si="14"/>
        <v>36</v>
      </c>
      <c r="I47" s="22">
        <f t="shared" si="15"/>
        <v>4.9300000000000006</v>
      </c>
      <c r="J47" s="22">
        <f t="shared" si="16"/>
        <v>0</v>
      </c>
      <c r="K47">
        <f t="shared" si="17"/>
        <v>36</v>
      </c>
      <c r="L47" s="5">
        <f>IF($K47&lt;&gt;"",IF($E47="",IF(ULTIMODIA=0,DATE(YEAR($M$7),MONTH($M$7)+($A$1*($H47-1))+SUM($B$12:$B47),DAY($M$7)),$G47),$E47),"")</f>
        <v>44985</v>
      </c>
      <c r="M47" s="9">
        <f t="shared" si="18"/>
        <v>29</v>
      </c>
      <c r="N47" s="3">
        <f t="shared" si="19"/>
        <v>502.69999999999948</v>
      </c>
      <c r="O47" s="3">
        <f t="shared" si="20"/>
        <v>507.62999999999994</v>
      </c>
      <c r="P47" s="3">
        <f t="shared" si="21"/>
        <v>502.69999999999993</v>
      </c>
      <c r="Q47" s="3">
        <f t="shared" si="22"/>
        <v>4.9300000000000006</v>
      </c>
      <c r="R47" s="3">
        <f>IF($K47&lt;&gt;"",IF($A47="Prepago",0,IF(ROUND(($H47+SUM($B$12:$B47))*$T$6,2)&gt;ROUND(SUM($R$11:$R46)+$T$6,2),$T$6*2,$T$6)),"")</f>
        <v>0</v>
      </c>
      <c r="S47" s="3">
        <f>IF($K47&lt;&gt;"",IF($A47="Prepago",0,IF(ROUND(($H47+SUM($B$12:$B47))*$T$7,2)&gt;ROUND(SUM($S$11:$S46)+$T$7,2),$T$7*2,$T$7)),"")</f>
        <v>0</v>
      </c>
      <c r="T47" s="3">
        <f>IF($K47&lt;&gt;"",IF($A47="Prepago",0,IF(ROUND(($H47+SUM($B$12:$B47))*$T$8,2)&gt;ROUND(SUM($T$11:$T46)+$T$8,2),$T$8*2,$T$8)),"")</f>
        <v>0</v>
      </c>
      <c r="U47" s="3">
        <f t="shared" si="23"/>
        <v>-4.5474735088646412E-13</v>
      </c>
      <c r="V47" s="3">
        <f t="shared" si="12"/>
        <v>0</v>
      </c>
      <c r="W47" s="3">
        <f t="shared" si="24"/>
        <v>4.9300000000000006</v>
      </c>
      <c r="X47" s="3">
        <f>IF($K47&lt;&gt;"",IF($M47&gt;X$11,30,$M47)*ROUND(($N47+$V46)*$U$5/3000,2),"")</f>
        <v>4.9300000000000006</v>
      </c>
      <c r="Y47" s="3">
        <f>IF($K47&lt;&gt;"",IF($M47&gt;X$11,IF($M47&lt;Y$11,$M47-X$11,30),0)*ROUND(($N47+$V46+SUM($X47:X47))*$U$5/3000,2),"")</f>
        <v>0</v>
      </c>
      <c r="Z47" s="3"/>
      <c r="AA47" s="3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</row>
    <row r="48" spans="5:84" x14ac:dyDescent="0.25">
      <c r="E48" s="5"/>
      <c r="F48" t="str">
        <f t="shared" si="13"/>
        <v/>
      </c>
      <c r="G48" s="5" t="str">
        <f>IF($K48&lt;&gt;"",IF(DAY(EOMONTH(DATE(YEAR($M$6),$G$11+K48+SUM($B$12:B48),1),0))&gt;DAY($M$7),DATE(YEAR($M$7),MONTH($M$7)+($A$1*($H48-1))+SUM($B$12:$B48),DAY($M$7)),EOMONTH(DATE(YEAR($M$6),$G$11+K48+SUM($B$12:B48),1),0)),"")</f>
        <v/>
      </c>
      <c r="H48" s="22" t="str">
        <f t="shared" si="14"/>
        <v/>
      </c>
      <c r="I48" s="22" t="str">
        <f t="shared" si="15"/>
        <v/>
      </c>
      <c r="J48" s="22" t="str">
        <f t="shared" si="16"/>
        <v/>
      </c>
      <c r="K48" t="str">
        <f t="shared" si="17"/>
        <v/>
      </c>
      <c r="L48" s="5" t="str">
        <f>IF($K48&lt;&gt;"",IF($E48="",IF(ULTIMODIA=0,DATE(YEAR($M$7),MONTH($M$7)+($A$1*($H48-1))+SUM($B$12:$B48),DAY($M$7)),$G48),$E48),"")</f>
        <v/>
      </c>
      <c r="M48" s="9" t="str">
        <f t="shared" si="18"/>
        <v/>
      </c>
      <c r="N48" s="3" t="str">
        <f t="shared" si="19"/>
        <v/>
      </c>
      <c r="O48" s="3" t="str">
        <f t="shared" si="20"/>
        <v/>
      </c>
      <c r="P48" s="3" t="str">
        <f t="shared" si="21"/>
        <v/>
      </c>
      <c r="Q48" s="3" t="str">
        <f t="shared" si="22"/>
        <v/>
      </c>
      <c r="R48" s="3" t="str">
        <f>IF($K48&lt;&gt;"",IF($A48="Prepago",0,IF(ROUND(($H48+SUM($B$12:$B48))*$T$6,2)&gt;ROUND(SUM($R$11:$R47)+$T$6,2),$T$6*2,$T$6)),"")</f>
        <v/>
      </c>
      <c r="S48" s="3" t="str">
        <f>IF($K48&lt;&gt;"",IF($A48="Prepago",0,IF(ROUND(($H48+SUM($B$12:$B48))*$T$7,2)&gt;ROUND(SUM($S$11:$S47)+$T$7,2),$T$7*2,$T$7)),"")</f>
        <v/>
      </c>
      <c r="T48" s="3" t="str">
        <f>IF($K48&lt;&gt;"",IF($A48="Prepago",0,IF(ROUND(($H48+SUM($B$12:$B48))*$T$8,2)&gt;ROUND(SUM($T$11:$T47)+$T$8,2),$T$8*2,$T$8)),"")</f>
        <v/>
      </c>
      <c r="U48" s="3" t="str">
        <f t="shared" si="23"/>
        <v/>
      </c>
      <c r="V48" s="3" t="str">
        <f t="shared" si="12"/>
        <v/>
      </c>
      <c r="W48" s="3" t="str">
        <f t="shared" si="24"/>
        <v/>
      </c>
      <c r="X48" s="3" t="str">
        <f>IF($K48&lt;&gt;"",IF($M48&gt;X$11,30,$M48)*ROUND(($N48+$V47)*$U$5/3000,2),"")</f>
        <v/>
      </c>
      <c r="Y48" s="3" t="str">
        <f>IF($K48&lt;&gt;"",IF($M48&gt;X$11,IF($M48&lt;Y$11,$M48-X$11,30),0)*ROUND(($N48+$V47+SUM($X48:X48))*$U$5/3000,2),"")</f>
        <v/>
      </c>
      <c r="Z48" s="3"/>
      <c r="AA48" s="3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</row>
    <row r="49" spans="5:84" x14ac:dyDescent="0.25">
      <c r="E49" s="5"/>
      <c r="F49" t="str">
        <f t="shared" si="13"/>
        <v/>
      </c>
      <c r="G49" s="5" t="str">
        <f>IF($K49&lt;&gt;"",IF(DAY(EOMONTH(DATE(YEAR($M$6),$G$11+K49+SUM($B$12:B49),1),0))&gt;DAY($M$7),DATE(YEAR($M$7),MONTH($M$7)+($A$1*($H49-1))+SUM($B$12:$B49),DAY($M$7)),EOMONTH(DATE(YEAR($M$6),$G$11+K49+SUM($B$12:B49),1),0)),"")</f>
        <v/>
      </c>
      <c r="H49" s="22" t="str">
        <f t="shared" si="14"/>
        <v/>
      </c>
      <c r="I49" s="22" t="str">
        <f t="shared" si="15"/>
        <v/>
      </c>
      <c r="J49" s="22" t="str">
        <f t="shared" si="16"/>
        <v/>
      </c>
      <c r="K49" t="str">
        <f t="shared" si="17"/>
        <v/>
      </c>
      <c r="L49" s="5" t="str">
        <f>IF($K49&lt;&gt;"",IF($E49="",IF(ULTIMODIA=0,DATE(YEAR($M$7),MONTH($M$7)+($A$1*($H49-1))+SUM($B$12:$B49),DAY($M$7)),$G49),$E49),"")</f>
        <v/>
      </c>
      <c r="M49" s="9" t="str">
        <f t="shared" si="18"/>
        <v/>
      </c>
      <c r="N49" s="3" t="str">
        <f t="shared" si="19"/>
        <v/>
      </c>
      <c r="O49" s="3" t="str">
        <f t="shared" si="20"/>
        <v/>
      </c>
      <c r="P49" s="3" t="str">
        <f t="shared" si="21"/>
        <v/>
      </c>
      <c r="Q49" s="3" t="str">
        <f t="shared" si="22"/>
        <v/>
      </c>
      <c r="R49" s="3" t="str">
        <f>IF($K49&lt;&gt;"",IF($A49="Prepago",0,IF(ROUND(($H49+SUM($B$12:$B49))*$T$6,2)&gt;ROUND(SUM($R$11:$R48)+$T$6,2),$T$6*2,$T$6)),"")</f>
        <v/>
      </c>
      <c r="S49" s="3" t="str">
        <f>IF($K49&lt;&gt;"",IF($A49="Prepago",0,IF(ROUND(($H49+SUM($B$12:$B49))*$T$7,2)&gt;ROUND(SUM($S$11:$S48)+$T$7,2),$T$7*2,$T$7)),"")</f>
        <v/>
      </c>
      <c r="T49" s="3" t="str">
        <f>IF($K49&lt;&gt;"",IF($A49="Prepago",0,IF(ROUND(($H49+SUM($B$12:$B49))*$T$8,2)&gt;ROUND(SUM($T$11:$T48)+$T$8,2),$T$8*2,$T$8)),"")</f>
        <v/>
      </c>
      <c r="U49" s="3" t="str">
        <f t="shared" si="23"/>
        <v/>
      </c>
      <c r="V49" s="3" t="str">
        <f t="shared" si="12"/>
        <v/>
      </c>
      <c r="W49" s="3" t="str">
        <f t="shared" si="24"/>
        <v/>
      </c>
      <c r="X49" s="3" t="str">
        <f>IF($K49&lt;&gt;"",IF($M49&gt;X$11,30,$M49)*ROUND(($N49+$V48)*$U$5/3000,2),"")</f>
        <v/>
      </c>
      <c r="Y49" s="3" t="str">
        <f>IF($K49&lt;&gt;"",IF($M49&gt;X$11,IF($M49&lt;Y$11,$M49-X$11,30),0)*ROUND(($N49+$V48+SUM($X49:X49))*$U$5/3000,2),"")</f>
        <v/>
      </c>
      <c r="Z49" s="3"/>
      <c r="AA49" s="3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</row>
    <row r="50" spans="5:84" x14ac:dyDescent="0.25">
      <c r="E50" s="5"/>
      <c r="F50" t="str">
        <f t="shared" si="13"/>
        <v/>
      </c>
      <c r="G50" s="5" t="str">
        <f>IF($K50&lt;&gt;"",IF(DAY(EOMONTH(DATE(YEAR($M$6),$G$11+K50+SUM($B$12:B50),1),0))&gt;DAY($M$7),DATE(YEAR($M$7),MONTH($M$7)+($A$1*($H50-1))+SUM($B$12:$B50),DAY($M$7)),EOMONTH(DATE(YEAR($M$6),$G$11+K50+SUM($B$12:B50),1),0)),"")</f>
        <v/>
      </c>
      <c r="H50" s="22" t="str">
        <f t="shared" si="14"/>
        <v/>
      </c>
      <c r="I50" s="22" t="str">
        <f t="shared" si="15"/>
        <v/>
      </c>
      <c r="J50" s="22" t="str">
        <f t="shared" si="16"/>
        <v/>
      </c>
      <c r="K50" t="str">
        <f t="shared" si="17"/>
        <v/>
      </c>
      <c r="L50" s="5" t="str">
        <f>IF($K50&lt;&gt;"",IF($E50="",IF(ULTIMODIA=0,DATE(YEAR($M$7),MONTH($M$7)+($A$1*($H50-1))+SUM($B$12:$B50),DAY($M$7)),$G50),$E50),"")</f>
        <v/>
      </c>
      <c r="M50" s="9" t="str">
        <f t="shared" si="18"/>
        <v/>
      </c>
      <c r="N50" s="3" t="str">
        <f t="shared" si="19"/>
        <v/>
      </c>
      <c r="O50" s="3" t="str">
        <f t="shared" si="20"/>
        <v/>
      </c>
      <c r="P50" s="3" t="str">
        <f t="shared" si="21"/>
        <v/>
      </c>
      <c r="Q50" s="3" t="str">
        <f t="shared" si="22"/>
        <v/>
      </c>
      <c r="R50" s="3" t="str">
        <f>IF($K50&lt;&gt;"",IF($A50="Prepago",0,IF(ROUND(($H50+SUM($B$12:$B50))*$T$6,2)&gt;ROUND(SUM($R$11:$R49)+$T$6,2),$T$6*2,$T$6)),"")</f>
        <v/>
      </c>
      <c r="S50" s="3" t="str">
        <f>IF($K50&lt;&gt;"",IF($A50="Prepago",0,IF(ROUND(($H50+SUM($B$12:$B50))*$T$7,2)&gt;ROUND(SUM($S$11:$S49)+$T$7,2),$T$7*2,$T$7)),"")</f>
        <v/>
      </c>
      <c r="T50" s="3" t="str">
        <f>IF($K50&lt;&gt;"",IF($A50="Prepago",0,IF(ROUND(($H50+SUM($B$12:$B50))*$T$8,2)&gt;ROUND(SUM($T$11:$T49)+$T$8,2),$T$8*2,$T$8)),"")</f>
        <v/>
      </c>
      <c r="U50" s="3" t="str">
        <f t="shared" si="23"/>
        <v/>
      </c>
      <c r="V50" s="3" t="str">
        <f t="shared" si="12"/>
        <v/>
      </c>
      <c r="W50" s="3" t="str">
        <f t="shared" si="24"/>
        <v/>
      </c>
      <c r="X50" s="3" t="str">
        <f>IF($K50&lt;&gt;"",IF($M50&gt;X$11,30,$M50)*ROUND(($N50+$V49)*$U$5/3000,2),"")</f>
        <v/>
      </c>
      <c r="Y50" s="3" t="str">
        <f>IF($K50&lt;&gt;"",IF($M50&gt;X$11,IF($M50&lt;Y$11,$M50-X$11,30),0)*ROUND(($N50+$V49+SUM($X50:X50))*$U$5/3000,2),"")</f>
        <v/>
      </c>
      <c r="Z50" s="3"/>
      <c r="AA50" s="3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</row>
    <row r="51" spans="5:84" x14ac:dyDescent="0.25">
      <c r="E51" s="5"/>
      <c r="F51" t="str">
        <f t="shared" si="13"/>
        <v/>
      </c>
      <c r="G51" s="5" t="str">
        <f>IF($K51&lt;&gt;"",IF(DAY(EOMONTH(DATE(YEAR($M$6),$G$11+K51+SUM($B$12:B51),1),0))&gt;DAY($M$7),DATE(YEAR($M$7),MONTH($M$7)+($A$1*($H51-1))+SUM($B$12:$B51),DAY($M$7)),EOMONTH(DATE(YEAR($M$6),$G$11+K51+SUM($B$12:B51),1),0)),"")</f>
        <v/>
      </c>
      <c r="H51" s="22" t="str">
        <f t="shared" si="14"/>
        <v/>
      </c>
      <c r="I51" s="22" t="str">
        <f t="shared" si="15"/>
        <v/>
      </c>
      <c r="J51" s="22" t="str">
        <f t="shared" si="16"/>
        <v/>
      </c>
      <c r="K51" t="str">
        <f t="shared" si="17"/>
        <v/>
      </c>
      <c r="L51" s="5" t="str">
        <f>IF($K51&lt;&gt;"",IF($E51="",IF(ULTIMODIA=0,DATE(YEAR($M$7),MONTH($M$7)+($A$1*($H51-1))+SUM($B$12:$B51),DAY($M$7)),$G51),$E51),"")</f>
        <v/>
      </c>
      <c r="M51" s="9" t="str">
        <f t="shared" si="18"/>
        <v/>
      </c>
      <c r="N51" s="3" t="str">
        <f t="shared" si="19"/>
        <v/>
      </c>
      <c r="O51" s="3" t="str">
        <f t="shared" si="20"/>
        <v/>
      </c>
      <c r="P51" s="3" t="str">
        <f t="shared" si="21"/>
        <v/>
      </c>
      <c r="Q51" s="3" t="str">
        <f t="shared" si="22"/>
        <v/>
      </c>
      <c r="R51" s="3" t="str">
        <f>IF($K51&lt;&gt;"",IF($A51="Prepago",0,IF(ROUND(($H51+SUM($B$12:$B51))*$T$6,2)&gt;ROUND(SUM($R$11:$R50)+$T$6,2),$T$6*2,$T$6)),"")</f>
        <v/>
      </c>
      <c r="S51" s="3" t="str">
        <f>IF($K51&lt;&gt;"",IF($A51="Prepago",0,IF(ROUND(($H51+SUM($B$12:$B51))*$T$7,2)&gt;ROUND(SUM($S$11:$S50)+$T$7,2),$T$7*2,$T$7)),"")</f>
        <v/>
      </c>
      <c r="T51" s="3" t="str">
        <f>IF($K51&lt;&gt;"",IF($A51="Prepago",0,IF(ROUND(($H51+SUM($B$12:$B51))*$T$8,2)&gt;ROUND(SUM($T$11:$T50)+$T$8,2),$T$8*2,$T$8)),"")</f>
        <v/>
      </c>
      <c r="U51" s="3" t="str">
        <f t="shared" si="23"/>
        <v/>
      </c>
      <c r="V51" s="3" t="str">
        <f t="shared" si="12"/>
        <v/>
      </c>
      <c r="W51" s="3" t="str">
        <f t="shared" si="24"/>
        <v/>
      </c>
      <c r="X51" s="3" t="str">
        <f>IF($K51&lt;&gt;"",IF($M51&gt;X$11,30,$M51)*ROUND(($N51+$V50)*$U$5/3000,2),"")</f>
        <v/>
      </c>
      <c r="Y51" s="3" t="str">
        <f>IF($K51&lt;&gt;"",IF($M51&gt;X$11,IF($M51&lt;Y$11,$M51-X$11,30),0)*ROUND(($N51+$V50+SUM($X51:X51))*$U$5/3000,2),"")</f>
        <v/>
      </c>
      <c r="Z51" s="3"/>
      <c r="AA51" s="3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</row>
    <row r="52" spans="5:84" x14ac:dyDescent="0.25">
      <c r="E52" s="5"/>
      <c r="F52" t="str">
        <f t="shared" si="13"/>
        <v/>
      </c>
      <c r="G52" s="5" t="str">
        <f>IF($K52&lt;&gt;"",IF(DAY(EOMONTH(DATE(YEAR($M$6),$G$11+K52+SUM($B$12:B52),1),0))&gt;DAY($M$7),DATE(YEAR($M$7),MONTH($M$7)+($A$1*($H52-1))+SUM($B$12:$B52),DAY($M$7)),EOMONTH(DATE(YEAR($M$6),$G$11+K52+SUM($B$12:B52),1),0)),"")</f>
        <v/>
      </c>
      <c r="H52" s="22" t="str">
        <f t="shared" si="14"/>
        <v/>
      </c>
      <c r="I52" s="22" t="str">
        <f t="shared" si="15"/>
        <v/>
      </c>
      <c r="J52" s="22" t="str">
        <f t="shared" si="16"/>
        <v/>
      </c>
      <c r="K52" t="str">
        <f t="shared" si="17"/>
        <v/>
      </c>
      <c r="L52" s="5" t="str">
        <f>IF($K52&lt;&gt;"",IF($E52="",IF(ULTIMODIA=0,DATE(YEAR($M$7),MONTH($M$7)+($A$1*($H52-1))+SUM($B$12:$B52),DAY($M$7)),$G52),$E52),"")</f>
        <v/>
      </c>
      <c r="M52" s="9" t="str">
        <f t="shared" si="18"/>
        <v/>
      </c>
      <c r="N52" s="3" t="str">
        <f t="shared" si="19"/>
        <v/>
      </c>
      <c r="O52" s="3" t="str">
        <f t="shared" si="20"/>
        <v/>
      </c>
      <c r="P52" s="3" t="str">
        <f t="shared" si="21"/>
        <v/>
      </c>
      <c r="Q52" s="3" t="str">
        <f t="shared" si="22"/>
        <v/>
      </c>
      <c r="R52" s="3" t="str">
        <f>IF($K52&lt;&gt;"",IF($A52="Prepago",0,IF(ROUND(($H52+SUM($B$12:$B52))*$T$6,2)&gt;ROUND(SUM($R$11:$R51)+$T$6,2),$T$6*2,$T$6)),"")</f>
        <v/>
      </c>
      <c r="S52" s="3" t="str">
        <f>IF($K52&lt;&gt;"",IF($A52="Prepago",0,IF(ROUND(($H52+SUM($B$12:$B52))*$T$7,2)&gt;ROUND(SUM($S$11:$S51)+$T$7,2),$T$7*2,$T$7)),"")</f>
        <v/>
      </c>
      <c r="T52" s="3" t="str">
        <f>IF($K52&lt;&gt;"",IF($A52="Prepago",0,IF(ROUND(($H52+SUM($B$12:$B52))*$T$8,2)&gt;ROUND(SUM($T$11:$T51)+$T$8,2),$T$8*2,$T$8)),"")</f>
        <v/>
      </c>
      <c r="U52" s="3" t="str">
        <f t="shared" si="23"/>
        <v/>
      </c>
      <c r="V52" s="3" t="str">
        <f t="shared" si="12"/>
        <v/>
      </c>
      <c r="W52" s="3" t="str">
        <f t="shared" si="24"/>
        <v/>
      </c>
      <c r="X52" s="3" t="str">
        <f>IF($K52&lt;&gt;"",IF($M52&gt;X$11,30,$M52)*ROUND(($N52+$V51)*$U$5/3000,2),"")</f>
        <v/>
      </c>
      <c r="Y52" s="3" t="str">
        <f>IF($K52&lt;&gt;"",IF($M52&gt;X$11,IF($M52&lt;Y$11,$M52-X$11,30),0)*ROUND(($N52+$V51+SUM($X52:X52))*$U$5/3000,2),"")</f>
        <v/>
      </c>
      <c r="Z52" s="3"/>
      <c r="AA52" s="3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</row>
    <row r="53" spans="5:84" x14ac:dyDescent="0.25">
      <c r="E53" s="5"/>
      <c r="F53" t="str">
        <f t="shared" si="13"/>
        <v/>
      </c>
      <c r="G53" s="5" t="str">
        <f>IF($K53&lt;&gt;"",IF(DAY(EOMONTH(DATE(YEAR($M$6),$G$11+K53+SUM($B$12:B53),1),0))&gt;DAY($M$7),DATE(YEAR($M$7),MONTH($M$7)+($A$1*($H53-1))+SUM($B$12:$B53),DAY($M$7)),EOMONTH(DATE(YEAR($M$6),$G$11+K53+SUM($B$12:B53),1),0)),"")</f>
        <v/>
      </c>
      <c r="H53" s="22" t="str">
        <f t="shared" si="14"/>
        <v/>
      </c>
      <c r="I53" s="22" t="str">
        <f t="shared" si="15"/>
        <v/>
      </c>
      <c r="J53" s="22" t="str">
        <f t="shared" si="16"/>
        <v/>
      </c>
      <c r="K53" t="str">
        <f t="shared" si="17"/>
        <v/>
      </c>
      <c r="L53" s="5" t="str">
        <f>IF($K53&lt;&gt;"",IF($E53="",IF(ULTIMODIA=0,DATE(YEAR($M$7),MONTH($M$7)+($A$1*($H53-1))+SUM($B$12:$B53),DAY($M$7)),$G53),$E53),"")</f>
        <v/>
      </c>
      <c r="M53" s="9" t="str">
        <f t="shared" si="18"/>
        <v/>
      </c>
      <c r="N53" s="3" t="str">
        <f t="shared" si="19"/>
        <v/>
      </c>
      <c r="O53" s="3" t="str">
        <f t="shared" si="20"/>
        <v/>
      </c>
      <c r="P53" s="3" t="str">
        <f t="shared" si="21"/>
        <v/>
      </c>
      <c r="Q53" s="3" t="str">
        <f t="shared" si="22"/>
        <v/>
      </c>
      <c r="R53" s="3" t="str">
        <f>IF($K53&lt;&gt;"",IF($A53="Prepago",0,IF(ROUND(($H53+SUM($B$12:$B53))*$T$6,2)&gt;ROUND(SUM($R$11:$R52)+$T$6,2),$T$6*2,$T$6)),"")</f>
        <v/>
      </c>
      <c r="S53" s="3" t="str">
        <f>IF($K53&lt;&gt;"",IF($A53="Prepago",0,IF(ROUND(($H53+SUM($B$12:$B53))*$T$7,2)&gt;ROUND(SUM($S$11:$S52)+$T$7,2),$T$7*2,$T$7)),"")</f>
        <v/>
      </c>
      <c r="T53" s="3" t="str">
        <f>IF($K53&lt;&gt;"",IF($A53="Prepago",0,IF(ROUND(($H53+SUM($B$12:$B53))*$T$8,2)&gt;ROUND(SUM($T$11:$T52)+$T$8,2),$T$8*2,$T$8)),"")</f>
        <v/>
      </c>
      <c r="U53" s="3" t="str">
        <f t="shared" si="23"/>
        <v/>
      </c>
      <c r="V53" s="3" t="str">
        <f t="shared" si="12"/>
        <v/>
      </c>
      <c r="W53" s="3" t="str">
        <f t="shared" si="24"/>
        <v/>
      </c>
      <c r="X53" s="3" t="str">
        <f>IF($K53&lt;&gt;"",IF($M53&gt;X$11,30,$M53)*ROUND(($N53+$V52)*$U$5/3000,2),"")</f>
        <v/>
      </c>
      <c r="Y53" s="3" t="str">
        <f>IF($K53&lt;&gt;"",IF($M53&gt;X$11,IF($M53&lt;Y$11,$M53-X$11,30),0)*ROUND(($N53+$V52+SUM($X53:X53))*$U$5/3000,2),"")</f>
        <v/>
      </c>
      <c r="Z53" s="3"/>
      <c r="AA53" s="3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</row>
    <row r="54" spans="5:84" x14ac:dyDescent="0.25">
      <c r="E54" s="5"/>
      <c r="F54" t="str">
        <f t="shared" si="13"/>
        <v/>
      </c>
      <c r="G54" s="5" t="str">
        <f>IF($K54&lt;&gt;"",IF(DAY(EOMONTH(DATE(YEAR($M$6),$G$11+K54+SUM($B$12:B54),1),0))&gt;DAY($M$7),DATE(YEAR($M$7),MONTH($M$7)+($A$1*($H54-1))+SUM($B$12:$B54),DAY($M$7)),EOMONTH(DATE(YEAR($M$6),$G$11+K54+SUM($B$12:B54),1),0)),"")</f>
        <v/>
      </c>
      <c r="H54" s="22" t="str">
        <f t="shared" si="14"/>
        <v/>
      </c>
      <c r="I54" s="22" t="str">
        <f t="shared" si="15"/>
        <v/>
      </c>
      <c r="J54" s="22" t="str">
        <f t="shared" si="16"/>
        <v/>
      </c>
      <c r="K54" t="str">
        <f t="shared" si="17"/>
        <v/>
      </c>
      <c r="L54" s="5" t="str">
        <f>IF($K54&lt;&gt;"",IF($E54="",IF(ULTIMODIA=0,DATE(YEAR($M$7),MONTH($M$7)+($A$1*($H54-1))+SUM($B$12:$B54),DAY($M$7)),$G54),$E54),"")</f>
        <v/>
      </c>
      <c r="M54" s="9" t="str">
        <f t="shared" si="18"/>
        <v/>
      </c>
      <c r="N54" s="3" t="str">
        <f t="shared" si="19"/>
        <v/>
      </c>
      <c r="O54" s="3" t="str">
        <f t="shared" si="20"/>
        <v/>
      </c>
      <c r="P54" s="3" t="str">
        <f t="shared" si="21"/>
        <v/>
      </c>
      <c r="Q54" s="3" t="str">
        <f t="shared" si="22"/>
        <v/>
      </c>
      <c r="R54" s="3" t="str">
        <f>IF($K54&lt;&gt;"",IF($A54="Prepago",0,IF(ROUND(($H54+SUM($B$12:$B54))*$T$6,2)&gt;ROUND(SUM($R$11:$R53)+$T$6,2),$T$6*2,$T$6)),"")</f>
        <v/>
      </c>
      <c r="S54" s="3" t="str">
        <f>IF($K54&lt;&gt;"",IF($A54="Prepago",0,IF(ROUND(($H54+SUM($B$12:$B54))*$T$7,2)&gt;ROUND(SUM($S$11:$S53)+$T$7,2),$T$7*2,$T$7)),"")</f>
        <v/>
      </c>
      <c r="T54" s="3" t="str">
        <f>IF($K54&lt;&gt;"",IF($A54="Prepago",0,IF(ROUND(($H54+SUM($B$12:$B54))*$T$8,2)&gt;ROUND(SUM($T$11:$T53)+$T$8,2),$T$8*2,$T$8)),"")</f>
        <v/>
      </c>
      <c r="U54" s="3" t="str">
        <f t="shared" si="23"/>
        <v/>
      </c>
      <c r="V54" s="3" t="str">
        <f t="shared" si="12"/>
        <v/>
      </c>
      <c r="W54" s="3" t="str">
        <f t="shared" si="24"/>
        <v/>
      </c>
      <c r="X54" s="3" t="str">
        <f>IF($K54&lt;&gt;"",IF($M54&gt;X$11,30,$M54)*ROUND(($N54+$V53)*$U$5/3000,2),"")</f>
        <v/>
      </c>
      <c r="Y54" s="3" t="str">
        <f>IF($K54&lt;&gt;"",IF($M54&gt;X$11,IF($M54&lt;Y$11,$M54-X$11,30),0)*ROUND(($N54+$V53+SUM($X54:X54))*$U$5/3000,2),"")</f>
        <v/>
      </c>
      <c r="Z54" s="3"/>
      <c r="AA54" s="3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</row>
    <row r="55" spans="5:84" x14ac:dyDescent="0.25">
      <c r="E55" s="5"/>
      <c r="F55" t="str">
        <f t="shared" si="13"/>
        <v/>
      </c>
      <c r="G55" s="5" t="str">
        <f>IF($K55&lt;&gt;"",IF(DAY(EOMONTH(DATE(YEAR($M$6),$G$11+K55+SUM($B$12:B55),1),0))&gt;DAY($M$7),DATE(YEAR($M$7),MONTH($M$7)+($A$1*($H55-1))+SUM($B$12:$B55),DAY($M$7)),EOMONTH(DATE(YEAR($M$6),$G$11+K55+SUM($B$12:B55),1),0)),"")</f>
        <v/>
      </c>
      <c r="H55" s="22" t="str">
        <f t="shared" si="14"/>
        <v/>
      </c>
      <c r="I55" s="22" t="str">
        <f t="shared" si="15"/>
        <v/>
      </c>
      <c r="J55" s="22" t="str">
        <f t="shared" si="16"/>
        <v/>
      </c>
      <c r="K55" t="str">
        <f t="shared" si="17"/>
        <v/>
      </c>
      <c r="L55" s="5" t="str">
        <f>IF($K55&lt;&gt;"",IF($E55="",IF(ULTIMODIA=0,DATE(YEAR($M$7),MONTH($M$7)+($A$1*($H55-1))+SUM($B$12:$B55),DAY($M$7)),$G55),$E55),"")</f>
        <v/>
      </c>
      <c r="M55" s="9" t="str">
        <f t="shared" si="18"/>
        <v/>
      </c>
      <c r="N55" s="3" t="str">
        <f t="shared" si="19"/>
        <v/>
      </c>
      <c r="O55" s="3" t="str">
        <f t="shared" si="20"/>
        <v/>
      </c>
      <c r="P55" s="3" t="str">
        <f t="shared" si="21"/>
        <v/>
      </c>
      <c r="Q55" s="3" t="str">
        <f t="shared" si="22"/>
        <v/>
      </c>
      <c r="R55" s="3" t="str">
        <f>IF($K55&lt;&gt;"",IF($A55="Prepago",0,IF(ROUND(($H55+SUM($B$12:$B55))*$T$6,2)&gt;ROUND(SUM($R$11:$R54)+$T$6,2),$T$6*2,$T$6)),"")</f>
        <v/>
      </c>
      <c r="S55" s="3" t="str">
        <f>IF($K55&lt;&gt;"",IF($A55="Prepago",0,IF(ROUND(($H55+SUM($B$12:$B55))*$T$7,2)&gt;ROUND(SUM($S$11:$S54)+$T$7,2),$T$7*2,$T$7)),"")</f>
        <v/>
      </c>
      <c r="T55" s="3" t="str">
        <f>IF($K55&lt;&gt;"",IF($A55="Prepago",0,IF(ROUND(($H55+SUM($B$12:$B55))*$T$8,2)&gt;ROUND(SUM($T$11:$T54)+$T$8,2),$T$8*2,$T$8)),"")</f>
        <v/>
      </c>
      <c r="U55" s="3" t="str">
        <f t="shared" si="23"/>
        <v/>
      </c>
      <c r="V55" s="3" t="str">
        <f t="shared" si="12"/>
        <v/>
      </c>
      <c r="W55" s="3" t="str">
        <f t="shared" si="24"/>
        <v/>
      </c>
      <c r="X55" s="3" t="str">
        <f>IF($K55&lt;&gt;"",IF($M55&gt;X$11,30,$M55)*ROUND(($N55+$V54)*$U$5/3000,2),"")</f>
        <v/>
      </c>
      <c r="Y55" s="3" t="str">
        <f>IF($K55&lt;&gt;"",IF($M55&gt;X$11,IF($M55&lt;Y$11,$M55-X$11,30),0)*ROUND(($N55+$V54+SUM($X55:X55))*$U$5/3000,2),"")</f>
        <v/>
      </c>
      <c r="Z55" s="3"/>
      <c r="AA55" s="3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</row>
    <row r="56" spans="5:84" x14ac:dyDescent="0.25">
      <c r="E56" s="5"/>
      <c r="F56" t="str">
        <f t="shared" si="13"/>
        <v/>
      </c>
      <c r="G56" s="5" t="str">
        <f>IF($K56&lt;&gt;"",IF(DAY(EOMONTH(DATE(YEAR($M$6),$G$11+K56+SUM($B$12:B56),1),0))&gt;DAY($M$7),DATE(YEAR($M$7),MONTH($M$7)+($A$1*($H56-1))+SUM($B$12:$B56),DAY($M$7)),EOMONTH(DATE(YEAR($M$6),$G$11+K56+SUM($B$12:B56),1),0)),"")</f>
        <v/>
      </c>
      <c r="H56" s="22" t="str">
        <f t="shared" si="14"/>
        <v/>
      </c>
      <c r="I56" s="22" t="str">
        <f t="shared" si="15"/>
        <v/>
      </c>
      <c r="J56" s="22" t="str">
        <f t="shared" si="16"/>
        <v/>
      </c>
      <c r="K56" t="str">
        <f t="shared" si="17"/>
        <v/>
      </c>
      <c r="L56" s="5" t="str">
        <f>IF($K56&lt;&gt;"",IF($E56="",IF(ULTIMODIA=0,DATE(YEAR($M$7),MONTH($M$7)+($A$1*($H56-1))+SUM($B$12:$B56),DAY($M$7)),$G56),$E56),"")</f>
        <v/>
      </c>
      <c r="M56" s="9" t="str">
        <f t="shared" si="18"/>
        <v/>
      </c>
      <c r="N56" s="3" t="str">
        <f t="shared" si="19"/>
        <v/>
      </c>
      <c r="O56" s="3" t="str">
        <f t="shared" si="20"/>
        <v/>
      </c>
      <c r="P56" s="3" t="str">
        <f t="shared" si="21"/>
        <v/>
      </c>
      <c r="Q56" s="3" t="str">
        <f t="shared" si="22"/>
        <v/>
      </c>
      <c r="R56" s="3" t="str">
        <f>IF($K56&lt;&gt;"",IF($A56="Prepago",0,IF(ROUND(($H56+SUM($B$12:$B56))*$T$6,2)&gt;ROUND(SUM($R$11:$R55)+$T$6,2),$T$6*2,$T$6)),"")</f>
        <v/>
      </c>
      <c r="S56" s="3" t="str">
        <f>IF($K56&lt;&gt;"",IF($A56="Prepago",0,IF(ROUND(($H56+SUM($B$12:$B56))*$T$7,2)&gt;ROUND(SUM($S$11:$S55)+$T$7,2),$T$7*2,$T$7)),"")</f>
        <v/>
      </c>
      <c r="T56" s="3" t="str">
        <f>IF($K56&lt;&gt;"",IF($A56="Prepago",0,IF(ROUND(($H56+SUM($B$12:$B56))*$T$8,2)&gt;ROUND(SUM($T$11:$T55)+$T$8,2),$T$8*2,$T$8)),"")</f>
        <v/>
      </c>
      <c r="U56" s="3" t="str">
        <f t="shared" si="23"/>
        <v/>
      </c>
      <c r="V56" s="3" t="str">
        <f t="shared" si="12"/>
        <v/>
      </c>
      <c r="W56" s="3" t="str">
        <f t="shared" si="24"/>
        <v/>
      </c>
      <c r="X56" s="3" t="str">
        <f>IF($K56&lt;&gt;"",IF($M56&gt;X$11,30,$M56)*ROUND(($N56+$V55)*$U$5/3000,2),"")</f>
        <v/>
      </c>
      <c r="Y56" s="3" t="str">
        <f>IF($K56&lt;&gt;"",IF($M56&gt;X$11,IF($M56&lt;Y$11,$M56-X$11,30),0)*ROUND(($N56+$V55+SUM($X56:X56))*$U$5/3000,2),"")</f>
        <v/>
      </c>
      <c r="Z56" s="3"/>
      <c r="AA56" s="3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</row>
    <row r="57" spans="5:84" x14ac:dyDescent="0.25">
      <c r="E57" s="5"/>
      <c r="F57" t="str">
        <f t="shared" si="13"/>
        <v/>
      </c>
      <c r="G57" s="5" t="str">
        <f>IF($K57&lt;&gt;"",IF(DAY(EOMONTH(DATE(YEAR($M$6),$G$11+K57+SUM($B$12:B57),1),0))&gt;DAY($M$7),DATE(YEAR($M$7),MONTH($M$7)+($A$1*($H57-1))+SUM($B$12:$B57),DAY($M$7)),EOMONTH(DATE(YEAR($M$6),$G$11+K57+SUM($B$12:B57),1),0)),"")</f>
        <v/>
      </c>
      <c r="H57" s="22" t="str">
        <f t="shared" si="14"/>
        <v/>
      </c>
      <c r="I57" s="22" t="str">
        <f t="shared" si="15"/>
        <v/>
      </c>
      <c r="J57" s="22" t="str">
        <f t="shared" si="16"/>
        <v/>
      </c>
      <c r="K57" t="str">
        <f t="shared" si="17"/>
        <v/>
      </c>
      <c r="L57" s="5" t="str">
        <f>IF($K57&lt;&gt;"",IF($E57="",IF(ULTIMODIA=0,DATE(YEAR($M$7),MONTH($M$7)+($A$1*($H57-1))+SUM($B$12:$B57),DAY($M$7)),$G57),$E57),"")</f>
        <v/>
      </c>
      <c r="M57" s="9" t="str">
        <f t="shared" si="18"/>
        <v/>
      </c>
      <c r="N57" s="3" t="str">
        <f t="shared" si="19"/>
        <v/>
      </c>
      <c r="O57" s="3" t="str">
        <f t="shared" si="20"/>
        <v/>
      </c>
      <c r="P57" s="3" t="str">
        <f t="shared" si="21"/>
        <v/>
      </c>
      <c r="Q57" s="3" t="str">
        <f t="shared" si="22"/>
        <v/>
      </c>
      <c r="R57" s="3" t="str">
        <f>IF($K57&lt;&gt;"",IF($A57="Prepago",0,IF(ROUND(($H57+SUM($B$12:$B57))*$T$6,2)&gt;ROUND(SUM($R$11:$R56)+$T$6,2),$T$6*2,$T$6)),"")</f>
        <v/>
      </c>
      <c r="S57" s="3" t="str">
        <f>IF($K57&lt;&gt;"",IF($A57="Prepago",0,IF(ROUND(($H57+SUM($B$12:$B57))*$T$7,2)&gt;ROUND(SUM($S$11:$S56)+$T$7,2),$T$7*2,$T$7)),"")</f>
        <v/>
      </c>
      <c r="T57" s="3" t="str">
        <f>IF($K57&lt;&gt;"",IF($A57="Prepago",0,IF(ROUND(($H57+SUM($B$12:$B57))*$T$8,2)&gt;ROUND(SUM($T$11:$T56)+$T$8,2),$T$8*2,$T$8)),"")</f>
        <v/>
      </c>
      <c r="U57" s="3" t="str">
        <f t="shared" si="23"/>
        <v/>
      </c>
      <c r="V57" s="3" t="str">
        <f t="shared" si="12"/>
        <v/>
      </c>
      <c r="W57" s="3" t="str">
        <f t="shared" si="24"/>
        <v/>
      </c>
      <c r="X57" s="3" t="str">
        <f>IF($K57&lt;&gt;"",IF($M57&gt;X$11,30,$M57)*ROUND(($N57+$V56)*$U$5/3000,2),"")</f>
        <v/>
      </c>
      <c r="Y57" s="3" t="str">
        <f>IF($K57&lt;&gt;"",IF($M57&gt;X$11,IF($M57&lt;Y$11,$M57-X$11,30),0)*ROUND(($N57+$V56+SUM($X57:X57))*$U$5/3000,2),"")</f>
        <v/>
      </c>
      <c r="Z57" s="3"/>
      <c r="AA57" s="3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</row>
    <row r="58" spans="5:84" x14ac:dyDescent="0.25">
      <c r="E58" s="5"/>
      <c r="F58" t="str">
        <f t="shared" si="13"/>
        <v/>
      </c>
      <c r="G58" s="5" t="str">
        <f>IF($K58&lt;&gt;"",IF(DAY(EOMONTH(DATE(YEAR($M$6),$G$11+K58+SUM($B$12:B58),1),0))&gt;DAY($M$7),DATE(YEAR($M$7),MONTH($M$7)+($A$1*($H58-1))+SUM($B$12:$B58),DAY($M$7)),EOMONTH(DATE(YEAR($M$6),$G$11+K58+SUM($B$12:B58),1),0)),"")</f>
        <v/>
      </c>
      <c r="H58" s="22" t="str">
        <f t="shared" si="14"/>
        <v/>
      </c>
      <c r="I58" s="22" t="str">
        <f t="shared" si="15"/>
        <v/>
      </c>
      <c r="J58" s="22" t="str">
        <f t="shared" si="16"/>
        <v/>
      </c>
      <c r="K58" t="str">
        <f t="shared" si="17"/>
        <v/>
      </c>
      <c r="L58" s="5" t="str">
        <f>IF($K58&lt;&gt;"",IF($E58="",IF(ULTIMODIA=0,DATE(YEAR($M$7),MONTH($M$7)+($A$1*($H58-1))+SUM($B$12:$B58),DAY($M$7)),$G58),$E58),"")</f>
        <v/>
      </c>
      <c r="M58" s="9" t="str">
        <f t="shared" si="18"/>
        <v/>
      </c>
      <c r="N58" s="3" t="str">
        <f t="shared" si="19"/>
        <v/>
      </c>
      <c r="O58" s="3" t="str">
        <f t="shared" si="20"/>
        <v/>
      </c>
      <c r="P58" s="3" t="str">
        <f t="shared" si="21"/>
        <v/>
      </c>
      <c r="Q58" s="3" t="str">
        <f t="shared" si="22"/>
        <v/>
      </c>
      <c r="R58" s="3" t="str">
        <f>IF($K58&lt;&gt;"",IF($A58="Prepago",0,IF(ROUND(($H58+SUM($B$12:$B58))*$T$6,2)&gt;ROUND(SUM($R$11:$R57)+$T$6,2),$T$6*2,$T$6)),"")</f>
        <v/>
      </c>
      <c r="S58" s="3" t="str">
        <f>IF($K58&lt;&gt;"",IF($A58="Prepago",0,IF(ROUND(($H58+SUM($B$12:$B58))*$T$7,2)&gt;ROUND(SUM($S$11:$S57)+$T$7,2),$T$7*2,$T$7)),"")</f>
        <v/>
      </c>
      <c r="T58" s="3" t="str">
        <f>IF($K58&lt;&gt;"",IF($A58="Prepago",0,IF(ROUND(($H58+SUM($B$12:$B58))*$T$8,2)&gt;ROUND(SUM($T$11:$T57)+$T$8,2),$T$8*2,$T$8)),"")</f>
        <v/>
      </c>
      <c r="U58" s="3" t="str">
        <f t="shared" si="23"/>
        <v/>
      </c>
      <c r="V58" s="3" t="str">
        <f t="shared" si="12"/>
        <v/>
      </c>
      <c r="W58" s="3" t="str">
        <f t="shared" si="24"/>
        <v/>
      </c>
      <c r="X58" s="3" t="str">
        <f>IF($K58&lt;&gt;"",IF($M58&gt;X$11,30,$M58)*ROUND(($N58+$V57)*$U$5/3000,2),"")</f>
        <v/>
      </c>
      <c r="Y58" s="3" t="str">
        <f>IF($K58&lt;&gt;"",IF($M58&gt;X$11,IF($M58&lt;Y$11,$M58-X$11,30),0)*ROUND(($N58+$V57+SUM($X58:X58))*$U$5/3000,2),"")</f>
        <v/>
      </c>
      <c r="Z58" s="3"/>
      <c r="AA58" s="3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</row>
    <row r="59" spans="5:84" x14ac:dyDescent="0.25">
      <c r="E59" s="5"/>
      <c r="F59" t="str">
        <f t="shared" si="13"/>
        <v/>
      </c>
      <c r="G59" s="5" t="str">
        <f>IF($K59&lt;&gt;"",IF(DAY(EOMONTH(DATE(YEAR($M$6),$G$11+K59+SUM($B$12:B59),1),0))&gt;DAY($M$7),DATE(YEAR($M$7),MONTH($M$7)+($A$1*($H59-1))+SUM($B$12:$B59),DAY($M$7)),EOMONTH(DATE(YEAR($M$6),$G$11+K59+SUM($B$12:B59),1),0)),"")</f>
        <v/>
      </c>
      <c r="H59" s="22" t="str">
        <f t="shared" si="14"/>
        <v/>
      </c>
      <c r="I59" s="22" t="str">
        <f t="shared" si="15"/>
        <v/>
      </c>
      <c r="J59" s="22" t="str">
        <f t="shared" si="16"/>
        <v/>
      </c>
      <c r="K59" t="str">
        <f t="shared" si="17"/>
        <v/>
      </c>
      <c r="L59" s="5" t="str">
        <f>IF($K59&lt;&gt;"",IF($E59="",IF(ULTIMODIA=0,DATE(YEAR($M$7),MONTH($M$7)+($A$1*($H59-1))+SUM($B$12:$B59),DAY($M$7)),$G59),$E59),"")</f>
        <v/>
      </c>
      <c r="M59" s="9" t="str">
        <f t="shared" si="18"/>
        <v/>
      </c>
      <c r="N59" s="3" t="str">
        <f t="shared" si="19"/>
        <v/>
      </c>
      <c r="O59" s="3" t="str">
        <f t="shared" si="20"/>
        <v/>
      </c>
      <c r="P59" s="3" t="str">
        <f t="shared" si="21"/>
        <v/>
      </c>
      <c r="Q59" s="3" t="str">
        <f t="shared" si="22"/>
        <v/>
      </c>
      <c r="R59" s="3" t="str">
        <f>IF($K59&lt;&gt;"",IF($A59="Prepago",0,IF(ROUND(($H59+SUM($B$12:$B59))*$T$6,2)&gt;ROUND(SUM($R$11:$R58)+$T$6,2),$T$6*2,$T$6)),"")</f>
        <v/>
      </c>
      <c r="S59" s="3" t="str">
        <f>IF($K59&lt;&gt;"",IF($A59="Prepago",0,IF(ROUND(($H59+SUM($B$12:$B59))*$T$7,2)&gt;ROUND(SUM($S$11:$S58)+$T$7,2),$T$7*2,$T$7)),"")</f>
        <v/>
      </c>
      <c r="T59" s="3" t="str">
        <f>IF($K59&lt;&gt;"",IF($A59="Prepago",0,IF(ROUND(($H59+SUM($B$12:$B59))*$T$8,2)&gt;ROUND(SUM($T$11:$T58)+$T$8,2),$T$8*2,$T$8)),"")</f>
        <v/>
      </c>
      <c r="U59" s="3" t="str">
        <f t="shared" si="23"/>
        <v/>
      </c>
      <c r="V59" s="3" t="str">
        <f t="shared" si="12"/>
        <v/>
      </c>
      <c r="W59" s="3" t="str">
        <f t="shared" si="24"/>
        <v/>
      </c>
      <c r="X59" s="3" t="str">
        <f>IF($K59&lt;&gt;"",IF($M59&gt;X$11,30,$M59)*ROUND(($N59+$V58)*$U$5/3000,2),"")</f>
        <v/>
      </c>
      <c r="Y59" s="3" t="str">
        <f>IF($K59&lt;&gt;"",IF($M59&gt;X$11,IF($M59&lt;Y$11,$M59-X$11,30),0)*ROUND(($N59+$V58+SUM($X59:X59))*$U$5/3000,2),"")</f>
        <v/>
      </c>
      <c r="Z59" s="3"/>
      <c r="AA59" s="3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</row>
    <row r="60" spans="5:84" x14ac:dyDescent="0.25">
      <c r="E60" s="5"/>
      <c r="F60" t="str">
        <f t="shared" si="13"/>
        <v/>
      </c>
      <c r="G60" s="5" t="str">
        <f>IF($K60&lt;&gt;"",IF(DAY(EOMONTH(DATE(YEAR($M$6),$G$11+K60+SUM($B$12:B60),1),0))&gt;DAY($M$7),DATE(YEAR($M$7),MONTH($M$7)+($A$1*($H60-1))+SUM($B$12:$B60),DAY($M$7)),EOMONTH(DATE(YEAR($M$6),$G$11+K60+SUM($B$12:B60),1),0)),"")</f>
        <v/>
      </c>
      <c r="H60" s="22" t="str">
        <f t="shared" si="14"/>
        <v/>
      </c>
      <c r="I60" s="22" t="str">
        <f t="shared" si="15"/>
        <v/>
      </c>
      <c r="J60" s="22" t="str">
        <f t="shared" si="16"/>
        <v/>
      </c>
      <c r="K60" t="str">
        <f t="shared" si="17"/>
        <v/>
      </c>
      <c r="L60" s="5" t="str">
        <f>IF($K60&lt;&gt;"",IF($E60="",IF(ULTIMODIA=0,DATE(YEAR($M$7),MONTH($M$7)+($A$1*($H60-1))+SUM($B$12:$B60),DAY($M$7)),$G60),$E60),"")</f>
        <v/>
      </c>
      <c r="M60" s="9" t="str">
        <f t="shared" si="18"/>
        <v/>
      </c>
      <c r="N60" s="3" t="str">
        <f t="shared" si="19"/>
        <v/>
      </c>
      <c r="O60" s="3" t="str">
        <f t="shared" si="20"/>
        <v/>
      </c>
      <c r="P60" s="3" t="str">
        <f t="shared" si="21"/>
        <v/>
      </c>
      <c r="Q60" s="3" t="str">
        <f t="shared" si="22"/>
        <v/>
      </c>
      <c r="R60" s="3" t="str">
        <f>IF($K60&lt;&gt;"",IF($A60="Prepago",0,IF(ROUND(($H60+SUM($B$12:$B60))*$T$6,2)&gt;ROUND(SUM($R$11:$R59)+$T$6,2),$T$6*2,$T$6)),"")</f>
        <v/>
      </c>
      <c r="S60" s="3" t="str">
        <f>IF($K60&lt;&gt;"",IF($A60="Prepago",0,IF(ROUND(($H60+SUM($B$12:$B60))*$T$7,2)&gt;ROUND(SUM($S$11:$S59)+$T$7,2),$T$7*2,$T$7)),"")</f>
        <v/>
      </c>
      <c r="T60" s="3" t="str">
        <f>IF($K60&lt;&gt;"",IF($A60="Prepago",0,IF(ROUND(($H60+SUM($B$12:$B60))*$T$8,2)&gt;ROUND(SUM($T$11:$T59)+$T$8,2),$T$8*2,$T$8)),"")</f>
        <v/>
      </c>
      <c r="U60" s="3" t="str">
        <f t="shared" si="23"/>
        <v/>
      </c>
      <c r="V60" s="3" t="str">
        <f t="shared" si="12"/>
        <v/>
      </c>
      <c r="W60" s="3" t="str">
        <f t="shared" si="24"/>
        <v/>
      </c>
      <c r="X60" s="3" t="str">
        <f>IF($K60&lt;&gt;"",IF($M60&gt;X$11,30,$M60)*ROUND(($N60+$V59)*$U$5/3000,2),"")</f>
        <v/>
      </c>
      <c r="Y60" s="3" t="str">
        <f>IF($K60&lt;&gt;"",IF($M60&gt;X$11,IF($M60&lt;Y$11,$M60-X$11,30),0)*ROUND(($N60+$V59+SUM($X60:X60))*$U$5/3000,2),"")</f>
        <v/>
      </c>
      <c r="Z60" s="3"/>
      <c r="AA60" s="3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</row>
    <row r="61" spans="5:84" x14ac:dyDescent="0.25">
      <c r="E61" s="5"/>
      <c r="F61" t="str">
        <f t="shared" si="13"/>
        <v/>
      </c>
      <c r="G61" s="5" t="str">
        <f>IF($K61&lt;&gt;"",IF(DAY(EOMONTH(DATE(YEAR($M$6),$G$11+K61+SUM($B$12:B61),1),0))&gt;DAY($M$7),DATE(YEAR($M$7),MONTH($M$7)+($A$1*($H61-1))+SUM($B$12:$B61),DAY($M$7)),EOMONTH(DATE(YEAR($M$6),$G$11+K61+SUM($B$12:B61),1),0)),"")</f>
        <v/>
      </c>
      <c r="H61" s="22" t="str">
        <f t="shared" si="14"/>
        <v/>
      </c>
      <c r="I61" s="22" t="str">
        <f t="shared" si="15"/>
        <v/>
      </c>
      <c r="J61" s="22" t="str">
        <f t="shared" si="16"/>
        <v/>
      </c>
      <c r="K61" t="str">
        <f t="shared" si="17"/>
        <v/>
      </c>
      <c r="L61" s="5" t="str">
        <f>IF($K61&lt;&gt;"",IF($E61="",IF(ULTIMODIA=0,DATE(YEAR($M$7),MONTH($M$7)+($A$1*($H61-1))+SUM($B$12:$B61),DAY($M$7)),$G61),$E61),"")</f>
        <v/>
      </c>
      <c r="M61" s="9" t="str">
        <f t="shared" si="18"/>
        <v/>
      </c>
      <c r="N61" s="3" t="str">
        <f t="shared" si="19"/>
        <v/>
      </c>
      <c r="O61" s="3" t="str">
        <f t="shared" si="20"/>
        <v/>
      </c>
      <c r="P61" s="3" t="str">
        <f t="shared" si="21"/>
        <v/>
      </c>
      <c r="Q61" s="3" t="str">
        <f t="shared" si="22"/>
        <v/>
      </c>
      <c r="R61" s="3" t="str">
        <f>IF($K61&lt;&gt;"",IF($A61="Prepago",0,IF(ROUND(($H61+SUM($B$12:$B61))*$T$6,2)&gt;ROUND(SUM($R$11:$R60)+$T$6,2),$T$6*2,$T$6)),"")</f>
        <v/>
      </c>
      <c r="S61" s="3" t="str">
        <f>IF($K61&lt;&gt;"",IF($A61="Prepago",0,IF(ROUND(($H61+SUM($B$12:$B61))*$T$7,2)&gt;ROUND(SUM($S$11:$S60)+$T$7,2),$T$7*2,$T$7)),"")</f>
        <v/>
      </c>
      <c r="T61" s="3" t="str">
        <f>IF($K61&lt;&gt;"",IF($A61="Prepago",0,IF(ROUND(($H61+SUM($B$12:$B61))*$T$8,2)&gt;ROUND(SUM($T$11:$T60)+$T$8,2),$T$8*2,$T$8)),"")</f>
        <v/>
      </c>
      <c r="U61" s="3" t="str">
        <f t="shared" si="23"/>
        <v/>
      </c>
      <c r="V61" s="3" t="str">
        <f t="shared" si="12"/>
        <v/>
      </c>
      <c r="W61" s="3" t="str">
        <f t="shared" si="24"/>
        <v/>
      </c>
      <c r="X61" s="3" t="str">
        <f>IF($K61&lt;&gt;"",IF($M61&gt;X$11,30,$M61)*ROUND(($N61+$V60)*$U$5/3000,2),"")</f>
        <v/>
      </c>
      <c r="Y61" s="3" t="str">
        <f>IF($K61&lt;&gt;"",IF($M61&gt;X$11,IF($M61&lt;Y$11,$M61-X$11,30),0)*ROUND(($N61+$V60+SUM($X61:X61))*$U$5/3000,2),"")</f>
        <v/>
      </c>
      <c r="Z61" s="3"/>
      <c r="AA61" s="3"/>
    </row>
    <row r="62" spans="5:84" x14ac:dyDescent="0.25">
      <c r="E62" s="5"/>
      <c r="F62" t="str">
        <f t="shared" si="13"/>
        <v/>
      </c>
      <c r="G62" s="5" t="str">
        <f>IF($K62&lt;&gt;"",IF(DAY(EOMONTH(DATE(YEAR($M$6),$G$11+K62+SUM($B$12:B62),1),0))&gt;DAY($M$7),DATE(YEAR($M$7),MONTH($M$7)+($A$1*($H62-1))+SUM($B$12:$B62),DAY($M$7)),EOMONTH(DATE(YEAR($M$6),$G$11+K62+SUM($B$12:B62),1),0)),"")</f>
        <v/>
      </c>
      <c r="H62" s="22" t="str">
        <f t="shared" si="14"/>
        <v/>
      </c>
      <c r="I62" s="22" t="str">
        <f t="shared" si="15"/>
        <v/>
      </c>
      <c r="J62" s="22" t="str">
        <f t="shared" si="16"/>
        <v/>
      </c>
      <c r="K62" t="str">
        <f t="shared" si="17"/>
        <v/>
      </c>
      <c r="L62" s="5" t="str">
        <f>IF($K62&lt;&gt;"",IF($E62="",IF(ULTIMODIA=0,DATE(YEAR($M$7),MONTH($M$7)+($A$1*($H62-1))+SUM($B$12:$B62),DAY($M$7)),$G62),$E62),"")</f>
        <v/>
      </c>
      <c r="M62" s="9" t="str">
        <f t="shared" si="18"/>
        <v/>
      </c>
      <c r="N62" s="3" t="str">
        <f t="shared" si="19"/>
        <v/>
      </c>
      <c r="O62" s="3" t="str">
        <f t="shared" si="20"/>
        <v/>
      </c>
      <c r="P62" s="3" t="str">
        <f t="shared" si="21"/>
        <v/>
      </c>
      <c r="Q62" s="3" t="str">
        <f t="shared" si="22"/>
        <v/>
      </c>
      <c r="R62" s="3" t="str">
        <f>IF($K62&lt;&gt;"",IF($A62="Prepago",0,IF(ROUND(($H62+SUM($B$12:$B62))*$T$6,2)&gt;ROUND(SUM($R$11:$R61)+$T$6,2),$T$6*2,$T$6)),"")</f>
        <v/>
      </c>
      <c r="S62" s="3" t="str">
        <f>IF($K62&lt;&gt;"",IF($A62="Prepago",0,IF(ROUND(($H62+SUM($B$12:$B62))*$T$7,2)&gt;ROUND(SUM($S$11:$S61)+$T$7,2),$T$7*2,$T$7)),"")</f>
        <v/>
      </c>
      <c r="T62" s="3" t="str">
        <f>IF($K62&lt;&gt;"",IF($A62="Prepago",0,IF(ROUND(($H62+SUM($B$12:$B62))*$T$8,2)&gt;ROUND(SUM($T$11:$T61)+$T$8,2),$T$8*2,$T$8)),"")</f>
        <v/>
      </c>
      <c r="U62" s="3" t="str">
        <f t="shared" si="23"/>
        <v/>
      </c>
      <c r="V62" s="3" t="str">
        <f t="shared" si="12"/>
        <v/>
      </c>
      <c r="W62" s="3" t="str">
        <f t="shared" si="24"/>
        <v/>
      </c>
      <c r="X62" s="3" t="str">
        <f>IF($K62&lt;&gt;"",IF($M62&gt;X$11,30,$M62)*ROUND(($N62+$V61)*$U$5/3000,2),"")</f>
        <v/>
      </c>
      <c r="Y62" s="3" t="str">
        <f>IF($K62&lt;&gt;"",IF($M62&gt;X$11,IF($M62&lt;Y$11,$M62-X$11,30),0)*ROUND(($N62+$V61+SUM($X62:X62))*$U$5/3000,2),"")</f>
        <v/>
      </c>
      <c r="Z62" s="3"/>
      <c r="AA62" s="3"/>
    </row>
    <row r="63" spans="5:84" x14ac:dyDescent="0.25">
      <c r="E63" s="5"/>
      <c r="F63" t="str">
        <f t="shared" si="13"/>
        <v/>
      </c>
      <c r="G63" s="5" t="str">
        <f>IF($K63&lt;&gt;"",IF(DAY(EOMONTH(DATE(YEAR($M$6),$G$11+K63+SUM($B$12:B63),1),0))&gt;DAY($M$7),DATE(YEAR($M$7),MONTH($M$7)+($A$1*($H63-1))+SUM($B$12:$B63),DAY($M$7)),EOMONTH(DATE(YEAR($M$6),$G$11+K63+SUM($B$12:B63),1),0)),"")</f>
        <v/>
      </c>
      <c r="H63" s="22" t="str">
        <f t="shared" si="14"/>
        <v/>
      </c>
      <c r="I63" s="22" t="str">
        <f t="shared" si="15"/>
        <v/>
      </c>
      <c r="J63" s="22" t="str">
        <f t="shared" si="16"/>
        <v/>
      </c>
      <c r="K63" t="str">
        <f t="shared" si="17"/>
        <v/>
      </c>
      <c r="L63" s="5" t="str">
        <f>IF($K63&lt;&gt;"",IF($E63="",IF(ULTIMODIA=0,DATE(YEAR($M$7),MONTH($M$7)+($A$1*($H63-1))+SUM($B$12:$B63),DAY($M$7)),$G63),$E63),"")</f>
        <v/>
      </c>
      <c r="M63" s="9" t="str">
        <f t="shared" si="18"/>
        <v/>
      </c>
      <c r="N63" s="3" t="str">
        <f t="shared" si="19"/>
        <v/>
      </c>
      <c r="O63" s="3" t="str">
        <f t="shared" si="20"/>
        <v/>
      </c>
      <c r="P63" s="3" t="str">
        <f t="shared" si="21"/>
        <v/>
      </c>
      <c r="Q63" s="3" t="str">
        <f t="shared" si="22"/>
        <v/>
      </c>
      <c r="R63" s="3" t="str">
        <f>IF($K63&lt;&gt;"",IF($A63="Prepago",0,IF(ROUND(($H63+SUM($B$12:$B63))*$T$6,2)&gt;ROUND(SUM($R$11:$R62)+$T$6,2),$T$6*2,$T$6)),"")</f>
        <v/>
      </c>
      <c r="S63" s="3" t="str">
        <f>IF($K63&lt;&gt;"",IF($A63="Prepago",0,IF(ROUND(($H63+SUM($B$12:$B63))*$T$7,2)&gt;ROUND(SUM($S$11:$S62)+$T$7,2),$T$7*2,$T$7)),"")</f>
        <v/>
      </c>
      <c r="T63" s="3" t="str">
        <f>IF($K63&lt;&gt;"",IF($A63="Prepago",0,IF(ROUND(($H63+SUM($B$12:$B63))*$T$8,2)&gt;ROUND(SUM($T$11:$T62)+$T$8,2),$T$8*2,$T$8)),"")</f>
        <v/>
      </c>
      <c r="U63" s="3" t="str">
        <f t="shared" si="23"/>
        <v/>
      </c>
      <c r="V63" s="3" t="str">
        <f t="shared" si="12"/>
        <v/>
      </c>
      <c r="W63" s="3" t="str">
        <f t="shared" si="24"/>
        <v/>
      </c>
      <c r="X63" s="3" t="str">
        <f>IF($K63&lt;&gt;"",IF($M63&gt;X$11,30,$M63)*ROUND(($N63+$V62)*$U$5/3000,2),"")</f>
        <v/>
      </c>
      <c r="Y63" s="3" t="str">
        <f>IF($K63&lt;&gt;"",IF($M63&gt;X$11,IF($M63&lt;Y$11,$M63-X$11,30),0)*ROUND(($N63+$V62+SUM($X63:X63))*$U$5/3000,2),"")</f>
        <v/>
      </c>
      <c r="Z63" s="3"/>
      <c r="AA63" s="3"/>
    </row>
    <row r="64" spans="5:84" x14ac:dyDescent="0.25">
      <c r="E64" s="5"/>
      <c r="F64" t="str">
        <f t="shared" si="13"/>
        <v/>
      </c>
      <c r="G64" s="5" t="str">
        <f>IF($K64&lt;&gt;"",IF(DAY(EOMONTH(DATE(YEAR($M$6),$G$11+K64+SUM($B$12:B64),1),0))&gt;DAY($M$7),DATE(YEAR($M$7),MONTH($M$7)+($A$1*($H64-1))+SUM($B$12:$B64),DAY($M$7)),EOMONTH(DATE(YEAR($M$6),$G$11+K64+SUM($B$12:B64),1),0)),"")</f>
        <v/>
      </c>
      <c r="H64" s="22" t="str">
        <f t="shared" si="14"/>
        <v/>
      </c>
      <c r="I64" s="22" t="str">
        <f t="shared" si="15"/>
        <v/>
      </c>
      <c r="J64" s="22" t="str">
        <f t="shared" si="16"/>
        <v/>
      </c>
      <c r="K64" t="str">
        <f t="shared" si="17"/>
        <v/>
      </c>
      <c r="L64" s="5" t="str">
        <f>IF($K64&lt;&gt;"",IF($E64="",IF(ULTIMODIA=0,DATE(YEAR($M$7),MONTH($M$7)+($A$1*($H64-1))+SUM($B$12:$B64),DAY($M$7)),$G64),$E64),"")</f>
        <v/>
      </c>
      <c r="M64" s="9" t="str">
        <f t="shared" si="18"/>
        <v/>
      </c>
      <c r="N64" s="3" t="str">
        <f t="shared" si="19"/>
        <v/>
      </c>
      <c r="O64" s="3" t="str">
        <f t="shared" si="20"/>
        <v/>
      </c>
      <c r="P64" s="3" t="str">
        <f t="shared" si="21"/>
        <v/>
      </c>
      <c r="Q64" s="3" t="str">
        <f t="shared" si="22"/>
        <v/>
      </c>
      <c r="R64" s="3" t="str">
        <f>IF($K64&lt;&gt;"",IF($A64="Prepago",0,IF(ROUND(($H64+SUM($B$12:$B64))*$T$6,2)&gt;ROUND(SUM($R$11:$R63)+$T$6,2),$T$6*2,$T$6)),"")</f>
        <v/>
      </c>
      <c r="S64" s="3" t="str">
        <f>IF($K64&lt;&gt;"",IF($A64="Prepago",0,IF(ROUND(($H64+SUM($B$12:$B64))*$T$7,2)&gt;ROUND(SUM($S$11:$S63)+$T$7,2),$T$7*2,$T$7)),"")</f>
        <v/>
      </c>
      <c r="T64" s="3" t="str">
        <f>IF($K64&lt;&gt;"",IF($A64="Prepago",0,IF(ROUND(($H64+SUM($B$12:$B64))*$T$8,2)&gt;ROUND(SUM($T$11:$T63)+$T$8,2),$T$8*2,$T$8)),"")</f>
        <v/>
      </c>
      <c r="U64" s="3" t="str">
        <f t="shared" si="23"/>
        <v/>
      </c>
      <c r="V64" s="3" t="str">
        <f t="shared" si="12"/>
        <v/>
      </c>
      <c r="W64" s="3" t="str">
        <f t="shared" si="24"/>
        <v/>
      </c>
      <c r="X64" s="3" t="str">
        <f>IF($K64&lt;&gt;"",IF($M64&gt;X$11,30,$M64)*ROUND(($N64+$V63)*$U$5/3000,2),"")</f>
        <v/>
      </c>
      <c r="Y64" s="3" t="str">
        <f>IF($K64&lt;&gt;"",IF($M64&gt;X$11,IF($M64&lt;Y$11,$M64-X$11,30),0)*ROUND(($N64+$V63+SUM($X64:X64))*$U$5/3000,2),"")</f>
        <v/>
      </c>
      <c r="Z64" s="3"/>
      <c r="AA64" s="3"/>
    </row>
    <row r="65" spans="5:27" x14ac:dyDescent="0.25">
      <c r="E65" s="5"/>
      <c r="F65" t="str">
        <f t="shared" si="13"/>
        <v/>
      </c>
      <c r="G65" s="5" t="str">
        <f>IF($K65&lt;&gt;"",IF(DAY(EOMONTH(DATE(YEAR($M$6),$G$11+K65+SUM($B$12:B65),1),0))&gt;DAY($M$7),DATE(YEAR($M$7),MONTH($M$7)+($A$1*($H65-1))+SUM($B$12:$B65),DAY($M$7)),EOMONTH(DATE(YEAR($M$6),$G$11+K65+SUM($B$12:B65),1),0)),"")</f>
        <v/>
      </c>
      <c r="H65" s="22" t="str">
        <f t="shared" si="14"/>
        <v/>
      </c>
      <c r="I65" s="22" t="str">
        <f t="shared" si="15"/>
        <v/>
      </c>
      <c r="J65" s="22" t="str">
        <f t="shared" si="16"/>
        <v/>
      </c>
      <c r="K65" t="str">
        <f t="shared" si="17"/>
        <v/>
      </c>
      <c r="L65" s="5" t="str">
        <f>IF($K65&lt;&gt;"",IF($E65="",IF(ULTIMODIA=0,DATE(YEAR($M$7),MONTH($M$7)+($A$1*($H65-1))+SUM($B$12:$B65),DAY($M$7)),$G65),$E65),"")</f>
        <v/>
      </c>
      <c r="M65" s="9" t="str">
        <f t="shared" si="18"/>
        <v/>
      </c>
      <c r="N65" s="3" t="str">
        <f t="shared" si="19"/>
        <v/>
      </c>
      <c r="O65" s="3" t="str">
        <f t="shared" si="20"/>
        <v/>
      </c>
      <c r="P65" s="3" t="str">
        <f t="shared" si="21"/>
        <v/>
      </c>
      <c r="Q65" s="3" t="str">
        <f t="shared" si="22"/>
        <v/>
      </c>
      <c r="R65" s="3" t="str">
        <f>IF($K65&lt;&gt;"",IF($A65="Prepago",0,IF(ROUND(($H65+SUM($B$12:$B65))*$T$6,2)&gt;ROUND(SUM($R$11:$R64)+$T$6,2),$T$6*2,$T$6)),"")</f>
        <v/>
      </c>
      <c r="S65" s="3" t="str">
        <f>IF($K65&lt;&gt;"",IF($A65="Prepago",0,IF(ROUND(($H65+SUM($B$12:$B65))*$T$7,2)&gt;ROUND(SUM($S$11:$S64)+$T$7,2),$T$7*2,$T$7)),"")</f>
        <v/>
      </c>
      <c r="T65" s="3" t="str">
        <f>IF($K65&lt;&gt;"",IF($A65="Prepago",0,IF(ROUND(($H65+SUM($B$12:$B65))*$T$8,2)&gt;ROUND(SUM($T$11:$T64)+$T$8,2),$T$8*2,$T$8)),"")</f>
        <v/>
      </c>
      <c r="U65" s="3" t="str">
        <f t="shared" si="23"/>
        <v/>
      </c>
      <c r="V65" s="3" t="str">
        <f t="shared" si="12"/>
        <v/>
      </c>
      <c r="W65" s="3" t="str">
        <f t="shared" si="24"/>
        <v/>
      </c>
      <c r="X65" s="3" t="str">
        <f>IF($K65&lt;&gt;"",IF($M65&gt;X$11,30,$M65)*ROUND(($N65+$V64)*$U$5/3000,2),"")</f>
        <v/>
      </c>
      <c r="Y65" s="3" t="str">
        <f>IF($K65&lt;&gt;"",IF($M65&gt;X$11,IF($M65&lt;Y$11,$M65-X$11,30),0)*ROUND(($N65+$V64+SUM($X65:X65))*$U$5/3000,2),"")</f>
        <v/>
      </c>
      <c r="Z65" s="3"/>
      <c r="AA65" s="3"/>
    </row>
    <row r="66" spans="5:27" x14ac:dyDescent="0.25">
      <c r="E66" s="5"/>
      <c r="F66" t="str">
        <f t="shared" si="13"/>
        <v/>
      </c>
      <c r="G66" s="5" t="str">
        <f>IF($K66&lt;&gt;"",IF(DAY(EOMONTH(DATE(YEAR($M$6),$G$11+K66+SUM($B$12:B66),1),0))&gt;DAY($M$7),DATE(YEAR($M$7),MONTH($M$7)+($A$1*($H66-1))+SUM($B$12:$B66),DAY($M$7)),EOMONTH(DATE(YEAR($M$6),$G$11+K66+SUM($B$12:B66),1),0)),"")</f>
        <v/>
      </c>
      <c r="H66" s="22" t="str">
        <f t="shared" si="14"/>
        <v/>
      </c>
      <c r="I66" s="22" t="str">
        <f t="shared" si="15"/>
        <v/>
      </c>
      <c r="J66" s="22" t="str">
        <f t="shared" si="16"/>
        <v/>
      </c>
      <c r="K66" t="str">
        <f t="shared" si="17"/>
        <v/>
      </c>
      <c r="L66" s="5" t="str">
        <f>IF($K66&lt;&gt;"",IF($E66="",IF(ULTIMODIA=0,DATE(YEAR($M$7),MONTH($M$7)+($A$1*($H66-1))+SUM($B$12:$B66),DAY($M$7)),$G66),$E66),"")</f>
        <v/>
      </c>
      <c r="M66" s="9" t="str">
        <f t="shared" si="18"/>
        <v/>
      </c>
      <c r="N66" s="3" t="str">
        <f t="shared" si="19"/>
        <v/>
      </c>
      <c r="O66" s="3" t="str">
        <f t="shared" si="20"/>
        <v/>
      </c>
      <c r="P66" s="3" t="str">
        <f t="shared" si="21"/>
        <v/>
      </c>
      <c r="Q66" s="3" t="str">
        <f t="shared" si="22"/>
        <v/>
      </c>
      <c r="R66" s="3" t="str">
        <f>IF($K66&lt;&gt;"",IF($A66="Prepago",0,IF(ROUND(($H66+SUM($B$12:$B66))*$T$6,2)&gt;ROUND(SUM($R$11:$R65)+$T$6,2),$T$6*2,$T$6)),"")</f>
        <v/>
      </c>
      <c r="S66" s="3" t="str">
        <f>IF($K66&lt;&gt;"",IF($A66="Prepago",0,IF(ROUND(($H66+SUM($B$12:$B66))*$T$7,2)&gt;ROUND(SUM($S$11:$S65)+$T$7,2),$T$7*2,$T$7)),"")</f>
        <v/>
      </c>
      <c r="T66" s="3" t="str">
        <f>IF($K66&lt;&gt;"",IF($A66="Prepago",0,IF(ROUND(($H66+SUM($B$12:$B66))*$T$8,2)&gt;ROUND(SUM($T$11:$T65)+$T$8,2),$T$8*2,$T$8)),"")</f>
        <v/>
      </c>
      <c r="U66" s="3" t="str">
        <f t="shared" si="23"/>
        <v/>
      </c>
      <c r="V66" s="3" t="str">
        <f t="shared" si="12"/>
        <v/>
      </c>
      <c r="W66" s="3" t="str">
        <f t="shared" si="24"/>
        <v/>
      </c>
      <c r="X66" s="3" t="str">
        <f>IF($K66&lt;&gt;"",IF($M66&gt;X$11,30,$M66)*ROUND(($N66+$V65)*$U$5/3000,2),"")</f>
        <v/>
      </c>
      <c r="Y66" s="3" t="str">
        <f>IF($K66&lt;&gt;"",IF($M66&gt;X$11,IF($M66&lt;Y$11,$M66-X$11,30),0)*ROUND(($N66+$V65+SUM($X66:X66))*$U$5/3000,2),"")</f>
        <v/>
      </c>
      <c r="Z66" s="3"/>
      <c r="AA66" s="3"/>
    </row>
    <row r="67" spans="5:27" x14ac:dyDescent="0.25">
      <c r="E67" s="5"/>
      <c r="F67" t="str">
        <f t="shared" si="13"/>
        <v/>
      </c>
      <c r="G67" s="5" t="str">
        <f>IF($K67&lt;&gt;"",IF(DAY(EOMONTH(DATE(YEAR($M$6),$G$11+K67+SUM($B$12:B67),1),0))&gt;DAY($M$7),DATE(YEAR($M$7),MONTH($M$7)+($A$1*($H67-1))+SUM($B$12:$B67),DAY($M$7)),EOMONTH(DATE(YEAR($M$6),$G$11+K67+SUM($B$12:B67),1),0)),"")</f>
        <v/>
      </c>
      <c r="H67" s="22" t="str">
        <f t="shared" si="14"/>
        <v/>
      </c>
      <c r="I67" s="22" t="str">
        <f t="shared" si="15"/>
        <v/>
      </c>
      <c r="J67" s="22" t="str">
        <f t="shared" si="16"/>
        <v/>
      </c>
      <c r="K67" t="str">
        <f t="shared" si="17"/>
        <v/>
      </c>
      <c r="L67" s="5" t="str">
        <f>IF($K67&lt;&gt;"",IF($E67="",IF(ULTIMODIA=0,DATE(YEAR($M$7),MONTH($M$7)+($A$1*($H67-1))+SUM($B$12:$B67),DAY($M$7)),$G67),$E67),"")</f>
        <v/>
      </c>
      <c r="M67" s="9" t="str">
        <f t="shared" si="18"/>
        <v/>
      </c>
      <c r="N67" s="3" t="str">
        <f t="shared" si="19"/>
        <v/>
      </c>
      <c r="O67" s="3" t="str">
        <f t="shared" si="20"/>
        <v/>
      </c>
      <c r="P67" s="3" t="str">
        <f t="shared" si="21"/>
        <v/>
      </c>
      <c r="Q67" s="3" t="str">
        <f t="shared" si="22"/>
        <v/>
      </c>
      <c r="R67" s="3" t="str">
        <f>IF($K67&lt;&gt;"",IF($A67="Prepago",0,IF(ROUND(($H67+SUM($B$12:$B67))*$T$6,2)&gt;ROUND(SUM($R$11:$R66)+$T$6,2),$T$6*2,$T$6)),"")</f>
        <v/>
      </c>
      <c r="S67" s="3" t="str">
        <f>IF($K67&lt;&gt;"",IF($A67="Prepago",0,IF(ROUND(($H67+SUM($B$12:$B67))*$T$7,2)&gt;ROUND(SUM($S$11:$S66)+$T$7,2),$T$7*2,$T$7)),"")</f>
        <v/>
      </c>
      <c r="T67" s="3" t="str">
        <f>IF($K67&lt;&gt;"",IF($A67="Prepago",0,IF(ROUND(($H67+SUM($B$12:$B67))*$T$8,2)&gt;ROUND(SUM($T$11:$T66)+$T$8,2),$T$8*2,$T$8)),"")</f>
        <v/>
      </c>
      <c r="U67" s="3" t="str">
        <f t="shared" si="23"/>
        <v/>
      </c>
      <c r="V67" s="3" t="str">
        <f t="shared" si="12"/>
        <v/>
      </c>
      <c r="W67" s="3" t="str">
        <f t="shared" si="24"/>
        <v/>
      </c>
      <c r="X67" s="3" t="str">
        <f>IF($K67&lt;&gt;"",IF($M67&gt;X$11,30,$M67)*ROUND(($N67+$V66)*$U$5/3000,2),"")</f>
        <v/>
      </c>
      <c r="Y67" s="3" t="str">
        <f>IF($K67&lt;&gt;"",IF($M67&gt;X$11,IF($M67&lt;Y$11,$M67-X$11,30),0)*ROUND(($N67+$V66+SUM($X67:X67))*$U$5/3000,2),"")</f>
        <v/>
      </c>
      <c r="Z67" s="3"/>
      <c r="AA67" s="3"/>
    </row>
    <row r="68" spans="5:27" x14ac:dyDescent="0.25">
      <c r="E68" s="5"/>
      <c r="F68" t="str">
        <f t="shared" si="13"/>
        <v/>
      </c>
      <c r="G68" s="5" t="str">
        <f>IF($K68&lt;&gt;"",IF(DAY(EOMONTH(DATE(YEAR($M$6),$G$11+K68+SUM($B$12:B68),1),0))&gt;DAY($M$7),DATE(YEAR($M$7),MONTH($M$7)+($A$1*($H68-1))+SUM($B$12:$B68),DAY($M$7)),EOMONTH(DATE(YEAR($M$6),$G$11+K68+SUM($B$12:B68),1),0)),"")</f>
        <v/>
      </c>
      <c r="H68" s="22" t="str">
        <f t="shared" si="14"/>
        <v/>
      </c>
      <c r="I68" s="22" t="str">
        <f t="shared" si="15"/>
        <v/>
      </c>
      <c r="J68" s="22" t="str">
        <f t="shared" si="16"/>
        <v/>
      </c>
      <c r="K68" t="str">
        <f t="shared" si="17"/>
        <v/>
      </c>
      <c r="L68" s="5" t="str">
        <f>IF($K68&lt;&gt;"",IF($E68="",IF(ULTIMODIA=0,DATE(YEAR($M$7),MONTH($M$7)+($A$1*($H68-1))+SUM($B$12:$B68),DAY($M$7)),$G68),$E68),"")</f>
        <v/>
      </c>
      <c r="M68" s="9" t="str">
        <f t="shared" si="18"/>
        <v/>
      </c>
      <c r="N68" s="3" t="str">
        <f t="shared" si="19"/>
        <v/>
      </c>
      <c r="O68" s="3" t="str">
        <f t="shared" si="20"/>
        <v/>
      </c>
      <c r="P68" s="3" t="str">
        <f t="shared" si="21"/>
        <v/>
      </c>
      <c r="Q68" s="3" t="str">
        <f t="shared" si="22"/>
        <v/>
      </c>
      <c r="R68" s="3" t="str">
        <f>IF($K68&lt;&gt;"",IF($A68="Prepago",0,IF(ROUND(($H68+SUM($B$12:$B68))*$T$6,2)&gt;ROUND(SUM($R$11:$R67)+$T$6,2),$T$6*2,$T$6)),"")</f>
        <v/>
      </c>
      <c r="S68" s="3" t="str">
        <f>IF($K68&lt;&gt;"",IF($A68="Prepago",0,IF(ROUND(($H68+SUM($B$12:$B68))*$T$7,2)&gt;ROUND(SUM($S$11:$S67)+$T$7,2),$T$7*2,$T$7)),"")</f>
        <v/>
      </c>
      <c r="T68" s="3" t="str">
        <f>IF($K68&lt;&gt;"",IF($A68="Prepago",0,IF(ROUND(($H68+SUM($B$12:$B68))*$T$8,2)&gt;ROUND(SUM($T$11:$T67)+$T$8,2),$T$8*2,$T$8)),"")</f>
        <v/>
      </c>
      <c r="U68" s="3" t="str">
        <f t="shared" si="23"/>
        <v/>
      </c>
      <c r="V68" s="3" t="str">
        <f t="shared" si="12"/>
        <v/>
      </c>
      <c r="W68" s="3" t="str">
        <f t="shared" si="24"/>
        <v/>
      </c>
      <c r="X68" s="3" t="str">
        <f>IF($K68&lt;&gt;"",IF($M68&gt;X$11,30,$M68)*ROUND(($N68+$V67)*$U$5/3000,2),"")</f>
        <v/>
      </c>
      <c r="Y68" s="3" t="str">
        <f>IF($K68&lt;&gt;"",IF($M68&gt;X$11,IF($M68&lt;Y$11,$M68-X$11,30),0)*ROUND(($N68+$V67+SUM($X68:X68))*$U$5/3000,2),"")</f>
        <v/>
      </c>
      <c r="Z68" s="3"/>
      <c r="AA68" s="3"/>
    </row>
    <row r="69" spans="5:27" x14ac:dyDescent="0.25">
      <c r="E69" s="5"/>
      <c r="F69" t="str">
        <f t="shared" si="13"/>
        <v/>
      </c>
      <c r="G69" s="5" t="str">
        <f>IF($K69&lt;&gt;"",IF(DAY(EOMONTH(DATE(YEAR($M$6),$G$11+K69+SUM($B$12:B69),1),0))&gt;DAY($M$7),DATE(YEAR($M$7),MONTH($M$7)+($A$1*($H69-1))+SUM($B$12:$B69),DAY($M$7)),EOMONTH(DATE(YEAR($M$6),$G$11+K69+SUM($B$12:B69),1),0)),"")</f>
        <v/>
      </c>
      <c r="H69" s="22" t="str">
        <f t="shared" si="14"/>
        <v/>
      </c>
      <c r="I69" s="22" t="str">
        <f t="shared" si="15"/>
        <v/>
      </c>
      <c r="J69" s="22" t="str">
        <f t="shared" si="16"/>
        <v/>
      </c>
      <c r="K69" t="str">
        <f t="shared" si="17"/>
        <v/>
      </c>
      <c r="L69" s="5" t="str">
        <f>IF($K69&lt;&gt;"",IF($E69="",IF(ULTIMODIA=0,DATE(YEAR($M$7),MONTH($M$7)+($A$1*($H69-1))+SUM($B$12:$B69),DAY($M$7)),$G69),$E69),"")</f>
        <v/>
      </c>
      <c r="M69" s="9" t="str">
        <f t="shared" si="18"/>
        <v/>
      </c>
      <c r="N69" s="3" t="str">
        <f t="shared" si="19"/>
        <v/>
      </c>
      <c r="O69" s="3" t="str">
        <f t="shared" si="20"/>
        <v/>
      </c>
      <c r="P69" s="3" t="str">
        <f t="shared" si="21"/>
        <v/>
      </c>
      <c r="Q69" s="3" t="str">
        <f t="shared" si="22"/>
        <v/>
      </c>
      <c r="R69" s="3" t="str">
        <f>IF($K69&lt;&gt;"",IF($A69="Prepago",0,IF(ROUND(($H69+SUM($B$12:$B69))*$T$6,2)&gt;ROUND(SUM($R$11:$R68)+$T$6,2),$T$6*2,$T$6)),"")</f>
        <v/>
      </c>
      <c r="S69" s="3" t="str">
        <f>IF($K69&lt;&gt;"",IF($A69="Prepago",0,IF(ROUND(($H69+SUM($B$12:$B69))*$T$7,2)&gt;ROUND(SUM($S$11:$S68)+$T$7,2),$T$7*2,$T$7)),"")</f>
        <v/>
      </c>
      <c r="T69" s="3" t="str">
        <f>IF($K69&lt;&gt;"",IF($A69="Prepago",0,IF(ROUND(($H69+SUM($B$12:$B69))*$T$8,2)&gt;ROUND(SUM($T$11:$T68)+$T$8,2),$T$8*2,$T$8)),"")</f>
        <v/>
      </c>
      <c r="U69" s="3" t="str">
        <f t="shared" si="23"/>
        <v/>
      </c>
      <c r="V69" s="3" t="str">
        <f t="shared" si="12"/>
        <v/>
      </c>
      <c r="W69" s="3" t="str">
        <f t="shared" si="24"/>
        <v/>
      </c>
      <c r="X69" s="3" t="str">
        <f>IF($K69&lt;&gt;"",IF($M69&gt;X$11,30,$M69)*ROUND(($N69+$V68)*$U$5/3000,2),"")</f>
        <v/>
      </c>
      <c r="Y69" s="3" t="str">
        <f>IF($K69&lt;&gt;"",IF($M69&gt;X$11,IF($M69&lt;Y$11,$M69-X$11,30),0)*ROUND(($N69+$V68+SUM($X69:X69))*$U$5/3000,2),"")</f>
        <v/>
      </c>
      <c r="Z69" s="3"/>
      <c r="AA69" s="3"/>
    </row>
    <row r="70" spans="5:27" x14ac:dyDescent="0.25">
      <c r="E70" s="5"/>
      <c r="F70" t="str">
        <f t="shared" si="13"/>
        <v/>
      </c>
      <c r="G70" s="5" t="str">
        <f>IF($K70&lt;&gt;"",IF(DAY(EOMONTH(DATE(YEAR($M$6),$G$11+K70+SUM($B$12:B70),1),0))&gt;DAY($M$7),DATE(YEAR($M$7),MONTH($M$7)+($A$1*($H70-1))+SUM($B$12:$B70),DAY($M$7)),EOMONTH(DATE(YEAR($M$6),$G$11+K70+SUM($B$12:B70),1),0)),"")</f>
        <v/>
      </c>
      <c r="H70" s="22" t="str">
        <f t="shared" si="14"/>
        <v/>
      </c>
      <c r="I70" s="22" t="str">
        <f t="shared" si="15"/>
        <v/>
      </c>
      <c r="J70" s="22" t="str">
        <f t="shared" si="16"/>
        <v/>
      </c>
      <c r="K70" t="str">
        <f t="shared" si="17"/>
        <v/>
      </c>
      <c r="L70" s="5" t="str">
        <f>IF($K70&lt;&gt;"",IF($E70="",IF(ULTIMODIA=0,DATE(YEAR($M$7),MONTH($M$7)+($A$1*($H70-1))+SUM($B$12:$B70),DAY($M$7)),$G70),$E70),"")</f>
        <v/>
      </c>
      <c r="M70" s="9" t="str">
        <f t="shared" si="18"/>
        <v/>
      </c>
      <c r="N70" s="3" t="str">
        <f t="shared" si="19"/>
        <v/>
      </c>
      <c r="O70" s="3" t="str">
        <f t="shared" si="20"/>
        <v/>
      </c>
      <c r="P70" s="3" t="str">
        <f t="shared" si="21"/>
        <v/>
      </c>
      <c r="Q70" s="3" t="str">
        <f t="shared" si="22"/>
        <v/>
      </c>
      <c r="R70" s="3" t="str">
        <f>IF($K70&lt;&gt;"",IF($A70="Prepago",0,IF(ROUND(($H70+SUM($B$12:$B70))*$T$6,2)&gt;ROUND(SUM($R$11:$R69)+$T$6,2),$T$6*2,$T$6)),"")</f>
        <v/>
      </c>
      <c r="S70" s="3" t="str">
        <f>IF($K70&lt;&gt;"",IF($A70="Prepago",0,IF(ROUND(($H70+SUM($B$12:$B70))*$T$7,2)&gt;ROUND(SUM($S$11:$S69)+$T$7,2),$T$7*2,$T$7)),"")</f>
        <v/>
      </c>
      <c r="T70" s="3" t="str">
        <f>IF($K70&lt;&gt;"",IF($A70="Prepago",0,IF(ROUND(($H70+SUM($B$12:$B70))*$T$8,2)&gt;ROUND(SUM($T$11:$T69)+$T$8,2),$T$8*2,$T$8)),"")</f>
        <v/>
      </c>
      <c r="U70" s="3" t="str">
        <f t="shared" si="23"/>
        <v/>
      </c>
      <c r="V70" s="3" t="str">
        <f t="shared" si="12"/>
        <v/>
      </c>
      <c r="W70" s="3" t="str">
        <f t="shared" si="24"/>
        <v/>
      </c>
      <c r="X70" s="3" t="str">
        <f>IF($K70&lt;&gt;"",IF($M70&gt;X$11,30,$M70)*ROUND(($N70+$V69)*$U$5/3000,2),"")</f>
        <v/>
      </c>
      <c r="Y70" s="3" t="str">
        <f>IF($K70&lt;&gt;"",IF($M70&gt;X$11,IF($M70&lt;Y$11,$M70-X$11,30),0)*ROUND(($N70+$V69+SUM($X70:X70))*$U$5/3000,2),"")</f>
        <v/>
      </c>
      <c r="Z70" s="3"/>
      <c r="AA70" s="3"/>
    </row>
    <row r="71" spans="5:27" x14ac:dyDescent="0.25">
      <c r="E71" s="5"/>
      <c r="F71" t="str">
        <f t="shared" si="13"/>
        <v/>
      </c>
      <c r="G71" s="5" t="str">
        <f>IF($K71&lt;&gt;"",IF(DAY(EOMONTH(DATE(YEAR($M$6),$G$11+K71+SUM($B$12:B71),1),0))&gt;DAY($M$7),DATE(YEAR($M$7),MONTH($M$7)+($A$1*($H71-1))+SUM($B$12:$B71),DAY($M$7)),EOMONTH(DATE(YEAR($M$6),$G$11+K71+SUM($B$12:B71),1),0)),"")</f>
        <v/>
      </c>
      <c r="H71" s="22" t="str">
        <f t="shared" si="14"/>
        <v/>
      </c>
      <c r="I71" s="22" t="str">
        <f t="shared" si="15"/>
        <v/>
      </c>
      <c r="J71" s="22" t="str">
        <f t="shared" si="16"/>
        <v/>
      </c>
      <c r="K71" t="str">
        <f t="shared" si="17"/>
        <v/>
      </c>
      <c r="L71" s="5" t="str">
        <f>IF($K71&lt;&gt;"",IF($E71="",IF(ULTIMODIA=0,DATE(YEAR($M$7),MONTH($M$7)+($A$1*($H71-1))+SUM($B$12:$B71),DAY($M$7)),$G71),$E71),"")</f>
        <v/>
      </c>
      <c r="M71" s="9" t="str">
        <f t="shared" si="18"/>
        <v/>
      </c>
      <c r="N71" s="3" t="str">
        <f t="shared" si="19"/>
        <v/>
      </c>
      <c r="O71" s="3" t="str">
        <f t="shared" si="20"/>
        <v/>
      </c>
      <c r="P71" s="3" t="str">
        <f t="shared" si="21"/>
        <v/>
      </c>
      <c r="Q71" s="3" t="str">
        <f t="shared" si="22"/>
        <v/>
      </c>
      <c r="R71" s="3" t="str">
        <f>IF($K71&lt;&gt;"",IF($A71="Prepago",0,IF(ROUND(($H71+SUM($B$12:$B71))*$T$6,2)&gt;ROUND(SUM($R$11:$R70)+$T$6,2),$T$6*2,$T$6)),"")</f>
        <v/>
      </c>
      <c r="S71" s="3" t="str">
        <f>IF($K71&lt;&gt;"",IF($A71="Prepago",0,IF(ROUND(($H71+SUM($B$12:$B71))*$T$7,2)&gt;ROUND(SUM($S$11:$S70)+$T$7,2),$T$7*2,$T$7)),"")</f>
        <v/>
      </c>
      <c r="T71" s="3" t="str">
        <f>IF($K71&lt;&gt;"",IF($A71="Prepago",0,IF(ROUND(($H71+SUM($B$12:$B71))*$T$8,2)&gt;ROUND(SUM($T$11:$T70)+$T$8,2),$T$8*2,$T$8)),"")</f>
        <v/>
      </c>
      <c r="U71" s="3" t="str">
        <f t="shared" si="23"/>
        <v/>
      </c>
      <c r="V71" s="3" t="str">
        <f t="shared" si="12"/>
        <v/>
      </c>
      <c r="W71" s="3" t="str">
        <f t="shared" si="24"/>
        <v/>
      </c>
      <c r="X71" s="3" t="str">
        <f>IF($K71&lt;&gt;"",IF($M71&gt;X$11,30,$M71)*ROUND(($N71+$V70)*$U$5/3000,2),"")</f>
        <v/>
      </c>
      <c r="Y71" s="3" t="str">
        <f>IF($K71&lt;&gt;"",IF($M71&gt;X$11,IF($M71&lt;Y$11,$M71-X$11,30),0)*ROUND(($N71+$V70+SUM($X71:X71))*$U$5/3000,2),"")</f>
        <v/>
      </c>
      <c r="Z71" s="3"/>
      <c r="AA71" s="3"/>
    </row>
    <row r="72" spans="5:27" x14ac:dyDescent="0.25">
      <c r="E72" s="5"/>
      <c r="F72" t="str">
        <f t="shared" si="13"/>
        <v/>
      </c>
      <c r="G72" s="5" t="str">
        <f>IF($K72&lt;&gt;"",IF(DAY(EOMONTH(DATE(YEAR($M$6),$G$11+K72+SUM($B$12:B72),1),0))&gt;DAY($M$7),DATE(YEAR($M$7),MONTH($M$7)+($A$1*($H72-1))+SUM($B$12:$B72),DAY($M$7)),EOMONTH(DATE(YEAR($M$6),$G$11+K72+SUM($B$12:B72),1),0)),"")</f>
        <v/>
      </c>
      <c r="H72" s="22" t="str">
        <f t="shared" si="14"/>
        <v/>
      </c>
      <c r="I72" s="22" t="str">
        <f t="shared" si="15"/>
        <v/>
      </c>
      <c r="J72" s="22" t="str">
        <f t="shared" si="16"/>
        <v/>
      </c>
      <c r="K72" t="str">
        <f t="shared" si="17"/>
        <v/>
      </c>
      <c r="L72" s="5" t="str">
        <f>IF($K72&lt;&gt;"",IF($E72="",IF(ULTIMODIA=0,DATE(YEAR($M$7),MONTH($M$7)+($A$1*($H72-1))+SUM($B$12:$B72),DAY($M$7)),$G72),$E72),"")</f>
        <v/>
      </c>
      <c r="M72" s="9" t="str">
        <f t="shared" si="18"/>
        <v/>
      </c>
      <c r="N72" s="3" t="str">
        <f t="shared" si="19"/>
        <v/>
      </c>
      <c r="O72" s="3" t="str">
        <f t="shared" si="20"/>
        <v/>
      </c>
      <c r="P72" s="3" t="str">
        <f t="shared" si="21"/>
        <v/>
      </c>
      <c r="Q72" s="3" t="str">
        <f t="shared" si="22"/>
        <v/>
      </c>
      <c r="R72" s="3" t="str">
        <f>IF($K72&lt;&gt;"",IF($A72="Prepago",0,IF(ROUND(($H72+SUM($B$12:$B72))*$T$6,2)&gt;ROUND(SUM($R$11:$R71)+$T$6,2),$T$6*2,$T$6)),"")</f>
        <v/>
      </c>
      <c r="S72" s="3" t="str">
        <f>IF($K72&lt;&gt;"",IF($A72="Prepago",0,IF(ROUND(($H72+SUM($B$12:$B72))*$T$7,2)&gt;ROUND(SUM($S$11:$S71)+$T$7,2),$T$7*2,$T$7)),"")</f>
        <v/>
      </c>
      <c r="T72" s="3" t="str">
        <f>IF($K72&lt;&gt;"",IF($A72="Prepago",0,IF(ROUND(($H72+SUM($B$12:$B72))*$T$8,2)&gt;ROUND(SUM($T$11:$T71)+$T$8,2),$T$8*2,$T$8)),"")</f>
        <v/>
      </c>
      <c r="U72" s="3" t="str">
        <f t="shared" si="23"/>
        <v/>
      </c>
      <c r="V72" s="3" t="str">
        <f t="shared" si="12"/>
        <v/>
      </c>
      <c r="W72" s="3" t="str">
        <f t="shared" si="24"/>
        <v/>
      </c>
      <c r="X72" s="3" t="str">
        <f>IF($K72&lt;&gt;"",IF($M72&gt;X$11,30,$M72)*ROUND(($N72+$V71)*$U$5/3000,2),"")</f>
        <v/>
      </c>
      <c r="Y72" s="3" t="str">
        <f>IF($K72&lt;&gt;"",IF($M72&gt;X$11,IF($M72&lt;Y$11,$M72-X$11,30),0)*ROUND(($N72+$V71+SUM($X72:X72))*$U$5/3000,2),"")</f>
        <v/>
      </c>
      <c r="Z72" s="3"/>
      <c r="AA72" s="3"/>
    </row>
    <row r="73" spans="5:27" x14ac:dyDescent="0.25">
      <c r="E73" s="5"/>
      <c r="F73" t="str">
        <f t="shared" si="13"/>
        <v/>
      </c>
      <c r="G73" s="5" t="str">
        <f>IF($K73&lt;&gt;"",IF(DAY(EOMONTH(DATE(YEAR($M$6),$G$11+K73+SUM($B$12:B73),1),0))&gt;DAY($M$7),DATE(YEAR($M$7),MONTH($M$7)+($A$1*($H73-1))+SUM($B$12:$B73),DAY($M$7)),EOMONTH(DATE(YEAR($M$6),$G$11+K73+SUM($B$12:B73),1),0)),"")</f>
        <v/>
      </c>
      <c r="H73" s="22" t="str">
        <f t="shared" si="14"/>
        <v/>
      </c>
      <c r="I73" s="22" t="str">
        <f t="shared" si="15"/>
        <v/>
      </c>
      <c r="J73" s="22" t="str">
        <f t="shared" si="16"/>
        <v/>
      </c>
      <c r="K73" t="str">
        <f t="shared" si="17"/>
        <v/>
      </c>
      <c r="L73" s="5" t="str">
        <f>IF($K73&lt;&gt;"",IF($E73="",IF(ULTIMODIA=0,DATE(YEAR($M$7),MONTH($M$7)+($A$1*($H73-1))+SUM($B$12:$B73),DAY($M$7)),$G73),$E73),"")</f>
        <v/>
      </c>
      <c r="M73" s="9" t="str">
        <f t="shared" si="18"/>
        <v/>
      </c>
      <c r="N73" s="3" t="str">
        <f t="shared" si="19"/>
        <v/>
      </c>
      <c r="O73" s="3" t="str">
        <f t="shared" si="20"/>
        <v/>
      </c>
      <c r="P73" s="3" t="str">
        <f t="shared" si="21"/>
        <v/>
      </c>
      <c r="Q73" s="3" t="str">
        <f t="shared" si="22"/>
        <v/>
      </c>
      <c r="R73" s="3" t="str">
        <f>IF($K73&lt;&gt;"",IF($A73="Prepago",0,IF(ROUND(($H73+SUM($B$12:$B73))*$T$6,2)&gt;ROUND(SUM($R$11:$R72)+$T$6,2),$T$6*2,$T$6)),"")</f>
        <v/>
      </c>
      <c r="S73" s="3" t="str">
        <f>IF($K73&lt;&gt;"",IF($A73="Prepago",0,IF(ROUND(($H73+SUM($B$12:$B73))*$T$7,2)&gt;ROUND(SUM($S$11:$S72)+$T$7,2),$T$7*2,$T$7)),"")</f>
        <v/>
      </c>
      <c r="T73" s="3" t="str">
        <f>IF($K73&lt;&gt;"",IF($A73="Prepago",0,IF(ROUND(($H73+SUM($B$12:$B73))*$T$8,2)&gt;ROUND(SUM($T$11:$T72)+$T$8,2),$T$8*2,$T$8)),"")</f>
        <v/>
      </c>
      <c r="U73" s="3" t="str">
        <f t="shared" si="23"/>
        <v/>
      </c>
      <c r="V73" s="3" t="str">
        <f t="shared" si="12"/>
        <v/>
      </c>
      <c r="W73" s="3" t="str">
        <f t="shared" si="24"/>
        <v/>
      </c>
      <c r="X73" s="3" t="str">
        <f>IF($K73&lt;&gt;"",IF($M73&gt;X$11,30,$M73)*ROUND(($N73+$V72)*$U$5/3000,2),"")</f>
        <v/>
      </c>
      <c r="Y73" s="3" t="str">
        <f>IF($K73&lt;&gt;"",IF($M73&gt;X$11,IF($M73&lt;Y$11,$M73-X$11,30),0)*ROUND(($N73+$V72+SUM($X73:X73))*$U$5/3000,2),"")</f>
        <v/>
      </c>
      <c r="Z73" s="3"/>
      <c r="AA73" s="3"/>
    </row>
    <row r="74" spans="5:27" x14ac:dyDescent="0.25">
      <c r="E74" s="5"/>
      <c r="F74" t="str">
        <f t="shared" si="13"/>
        <v/>
      </c>
      <c r="G74" s="5" t="str">
        <f>IF($K74&lt;&gt;"",IF(DAY(EOMONTH(DATE(YEAR($M$6),$G$11+K74+SUM($B$12:B74),1),0))&gt;DAY($M$7),DATE(YEAR($M$7),MONTH($M$7)+($A$1*($H74-1))+SUM($B$12:$B74),DAY($M$7)),EOMONTH(DATE(YEAR($M$6),$G$11+K74+SUM($B$12:B74),1),0)),"")</f>
        <v/>
      </c>
      <c r="H74" s="22" t="str">
        <f t="shared" si="14"/>
        <v/>
      </c>
      <c r="I74" s="22" t="str">
        <f t="shared" si="15"/>
        <v/>
      </c>
      <c r="J74" s="22" t="str">
        <f t="shared" si="16"/>
        <v/>
      </c>
      <c r="K74" t="str">
        <f t="shared" si="17"/>
        <v/>
      </c>
      <c r="L74" s="5" t="str">
        <f>IF($K74&lt;&gt;"",IF($E74="",IF(ULTIMODIA=0,DATE(YEAR($M$7),MONTH($M$7)+($A$1*($H74-1))+SUM($B$12:$B74),DAY($M$7)),$G74),$E74),"")</f>
        <v/>
      </c>
      <c r="M74" s="9" t="str">
        <f t="shared" si="18"/>
        <v/>
      </c>
      <c r="N74" s="3" t="str">
        <f t="shared" si="19"/>
        <v/>
      </c>
      <c r="O74" s="3" t="str">
        <f t="shared" si="20"/>
        <v/>
      </c>
      <c r="P74" s="3" t="str">
        <f t="shared" si="21"/>
        <v/>
      </c>
      <c r="Q74" s="3" t="str">
        <f t="shared" si="22"/>
        <v/>
      </c>
      <c r="R74" s="3" t="str">
        <f>IF($K74&lt;&gt;"",IF($A74="Prepago",0,IF(ROUND(($H74+SUM($B$12:$B74))*$T$6,2)&gt;ROUND(SUM($R$11:$R73)+$T$6,2),$T$6*2,$T$6)),"")</f>
        <v/>
      </c>
      <c r="S74" s="3" t="str">
        <f>IF($K74&lt;&gt;"",IF($A74="Prepago",0,IF(ROUND(($H74+SUM($B$12:$B74))*$T$7,2)&gt;ROUND(SUM($S$11:$S73)+$T$7,2),$T$7*2,$T$7)),"")</f>
        <v/>
      </c>
      <c r="T74" s="3" t="str">
        <f>IF($K74&lt;&gt;"",IF($A74="Prepago",0,IF(ROUND(($H74+SUM($B$12:$B74))*$T$8,2)&gt;ROUND(SUM($T$11:$T73)+$T$8,2),$T$8*2,$T$8)),"")</f>
        <v/>
      </c>
      <c r="U74" s="3" t="str">
        <f t="shared" si="23"/>
        <v/>
      </c>
      <c r="V74" s="3" t="str">
        <f t="shared" si="12"/>
        <v/>
      </c>
      <c r="W74" s="3" t="str">
        <f t="shared" si="24"/>
        <v/>
      </c>
      <c r="X74" s="3" t="str">
        <f>IF($K74&lt;&gt;"",IF($M74&gt;X$11,30,$M74)*ROUND(($N74+$V73)*$U$5/3000,2),"")</f>
        <v/>
      </c>
      <c r="Y74" s="3" t="str">
        <f>IF($K74&lt;&gt;"",IF($M74&gt;X$11,IF($M74&lt;Y$11,$M74-X$11,30),0)*ROUND(($N74+$V73+SUM($X74:X74))*$U$5/3000,2),"")</f>
        <v/>
      </c>
      <c r="Z74" s="3"/>
      <c r="AA74" s="3"/>
    </row>
    <row r="75" spans="5:27" x14ac:dyDescent="0.25">
      <c r="E75" s="5"/>
      <c r="F75" t="str">
        <f t="shared" si="13"/>
        <v/>
      </c>
      <c r="G75" s="5" t="str">
        <f>IF($K75&lt;&gt;"",IF(DAY(EOMONTH(DATE(YEAR($M$6),$G$11+K75+SUM($B$12:B75),1),0))&gt;DAY($M$7),DATE(YEAR($M$7),MONTH($M$7)+($A$1*($H75-1))+SUM($B$12:$B75),DAY($M$7)),EOMONTH(DATE(YEAR($M$6),$G$11+K75+SUM($B$12:B75),1),0)),"")</f>
        <v/>
      </c>
      <c r="H75" s="22" t="str">
        <f t="shared" si="14"/>
        <v/>
      </c>
      <c r="I75" s="22" t="str">
        <f t="shared" si="15"/>
        <v/>
      </c>
      <c r="J75" s="22" t="str">
        <f t="shared" si="16"/>
        <v/>
      </c>
      <c r="K75" t="str">
        <f t="shared" si="17"/>
        <v/>
      </c>
      <c r="L75" s="5" t="str">
        <f>IF($K75&lt;&gt;"",IF($E75="",IF(ULTIMODIA=0,DATE(YEAR($M$7),MONTH($M$7)+($A$1*($H75-1))+SUM($B$12:$B75),DAY($M$7)),$G75),$E75),"")</f>
        <v/>
      </c>
      <c r="M75" s="9" t="str">
        <f t="shared" si="18"/>
        <v/>
      </c>
      <c r="N75" s="3" t="str">
        <f t="shared" si="19"/>
        <v/>
      </c>
      <c r="O75" s="3" t="str">
        <f t="shared" si="20"/>
        <v/>
      </c>
      <c r="P75" s="3" t="str">
        <f t="shared" si="21"/>
        <v/>
      </c>
      <c r="Q75" s="3" t="str">
        <f t="shared" si="22"/>
        <v/>
      </c>
      <c r="R75" s="3" t="str">
        <f>IF($K75&lt;&gt;"",IF($A75="Prepago",0,IF(ROUND(($H75+SUM($B$12:$B75))*$T$6,2)&gt;ROUND(SUM($R$11:$R74)+$T$6,2),$T$6*2,$T$6)),"")</f>
        <v/>
      </c>
      <c r="S75" s="3" t="str">
        <f>IF($K75&lt;&gt;"",IF($A75="Prepago",0,IF(ROUND(($H75+SUM($B$12:$B75))*$T$7,2)&gt;ROUND(SUM($S$11:$S74)+$T$7,2),$T$7*2,$T$7)),"")</f>
        <v/>
      </c>
      <c r="T75" s="3" t="str">
        <f>IF($K75&lt;&gt;"",IF($A75="Prepago",0,IF(ROUND(($H75+SUM($B$12:$B75))*$T$8,2)&gt;ROUND(SUM($T$11:$T74)+$T$8,2),$T$8*2,$T$8)),"")</f>
        <v/>
      </c>
      <c r="U75" s="3" t="str">
        <f t="shared" si="23"/>
        <v/>
      </c>
      <c r="V75" s="3" t="str">
        <f t="shared" si="12"/>
        <v/>
      </c>
      <c r="W75" s="3" t="str">
        <f t="shared" si="24"/>
        <v/>
      </c>
      <c r="X75" s="3" t="str">
        <f>IF($K75&lt;&gt;"",IF($M75&gt;X$11,30,$M75)*ROUND(($N75+$V74)*$U$5/3000,2),"")</f>
        <v/>
      </c>
      <c r="Y75" s="3" t="str">
        <f>IF($K75&lt;&gt;"",IF($M75&gt;X$11,IF($M75&lt;Y$11,$M75-X$11,30),0)*ROUND(($N75+$V74+SUM($X75:X75))*$U$5/3000,2),"")</f>
        <v/>
      </c>
      <c r="Z75" s="3"/>
      <c r="AA75" s="3"/>
    </row>
    <row r="76" spans="5:27" x14ac:dyDescent="0.25">
      <c r="E76" s="5"/>
      <c r="F76" t="str">
        <f t="shared" ref="F76:F107" si="25">IF($K76&lt;&gt;"",TEXT(L76,"DDD"),"")</f>
        <v/>
      </c>
      <c r="G76" s="5" t="str">
        <f>IF($K76&lt;&gt;"",IF(DAY(EOMONTH(DATE(YEAR($M$6),$G$11+K76+SUM($B$12:B76),1),0))&gt;DAY($M$7),DATE(YEAR($M$7),MONTH($M$7)+($A$1*($H76-1))+SUM($B$12:$B76),DAY($M$7)),EOMONTH(DATE(YEAR($M$6),$G$11+K76+SUM($B$12:B76),1),0)),"")</f>
        <v/>
      </c>
      <c r="H76" s="22" t="str">
        <f t="shared" ref="H76:H107" si="26">IF($K76&lt;&gt;"",IF($A76="Prepago",$H75,$H75+1),"")</f>
        <v/>
      </c>
      <c r="I76" s="22" t="str">
        <f t="shared" ref="I76:I107" si="27">IF($K76&lt;&gt;"",IF(ISNUMBER($C76),-$P76+$W76-$Q76,ABS($W76)+$R76+$S76+$T76),"")</f>
        <v/>
      </c>
      <c r="J76" s="22" t="str">
        <f t="shared" ref="J76:J107" si="28">IF(K76&lt;&gt;"",IF(COUNTA($X76:$XFD76)*30&lt;$M76,1,0),"")</f>
        <v/>
      </c>
      <c r="K76" t="str">
        <f t="shared" ref="K76:K107" si="29">IF($K75&lt;NCUOTAS+CUOTAADICIONAL+PGRACIA,$K75+1,"")</f>
        <v/>
      </c>
      <c r="L76" s="5" t="str">
        <f>IF($K76&lt;&gt;"",IF($E76="",IF(ULTIMODIA=0,DATE(YEAR($M$7),MONTH($M$7)+($A$1*($H76-1))+SUM($B$12:$B76),DAY($M$7)),$G76),$E76),"")</f>
        <v/>
      </c>
      <c r="M76" s="9" t="str">
        <f t="shared" ref="M76:M107" si="30">IF($K76&lt;&gt;"",$L76-$L75,"")</f>
        <v/>
      </c>
      <c r="N76" s="3" t="str">
        <f t="shared" ref="N76:N107" si="31">IF($K76&lt;&gt;"",$U75,"")</f>
        <v/>
      </c>
      <c r="O76" s="3" t="str">
        <f t="shared" ref="O76:O107" si="32">IF($K76&lt;&gt;"",IF($A76="Gracia Parcial",IF(AND($C76&lt;$W76+$R76+$S76+$T76+$V75,$C76&gt;0),$C76,$W76+$R76+$S76+$T76+$V75),IF($A76="Gracia Total",0,IF($A76="Prepago",$C76,IF(ISNUMBER($C76),$C76*VALUE(MID($C$1,MONTH($L76),1)),$P$5*VALUE(MID($C$1,MONTH($L76),1))))))-IF($K77="",ARREGLO,0),"")</f>
        <v/>
      </c>
      <c r="P76" s="3" t="str">
        <f t="shared" ref="P76:P107" si="33">IF($K76&lt;&gt;"",IF($O76-$Q76&gt;0,$O76-$Q76-$R76-$S76-$T76,0),"")</f>
        <v/>
      </c>
      <c r="Q76" s="3" t="str">
        <f t="shared" ref="Q76:Q107" si="34">IF($K76&lt;&gt;"",IF($O76&gt;=IF($D76="",$W76,$D76)+$V75+$R76+$S76+$T76,IF($D76="",$W76,$D76)+$V75,$O76-$R76-$S76-$T76),"")</f>
        <v/>
      </c>
      <c r="R76" s="3" t="str">
        <f>IF($K76&lt;&gt;"",IF($A76="Prepago",0,IF(ROUND(($H76+SUM($B$12:$B76))*$T$6,2)&gt;ROUND(SUM($R$11:$R75)+$T$6,2),$T$6*2,$T$6)),"")</f>
        <v/>
      </c>
      <c r="S76" s="3" t="str">
        <f>IF($K76&lt;&gt;"",IF($A76="Prepago",0,IF(ROUND(($H76+SUM($B$12:$B76))*$T$7,2)&gt;ROUND(SUM($S$11:$S75)+$T$7,2),$T$7*2,$T$7)),"")</f>
        <v/>
      </c>
      <c r="T76" s="3" t="str">
        <f>IF($K76&lt;&gt;"",IF($A76="Prepago",0,IF(ROUND(($H76+SUM($B$12:$B76))*$T$8,2)&gt;ROUND(SUM($T$11:$T75)+$T$8,2),$T$8*2,$T$8)),"")</f>
        <v/>
      </c>
      <c r="U76" s="3" t="str">
        <f t="shared" ref="U76:U107" si="35">IF($K76&lt;&gt;"",$N76-$P76,"")</f>
        <v/>
      </c>
      <c r="V76" s="3" t="str">
        <f t="shared" si="12"/>
        <v/>
      </c>
      <c r="W76" s="3" t="str">
        <f t="shared" ref="W76:W107" si="36">IF($K76&lt;&gt;"",SUM($X76:$XFD76),"")</f>
        <v/>
      </c>
      <c r="X76" s="3" t="str">
        <f>IF($K76&lt;&gt;"",IF($M76&gt;X$11,30,$M76)*ROUND(($N76+$V75)*$U$5/3000,2),"")</f>
        <v/>
      </c>
      <c r="Y76" s="3" t="str">
        <f>IF($K76&lt;&gt;"",IF($M76&gt;X$11,IF($M76&lt;Y$11,$M76-X$11,30),0)*ROUND(($N76+$V75+SUM($X76:X76))*$U$5/3000,2),"")</f>
        <v/>
      </c>
      <c r="Z76" s="3"/>
      <c r="AA76" s="3"/>
    </row>
    <row r="77" spans="5:27" x14ac:dyDescent="0.25">
      <c r="E77" s="5"/>
      <c r="F77" t="str">
        <f t="shared" si="25"/>
        <v/>
      </c>
      <c r="G77" s="5" t="str">
        <f>IF($K77&lt;&gt;"",IF(DAY(EOMONTH(DATE(YEAR($M$6),$G$11+K77+SUM($B$12:B77),1),0))&gt;DAY($M$7),DATE(YEAR($M$7),MONTH($M$7)+($A$1*($H77-1))+SUM($B$12:$B77),DAY($M$7)),EOMONTH(DATE(YEAR($M$6),$G$11+K77+SUM($B$12:B77),1),0)),"")</f>
        <v/>
      </c>
      <c r="H77" s="22" t="str">
        <f t="shared" si="26"/>
        <v/>
      </c>
      <c r="I77" s="22" t="str">
        <f t="shared" si="27"/>
        <v/>
      </c>
      <c r="J77" s="22" t="str">
        <f t="shared" si="28"/>
        <v/>
      </c>
      <c r="K77" t="str">
        <f t="shared" si="29"/>
        <v/>
      </c>
      <c r="L77" s="5" t="str">
        <f>IF($K77&lt;&gt;"",IF($E77="",IF(ULTIMODIA=0,DATE(YEAR($M$7),MONTH($M$7)+($A$1*($H77-1))+SUM($B$12:$B77),DAY($M$7)),$G77),$E77),"")</f>
        <v/>
      </c>
      <c r="M77" s="9" t="str">
        <f t="shared" si="30"/>
        <v/>
      </c>
      <c r="N77" s="3" t="str">
        <f t="shared" si="31"/>
        <v/>
      </c>
      <c r="O77" s="3" t="str">
        <f t="shared" si="32"/>
        <v/>
      </c>
      <c r="P77" s="3" t="str">
        <f t="shared" si="33"/>
        <v/>
      </c>
      <c r="Q77" s="3" t="str">
        <f t="shared" si="34"/>
        <v/>
      </c>
      <c r="R77" s="3" t="str">
        <f>IF($K77&lt;&gt;"",IF($A77="Prepago",0,IF(ROUND(($H77+SUM($B$12:$B77))*$T$6,2)&gt;ROUND(SUM($R$11:$R76)+$T$6,2),$T$6*2,$T$6)),"")</f>
        <v/>
      </c>
      <c r="S77" s="3" t="str">
        <f>IF($K77&lt;&gt;"",IF($A77="Prepago",0,IF(ROUND(($H77+SUM($B$12:$B77))*$T$7,2)&gt;ROUND(SUM($S$11:$S76)+$T$7,2),$T$7*2,$T$7)),"")</f>
        <v/>
      </c>
      <c r="T77" s="3" t="str">
        <f>IF($K77&lt;&gt;"",IF($A77="Prepago",0,IF(ROUND(($H77+SUM($B$12:$B77))*$T$8,2)&gt;ROUND(SUM($T$11:$T76)+$T$8,2),$T$8*2,$T$8)),"")</f>
        <v/>
      </c>
      <c r="U77" s="3" t="str">
        <f t="shared" si="35"/>
        <v/>
      </c>
      <c r="V77" s="3" t="str">
        <f t="shared" ref="V77:V140" si="37">IF($K77&lt;&gt;"",+$V76+IF($D77="",$W77,$D77)-$Q77,"")</f>
        <v/>
      </c>
      <c r="W77" s="3" t="str">
        <f t="shared" si="36"/>
        <v/>
      </c>
      <c r="X77" s="3" t="str">
        <f>IF($K77&lt;&gt;"",IF($M77&gt;X$11,30,$M77)*ROUND(($N77+$V76)*$U$5/3000,2),"")</f>
        <v/>
      </c>
      <c r="Y77" s="3" t="str">
        <f>IF($K77&lt;&gt;"",IF($M77&gt;X$11,IF($M77&lt;Y$11,$M77-X$11,30),0)*ROUND(($N77+$V76+SUM($X77:X77))*$U$5/3000,2),"")</f>
        <v/>
      </c>
      <c r="Z77" s="3"/>
      <c r="AA77" s="3"/>
    </row>
    <row r="78" spans="5:27" x14ac:dyDescent="0.25">
      <c r="E78" s="5"/>
      <c r="F78" t="str">
        <f t="shared" si="25"/>
        <v/>
      </c>
      <c r="G78" s="5" t="str">
        <f>IF($K78&lt;&gt;"",IF(DAY(EOMONTH(DATE(YEAR($M$6),$G$11+K78+SUM($B$12:B78),1),0))&gt;DAY($M$7),DATE(YEAR($M$7),MONTH($M$7)+($A$1*($H78-1))+SUM($B$12:$B78),DAY($M$7)),EOMONTH(DATE(YEAR($M$6),$G$11+K78+SUM($B$12:B78),1),0)),"")</f>
        <v/>
      </c>
      <c r="H78" s="22" t="str">
        <f t="shared" si="26"/>
        <v/>
      </c>
      <c r="I78" s="22" t="str">
        <f t="shared" si="27"/>
        <v/>
      </c>
      <c r="J78" s="22" t="str">
        <f t="shared" si="28"/>
        <v/>
      </c>
      <c r="K78" t="str">
        <f t="shared" si="29"/>
        <v/>
      </c>
      <c r="L78" s="5" t="str">
        <f>IF($K78&lt;&gt;"",IF($E78="",IF(ULTIMODIA=0,DATE(YEAR($M$7),MONTH($M$7)+($A$1*($H78-1))+SUM($B$12:$B78),DAY($M$7)),$G78),$E78),"")</f>
        <v/>
      </c>
      <c r="M78" s="9" t="str">
        <f t="shared" si="30"/>
        <v/>
      </c>
      <c r="N78" s="3" t="str">
        <f t="shared" si="31"/>
        <v/>
      </c>
      <c r="O78" s="3" t="str">
        <f t="shared" si="32"/>
        <v/>
      </c>
      <c r="P78" s="3" t="str">
        <f t="shared" si="33"/>
        <v/>
      </c>
      <c r="Q78" s="3" t="str">
        <f t="shared" si="34"/>
        <v/>
      </c>
      <c r="R78" s="3" t="str">
        <f>IF($K78&lt;&gt;"",IF($A78="Prepago",0,IF(ROUND(($H78+SUM($B$12:$B78))*$T$6,2)&gt;ROUND(SUM($R$11:$R77)+$T$6,2),$T$6*2,$T$6)),"")</f>
        <v/>
      </c>
      <c r="S78" s="3" t="str">
        <f>IF($K78&lt;&gt;"",IF($A78="Prepago",0,IF(ROUND(($H78+SUM($B$12:$B78))*$T$7,2)&gt;ROUND(SUM($S$11:$S77)+$T$7,2),$T$7*2,$T$7)),"")</f>
        <v/>
      </c>
      <c r="T78" s="3" t="str">
        <f>IF($K78&lt;&gt;"",IF($A78="Prepago",0,IF(ROUND(($H78+SUM($B$12:$B78))*$T$8,2)&gt;ROUND(SUM($T$11:$T77)+$T$8,2),$T$8*2,$T$8)),"")</f>
        <v/>
      </c>
      <c r="U78" s="3" t="str">
        <f t="shared" si="35"/>
        <v/>
      </c>
      <c r="V78" s="3" t="str">
        <f t="shared" si="37"/>
        <v/>
      </c>
      <c r="W78" s="3" t="str">
        <f t="shared" si="36"/>
        <v/>
      </c>
      <c r="X78" s="3" t="str">
        <f>IF($K78&lt;&gt;"",IF($M78&gt;X$11,30,$M78)*ROUND(($N78+$V77)*$U$5/3000,2),"")</f>
        <v/>
      </c>
      <c r="Y78" s="3" t="str">
        <f>IF($K78&lt;&gt;"",IF($M78&gt;X$11,IF($M78&lt;Y$11,$M78-X$11,30),0)*ROUND(($N78+$V77+SUM($X78:X78))*$U$5/3000,2),"")</f>
        <v/>
      </c>
      <c r="Z78" s="3"/>
      <c r="AA78" s="3"/>
    </row>
    <row r="79" spans="5:27" x14ac:dyDescent="0.25">
      <c r="E79" s="5"/>
      <c r="F79" t="str">
        <f t="shared" si="25"/>
        <v/>
      </c>
      <c r="G79" s="5" t="str">
        <f>IF($K79&lt;&gt;"",IF(DAY(EOMONTH(DATE(YEAR($M$6),$G$11+K79+SUM($B$12:B79),1),0))&gt;DAY($M$7),DATE(YEAR($M$7),MONTH($M$7)+($A$1*($H79-1))+SUM($B$12:$B79),DAY($M$7)),EOMONTH(DATE(YEAR($M$6),$G$11+K79+SUM($B$12:B79),1),0)),"")</f>
        <v/>
      </c>
      <c r="H79" s="22" t="str">
        <f t="shared" si="26"/>
        <v/>
      </c>
      <c r="I79" s="22" t="str">
        <f t="shared" si="27"/>
        <v/>
      </c>
      <c r="J79" s="22" t="str">
        <f t="shared" si="28"/>
        <v/>
      </c>
      <c r="K79" t="str">
        <f t="shared" si="29"/>
        <v/>
      </c>
      <c r="L79" s="5" t="str">
        <f>IF($K79&lt;&gt;"",IF($E79="",IF(ULTIMODIA=0,DATE(YEAR($M$7),MONTH($M$7)+($A$1*($H79-1))+SUM($B$12:$B79),DAY($M$7)),$G79),$E79),"")</f>
        <v/>
      </c>
      <c r="M79" s="9" t="str">
        <f t="shared" si="30"/>
        <v/>
      </c>
      <c r="N79" s="3" t="str">
        <f t="shared" si="31"/>
        <v/>
      </c>
      <c r="O79" s="3" t="str">
        <f t="shared" si="32"/>
        <v/>
      </c>
      <c r="P79" s="3" t="str">
        <f t="shared" si="33"/>
        <v/>
      </c>
      <c r="Q79" s="3" t="str">
        <f t="shared" si="34"/>
        <v/>
      </c>
      <c r="R79" s="3" t="str">
        <f>IF($K79&lt;&gt;"",IF($A79="Prepago",0,IF(ROUND(($H79+SUM($B$12:$B79))*$T$6,2)&gt;ROUND(SUM($R$11:$R78)+$T$6,2),$T$6*2,$T$6)),"")</f>
        <v/>
      </c>
      <c r="S79" s="3" t="str">
        <f>IF($K79&lt;&gt;"",IF($A79="Prepago",0,IF(ROUND(($H79+SUM($B$12:$B79))*$T$7,2)&gt;ROUND(SUM($S$11:$S78)+$T$7,2),$T$7*2,$T$7)),"")</f>
        <v/>
      </c>
      <c r="T79" s="3" t="str">
        <f>IF($K79&lt;&gt;"",IF($A79="Prepago",0,IF(ROUND(($H79+SUM($B$12:$B79))*$T$8,2)&gt;ROUND(SUM($T$11:$T78)+$T$8,2),$T$8*2,$T$8)),"")</f>
        <v/>
      </c>
      <c r="U79" s="3" t="str">
        <f t="shared" si="35"/>
        <v/>
      </c>
      <c r="V79" s="3" t="str">
        <f t="shared" si="37"/>
        <v/>
      </c>
      <c r="W79" s="3" t="str">
        <f t="shared" si="36"/>
        <v/>
      </c>
      <c r="X79" s="3" t="str">
        <f>IF($K79&lt;&gt;"",IF($M79&gt;X$11,30,$M79)*ROUND(($N79+$V78)*$U$5/3000,2),"")</f>
        <v/>
      </c>
      <c r="Y79" s="3" t="str">
        <f>IF($K79&lt;&gt;"",IF($M79&gt;X$11,IF($M79&lt;Y$11,$M79-X$11,30),0)*ROUND(($N79+$V78+SUM($X79:X79))*$U$5/3000,2),"")</f>
        <v/>
      </c>
      <c r="Z79" s="3"/>
      <c r="AA79" s="3"/>
    </row>
    <row r="80" spans="5:27" x14ac:dyDescent="0.25">
      <c r="E80" s="5"/>
      <c r="F80" t="str">
        <f t="shared" si="25"/>
        <v/>
      </c>
      <c r="G80" s="5" t="str">
        <f>IF($K80&lt;&gt;"",IF(DAY(EOMONTH(DATE(YEAR($M$6),$G$11+K80+SUM($B$12:B80),1),0))&gt;DAY($M$7),DATE(YEAR($M$7),MONTH($M$7)+($A$1*($H80-1))+SUM($B$12:$B80),DAY($M$7)),EOMONTH(DATE(YEAR($M$6),$G$11+K80+SUM($B$12:B80),1),0)),"")</f>
        <v/>
      </c>
      <c r="H80" s="22" t="str">
        <f t="shared" si="26"/>
        <v/>
      </c>
      <c r="I80" s="22" t="str">
        <f t="shared" si="27"/>
        <v/>
      </c>
      <c r="J80" s="22" t="str">
        <f t="shared" si="28"/>
        <v/>
      </c>
      <c r="K80" t="str">
        <f t="shared" si="29"/>
        <v/>
      </c>
      <c r="L80" s="5" t="str">
        <f>IF($K80&lt;&gt;"",IF($E80="",IF(ULTIMODIA=0,DATE(YEAR($M$7),MONTH($M$7)+($A$1*($H80-1))+SUM($B$12:$B80),DAY($M$7)),$G80),$E80),"")</f>
        <v/>
      </c>
      <c r="M80" s="9" t="str">
        <f t="shared" si="30"/>
        <v/>
      </c>
      <c r="N80" s="3" t="str">
        <f t="shared" si="31"/>
        <v/>
      </c>
      <c r="O80" s="3" t="str">
        <f t="shared" si="32"/>
        <v/>
      </c>
      <c r="P80" s="3" t="str">
        <f t="shared" si="33"/>
        <v/>
      </c>
      <c r="Q80" s="3" t="str">
        <f t="shared" si="34"/>
        <v/>
      </c>
      <c r="R80" s="3" t="str">
        <f>IF($K80&lt;&gt;"",IF($A80="Prepago",0,IF(ROUND(($H80+SUM($B$12:$B80))*$T$6,2)&gt;ROUND(SUM($R$11:$R79)+$T$6,2),$T$6*2,$T$6)),"")</f>
        <v/>
      </c>
      <c r="S80" s="3" t="str">
        <f>IF($K80&lt;&gt;"",IF($A80="Prepago",0,IF(ROUND(($H80+SUM($B$12:$B80))*$T$7,2)&gt;ROUND(SUM($S$11:$S79)+$T$7,2),$T$7*2,$T$7)),"")</f>
        <v/>
      </c>
      <c r="T80" s="3" t="str">
        <f>IF($K80&lt;&gt;"",IF($A80="Prepago",0,IF(ROUND(($H80+SUM($B$12:$B80))*$T$8,2)&gt;ROUND(SUM($T$11:$T79)+$T$8,2),$T$8*2,$T$8)),"")</f>
        <v/>
      </c>
      <c r="U80" s="3" t="str">
        <f t="shared" si="35"/>
        <v/>
      </c>
      <c r="V80" s="3" t="str">
        <f t="shared" si="37"/>
        <v/>
      </c>
      <c r="W80" s="3" t="str">
        <f t="shared" si="36"/>
        <v/>
      </c>
      <c r="X80" s="3" t="str">
        <f>IF($K80&lt;&gt;"",IF($M80&gt;X$11,30,$M80)*ROUND(($N80+$V79)*$U$5/3000,2),"")</f>
        <v/>
      </c>
      <c r="Y80" s="3" t="str">
        <f>IF($K80&lt;&gt;"",IF($M80&gt;X$11,IF($M80&lt;Y$11,$M80-X$11,30),0)*ROUND(($N80+$V79+SUM($X80:X80))*$U$5/3000,2),"")</f>
        <v/>
      </c>
      <c r="Z80" s="3"/>
      <c r="AA80" s="3"/>
    </row>
    <row r="81" spans="5:27" x14ac:dyDescent="0.25">
      <c r="E81" s="5"/>
      <c r="F81" t="str">
        <f t="shared" si="25"/>
        <v/>
      </c>
      <c r="G81" s="5" t="str">
        <f>IF($K81&lt;&gt;"",IF(DAY(EOMONTH(DATE(YEAR($M$6),$G$11+K81+SUM($B$12:B81),1),0))&gt;DAY($M$7),DATE(YEAR($M$7),MONTH($M$7)+($A$1*($H81-1))+SUM($B$12:$B81),DAY($M$7)),EOMONTH(DATE(YEAR($M$6),$G$11+K81+SUM($B$12:B81),1),0)),"")</f>
        <v/>
      </c>
      <c r="H81" s="22" t="str">
        <f t="shared" si="26"/>
        <v/>
      </c>
      <c r="I81" s="22" t="str">
        <f t="shared" si="27"/>
        <v/>
      </c>
      <c r="J81" s="22" t="str">
        <f t="shared" si="28"/>
        <v/>
      </c>
      <c r="K81" t="str">
        <f t="shared" si="29"/>
        <v/>
      </c>
      <c r="L81" s="5" t="str">
        <f>IF($K81&lt;&gt;"",IF($E81="",IF(ULTIMODIA=0,DATE(YEAR($M$7),MONTH($M$7)+($A$1*($H81-1))+SUM($B$12:$B81),DAY($M$7)),$G81),$E81),"")</f>
        <v/>
      </c>
      <c r="M81" s="9" t="str">
        <f t="shared" si="30"/>
        <v/>
      </c>
      <c r="N81" s="3" t="str">
        <f t="shared" si="31"/>
        <v/>
      </c>
      <c r="O81" s="3" t="str">
        <f t="shared" si="32"/>
        <v/>
      </c>
      <c r="P81" s="3" t="str">
        <f t="shared" si="33"/>
        <v/>
      </c>
      <c r="Q81" s="3" t="str">
        <f t="shared" si="34"/>
        <v/>
      </c>
      <c r="R81" s="3" t="str">
        <f>IF($K81&lt;&gt;"",IF($A81="Prepago",0,IF(ROUND(($H81+SUM($B$12:$B81))*$T$6,2)&gt;ROUND(SUM($R$11:$R80)+$T$6,2),$T$6*2,$T$6)),"")</f>
        <v/>
      </c>
      <c r="S81" s="3" t="str">
        <f>IF($K81&lt;&gt;"",IF($A81="Prepago",0,IF(ROUND(($H81+SUM($B$12:$B81))*$T$7,2)&gt;ROUND(SUM($S$11:$S80)+$T$7,2),$T$7*2,$T$7)),"")</f>
        <v/>
      </c>
      <c r="T81" s="3" t="str">
        <f>IF($K81&lt;&gt;"",IF($A81="Prepago",0,IF(ROUND(($H81+SUM($B$12:$B81))*$T$8,2)&gt;ROUND(SUM($T$11:$T80)+$T$8,2),$T$8*2,$T$8)),"")</f>
        <v/>
      </c>
      <c r="U81" s="3" t="str">
        <f t="shared" si="35"/>
        <v/>
      </c>
      <c r="V81" s="3" t="str">
        <f t="shared" si="37"/>
        <v/>
      </c>
      <c r="W81" s="3" t="str">
        <f t="shared" si="36"/>
        <v/>
      </c>
      <c r="X81" s="3" t="str">
        <f>IF($K81&lt;&gt;"",IF($M81&gt;X$11,30,$M81)*ROUND(($N81+$V80)*$U$5/3000,2),"")</f>
        <v/>
      </c>
      <c r="Y81" s="3" t="str">
        <f>IF($K81&lt;&gt;"",IF($M81&gt;X$11,IF($M81&lt;Y$11,$M81-X$11,30),0)*ROUND(($N81+$V80+SUM($X81:X81))*$U$5/3000,2),"")</f>
        <v/>
      </c>
      <c r="Z81" s="3"/>
      <c r="AA81" s="3"/>
    </row>
    <row r="82" spans="5:27" x14ac:dyDescent="0.25">
      <c r="E82" s="5"/>
      <c r="F82" t="str">
        <f t="shared" si="25"/>
        <v/>
      </c>
      <c r="G82" s="5" t="str">
        <f>IF($K82&lt;&gt;"",IF(DAY(EOMONTH(DATE(YEAR($M$6),$G$11+K82+SUM($B$12:B82),1),0))&gt;DAY($M$7),DATE(YEAR($M$7),MONTH($M$7)+($A$1*($H82-1))+SUM($B$12:$B82),DAY($M$7)),EOMONTH(DATE(YEAR($M$6),$G$11+K82+SUM($B$12:B82),1),0)),"")</f>
        <v/>
      </c>
      <c r="H82" s="22" t="str">
        <f t="shared" si="26"/>
        <v/>
      </c>
      <c r="I82" s="22" t="str">
        <f t="shared" si="27"/>
        <v/>
      </c>
      <c r="J82" s="22" t="str">
        <f t="shared" si="28"/>
        <v/>
      </c>
      <c r="K82" t="str">
        <f t="shared" si="29"/>
        <v/>
      </c>
      <c r="L82" s="5" t="str">
        <f>IF($K82&lt;&gt;"",IF($E82="",IF(ULTIMODIA=0,DATE(YEAR($M$7),MONTH($M$7)+($A$1*($H82-1))+SUM($B$12:$B82),DAY($M$7)),$G82),$E82),"")</f>
        <v/>
      </c>
      <c r="M82" s="9" t="str">
        <f t="shared" si="30"/>
        <v/>
      </c>
      <c r="N82" s="3" t="str">
        <f t="shared" si="31"/>
        <v/>
      </c>
      <c r="O82" s="3" t="str">
        <f t="shared" si="32"/>
        <v/>
      </c>
      <c r="P82" s="3" t="str">
        <f t="shared" si="33"/>
        <v/>
      </c>
      <c r="Q82" s="3" t="str">
        <f t="shared" si="34"/>
        <v/>
      </c>
      <c r="R82" s="3" t="str">
        <f>IF($K82&lt;&gt;"",IF($A82="Prepago",0,IF(ROUND(($H82+SUM($B$12:$B82))*$T$6,2)&gt;ROUND(SUM($R$11:$R81)+$T$6,2),$T$6*2,$T$6)),"")</f>
        <v/>
      </c>
      <c r="S82" s="3" t="str">
        <f>IF($K82&lt;&gt;"",IF($A82="Prepago",0,IF(ROUND(($H82+SUM($B$12:$B82))*$T$7,2)&gt;ROUND(SUM($S$11:$S81)+$T$7,2),$T$7*2,$T$7)),"")</f>
        <v/>
      </c>
      <c r="T82" s="3" t="str">
        <f>IF($K82&lt;&gt;"",IF($A82="Prepago",0,IF(ROUND(($H82+SUM($B$12:$B82))*$T$8,2)&gt;ROUND(SUM($T$11:$T81)+$T$8,2),$T$8*2,$T$8)),"")</f>
        <v/>
      </c>
      <c r="U82" s="3" t="str">
        <f t="shared" si="35"/>
        <v/>
      </c>
      <c r="V82" s="3" t="str">
        <f t="shared" si="37"/>
        <v/>
      </c>
      <c r="W82" s="3" t="str">
        <f t="shared" si="36"/>
        <v/>
      </c>
      <c r="X82" s="3" t="str">
        <f>IF($K82&lt;&gt;"",IF($M82&gt;X$11,30,$M82)*ROUND(($N82+$V81)*$U$5/3000,2),"")</f>
        <v/>
      </c>
      <c r="Y82" s="3" t="str">
        <f>IF($K82&lt;&gt;"",IF($M82&gt;X$11,IF($M82&lt;Y$11,$M82-X$11,30),0)*ROUND(($N82+$V81+SUM($X82:X82))*$U$5/3000,2),"")</f>
        <v/>
      </c>
      <c r="Z82" s="3"/>
      <c r="AA82" s="3"/>
    </row>
    <row r="83" spans="5:27" x14ac:dyDescent="0.25">
      <c r="E83" s="5"/>
      <c r="F83" t="str">
        <f t="shared" si="25"/>
        <v/>
      </c>
      <c r="G83" s="5" t="str">
        <f>IF($K83&lt;&gt;"",IF(DAY(EOMONTH(DATE(YEAR($M$6),$G$11+K83+SUM($B$12:B83),1),0))&gt;DAY($M$7),DATE(YEAR($M$7),MONTH($M$7)+($A$1*($H83-1))+SUM($B$12:$B83),DAY($M$7)),EOMONTH(DATE(YEAR($M$6),$G$11+K83+SUM($B$12:B83),1),0)),"")</f>
        <v/>
      </c>
      <c r="H83" s="22" t="str">
        <f t="shared" si="26"/>
        <v/>
      </c>
      <c r="I83" s="22" t="str">
        <f t="shared" si="27"/>
        <v/>
      </c>
      <c r="J83" s="22" t="str">
        <f t="shared" si="28"/>
        <v/>
      </c>
      <c r="K83" t="str">
        <f t="shared" si="29"/>
        <v/>
      </c>
      <c r="L83" s="5" t="str">
        <f>IF($K83&lt;&gt;"",IF($E83="",IF(ULTIMODIA=0,DATE(YEAR($M$7),MONTH($M$7)+($A$1*($H83-1))+SUM($B$12:$B83),DAY($M$7)),$G83),$E83),"")</f>
        <v/>
      </c>
      <c r="M83" s="9" t="str">
        <f t="shared" si="30"/>
        <v/>
      </c>
      <c r="N83" s="3" t="str">
        <f t="shared" si="31"/>
        <v/>
      </c>
      <c r="O83" s="3" t="str">
        <f t="shared" si="32"/>
        <v/>
      </c>
      <c r="P83" s="3" t="str">
        <f t="shared" si="33"/>
        <v/>
      </c>
      <c r="Q83" s="3" t="str">
        <f t="shared" si="34"/>
        <v/>
      </c>
      <c r="R83" s="3" t="str">
        <f>IF($K83&lt;&gt;"",IF($A83="Prepago",0,IF(ROUND(($H83+SUM($B$12:$B83))*$T$6,2)&gt;ROUND(SUM($R$11:$R82)+$T$6,2),$T$6*2,$T$6)),"")</f>
        <v/>
      </c>
      <c r="S83" s="3" t="str">
        <f>IF($K83&lt;&gt;"",IF($A83="Prepago",0,IF(ROUND(($H83+SUM($B$12:$B83))*$T$7,2)&gt;ROUND(SUM($S$11:$S82)+$T$7,2),$T$7*2,$T$7)),"")</f>
        <v/>
      </c>
      <c r="T83" s="3" t="str">
        <f>IF($K83&lt;&gt;"",IF($A83="Prepago",0,IF(ROUND(($H83+SUM($B$12:$B83))*$T$8,2)&gt;ROUND(SUM($T$11:$T82)+$T$8,2),$T$8*2,$T$8)),"")</f>
        <v/>
      </c>
      <c r="U83" s="3" t="str">
        <f t="shared" si="35"/>
        <v/>
      </c>
      <c r="V83" s="3" t="str">
        <f t="shared" si="37"/>
        <v/>
      </c>
      <c r="W83" s="3" t="str">
        <f t="shared" si="36"/>
        <v/>
      </c>
      <c r="X83" s="3" t="str">
        <f>IF($K83&lt;&gt;"",IF($M83&gt;X$11,30,$M83)*ROUND(($N83+$V82)*$U$5/3000,2),"")</f>
        <v/>
      </c>
      <c r="Y83" s="3" t="str">
        <f>IF($K83&lt;&gt;"",IF($M83&gt;X$11,IF($M83&lt;Y$11,$M83-X$11,30),0)*ROUND(($N83+$V82+SUM($X83:X83))*$U$5/3000,2),"")</f>
        <v/>
      </c>
      <c r="Z83" s="3"/>
      <c r="AA83" s="3"/>
    </row>
    <row r="84" spans="5:27" x14ac:dyDescent="0.25">
      <c r="E84" s="5"/>
      <c r="F84" t="str">
        <f t="shared" si="25"/>
        <v/>
      </c>
      <c r="G84" s="5" t="str">
        <f>IF($K84&lt;&gt;"",IF(DAY(EOMONTH(DATE(YEAR($M$6),$G$11+K84+SUM($B$12:B84),1),0))&gt;DAY($M$7),DATE(YEAR($M$7),MONTH($M$7)+($A$1*($H84-1))+SUM($B$12:$B84),DAY($M$7)),EOMONTH(DATE(YEAR($M$6),$G$11+K84+SUM($B$12:B84),1),0)),"")</f>
        <v/>
      </c>
      <c r="H84" s="22" t="str">
        <f t="shared" si="26"/>
        <v/>
      </c>
      <c r="I84" s="22" t="str">
        <f t="shared" si="27"/>
        <v/>
      </c>
      <c r="J84" s="22" t="str">
        <f t="shared" si="28"/>
        <v/>
      </c>
      <c r="K84" t="str">
        <f t="shared" si="29"/>
        <v/>
      </c>
      <c r="L84" s="5" t="str">
        <f>IF($K84&lt;&gt;"",IF($E84="",IF(ULTIMODIA=0,DATE(YEAR($M$7),MONTH($M$7)+($A$1*($H84-1))+SUM($B$12:$B84),DAY($M$7)),$G84),$E84),"")</f>
        <v/>
      </c>
      <c r="M84" s="9" t="str">
        <f t="shared" si="30"/>
        <v/>
      </c>
      <c r="N84" s="3" t="str">
        <f t="shared" si="31"/>
        <v/>
      </c>
      <c r="O84" s="3" t="str">
        <f t="shared" si="32"/>
        <v/>
      </c>
      <c r="P84" s="3" t="str">
        <f t="shared" si="33"/>
        <v/>
      </c>
      <c r="Q84" s="3" t="str">
        <f t="shared" si="34"/>
        <v/>
      </c>
      <c r="R84" s="3" t="str">
        <f>IF($K84&lt;&gt;"",IF($A84="Prepago",0,IF(ROUND(($H84+SUM($B$12:$B84))*$T$6,2)&gt;ROUND(SUM($R$11:$R83)+$T$6,2),$T$6*2,$T$6)),"")</f>
        <v/>
      </c>
      <c r="S84" s="3" t="str">
        <f>IF($K84&lt;&gt;"",IF($A84="Prepago",0,IF(ROUND(($H84+SUM($B$12:$B84))*$T$7,2)&gt;ROUND(SUM($S$11:$S83)+$T$7,2),$T$7*2,$T$7)),"")</f>
        <v/>
      </c>
      <c r="T84" s="3" t="str">
        <f>IF($K84&lt;&gt;"",IF($A84="Prepago",0,IF(ROUND(($H84+SUM($B$12:$B84))*$T$8,2)&gt;ROUND(SUM($T$11:$T83)+$T$8,2),$T$8*2,$T$8)),"")</f>
        <v/>
      </c>
      <c r="U84" s="3" t="str">
        <f t="shared" si="35"/>
        <v/>
      </c>
      <c r="V84" s="3" t="str">
        <f t="shared" si="37"/>
        <v/>
      </c>
      <c r="W84" s="3" t="str">
        <f t="shared" si="36"/>
        <v/>
      </c>
      <c r="X84" s="3" t="str">
        <f>IF($K84&lt;&gt;"",IF($M84&gt;X$11,30,$M84)*ROUND(($N84+$V83)*$U$5/3000,2),"")</f>
        <v/>
      </c>
      <c r="Y84" s="3" t="str">
        <f>IF($K84&lt;&gt;"",IF($M84&gt;X$11,IF($M84&lt;Y$11,$M84-X$11,30),0)*ROUND(($N84+$V83+SUM($X84:X84))*$U$5/3000,2),"")</f>
        <v/>
      </c>
      <c r="Z84" s="3"/>
      <c r="AA84" s="3"/>
    </row>
    <row r="85" spans="5:27" x14ac:dyDescent="0.25">
      <c r="E85" s="5"/>
      <c r="F85" t="str">
        <f t="shared" si="25"/>
        <v/>
      </c>
      <c r="G85" s="5" t="str">
        <f>IF($K85&lt;&gt;"",IF(DAY(EOMONTH(DATE(YEAR($M$6),$G$11+K85+SUM($B$12:B85),1),0))&gt;DAY($M$7),DATE(YEAR($M$7),MONTH($M$7)+($A$1*($H85-1))+SUM($B$12:$B85),DAY($M$7)),EOMONTH(DATE(YEAR($M$6),$G$11+K85+SUM($B$12:B85),1),0)),"")</f>
        <v/>
      </c>
      <c r="H85" s="22" t="str">
        <f t="shared" si="26"/>
        <v/>
      </c>
      <c r="I85" s="22" t="str">
        <f t="shared" si="27"/>
        <v/>
      </c>
      <c r="J85" s="22" t="str">
        <f t="shared" si="28"/>
        <v/>
      </c>
      <c r="K85" t="str">
        <f t="shared" si="29"/>
        <v/>
      </c>
      <c r="L85" s="5" t="str">
        <f>IF($K85&lt;&gt;"",IF($E85="",IF(ULTIMODIA=0,DATE(YEAR($M$7),MONTH($M$7)+($A$1*($H85-1))+SUM($B$12:$B85),DAY($M$7)),$G85),$E85),"")</f>
        <v/>
      </c>
      <c r="M85" s="9" t="str">
        <f t="shared" si="30"/>
        <v/>
      </c>
      <c r="N85" s="3" t="str">
        <f t="shared" si="31"/>
        <v/>
      </c>
      <c r="O85" s="3" t="str">
        <f t="shared" si="32"/>
        <v/>
      </c>
      <c r="P85" s="3" t="str">
        <f t="shared" si="33"/>
        <v/>
      </c>
      <c r="Q85" s="3" t="str">
        <f t="shared" si="34"/>
        <v/>
      </c>
      <c r="R85" s="3" t="str">
        <f>IF($K85&lt;&gt;"",IF($A85="Prepago",0,IF(ROUND(($H85+SUM($B$12:$B85))*$T$6,2)&gt;ROUND(SUM($R$11:$R84)+$T$6,2),$T$6*2,$T$6)),"")</f>
        <v/>
      </c>
      <c r="S85" s="3" t="str">
        <f>IF($K85&lt;&gt;"",IF($A85="Prepago",0,IF(ROUND(($H85+SUM($B$12:$B85))*$T$7,2)&gt;ROUND(SUM($S$11:$S84)+$T$7,2),$T$7*2,$T$7)),"")</f>
        <v/>
      </c>
      <c r="T85" s="3" t="str">
        <f>IF($K85&lt;&gt;"",IF($A85="Prepago",0,IF(ROUND(($H85+SUM($B$12:$B85))*$T$8,2)&gt;ROUND(SUM($T$11:$T84)+$T$8,2),$T$8*2,$T$8)),"")</f>
        <v/>
      </c>
      <c r="U85" s="3" t="str">
        <f t="shared" si="35"/>
        <v/>
      </c>
      <c r="V85" s="3" t="str">
        <f t="shared" si="37"/>
        <v/>
      </c>
      <c r="W85" s="3" t="str">
        <f t="shared" si="36"/>
        <v/>
      </c>
      <c r="X85" s="3" t="str">
        <f>IF($K85&lt;&gt;"",IF($M85&gt;X$11,30,$M85)*ROUND(($N85+$V84)*$U$5/3000,2),"")</f>
        <v/>
      </c>
      <c r="Y85" s="3" t="str">
        <f>IF($K85&lt;&gt;"",IF($M85&gt;X$11,IF($M85&lt;Y$11,$M85-X$11,30),0)*ROUND(($N85+$V84+SUM($X85:X85))*$U$5/3000,2),"")</f>
        <v/>
      </c>
      <c r="Z85" s="3"/>
      <c r="AA85" s="3"/>
    </row>
    <row r="86" spans="5:27" x14ac:dyDescent="0.25">
      <c r="E86" s="5"/>
      <c r="F86" t="str">
        <f t="shared" si="25"/>
        <v/>
      </c>
      <c r="G86" s="5" t="str">
        <f>IF($K86&lt;&gt;"",IF(DAY(EOMONTH(DATE(YEAR($M$6),$G$11+K86+SUM($B$12:B86),1),0))&gt;DAY($M$7),DATE(YEAR($M$7),MONTH($M$7)+($A$1*($H86-1))+SUM($B$12:$B86),DAY($M$7)),EOMONTH(DATE(YEAR($M$6),$G$11+K86+SUM($B$12:B86),1),0)),"")</f>
        <v/>
      </c>
      <c r="H86" s="22" t="str">
        <f t="shared" si="26"/>
        <v/>
      </c>
      <c r="I86" s="22" t="str">
        <f t="shared" si="27"/>
        <v/>
      </c>
      <c r="J86" s="22" t="str">
        <f t="shared" si="28"/>
        <v/>
      </c>
      <c r="K86" t="str">
        <f t="shared" si="29"/>
        <v/>
      </c>
      <c r="L86" s="5" t="str">
        <f>IF($K86&lt;&gt;"",IF($E86="",IF(ULTIMODIA=0,DATE(YEAR($M$7),MONTH($M$7)+($A$1*($H86-1))+SUM($B$12:$B86),DAY($M$7)),$G86),$E86),"")</f>
        <v/>
      </c>
      <c r="M86" s="9" t="str">
        <f t="shared" si="30"/>
        <v/>
      </c>
      <c r="N86" s="3" t="str">
        <f t="shared" si="31"/>
        <v/>
      </c>
      <c r="O86" s="3" t="str">
        <f t="shared" si="32"/>
        <v/>
      </c>
      <c r="P86" s="3" t="str">
        <f t="shared" si="33"/>
        <v/>
      </c>
      <c r="Q86" s="3" t="str">
        <f t="shared" si="34"/>
        <v/>
      </c>
      <c r="R86" s="3" t="str">
        <f>IF($K86&lt;&gt;"",IF($A86="Prepago",0,IF(ROUND(($H86+SUM($B$12:$B86))*$T$6,2)&gt;ROUND(SUM($R$11:$R85)+$T$6,2),$T$6*2,$T$6)),"")</f>
        <v/>
      </c>
      <c r="S86" s="3" t="str">
        <f>IF($K86&lt;&gt;"",IF($A86="Prepago",0,IF(ROUND(($H86+SUM($B$12:$B86))*$T$7,2)&gt;ROUND(SUM($S$11:$S85)+$T$7,2),$T$7*2,$T$7)),"")</f>
        <v/>
      </c>
      <c r="T86" s="3" t="str">
        <f>IF($K86&lt;&gt;"",IF($A86="Prepago",0,IF(ROUND(($H86+SUM($B$12:$B86))*$T$8,2)&gt;ROUND(SUM($T$11:$T85)+$T$8,2),$T$8*2,$T$8)),"")</f>
        <v/>
      </c>
      <c r="U86" s="3" t="str">
        <f t="shared" si="35"/>
        <v/>
      </c>
      <c r="V86" s="3" t="str">
        <f t="shared" si="37"/>
        <v/>
      </c>
      <c r="W86" s="3" t="str">
        <f t="shared" si="36"/>
        <v/>
      </c>
      <c r="X86" s="3" t="str">
        <f>IF($K86&lt;&gt;"",IF($M86&gt;X$11,30,$M86)*ROUND(($N86+$V85)*$U$5/3000,2),"")</f>
        <v/>
      </c>
      <c r="Y86" s="3" t="str">
        <f>IF($K86&lt;&gt;"",IF($M86&gt;X$11,IF($M86&lt;Y$11,$M86-X$11,30),0)*ROUND(($N86+$V85+SUM($X86:X86))*$U$5/3000,2),"")</f>
        <v/>
      </c>
      <c r="Z86" s="3"/>
      <c r="AA86" s="3"/>
    </row>
    <row r="87" spans="5:27" x14ac:dyDescent="0.25">
      <c r="E87" s="5"/>
      <c r="F87" t="str">
        <f t="shared" si="25"/>
        <v/>
      </c>
      <c r="G87" s="5" t="str">
        <f>IF($K87&lt;&gt;"",IF(DAY(EOMONTH(DATE(YEAR($M$6),$G$11+K87+SUM($B$12:B87),1),0))&gt;DAY($M$7),DATE(YEAR($M$7),MONTH($M$7)+($A$1*($H87-1))+SUM($B$12:$B87),DAY($M$7)),EOMONTH(DATE(YEAR($M$6),$G$11+K87+SUM($B$12:B87),1),0)),"")</f>
        <v/>
      </c>
      <c r="H87" s="22" t="str">
        <f t="shared" si="26"/>
        <v/>
      </c>
      <c r="I87" s="22" t="str">
        <f t="shared" si="27"/>
        <v/>
      </c>
      <c r="J87" s="22" t="str">
        <f t="shared" si="28"/>
        <v/>
      </c>
      <c r="K87" t="str">
        <f t="shared" si="29"/>
        <v/>
      </c>
      <c r="L87" s="5" t="str">
        <f>IF($K87&lt;&gt;"",IF($E87="",IF(ULTIMODIA=0,DATE(YEAR($M$7),MONTH($M$7)+($A$1*($H87-1))+SUM($B$12:$B87),DAY($M$7)),$G87),$E87),"")</f>
        <v/>
      </c>
      <c r="M87" s="9" t="str">
        <f t="shared" si="30"/>
        <v/>
      </c>
      <c r="N87" s="3" t="str">
        <f t="shared" si="31"/>
        <v/>
      </c>
      <c r="O87" s="3" t="str">
        <f t="shared" si="32"/>
        <v/>
      </c>
      <c r="P87" s="3" t="str">
        <f t="shared" si="33"/>
        <v/>
      </c>
      <c r="Q87" s="3" t="str">
        <f t="shared" si="34"/>
        <v/>
      </c>
      <c r="R87" s="3" t="str">
        <f>IF($K87&lt;&gt;"",IF($A87="Prepago",0,IF(ROUND(($H87+SUM($B$12:$B87))*$T$6,2)&gt;ROUND(SUM($R$11:$R86)+$T$6,2),$T$6*2,$T$6)),"")</f>
        <v/>
      </c>
      <c r="S87" s="3" t="str">
        <f>IF($K87&lt;&gt;"",IF($A87="Prepago",0,IF(ROUND(($H87+SUM($B$12:$B87))*$T$7,2)&gt;ROUND(SUM($S$11:$S86)+$T$7,2),$T$7*2,$T$7)),"")</f>
        <v/>
      </c>
      <c r="T87" s="3" t="str">
        <f>IF($K87&lt;&gt;"",IF($A87="Prepago",0,IF(ROUND(($H87+SUM($B$12:$B87))*$T$8,2)&gt;ROUND(SUM($T$11:$T86)+$T$8,2),$T$8*2,$T$8)),"")</f>
        <v/>
      </c>
      <c r="U87" s="3" t="str">
        <f t="shared" si="35"/>
        <v/>
      </c>
      <c r="V87" s="3" t="str">
        <f t="shared" si="37"/>
        <v/>
      </c>
      <c r="W87" s="3" t="str">
        <f t="shared" si="36"/>
        <v/>
      </c>
      <c r="X87" s="3" t="str">
        <f>IF($K87&lt;&gt;"",IF($M87&gt;X$11,30,$M87)*ROUND(($N87+$V86)*$U$5/3000,2),"")</f>
        <v/>
      </c>
      <c r="Y87" s="3" t="str">
        <f>IF($K87&lt;&gt;"",IF($M87&gt;X$11,IF($M87&lt;Y$11,$M87-X$11,30),0)*ROUND(($N87+$V86+SUM($X87:X87))*$U$5/3000,2),"")</f>
        <v/>
      </c>
      <c r="Z87" s="3"/>
      <c r="AA87" s="3"/>
    </row>
    <row r="88" spans="5:27" x14ac:dyDescent="0.25">
      <c r="E88" s="5"/>
      <c r="F88" t="str">
        <f t="shared" si="25"/>
        <v/>
      </c>
      <c r="G88" s="5" t="str">
        <f>IF($K88&lt;&gt;"",IF(DAY(EOMONTH(DATE(YEAR($M$6),$G$11+K88+SUM($B$12:B88),1),0))&gt;DAY($M$7),DATE(YEAR($M$7),MONTH($M$7)+($A$1*($H88-1))+SUM($B$12:$B88),DAY($M$7)),EOMONTH(DATE(YEAR($M$6),$G$11+K88+SUM($B$12:B88),1),0)),"")</f>
        <v/>
      </c>
      <c r="H88" s="22" t="str">
        <f t="shared" si="26"/>
        <v/>
      </c>
      <c r="I88" s="22" t="str">
        <f t="shared" si="27"/>
        <v/>
      </c>
      <c r="J88" s="22" t="str">
        <f t="shared" si="28"/>
        <v/>
      </c>
      <c r="K88" t="str">
        <f t="shared" si="29"/>
        <v/>
      </c>
      <c r="L88" s="5" t="str">
        <f>IF($K88&lt;&gt;"",IF($E88="",IF(ULTIMODIA=0,DATE(YEAR($M$7),MONTH($M$7)+($A$1*($H88-1))+SUM($B$12:$B88),DAY($M$7)),$G88),$E88),"")</f>
        <v/>
      </c>
      <c r="M88" s="9" t="str">
        <f t="shared" si="30"/>
        <v/>
      </c>
      <c r="N88" s="3" t="str">
        <f t="shared" si="31"/>
        <v/>
      </c>
      <c r="O88" s="3" t="str">
        <f t="shared" si="32"/>
        <v/>
      </c>
      <c r="P88" s="3" t="str">
        <f t="shared" si="33"/>
        <v/>
      </c>
      <c r="Q88" s="3" t="str">
        <f t="shared" si="34"/>
        <v/>
      </c>
      <c r="R88" s="3" t="str">
        <f>IF($K88&lt;&gt;"",IF($A88="Prepago",0,IF(ROUND(($H88+SUM($B$12:$B88))*$T$6,2)&gt;ROUND(SUM($R$11:$R87)+$T$6,2),$T$6*2,$T$6)),"")</f>
        <v/>
      </c>
      <c r="S88" s="3" t="str">
        <f>IF($K88&lt;&gt;"",IF($A88="Prepago",0,IF(ROUND(($H88+SUM($B$12:$B88))*$T$7,2)&gt;ROUND(SUM($S$11:$S87)+$T$7,2),$T$7*2,$T$7)),"")</f>
        <v/>
      </c>
      <c r="T88" s="3" t="str">
        <f>IF($K88&lt;&gt;"",IF($A88="Prepago",0,IF(ROUND(($H88+SUM($B$12:$B88))*$T$8,2)&gt;ROUND(SUM($T$11:$T87)+$T$8,2),$T$8*2,$T$8)),"")</f>
        <v/>
      </c>
      <c r="U88" s="3" t="str">
        <f t="shared" si="35"/>
        <v/>
      </c>
      <c r="V88" s="3" t="str">
        <f t="shared" si="37"/>
        <v/>
      </c>
      <c r="W88" s="3" t="str">
        <f t="shared" si="36"/>
        <v/>
      </c>
      <c r="X88" s="3" t="str">
        <f>IF($K88&lt;&gt;"",IF($M88&gt;X$11,30,$M88)*ROUND(($N88+$V87)*$U$5/3000,2),"")</f>
        <v/>
      </c>
      <c r="Y88" s="3" t="str">
        <f>IF($K88&lt;&gt;"",IF($M88&gt;X$11,IF($M88&lt;Y$11,$M88-X$11,30),0)*ROUND(($N88+$V87+SUM($X88:X88))*$U$5/3000,2),"")</f>
        <v/>
      </c>
      <c r="Z88" s="3"/>
      <c r="AA88" s="3"/>
    </row>
    <row r="89" spans="5:27" x14ac:dyDescent="0.25">
      <c r="E89" s="5"/>
      <c r="F89" t="str">
        <f t="shared" si="25"/>
        <v/>
      </c>
      <c r="G89" s="5" t="str">
        <f>IF($K89&lt;&gt;"",IF(DAY(EOMONTH(DATE(YEAR($M$6),$G$11+K89+SUM($B$12:B89),1),0))&gt;DAY($M$7),DATE(YEAR($M$7),MONTH($M$7)+($A$1*($H89-1))+SUM($B$12:$B89),DAY($M$7)),EOMONTH(DATE(YEAR($M$6),$G$11+K89+SUM($B$12:B89),1),0)),"")</f>
        <v/>
      </c>
      <c r="H89" s="22" t="str">
        <f t="shared" si="26"/>
        <v/>
      </c>
      <c r="I89" s="22" t="str">
        <f t="shared" si="27"/>
        <v/>
      </c>
      <c r="J89" s="22" t="str">
        <f t="shared" si="28"/>
        <v/>
      </c>
      <c r="K89" t="str">
        <f t="shared" si="29"/>
        <v/>
      </c>
      <c r="L89" s="5" t="str">
        <f>IF($K89&lt;&gt;"",IF($E89="",IF(ULTIMODIA=0,DATE(YEAR($M$7),MONTH($M$7)+($A$1*($H89-1))+SUM($B$12:$B89),DAY($M$7)),$G89),$E89),"")</f>
        <v/>
      </c>
      <c r="M89" s="9" t="str">
        <f t="shared" si="30"/>
        <v/>
      </c>
      <c r="N89" s="3" t="str">
        <f t="shared" si="31"/>
        <v/>
      </c>
      <c r="O89" s="3" t="str">
        <f t="shared" si="32"/>
        <v/>
      </c>
      <c r="P89" s="3" t="str">
        <f t="shared" si="33"/>
        <v/>
      </c>
      <c r="Q89" s="3" t="str">
        <f t="shared" si="34"/>
        <v/>
      </c>
      <c r="R89" s="3" t="str">
        <f>IF($K89&lt;&gt;"",IF($A89="Prepago",0,IF(ROUND(($H89+SUM($B$12:$B89))*$T$6,2)&gt;ROUND(SUM($R$11:$R88)+$T$6,2),$T$6*2,$T$6)),"")</f>
        <v/>
      </c>
      <c r="S89" s="3" t="str">
        <f>IF($K89&lt;&gt;"",IF($A89="Prepago",0,IF(ROUND(($H89+SUM($B$12:$B89))*$T$7,2)&gt;ROUND(SUM($S$11:$S88)+$T$7,2),$T$7*2,$T$7)),"")</f>
        <v/>
      </c>
      <c r="T89" s="3" t="str">
        <f>IF($K89&lt;&gt;"",IF($A89="Prepago",0,IF(ROUND(($H89+SUM($B$12:$B89))*$T$8,2)&gt;ROUND(SUM($T$11:$T88)+$T$8,2),$T$8*2,$T$8)),"")</f>
        <v/>
      </c>
      <c r="U89" s="3" t="str">
        <f t="shared" si="35"/>
        <v/>
      </c>
      <c r="V89" s="3" t="str">
        <f t="shared" si="37"/>
        <v/>
      </c>
      <c r="W89" s="3" t="str">
        <f t="shared" si="36"/>
        <v/>
      </c>
      <c r="X89" s="3" t="str">
        <f>IF($K89&lt;&gt;"",IF($M89&gt;X$11,30,$M89)*ROUND(($N89+$V88)*$U$5/3000,2),"")</f>
        <v/>
      </c>
      <c r="Y89" s="3" t="str">
        <f>IF($K89&lt;&gt;"",IF($M89&gt;X$11,IF($M89&lt;Y$11,$M89-X$11,30),0)*ROUND(($N89+$V88+SUM($X89:X89))*$U$5/3000,2),"")</f>
        <v/>
      </c>
      <c r="Z89" s="3"/>
      <c r="AA89" s="3"/>
    </row>
    <row r="90" spans="5:27" x14ac:dyDescent="0.25">
      <c r="E90" s="5"/>
      <c r="F90" t="str">
        <f t="shared" si="25"/>
        <v/>
      </c>
      <c r="G90" s="5" t="str">
        <f>IF($K90&lt;&gt;"",IF(DAY(EOMONTH(DATE(YEAR($M$6),$G$11+K90+SUM($B$12:B90),1),0))&gt;DAY($M$7),DATE(YEAR($M$7),MONTH($M$7)+($A$1*($H90-1))+SUM($B$12:$B90),DAY($M$7)),EOMONTH(DATE(YEAR($M$6),$G$11+K90+SUM($B$12:B90),1),0)),"")</f>
        <v/>
      </c>
      <c r="H90" s="22" t="str">
        <f t="shared" si="26"/>
        <v/>
      </c>
      <c r="I90" s="22" t="str">
        <f t="shared" si="27"/>
        <v/>
      </c>
      <c r="J90" s="22" t="str">
        <f t="shared" si="28"/>
        <v/>
      </c>
      <c r="K90" t="str">
        <f t="shared" si="29"/>
        <v/>
      </c>
      <c r="L90" s="5" t="str">
        <f>IF($K90&lt;&gt;"",IF($E90="",IF(ULTIMODIA=0,DATE(YEAR($M$7),MONTH($M$7)+($A$1*($H90-1))+SUM($B$12:$B90),DAY($M$7)),$G90),$E90),"")</f>
        <v/>
      </c>
      <c r="M90" s="9" t="str">
        <f t="shared" si="30"/>
        <v/>
      </c>
      <c r="N90" s="3" t="str">
        <f t="shared" si="31"/>
        <v/>
      </c>
      <c r="O90" s="3" t="str">
        <f t="shared" si="32"/>
        <v/>
      </c>
      <c r="P90" s="3" t="str">
        <f t="shared" si="33"/>
        <v/>
      </c>
      <c r="Q90" s="3" t="str">
        <f t="shared" si="34"/>
        <v/>
      </c>
      <c r="R90" s="3" t="str">
        <f>IF($K90&lt;&gt;"",IF($A90="Prepago",0,IF(ROUND(($H90+SUM($B$12:$B90))*$T$6,2)&gt;ROUND(SUM($R$11:$R89)+$T$6,2),$T$6*2,$T$6)),"")</f>
        <v/>
      </c>
      <c r="S90" s="3" t="str">
        <f>IF($K90&lt;&gt;"",IF($A90="Prepago",0,IF(ROUND(($H90+SUM($B$12:$B90))*$T$7,2)&gt;ROUND(SUM($S$11:$S89)+$T$7,2),$T$7*2,$T$7)),"")</f>
        <v/>
      </c>
      <c r="T90" s="3" t="str">
        <f>IF($K90&lt;&gt;"",IF($A90="Prepago",0,IF(ROUND(($H90+SUM($B$12:$B90))*$T$8,2)&gt;ROUND(SUM($T$11:$T89)+$T$8,2),$T$8*2,$T$8)),"")</f>
        <v/>
      </c>
      <c r="U90" s="3" t="str">
        <f t="shared" si="35"/>
        <v/>
      </c>
      <c r="V90" s="3" t="str">
        <f t="shared" si="37"/>
        <v/>
      </c>
      <c r="W90" s="3" t="str">
        <f t="shared" si="36"/>
        <v/>
      </c>
      <c r="X90" s="3" t="str">
        <f>IF($K90&lt;&gt;"",IF($M90&gt;X$11,30,$M90)*ROUND(($N90+$V89)*$U$5/3000,2),"")</f>
        <v/>
      </c>
      <c r="Y90" s="3" t="str">
        <f>IF($K90&lt;&gt;"",IF($M90&gt;X$11,IF($M90&lt;Y$11,$M90-X$11,30),0)*ROUND(($N90+$V89+SUM($X90:X90))*$U$5/3000,2),"")</f>
        <v/>
      </c>
      <c r="Z90" s="3"/>
      <c r="AA90" s="3"/>
    </row>
    <row r="91" spans="5:27" x14ac:dyDescent="0.25">
      <c r="E91" s="5"/>
      <c r="F91" t="str">
        <f t="shared" si="25"/>
        <v/>
      </c>
      <c r="G91" s="5" t="str">
        <f>IF($K91&lt;&gt;"",IF(DAY(EOMONTH(DATE(YEAR($M$6),$G$11+K91+SUM($B$12:B91),1),0))&gt;DAY($M$7),DATE(YEAR($M$7),MONTH($M$7)+($A$1*($H91-1))+SUM($B$12:$B91),DAY($M$7)),EOMONTH(DATE(YEAR($M$6),$G$11+K91+SUM($B$12:B91),1),0)),"")</f>
        <v/>
      </c>
      <c r="H91" s="22" t="str">
        <f t="shared" si="26"/>
        <v/>
      </c>
      <c r="I91" s="22" t="str">
        <f t="shared" si="27"/>
        <v/>
      </c>
      <c r="J91" s="22" t="str">
        <f t="shared" si="28"/>
        <v/>
      </c>
      <c r="K91" t="str">
        <f t="shared" si="29"/>
        <v/>
      </c>
      <c r="L91" s="5" t="str">
        <f>IF($K91&lt;&gt;"",IF($E91="",IF(ULTIMODIA=0,DATE(YEAR($M$7),MONTH($M$7)+($A$1*($H91-1))+SUM($B$12:$B91),DAY($M$7)),$G91),$E91),"")</f>
        <v/>
      </c>
      <c r="M91" s="9" t="str">
        <f t="shared" si="30"/>
        <v/>
      </c>
      <c r="N91" s="3" t="str">
        <f t="shared" si="31"/>
        <v/>
      </c>
      <c r="O91" s="3" t="str">
        <f t="shared" si="32"/>
        <v/>
      </c>
      <c r="P91" s="3" t="str">
        <f t="shared" si="33"/>
        <v/>
      </c>
      <c r="Q91" s="3" t="str">
        <f t="shared" si="34"/>
        <v/>
      </c>
      <c r="R91" s="3" t="str">
        <f>IF($K91&lt;&gt;"",IF($A91="Prepago",0,IF(ROUND(($H91+SUM($B$12:$B91))*$T$6,2)&gt;ROUND(SUM($R$11:$R90)+$T$6,2),$T$6*2,$T$6)),"")</f>
        <v/>
      </c>
      <c r="S91" s="3" t="str">
        <f>IF($K91&lt;&gt;"",IF($A91="Prepago",0,IF(ROUND(($H91+SUM($B$12:$B91))*$T$7,2)&gt;ROUND(SUM($S$11:$S90)+$T$7,2),$T$7*2,$T$7)),"")</f>
        <v/>
      </c>
      <c r="T91" s="3" t="str">
        <f>IF($K91&lt;&gt;"",IF($A91="Prepago",0,IF(ROUND(($H91+SUM($B$12:$B91))*$T$8,2)&gt;ROUND(SUM($T$11:$T90)+$T$8,2),$T$8*2,$T$8)),"")</f>
        <v/>
      </c>
      <c r="U91" s="3" t="str">
        <f t="shared" si="35"/>
        <v/>
      </c>
      <c r="V91" s="3" t="str">
        <f t="shared" si="37"/>
        <v/>
      </c>
      <c r="W91" s="3" t="str">
        <f t="shared" si="36"/>
        <v/>
      </c>
      <c r="X91" s="3" t="str">
        <f>IF($K91&lt;&gt;"",IF($M91&gt;X$11,30,$M91)*ROUND(($N91+$V90)*$U$5/3000,2),"")</f>
        <v/>
      </c>
      <c r="Y91" s="3" t="str">
        <f>IF($K91&lt;&gt;"",IF($M91&gt;X$11,IF($M91&lt;Y$11,$M91-X$11,30),0)*ROUND(($N91+$V90+SUM($X91:X91))*$U$5/3000,2),"")</f>
        <v/>
      </c>
      <c r="Z91" s="3"/>
      <c r="AA91" s="3"/>
    </row>
    <row r="92" spans="5:27" x14ac:dyDescent="0.25">
      <c r="E92" s="5"/>
      <c r="F92" t="str">
        <f t="shared" si="25"/>
        <v/>
      </c>
      <c r="G92" s="5" t="str">
        <f>IF($K92&lt;&gt;"",IF(DAY(EOMONTH(DATE(YEAR($M$6),$G$11+K92+SUM($B$12:B92),1),0))&gt;DAY($M$7),DATE(YEAR($M$7),MONTH($M$7)+($A$1*($H92-1))+SUM($B$12:$B92),DAY($M$7)),EOMONTH(DATE(YEAR($M$6),$G$11+K92+SUM($B$12:B92),1),0)),"")</f>
        <v/>
      </c>
      <c r="H92" s="22" t="str">
        <f t="shared" si="26"/>
        <v/>
      </c>
      <c r="I92" s="22" t="str">
        <f t="shared" si="27"/>
        <v/>
      </c>
      <c r="J92" s="22" t="str">
        <f t="shared" si="28"/>
        <v/>
      </c>
      <c r="K92" t="str">
        <f t="shared" si="29"/>
        <v/>
      </c>
      <c r="L92" s="5" t="str">
        <f>IF($K92&lt;&gt;"",IF($E92="",IF(ULTIMODIA=0,DATE(YEAR($M$7),MONTH($M$7)+($A$1*($H92-1))+SUM($B$12:$B92),DAY($M$7)),$G92),$E92),"")</f>
        <v/>
      </c>
      <c r="M92" s="9" t="str">
        <f t="shared" si="30"/>
        <v/>
      </c>
      <c r="N92" s="3" t="str">
        <f t="shared" si="31"/>
        <v/>
      </c>
      <c r="O92" s="3" t="str">
        <f t="shared" si="32"/>
        <v/>
      </c>
      <c r="P92" s="3" t="str">
        <f t="shared" si="33"/>
        <v/>
      </c>
      <c r="Q92" s="3" t="str">
        <f t="shared" si="34"/>
        <v/>
      </c>
      <c r="R92" s="3" t="str">
        <f>IF($K92&lt;&gt;"",IF($A92="Prepago",0,IF(ROUND(($H92+SUM($B$12:$B92))*$T$6,2)&gt;ROUND(SUM($R$11:$R91)+$T$6,2),$T$6*2,$T$6)),"")</f>
        <v/>
      </c>
      <c r="S92" s="3" t="str">
        <f>IF($K92&lt;&gt;"",IF($A92="Prepago",0,IF(ROUND(($H92+SUM($B$12:$B92))*$T$7,2)&gt;ROUND(SUM($S$11:$S91)+$T$7,2),$T$7*2,$T$7)),"")</f>
        <v/>
      </c>
      <c r="T92" s="3" t="str">
        <f>IF($K92&lt;&gt;"",IF($A92="Prepago",0,IF(ROUND(($H92+SUM($B$12:$B92))*$T$8,2)&gt;ROUND(SUM($T$11:$T91)+$T$8,2),$T$8*2,$T$8)),"")</f>
        <v/>
      </c>
      <c r="U92" s="3" t="str">
        <f t="shared" si="35"/>
        <v/>
      </c>
      <c r="V92" s="3" t="str">
        <f t="shared" si="37"/>
        <v/>
      </c>
      <c r="W92" s="3" t="str">
        <f t="shared" si="36"/>
        <v/>
      </c>
      <c r="X92" s="3" t="str">
        <f>IF($K92&lt;&gt;"",IF($M92&gt;X$11,30,$M92)*ROUND(($N92+$V91)*$U$5/3000,2),"")</f>
        <v/>
      </c>
      <c r="Y92" s="3" t="str">
        <f>IF($K92&lt;&gt;"",IF($M92&gt;X$11,IF($M92&lt;Y$11,$M92-X$11,30),0)*ROUND(($N92+$V91+SUM($X92:X92))*$U$5/3000,2),"")</f>
        <v/>
      </c>
      <c r="Z92" s="3"/>
      <c r="AA92" s="3"/>
    </row>
    <row r="93" spans="5:27" x14ac:dyDescent="0.25">
      <c r="E93" s="5"/>
      <c r="F93" t="str">
        <f t="shared" si="25"/>
        <v/>
      </c>
      <c r="G93" s="5" t="str">
        <f>IF($K93&lt;&gt;"",IF(DAY(EOMONTH(DATE(YEAR($M$6),$G$11+K93+SUM($B$12:B93),1),0))&gt;DAY($M$7),DATE(YEAR($M$7),MONTH($M$7)+($A$1*($H93-1))+SUM($B$12:$B93),DAY($M$7)),EOMONTH(DATE(YEAR($M$6),$G$11+K93+SUM($B$12:B93),1),0)),"")</f>
        <v/>
      </c>
      <c r="H93" s="22" t="str">
        <f t="shared" si="26"/>
        <v/>
      </c>
      <c r="I93" s="22" t="str">
        <f t="shared" si="27"/>
        <v/>
      </c>
      <c r="J93" s="22" t="str">
        <f t="shared" si="28"/>
        <v/>
      </c>
      <c r="K93" t="str">
        <f t="shared" si="29"/>
        <v/>
      </c>
      <c r="L93" s="5" t="str">
        <f>IF($K93&lt;&gt;"",IF($E93="",IF(ULTIMODIA=0,DATE(YEAR($M$7),MONTH($M$7)+($A$1*($H93-1))+SUM($B$12:$B93),DAY($M$7)),$G93),$E93),"")</f>
        <v/>
      </c>
      <c r="M93" s="9" t="str">
        <f t="shared" si="30"/>
        <v/>
      </c>
      <c r="N93" s="3" t="str">
        <f t="shared" si="31"/>
        <v/>
      </c>
      <c r="O93" s="3" t="str">
        <f t="shared" si="32"/>
        <v/>
      </c>
      <c r="P93" s="3" t="str">
        <f t="shared" si="33"/>
        <v/>
      </c>
      <c r="Q93" s="3" t="str">
        <f t="shared" si="34"/>
        <v/>
      </c>
      <c r="R93" s="3" t="str">
        <f>IF($K93&lt;&gt;"",IF($A93="Prepago",0,IF(ROUND(($H93+SUM($B$12:$B93))*$T$6,2)&gt;ROUND(SUM($R$11:$R92)+$T$6,2),$T$6*2,$T$6)),"")</f>
        <v/>
      </c>
      <c r="S93" s="3" t="str">
        <f>IF($K93&lt;&gt;"",IF($A93="Prepago",0,IF(ROUND(($H93+SUM($B$12:$B93))*$T$7,2)&gt;ROUND(SUM($S$11:$S92)+$T$7,2),$T$7*2,$T$7)),"")</f>
        <v/>
      </c>
      <c r="T93" s="3" t="str">
        <f>IF($K93&lt;&gt;"",IF($A93="Prepago",0,IF(ROUND(($H93+SUM($B$12:$B93))*$T$8,2)&gt;ROUND(SUM($T$11:$T92)+$T$8,2),$T$8*2,$T$8)),"")</f>
        <v/>
      </c>
      <c r="U93" s="3" t="str">
        <f t="shared" si="35"/>
        <v/>
      </c>
      <c r="V93" s="3" t="str">
        <f t="shared" si="37"/>
        <v/>
      </c>
      <c r="W93" s="3" t="str">
        <f t="shared" si="36"/>
        <v/>
      </c>
      <c r="X93" s="3" t="str">
        <f>IF($K93&lt;&gt;"",IF($M93&gt;X$11,30,$M93)*ROUND(($N93+$V92)*$U$5/3000,2),"")</f>
        <v/>
      </c>
      <c r="Y93" s="3" t="str">
        <f>IF($K93&lt;&gt;"",IF($M93&gt;X$11,IF($M93&lt;Y$11,$M93-X$11,30),0)*ROUND(($N93+$V92+SUM($X93:X93))*$U$5/3000,2),"")</f>
        <v/>
      </c>
      <c r="Z93" s="3"/>
      <c r="AA93" s="3"/>
    </row>
    <row r="94" spans="5:27" x14ac:dyDescent="0.25">
      <c r="E94" s="5"/>
      <c r="F94" t="str">
        <f t="shared" si="25"/>
        <v/>
      </c>
      <c r="G94" s="5" t="str">
        <f>IF($K94&lt;&gt;"",IF(DAY(EOMONTH(DATE(YEAR($M$6),$G$11+K94+SUM($B$12:B94),1),0))&gt;DAY($M$7),DATE(YEAR($M$7),MONTH($M$7)+($A$1*($H94-1))+SUM($B$12:$B94),DAY($M$7)),EOMONTH(DATE(YEAR($M$6),$G$11+K94+SUM($B$12:B94),1),0)),"")</f>
        <v/>
      </c>
      <c r="H94" s="22" t="str">
        <f t="shared" si="26"/>
        <v/>
      </c>
      <c r="I94" s="22" t="str">
        <f t="shared" si="27"/>
        <v/>
      </c>
      <c r="J94" s="22" t="str">
        <f t="shared" si="28"/>
        <v/>
      </c>
      <c r="K94" t="str">
        <f t="shared" si="29"/>
        <v/>
      </c>
      <c r="L94" s="5" t="str">
        <f>IF($K94&lt;&gt;"",IF($E94="",IF(ULTIMODIA=0,DATE(YEAR($M$7),MONTH($M$7)+($A$1*($H94-1))+SUM($B$12:$B94),DAY($M$7)),$G94),$E94),"")</f>
        <v/>
      </c>
      <c r="M94" s="9" t="str">
        <f t="shared" si="30"/>
        <v/>
      </c>
      <c r="N94" s="3" t="str">
        <f t="shared" si="31"/>
        <v/>
      </c>
      <c r="O94" s="3" t="str">
        <f t="shared" si="32"/>
        <v/>
      </c>
      <c r="P94" s="3" t="str">
        <f t="shared" si="33"/>
        <v/>
      </c>
      <c r="Q94" s="3" t="str">
        <f t="shared" si="34"/>
        <v/>
      </c>
      <c r="R94" s="3" t="str">
        <f>IF($K94&lt;&gt;"",IF($A94="Prepago",0,IF(ROUND(($H94+SUM($B$12:$B94))*$T$6,2)&gt;ROUND(SUM($R$11:$R93)+$T$6,2),$T$6*2,$T$6)),"")</f>
        <v/>
      </c>
      <c r="S94" s="3" t="str">
        <f>IF($K94&lt;&gt;"",IF($A94="Prepago",0,IF(ROUND(($H94+SUM($B$12:$B94))*$T$7,2)&gt;ROUND(SUM($S$11:$S93)+$T$7,2),$T$7*2,$T$7)),"")</f>
        <v/>
      </c>
      <c r="T94" s="3" t="str">
        <f>IF($K94&lt;&gt;"",IF($A94="Prepago",0,IF(ROUND(($H94+SUM($B$12:$B94))*$T$8,2)&gt;ROUND(SUM($T$11:$T93)+$T$8,2),$T$8*2,$T$8)),"")</f>
        <v/>
      </c>
      <c r="U94" s="3" t="str">
        <f t="shared" si="35"/>
        <v/>
      </c>
      <c r="V94" s="3" t="str">
        <f t="shared" si="37"/>
        <v/>
      </c>
      <c r="W94" s="3" t="str">
        <f t="shared" si="36"/>
        <v/>
      </c>
      <c r="X94" s="3" t="str">
        <f>IF($K94&lt;&gt;"",IF($M94&gt;X$11,30,$M94)*ROUND(($N94+$V93)*$U$5/3000,2),"")</f>
        <v/>
      </c>
      <c r="Y94" s="3" t="str">
        <f>IF($K94&lt;&gt;"",IF($M94&gt;X$11,IF($M94&lt;Y$11,$M94-X$11,30),0)*ROUND(($N94+$V93+SUM($X94:X94))*$U$5/3000,2),"")</f>
        <v/>
      </c>
      <c r="Z94" s="3"/>
      <c r="AA94" s="3"/>
    </row>
    <row r="95" spans="5:27" x14ac:dyDescent="0.25">
      <c r="E95" s="5"/>
      <c r="F95" t="str">
        <f t="shared" si="25"/>
        <v/>
      </c>
      <c r="G95" s="5" t="str">
        <f>IF($K95&lt;&gt;"",IF(DAY(EOMONTH(DATE(YEAR($M$6),$G$11+K95+SUM($B$12:B95),1),0))&gt;DAY($M$7),DATE(YEAR($M$7),MONTH($M$7)+($A$1*($H95-1))+SUM($B$12:$B95),DAY($M$7)),EOMONTH(DATE(YEAR($M$6),$G$11+K95+SUM($B$12:B95),1),0)),"")</f>
        <v/>
      </c>
      <c r="H95" s="22" t="str">
        <f t="shared" si="26"/>
        <v/>
      </c>
      <c r="I95" s="22" t="str">
        <f t="shared" si="27"/>
        <v/>
      </c>
      <c r="J95" s="22" t="str">
        <f t="shared" si="28"/>
        <v/>
      </c>
      <c r="K95" t="str">
        <f t="shared" si="29"/>
        <v/>
      </c>
      <c r="L95" s="5" t="str">
        <f>IF($K95&lt;&gt;"",IF($E95="",IF(ULTIMODIA=0,DATE(YEAR($M$7),MONTH($M$7)+($A$1*($H95-1))+SUM($B$12:$B95),DAY($M$7)),$G95),$E95),"")</f>
        <v/>
      </c>
      <c r="M95" s="9" t="str">
        <f t="shared" si="30"/>
        <v/>
      </c>
      <c r="N95" s="3" t="str">
        <f t="shared" si="31"/>
        <v/>
      </c>
      <c r="O95" s="3" t="str">
        <f t="shared" si="32"/>
        <v/>
      </c>
      <c r="P95" s="3" t="str">
        <f t="shared" si="33"/>
        <v/>
      </c>
      <c r="Q95" s="3" t="str">
        <f t="shared" si="34"/>
        <v/>
      </c>
      <c r="R95" s="3" t="str">
        <f>IF($K95&lt;&gt;"",IF($A95="Prepago",0,IF(ROUND(($H95+SUM($B$12:$B95))*$T$6,2)&gt;ROUND(SUM($R$11:$R94)+$T$6,2),$T$6*2,$T$6)),"")</f>
        <v/>
      </c>
      <c r="S95" s="3" t="str">
        <f>IF($K95&lt;&gt;"",IF($A95="Prepago",0,IF(ROUND(($H95+SUM($B$12:$B95))*$T$7,2)&gt;ROUND(SUM($S$11:$S94)+$T$7,2),$T$7*2,$T$7)),"")</f>
        <v/>
      </c>
      <c r="T95" s="3" t="str">
        <f>IF($K95&lt;&gt;"",IF($A95="Prepago",0,IF(ROUND(($H95+SUM($B$12:$B95))*$T$8,2)&gt;ROUND(SUM($T$11:$T94)+$T$8,2),$T$8*2,$T$8)),"")</f>
        <v/>
      </c>
      <c r="U95" s="3" t="str">
        <f t="shared" si="35"/>
        <v/>
      </c>
      <c r="V95" s="3" t="str">
        <f t="shared" si="37"/>
        <v/>
      </c>
      <c r="W95" s="3" t="str">
        <f t="shared" si="36"/>
        <v/>
      </c>
      <c r="X95" s="3" t="str">
        <f>IF($K95&lt;&gt;"",IF($M95&gt;X$11,30,$M95)*ROUND(($N95+$V94)*$U$5/3000,2),"")</f>
        <v/>
      </c>
      <c r="Y95" s="3" t="str">
        <f>IF($K95&lt;&gt;"",IF($M95&gt;X$11,IF($M95&lt;Y$11,$M95-X$11,30),0)*ROUND(($N95+$V94+SUM($X95:X95))*$U$5/3000,2),"")</f>
        <v/>
      </c>
      <c r="Z95" s="3"/>
      <c r="AA95" s="3"/>
    </row>
    <row r="96" spans="5:27" x14ac:dyDescent="0.25">
      <c r="E96" s="5"/>
      <c r="F96" t="str">
        <f t="shared" si="25"/>
        <v/>
      </c>
      <c r="G96" s="5" t="str">
        <f>IF($K96&lt;&gt;"",IF(DAY(EOMONTH(DATE(YEAR($M$6),$G$11+K96+SUM($B$12:B96),1),0))&gt;DAY($M$7),DATE(YEAR($M$7),MONTH($M$7)+($A$1*($H96-1))+SUM($B$12:$B96),DAY($M$7)),EOMONTH(DATE(YEAR($M$6),$G$11+K96+SUM($B$12:B96),1),0)),"")</f>
        <v/>
      </c>
      <c r="H96" s="22" t="str">
        <f t="shared" si="26"/>
        <v/>
      </c>
      <c r="I96" s="22" t="str">
        <f t="shared" si="27"/>
        <v/>
      </c>
      <c r="J96" s="22" t="str">
        <f t="shared" si="28"/>
        <v/>
      </c>
      <c r="K96" t="str">
        <f t="shared" si="29"/>
        <v/>
      </c>
      <c r="L96" s="5" t="str">
        <f>IF($K96&lt;&gt;"",IF($E96="",IF(ULTIMODIA=0,DATE(YEAR($M$7),MONTH($M$7)+($A$1*($H96-1))+SUM($B$12:$B96),DAY($M$7)),$G96),$E96),"")</f>
        <v/>
      </c>
      <c r="M96" s="9" t="str">
        <f t="shared" si="30"/>
        <v/>
      </c>
      <c r="N96" s="3" t="str">
        <f t="shared" si="31"/>
        <v/>
      </c>
      <c r="O96" s="3" t="str">
        <f t="shared" si="32"/>
        <v/>
      </c>
      <c r="P96" s="3" t="str">
        <f t="shared" si="33"/>
        <v/>
      </c>
      <c r="Q96" s="3" t="str">
        <f t="shared" si="34"/>
        <v/>
      </c>
      <c r="R96" s="3" t="str">
        <f>IF($K96&lt;&gt;"",IF($A96="Prepago",0,IF(ROUND(($H96+SUM($B$12:$B96))*$T$6,2)&gt;ROUND(SUM($R$11:$R95)+$T$6,2),$T$6*2,$T$6)),"")</f>
        <v/>
      </c>
      <c r="S96" s="3" t="str">
        <f>IF($K96&lt;&gt;"",IF($A96="Prepago",0,IF(ROUND(($H96+SUM($B$12:$B96))*$T$7,2)&gt;ROUND(SUM($S$11:$S95)+$T$7,2),$T$7*2,$T$7)),"")</f>
        <v/>
      </c>
      <c r="T96" s="3" t="str">
        <f>IF($K96&lt;&gt;"",IF($A96="Prepago",0,IF(ROUND(($H96+SUM($B$12:$B96))*$T$8,2)&gt;ROUND(SUM($T$11:$T95)+$T$8,2),$T$8*2,$T$8)),"")</f>
        <v/>
      </c>
      <c r="U96" s="3" t="str">
        <f t="shared" si="35"/>
        <v/>
      </c>
      <c r="V96" s="3" t="str">
        <f t="shared" si="37"/>
        <v/>
      </c>
      <c r="W96" s="3" t="str">
        <f t="shared" si="36"/>
        <v/>
      </c>
      <c r="X96" s="3" t="str">
        <f>IF($K96&lt;&gt;"",IF($M96&gt;X$11,30,$M96)*ROUND(($N96+$V95)*$U$5/3000,2),"")</f>
        <v/>
      </c>
      <c r="Y96" s="3" t="str">
        <f>IF($K96&lt;&gt;"",IF($M96&gt;X$11,IF($M96&lt;Y$11,$M96-X$11,30),0)*ROUND(($N96+$V95+SUM($X96:X96))*$U$5/3000,2),"")</f>
        <v/>
      </c>
      <c r="Z96" s="3"/>
      <c r="AA96" s="3"/>
    </row>
    <row r="97" spans="5:27" x14ac:dyDescent="0.25">
      <c r="E97" s="5"/>
      <c r="F97" t="str">
        <f t="shared" si="25"/>
        <v/>
      </c>
      <c r="G97" s="5" t="str">
        <f>IF($K97&lt;&gt;"",IF(DAY(EOMONTH(DATE(YEAR($M$6),$G$11+K97+SUM($B$12:B97),1),0))&gt;DAY($M$7),DATE(YEAR($M$7),MONTH($M$7)+($A$1*($H97-1))+SUM($B$12:$B97),DAY($M$7)),EOMONTH(DATE(YEAR($M$6),$G$11+K97+SUM($B$12:B97),1),0)),"")</f>
        <v/>
      </c>
      <c r="H97" s="22" t="str">
        <f t="shared" si="26"/>
        <v/>
      </c>
      <c r="I97" s="22" t="str">
        <f t="shared" si="27"/>
        <v/>
      </c>
      <c r="J97" s="22" t="str">
        <f t="shared" si="28"/>
        <v/>
      </c>
      <c r="K97" t="str">
        <f t="shared" si="29"/>
        <v/>
      </c>
      <c r="L97" s="5" t="str">
        <f>IF($K97&lt;&gt;"",IF($E97="",IF(ULTIMODIA=0,DATE(YEAR($M$7),MONTH($M$7)+($A$1*($H97-1))+SUM($B$12:$B97),DAY($M$7)),$G97),$E97),"")</f>
        <v/>
      </c>
      <c r="M97" s="9" t="str">
        <f t="shared" si="30"/>
        <v/>
      </c>
      <c r="N97" s="3" t="str">
        <f t="shared" si="31"/>
        <v/>
      </c>
      <c r="O97" s="3" t="str">
        <f t="shared" si="32"/>
        <v/>
      </c>
      <c r="P97" s="3" t="str">
        <f t="shared" si="33"/>
        <v/>
      </c>
      <c r="Q97" s="3" t="str">
        <f t="shared" si="34"/>
        <v/>
      </c>
      <c r="R97" s="3" t="str">
        <f>IF($K97&lt;&gt;"",IF($A97="Prepago",0,IF(ROUND(($H97+SUM($B$12:$B97))*$T$6,2)&gt;ROUND(SUM($R$11:$R96)+$T$6,2),$T$6*2,$T$6)),"")</f>
        <v/>
      </c>
      <c r="S97" s="3" t="str">
        <f>IF($K97&lt;&gt;"",IF($A97="Prepago",0,IF(ROUND(($H97+SUM($B$12:$B97))*$T$7,2)&gt;ROUND(SUM($S$11:$S96)+$T$7,2),$T$7*2,$T$7)),"")</f>
        <v/>
      </c>
      <c r="T97" s="3" t="str">
        <f>IF($K97&lt;&gt;"",IF($A97="Prepago",0,IF(ROUND(($H97+SUM($B$12:$B97))*$T$8,2)&gt;ROUND(SUM($T$11:$T96)+$T$8,2),$T$8*2,$T$8)),"")</f>
        <v/>
      </c>
      <c r="U97" s="3" t="str">
        <f t="shared" si="35"/>
        <v/>
      </c>
      <c r="V97" s="3" t="str">
        <f t="shared" si="37"/>
        <v/>
      </c>
      <c r="W97" s="3" t="str">
        <f t="shared" si="36"/>
        <v/>
      </c>
      <c r="X97" s="3" t="str">
        <f>IF($K97&lt;&gt;"",IF($M97&gt;X$11,30,$M97)*ROUND(($N97+$V96)*$U$5/3000,2),"")</f>
        <v/>
      </c>
      <c r="Y97" s="3" t="str">
        <f>IF($K97&lt;&gt;"",IF($M97&gt;X$11,IF($M97&lt;Y$11,$M97-X$11,30),0)*ROUND(($N97+$V96+SUM($X97:X97))*$U$5/3000,2),"")</f>
        <v/>
      </c>
      <c r="Z97" s="3"/>
      <c r="AA97" s="3"/>
    </row>
    <row r="98" spans="5:27" x14ac:dyDescent="0.25">
      <c r="E98" s="5"/>
      <c r="F98" t="str">
        <f t="shared" si="25"/>
        <v/>
      </c>
      <c r="G98" s="5" t="str">
        <f>IF($K98&lt;&gt;"",IF(DAY(EOMONTH(DATE(YEAR($M$6),$G$11+K98+SUM($B$12:B98),1),0))&gt;DAY($M$7),DATE(YEAR($M$7),MONTH($M$7)+($A$1*($H98-1))+SUM($B$12:$B98),DAY($M$7)),EOMONTH(DATE(YEAR($M$6),$G$11+K98+SUM($B$12:B98),1),0)),"")</f>
        <v/>
      </c>
      <c r="H98" s="22" t="str">
        <f t="shared" si="26"/>
        <v/>
      </c>
      <c r="I98" s="22" t="str">
        <f t="shared" si="27"/>
        <v/>
      </c>
      <c r="J98" s="22" t="str">
        <f t="shared" si="28"/>
        <v/>
      </c>
      <c r="K98" t="str">
        <f t="shared" si="29"/>
        <v/>
      </c>
      <c r="L98" s="5" t="str">
        <f>IF($K98&lt;&gt;"",IF($E98="",IF(ULTIMODIA=0,DATE(YEAR($M$7),MONTH($M$7)+($A$1*($H98-1))+SUM($B$12:$B98),DAY($M$7)),$G98),$E98),"")</f>
        <v/>
      </c>
      <c r="M98" s="9" t="str">
        <f t="shared" si="30"/>
        <v/>
      </c>
      <c r="N98" s="3" t="str">
        <f t="shared" si="31"/>
        <v/>
      </c>
      <c r="O98" s="3" t="str">
        <f t="shared" si="32"/>
        <v/>
      </c>
      <c r="P98" s="3" t="str">
        <f t="shared" si="33"/>
        <v/>
      </c>
      <c r="Q98" s="3" t="str">
        <f t="shared" si="34"/>
        <v/>
      </c>
      <c r="R98" s="3" t="str">
        <f>IF($K98&lt;&gt;"",IF($A98="Prepago",0,IF(ROUND(($H98+SUM($B$12:$B98))*$T$6,2)&gt;ROUND(SUM($R$11:$R97)+$T$6,2),$T$6*2,$T$6)),"")</f>
        <v/>
      </c>
      <c r="S98" s="3" t="str">
        <f>IF($K98&lt;&gt;"",IF($A98="Prepago",0,IF(ROUND(($H98+SUM($B$12:$B98))*$T$7,2)&gt;ROUND(SUM($S$11:$S97)+$T$7,2),$T$7*2,$T$7)),"")</f>
        <v/>
      </c>
      <c r="T98" s="3" t="str">
        <f>IF($K98&lt;&gt;"",IF($A98="Prepago",0,IF(ROUND(($H98+SUM($B$12:$B98))*$T$8,2)&gt;ROUND(SUM($T$11:$T97)+$T$8,2),$T$8*2,$T$8)),"")</f>
        <v/>
      </c>
      <c r="U98" s="3" t="str">
        <f t="shared" si="35"/>
        <v/>
      </c>
      <c r="V98" s="3" t="str">
        <f t="shared" si="37"/>
        <v/>
      </c>
      <c r="W98" s="3" t="str">
        <f t="shared" si="36"/>
        <v/>
      </c>
      <c r="X98" s="3" t="str">
        <f>IF($K98&lt;&gt;"",IF($M98&gt;X$11,30,$M98)*ROUND(($N98+$V97)*$U$5/3000,2),"")</f>
        <v/>
      </c>
      <c r="Y98" s="3" t="str">
        <f>IF($K98&lt;&gt;"",IF($M98&gt;X$11,IF($M98&lt;Y$11,$M98-X$11,30),0)*ROUND(($N98+$V97+SUM($X98:X98))*$U$5/3000,2),"")</f>
        <v/>
      </c>
      <c r="Z98" s="3"/>
      <c r="AA98" s="3"/>
    </row>
    <row r="99" spans="5:27" x14ac:dyDescent="0.25">
      <c r="E99" s="5"/>
      <c r="F99" t="str">
        <f t="shared" si="25"/>
        <v/>
      </c>
      <c r="G99" s="5" t="str">
        <f>IF($K99&lt;&gt;"",IF(DAY(EOMONTH(DATE(YEAR($M$6),$G$11+K99+SUM($B$12:B99),1),0))&gt;DAY($M$7),DATE(YEAR($M$7),MONTH($M$7)+($A$1*($H99-1))+SUM($B$12:$B99),DAY($M$7)),EOMONTH(DATE(YEAR($M$6),$G$11+K99+SUM($B$12:B99),1),0)),"")</f>
        <v/>
      </c>
      <c r="H99" s="22" t="str">
        <f t="shared" si="26"/>
        <v/>
      </c>
      <c r="I99" s="22" t="str">
        <f t="shared" si="27"/>
        <v/>
      </c>
      <c r="J99" s="22" t="str">
        <f t="shared" si="28"/>
        <v/>
      </c>
      <c r="K99" t="str">
        <f t="shared" si="29"/>
        <v/>
      </c>
      <c r="L99" s="5" t="str">
        <f>IF($K99&lt;&gt;"",IF($E99="",IF(ULTIMODIA=0,DATE(YEAR($M$7),MONTH($M$7)+($A$1*($H99-1))+SUM($B$12:$B99),DAY($M$7)),$G99),$E99),"")</f>
        <v/>
      </c>
      <c r="M99" s="9" t="str">
        <f t="shared" si="30"/>
        <v/>
      </c>
      <c r="N99" s="3" t="str">
        <f t="shared" si="31"/>
        <v/>
      </c>
      <c r="O99" s="3" t="str">
        <f t="shared" si="32"/>
        <v/>
      </c>
      <c r="P99" s="3" t="str">
        <f t="shared" si="33"/>
        <v/>
      </c>
      <c r="Q99" s="3" t="str">
        <f t="shared" si="34"/>
        <v/>
      </c>
      <c r="R99" s="3" t="str">
        <f>IF($K99&lt;&gt;"",IF($A99="Prepago",0,IF(ROUND(($H99+SUM($B$12:$B99))*$T$6,2)&gt;ROUND(SUM($R$11:$R98)+$T$6,2),$T$6*2,$T$6)),"")</f>
        <v/>
      </c>
      <c r="S99" s="3" t="str">
        <f>IF($K99&lt;&gt;"",IF($A99="Prepago",0,IF(ROUND(($H99+SUM($B$12:$B99))*$T$7,2)&gt;ROUND(SUM($S$11:$S98)+$T$7,2),$T$7*2,$T$7)),"")</f>
        <v/>
      </c>
      <c r="T99" s="3" t="str">
        <f>IF($K99&lt;&gt;"",IF($A99="Prepago",0,IF(ROUND(($H99+SUM($B$12:$B99))*$T$8,2)&gt;ROUND(SUM($T$11:$T98)+$T$8,2),$T$8*2,$T$8)),"")</f>
        <v/>
      </c>
      <c r="U99" s="3" t="str">
        <f t="shared" si="35"/>
        <v/>
      </c>
      <c r="V99" s="3" t="str">
        <f t="shared" si="37"/>
        <v/>
      </c>
      <c r="W99" s="3" t="str">
        <f t="shared" si="36"/>
        <v/>
      </c>
      <c r="X99" s="3" t="str">
        <f>IF($K99&lt;&gt;"",IF($M99&gt;X$11,30,$M99)*ROUND(($N99+$V98)*$U$5/3000,2),"")</f>
        <v/>
      </c>
      <c r="Y99" s="3" t="str">
        <f>IF($K99&lt;&gt;"",IF($M99&gt;X$11,IF($M99&lt;Y$11,$M99-X$11,30),0)*ROUND(($N99+$V98+SUM($X99:X99))*$U$5/3000,2),"")</f>
        <v/>
      </c>
      <c r="Z99" s="3"/>
      <c r="AA99" s="3"/>
    </row>
    <row r="100" spans="5:27" x14ac:dyDescent="0.25">
      <c r="E100" s="5"/>
      <c r="F100" t="str">
        <f t="shared" si="25"/>
        <v/>
      </c>
      <c r="G100" s="5" t="str">
        <f>IF($K100&lt;&gt;"",IF(DAY(EOMONTH(DATE(YEAR($M$6),$G$11+K100+SUM($B$12:B100),1),0))&gt;DAY($M$7),DATE(YEAR($M$7),MONTH($M$7)+($A$1*($H100-1))+SUM($B$12:$B100),DAY($M$7)),EOMONTH(DATE(YEAR($M$6),$G$11+K100+SUM($B$12:B100),1),0)),"")</f>
        <v/>
      </c>
      <c r="H100" s="22" t="str">
        <f t="shared" si="26"/>
        <v/>
      </c>
      <c r="I100" s="22" t="str">
        <f t="shared" si="27"/>
        <v/>
      </c>
      <c r="J100" s="22" t="str">
        <f t="shared" si="28"/>
        <v/>
      </c>
      <c r="K100" t="str">
        <f t="shared" si="29"/>
        <v/>
      </c>
      <c r="L100" s="5" t="str">
        <f>IF($K100&lt;&gt;"",IF($E100="",IF(ULTIMODIA=0,DATE(YEAR($M$7),MONTH($M$7)+($A$1*($H100-1))+SUM($B$12:$B100),DAY($M$7)),$G100),$E100),"")</f>
        <v/>
      </c>
      <c r="M100" s="9" t="str">
        <f t="shared" si="30"/>
        <v/>
      </c>
      <c r="N100" s="3" t="str">
        <f t="shared" si="31"/>
        <v/>
      </c>
      <c r="O100" s="3" t="str">
        <f t="shared" si="32"/>
        <v/>
      </c>
      <c r="P100" s="3" t="str">
        <f t="shared" si="33"/>
        <v/>
      </c>
      <c r="Q100" s="3" t="str">
        <f t="shared" si="34"/>
        <v/>
      </c>
      <c r="R100" s="3" t="str">
        <f>IF($K100&lt;&gt;"",IF($A100="Prepago",0,IF(ROUND(($H100+SUM($B$12:$B100))*$T$6,2)&gt;ROUND(SUM($R$11:$R99)+$T$6,2),$T$6*2,$T$6)),"")</f>
        <v/>
      </c>
      <c r="S100" s="3" t="str">
        <f>IF($K100&lt;&gt;"",IF($A100="Prepago",0,IF(ROUND(($H100+SUM($B$12:$B100))*$T$7,2)&gt;ROUND(SUM($S$11:$S99)+$T$7,2),$T$7*2,$T$7)),"")</f>
        <v/>
      </c>
      <c r="T100" s="3" t="str">
        <f>IF($K100&lt;&gt;"",IF($A100="Prepago",0,IF(ROUND(($H100+SUM($B$12:$B100))*$T$8,2)&gt;ROUND(SUM($T$11:$T99)+$T$8,2),$T$8*2,$T$8)),"")</f>
        <v/>
      </c>
      <c r="U100" s="3" t="str">
        <f t="shared" si="35"/>
        <v/>
      </c>
      <c r="V100" s="3" t="str">
        <f t="shared" si="37"/>
        <v/>
      </c>
      <c r="W100" s="3" t="str">
        <f t="shared" si="36"/>
        <v/>
      </c>
      <c r="X100" s="3" t="str">
        <f>IF($K100&lt;&gt;"",IF($M100&gt;X$11,30,$M100)*ROUND(($N100+$V99)*$U$5/3000,2),"")</f>
        <v/>
      </c>
      <c r="Y100" s="3" t="str">
        <f>IF($K100&lt;&gt;"",IF($M100&gt;X$11,IF($M100&lt;Y$11,$M100-X$11,30),0)*ROUND(($N100+$V99+SUM($X100:X100))*$U$5/3000,2),"")</f>
        <v/>
      </c>
      <c r="Z100" s="3"/>
      <c r="AA100" s="3"/>
    </row>
    <row r="101" spans="5:27" x14ac:dyDescent="0.25">
      <c r="E101" s="5"/>
      <c r="F101" t="str">
        <f t="shared" si="25"/>
        <v/>
      </c>
      <c r="G101" s="5" t="str">
        <f>IF($K101&lt;&gt;"",IF(DAY(EOMONTH(DATE(YEAR($M$6),$G$11+K101+SUM($B$12:B101),1),0))&gt;DAY($M$7),DATE(YEAR($M$7),MONTH($M$7)+($A$1*($H101-1))+SUM($B$12:$B101),DAY($M$7)),EOMONTH(DATE(YEAR($M$6),$G$11+K101+SUM($B$12:B101),1),0)),"")</f>
        <v/>
      </c>
      <c r="H101" s="22" t="str">
        <f t="shared" si="26"/>
        <v/>
      </c>
      <c r="I101" s="22" t="str">
        <f t="shared" si="27"/>
        <v/>
      </c>
      <c r="J101" s="22" t="str">
        <f t="shared" si="28"/>
        <v/>
      </c>
      <c r="K101" t="str">
        <f t="shared" si="29"/>
        <v/>
      </c>
      <c r="L101" s="5" t="str">
        <f>IF($K101&lt;&gt;"",IF($E101="",IF(ULTIMODIA=0,DATE(YEAR($M$7),MONTH($M$7)+($A$1*($H101-1))+SUM($B$12:$B101),DAY($M$7)),$G101),$E101),"")</f>
        <v/>
      </c>
      <c r="M101" s="9" t="str">
        <f t="shared" si="30"/>
        <v/>
      </c>
      <c r="N101" s="3" t="str">
        <f t="shared" si="31"/>
        <v/>
      </c>
      <c r="O101" s="3" t="str">
        <f t="shared" si="32"/>
        <v/>
      </c>
      <c r="P101" s="3" t="str">
        <f t="shared" si="33"/>
        <v/>
      </c>
      <c r="Q101" s="3" t="str">
        <f t="shared" si="34"/>
        <v/>
      </c>
      <c r="R101" s="3" t="str">
        <f>IF($K101&lt;&gt;"",IF($A101="Prepago",0,IF(ROUND(($H101+SUM($B$12:$B101))*$T$6,2)&gt;ROUND(SUM($R$11:$R100)+$T$6,2),$T$6*2,$T$6)),"")</f>
        <v/>
      </c>
      <c r="S101" s="3" t="str">
        <f>IF($K101&lt;&gt;"",IF($A101="Prepago",0,IF(ROUND(($H101+SUM($B$12:$B101))*$T$7,2)&gt;ROUND(SUM($S$11:$S100)+$T$7,2),$T$7*2,$T$7)),"")</f>
        <v/>
      </c>
      <c r="T101" s="3" t="str">
        <f>IF($K101&lt;&gt;"",IF($A101="Prepago",0,IF(ROUND(($H101+SUM($B$12:$B101))*$T$8,2)&gt;ROUND(SUM($T$11:$T100)+$T$8,2),$T$8*2,$T$8)),"")</f>
        <v/>
      </c>
      <c r="U101" s="3" t="str">
        <f t="shared" si="35"/>
        <v/>
      </c>
      <c r="V101" s="3" t="str">
        <f t="shared" si="37"/>
        <v/>
      </c>
      <c r="W101" s="3" t="str">
        <f t="shared" si="36"/>
        <v/>
      </c>
      <c r="X101" s="3" t="str">
        <f>IF($K101&lt;&gt;"",IF($M101&gt;X$11,30,$M101)*ROUND(($N101+$V100)*$U$5/3000,2),"")</f>
        <v/>
      </c>
      <c r="Y101" s="3" t="str">
        <f>IF($K101&lt;&gt;"",IF($M101&gt;X$11,IF($M101&lt;Y$11,$M101-X$11,30),0)*ROUND(($N101+$V100+SUM($X101:X101))*$U$5/3000,2),"")</f>
        <v/>
      </c>
      <c r="Z101" s="3"/>
      <c r="AA101" s="3"/>
    </row>
    <row r="102" spans="5:27" x14ac:dyDescent="0.25">
      <c r="E102" s="5"/>
      <c r="F102" t="str">
        <f t="shared" si="25"/>
        <v/>
      </c>
      <c r="G102" s="5" t="str">
        <f>IF($K102&lt;&gt;"",IF(DAY(EOMONTH(DATE(YEAR($M$6),$G$11+K102+SUM($B$12:B102),1),0))&gt;DAY($M$7),DATE(YEAR($M$7),MONTH($M$7)+($A$1*($H102-1))+SUM($B$12:$B102),DAY($M$7)),EOMONTH(DATE(YEAR($M$6),$G$11+K102+SUM($B$12:B102),1),0)),"")</f>
        <v/>
      </c>
      <c r="H102" s="22" t="str">
        <f t="shared" si="26"/>
        <v/>
      </c>
      <c r="I102" s="22" t="str">
        <f t="shared" si="27"/>
        <v/>
      </c>
      <c r="J102" s="22" t="str">
        <f t="shared" si="28"/>
        <v/>
      </c>
      <c r="K102" t="str">
        <f t="shared" si="29"/>
        <v/>
      </c>
      <c r="L102" s="5" t="str">
        <f>IF($K102&lt;&gt;"",IF($E102="",IF(ULTIMODIA=0,DATE(YEAR($M$7),MONTH($M$7)+($A$1*($H102-1))+SUM($B$12:$B102),DAY($M$7)),$G102),$E102),"")</f>
        <v/>
      </c>
      <c r="M102" s="9" t="str">
        <f t="shared" si="30"/>
        <v/>
      </c>
      <c r="N102" s="3" t="str">
        <f t="shared" si="31"/>
        <v/>
      </c>
      <c r="O102" s="3" t="str">
        <f t="shared" si="32"/>
        <v/>
      </c>
      <c r="P102" s="3" t="str">
        <f t="shared" si="33"/>
        <v/>
      </c>
      <c r="Q102" s="3" t="str">
        <f t="shared" si="34"/>
        <v/>
      </c>
      <c r="R102" s="3" t="str">
        <f>IF($K102&lt;&gt;"",IF($A102="Prepago",0,IF(ROUND(($H102+SUM($B$12:$B102))*$T$6,2)&gt;ROUND(SUM($R$11:$R101)+$T$6,2),$T$6*2,$T$6)),"")</f>
        <v/>
      </c>
      <c r="S102" s="3" t="str">
        <f>IF($K102&lt;&gt;"",IF($A102="Prepago",0,IF(ROUND(($H102+SUM($B$12:$B102))*$T$7,2)&gt;ROUND(SUM($S$11:$S101)+$T$7,2),$T$7*2,$T$7)),"")</f>
        <v/>
      </c>
      <c r="T102" s="3" t="str">
        <f>IF($K102&lt;&gt;"",IF($A102="Prepago",0,IF(ROUND(($H102+SUM($B$12:$B102))*$T$8,2)&gt;ROUND(SUM($T$11:$T101)+$T$8,2),$T$8*2,$T$8)),"")</f>
        <v/>
      </c>
      <c r="U102" s="3" t="str">
        <f t="shared" si="35"/>
        <v/>
      </c>
      <c r="V102" s="3" t="str">
        <f t="shared" si="37"/>
        <v/>
      </c>
      <c r="W102" s="3" t="str">
        <f t="shared" si="36"/>
        <v/>
      </c>
      <c r="X102" s="3" t="str">
        <f>IF($K102&lt;&gt;"",IF($M102&gt;X$11,30,$M102)*ROUND(($N102+$V101)*$U$5/3000,2),"")</f>
        <v/>
      </c>
      <c r="Y102" s="3" t="str">
        <f>IF($K102&lt;&gt;"",IF($M102&gt;X$11,IF($M102&lt;Y$11,$M102-X$11,30),0)*ROUND(($N102+$V101+SUM($X102:X102))*$U$5/3000,2),"")</f>
        <v/>
      </c>
      <c r="Z102" s="3"/>
      <c r="AA102" s="3"/>
    </row>
    <row r="103" spans="5:27" x14ac:dyDescent="0.25">
      <c r="E103" s="5"/>
      <c r="F103" t="str">
        <f t="shared" si="25"/>
        <v/>
      </c>
      <c r="G103" s="5" t="str">
        <f>IF($K103&lt;&gt;"",IF(DAY(EOMONTH(DATE(YEAR($M$6),$G$11+K103+SUM($B$12:B103),1),0))&gt;DAY($M$7),DATE(YEAR($M$7),MONTH($M$7)+($A$1*($H103-1))+SUM($B$12:$B103),DAY($M$7)),EOMONTH(DATE(YEAR($M$6),$G$11+K103+SUM($B$12:B103),1),0)),"")</f>
        <v/>
      </c>
      <c r="H103" s="22" t="str">
        <f t="shared" si="26"/>
        <v/>
      </c>
      <c r="I103" s="22" t="str">
        <f t="shared" si="27"/>
        <v/>
      </c>
      <c r="J103" s="22" t="str">
        <f t="shared" si="28"/>
        <v/>
      </c>
      <c r="K103" t="str">
        <f t="shared" si="29"/>
        <v/>
      </c>
      <c r="L103" s="5" t="str">
        <f>IF($K103&lt;&gt;"",IF($E103="",IF(ULTIMODIA=0,DATE(YEAR($M$7),MONTH($M$7)+($A$1*($H103-1))+SUM($B$12:$B103),DAY($M$7)),$G103),$E103),"")</f>
        <v/>
      </c>
      <c r="M103" s="9" t="str">
        <f t="shared" si="30"/>
        <v/>
      </c>
      <c r="N103" s="3" t="str">
        <f t="shared" si="31"/>
        <v/>
      </c>
      <c r="O103" s="3" t="str">
        <f t="shared" si="32"/>
        <v/>
      </c>
      <c r="P103" s="3" t="str">
        <f t="shared" si="33"/>
        <v/>
      </c>
      <c r="Q103" s="3" t="str">
        <f t="shared" si="34"/>
        <v/>
      </c>
      <c r="R103" s="3" t="str">
        <f>IF($K103&lt;&gt;"",IF($A103="Prepago",0,IF(ROUND(($H103+SUM($B$12:$B103))*$T$6,2)&gt;ROUND(SUM($R$11:$R102)+$T$6,2),$T$6*2,$T$6)),"")</f>
        <v/>
      </c>
      <c r="S103" s="3" t="str">
        <f>IF($K103&lt;&gt;"",IF($A103="Prepago",0,IF(ROUND(($H103+SUM($B$12:$B103))*$T$7,2)&gt;ROUND(SUM($S$11:$S102)+$T$7,2),$T$7*2,$T$7)),"")</f>
        <v/>
      </c>
      <c r="T103" s="3" t="str">
        <f>IF($K103&lt;&gt;"",IF($A103="Prepago",0,IF(ROUND(($H103+SUM($B$12:$B103))*$T$8,2)&gt;ROUND(SUM($T$11:$T102)+$T$8,2),$T$8*2,$T$8)),"")</f>
        <v/>
      </c>
      <c r="U103" s="3" t="str">
        <f t="shared" si="35"/>
        <v/>
      </c>
      <c r="V103" s="3" t="str">
        <f t="shared" si="37"/>
        <v/>
      </c>
      <c r="W103" s="3" t="str">
        <f t="shared" si="36"/>
        <v/>
      </c>
      <c r="X103" s="3" t="str">
        <f>IF($K103&lt;&gt;"",IF($M103&gt;X$11,30,$M103)*ROUND(($N103+$V102)*$U$5/3000,2),"")</f>
        <v/>
      </c>
      <c r="Y103" s="3" t="str">
        <f>IF($K103&lt;&gt;"",IF($M103&gt;X$11,IF($M103&lt;Y$11,$M103-X$11,30),0)*ROUND(($N103+$V102+SUM($X103:X103))*$U$5/3000,2),"")</f>
        <v/>
      </c>
      <c r="Z103" s="3"/>
      <c r="AA103" s="3"/>
    </row>
    <row r="104" spans="5:27" x14ac:dyDescent="0.25">
      <c r="E104" s="5"/>
      <c r="F104" t="str">
        <f t="shared" si="25"/>
        <v/>
      </c>
      <c r="G104" s="5" t="str">
        <f>IF($K104&lt;&gt;"",IF(DAY(EOMONTH(DATE(YEAR($M$6),$G$11+K104+SUM($B$12:B104),1),0))&gt;DAY($M$7),DATE(YEAR($M$7),MONTH($M$7)+($A$1*($H104-1))+SUM($B$12:$B104),DAY($M$7)),EOMONTH(DATE(YEAR($M$6),$G$11+K104+SUM($B$12:B104),1),0)),"")</f>
        <v/>
      </c>
      <c r="H104" s="22" t="str">
        <f t="shared" si="26"/>
        <v/>
      </c>
      <c r="I104" s="22" t="str">
        <f t="shared" si="27"/>
        <v/>
      </c>
      <c r="J104" s="22" t="str">
        <f t="shared" si="28"/>
        <v/>
      </c>
      <c r="K104" t="str">
        <f t="shared" si="29"/>
        <v/>
      </c>
      <c r="L104" s="5" t="str">
        <f>IF($K104&lt;&gt;"",IF($E104="",IF(ULTIMODIA=0,DATE(YEAR($M$7),MONTH($M$7)+($A$1*($H104-1))+SUM($B$12:$B104),DAY($M$7)),$G104),$E104),"")</f>
        <v/>
      </c>
      <c r="M104" s="9" t="str">
        <f t="shared" si="30"/>
        <v/>
      </c>
      <c r="N104" s="3" t="str">
        <f t="shared" si="31"/>
        <v/>
      </c>
      <c r="O104" s="3" t="str">
        <f t="shared" si="32"/>
        <v/>
      </c>
      <c r="P104" s="3" t="str">
        <f t="shared" si="33"/>
        <v/>
      </c>
      <c r="Q104" s="3" t="str">
        <f t="shared" si="34"/>
        <v/>
      </c>
      <c r="R104" s="3" t="str">
        <f>IF($K104&lt;&gt;"",IF($A104="Prepago",0,IF(ROUND(($H104+SUM($B$12:$B104))*$T$6,2)&gt;ROUND(SUM($R$11:$R103)+$T$6,2),$T$6*2,$T$6)),"")</f>
        <v/>
      </c>
      <c r="S104" s="3" t="str">
        <f>IF($K104&lt;&gt;"",IF($A104="Prepago",0,IF(ROUND(($H104+SUM($B$12:$B104))*$T$7,2)&gt;ROUND(SUM($S$11:$S103)+$T$7,2),$T$7*2,$T$7)),"")</f>
        <v/>
      </c>
      <c r="T104" s="3" t="str">
        <f>IF($K104&lt;&gt;"",IF($A104="Prepago",0,IF(ROUND(($H104+SUM($B$12:$B104))*$T$8,2)&gt;ROUND(SUM($T$11:$T103)+$T$8,2),$T$8*2,$T$8)),"")</f>
        <v/>
      </c>
      <c r="U104" s="3" t="str">
        <f t="shared" si="35"/>
        <v/>
      </c>
      <c r="V104" s="3" t="str">
        <f t="shared" si="37"/>
        <v/>
      </c>
      <c r="W104" s="3" t="str">
        <f t="shared" si="36"/>
        <v/>
      </c>
      <c r="X104" s="3" t="str">
        <f>IF($K104&lt;&gt;"",IF($M104&gt;X$11,30,$M104)*ROUND(($N104+$V103)*$U$5/3000,2),"")</f>
        <v/>
      </c>
      <c r="Y104" s="3" t="str">
        <f>IF($K104&lt;&gt;"",IF($M104&gt;X$11,IF($M104&lt;Y$11,$M104-X$11,30),0)*ROUND(($N104+$V103+SUM($X104:X104))*$U$5/3000,2),"")</f>
        <v/>
      </c>
      <c r="Z104" s="3"/>
      <c r="AA104" s="3"/>
    </row>
    <row r="105" spans="5:27" x14ac:dyDescent="0.25">
      <c r="E105" s="5"/>
      <c r="F105" t="str">
        <f t="shared" si="25"/>
        <v/>
      </c>
      <c r="G105" s="5" t="str">
        <f>IF($K105&lt;&gt;"",IF(DAY(EOMONTH(DATE(YEAR($M$6),$G$11+K105+SUM($B$12:B105),1),0))&gt;DAY($M$7),DATE(YEAR($M$7),MONTH($M$7)+($A$1*($H105-1))+SUM($B$12:$B105),DAY($M$7)),EOMONTH(DATE(YEAR($M$6),$G$11+K105+SUM($B$12:B105),1),0)),"")</f>
        <v/>
      </c>
      <c r="H105" s="22" t="str">
        <f t="shared" si="26"/>
        <v/>
      </c>
      <c r="I105" s="22" t="str">
        <f t="shared" si="27"/>
        <v/>
      </c>
      <c r="J105" s="22" t="str">
        <f t="shared" si="28"/>
        <v/>
      </c>
      <c r="K105" t="str">
        <f t="shared" si="29"/>
        <v/>
      </c>
      <c r="L105" s="5" t="str">
        <f>IF($K105&lt;&gt;"",IF($E105="",IF(ULTIMODIA=0,DATE(YEAR($M$7),MONTH($M$7)+($A$1*($H105-1))+SUM($B$12:$B105),DAY($M$7)),$G105),$E105),"")</f>
        <v/>
      </c>
      <c r="M105" s="9" t="str">
        <f t="shared" si="30"/>
        <v/>
      </c>
      <c r="N105" s="3" t="str">
        <f t="shared" si="31"/>
        <v/>
      </c>
      <c r="O105" s="3" t="str">
        <f t="shared" si="32"/>
        <v/>
      </c>
      <c r="P105" s="3" t="str">
        <f t="shared" si="33"/>
        <v/>
      </c>
      <c r="Q105" s="3" t="str">
        <f t="shared" si="34"/>
        <v/>
      </c>
      <c r="R105" s="3" t="str">
        <f>IF($K105&lt;&gt;"",IF($A105="Prepago",0,IF(ROUND(($H105+SUM($B$12:$B105))*$T$6,2)&gt;ROUND(SUM($R$11:$R104)+$T$6,2),$T$6*2,$T$6)),"")</f>
        <v/>
      </c>
      <c r="S105" s="3" t="str">
        <f>IF($K105&lt;&gt;"",IF($A105="Prepago",0,IF(ROUND(($H105+SUM($B$12:$B105))*$T$7,2)&gt;ROUND(SUM($S$11:$S104)+$T$7,2),$T$7*2,$T$7)),"")</f>
        <v/>
      </c>
      <c r="T105" s="3" t="str">
        <f>IF($K105&lt;&gt;"",IF($A105="Prepago",0,IF(ROUND(($H105+SUM($B$12:$B105))*$T$8,2)&gt;ROUND(SUM($T$11:$T104)+$T$8,2),$T$8*2,$T$8)),"")</f>
        <v/>
      </c>
      <c r="U105" s="3" t="str">
        <f t="shared" si="35"/>
        <v/>
      </c>
      <c r="V105" s="3" t="str">
        <f t="shared" si="37"/>
        <v/>
      </c>
      <c r="W105" s="3" t="str">
        <f t="shared" si="36"/>
        <v/>
      </c>
      <c r="X105" s="3" t="str">
        <f>IF($K105&lt;&gt;"",IF($M105&gt;X$11,30,$M105)*ROUND(($N105+$V104)*$U$5/3000,2),"")</f>
        <v/>
      </c>
      <c r="Y105" s="3" t="str">
        <f>IF($K105&lt;&gt;"",IF($M105&gt;X$11,IF($M105&lt;Y$11,$M105-X$11,30),0)*ROUND(($N105+$V104+SUM($X105:X105))*$U$5/3000,2),"")</f>
        <v/>
      </c>
      <c r="Z105" s="3"/>
      <c r="AA105" s="3"/>
    </row>
    <row r="106" spans="5:27" x14ac:dyDescent="0.25">
      <c r="E106" s="5"/>
      <c r="F106" t="str">
        <f t="shared" si="25"/>
        <v/>
      </c>
      <c r="G106" s="5" t="str">
        <f>IF($K106&lt;&gt;"",IF(DAY(EOMONTH(DATE(YEAR($M$6),$G$11+K106+SUM($B$12:B106),1),0))&gt;DAY($M$7),DATE(YEAR($M$7),MONTH($M$7)+($A$1*($H106-1))+SUM($B$12:$B106),DAY($M$7)),EOMONTH(DATE(YEAR($M$6),$G$11+K106+SUM($B$12:B106),1),0)),"")</f>
        <v/>
      </c>
      <c r="H106" s="22" t="str">
        <f t="shared" si="26"/>
        <v/>
      </c>
      <c r="I106" s="22" t="str">
        <f t="shared" si="27"/>
        <v/>
      </c>
      <c r="J106" s="22" t="str">
        <f t="shared" si="28"/>
        <v/>
      </c>
      <c r="K106" t="str">
        <f t="shared" si="29"/>
        <v/>
      </c>
      <c r="L106" s="5" t="str">
        <f>IF($K106&lt;&gt;"",IF($E106="",IF(ULTIMODIA=0,DATE(YEAR($M$7),MONTH($M$7)+($A$1*($H106-1))+SUM($B$12:$B106),DAY($M$7)),$G106),$E106),"")</f>
        <v/>
      </c>
      <c r="M106" s="9" t="str">
        <f t="shared" si="30"/>
        <v/>
      </c>
      <c r="N106" s="3" t="str">
        <f t="shared" si="31"/>
        <v/>
      </c>
      <c r="O106" s="3" t="str">
        <f t="shared" si="32"/>
        <v/>
      </c>
      <c r="P106" s="3" t="str">
        <f t="shared" si="33"/>
        <v/>
      </c>
      <c r="Q106" s="3" t="str">
        <f t="shared" si="34"/>
        <v/>
      </c>
      <c r="R106" s="3" t="str">
        <f>IF($K106&lt;&gt;"",IF($A106="Prepago",0,IF(ROUND(($H106+SUM($B$12:$B106))*$T$6,2)&gt;ROUND(SUM($R$11:$R105)+$T$6,2),$T$6*2,$T$6)),"")</f>
        <v/>
      </c>
      <c r="S106" s="3" t="str">
        <f>IF($K106&lt;&gt;"",IF($A106="Prepago",0,IF(ROUND(($H106+SUM($B$12:$B106))*$T$7,2)&gt;ROUND(SUM($S$11:$S105)+$T$7,2),$T$7*2,$T$7)),"")</f>
        <v/>
      </c>
      <c r="T106" s="3" t="str">
        <f>IF($K106&lt;&gt;"",IF($A106="Prepago",0,IF(ROUND(($H106+SUM($B$12:$B106))*$T$8,2)&gt;ROUND(SUM($T$11:$T105)+$T$8,2),$T$8*2,$T$8)),"")</f>
        <v/>
      </c>
      <c r="U106" s="3" t="str">
        <f t="shared" si="35"/>
        <v/>
      </c>
      <c r="V106" s="3" t="str">
        <f t="shared" si="37"/>
        <v/>
      </c>
      <c r="W106" s="3" t="str">
        <f t="shared" si="36"/>
        <v/>
      </c>
      <c r="X106" s="3" t="str">
        <f>IF($K106&lt;&gt;"",IF($M106&gt;X$11,30,$M106)*ROUND(($N106+$V105)*$U$5/3000,2),"")</f>
        <v/>
      </c>
      <c r="Y106" s="3" t="str">
        <f>IF($K106&lt;&gt;"",IF($M106&gt;X$11,IF($M106&lt;Y$11,$M106-X$11,30),0)*ROUND(($N106+$V105+SUM($X106:X106))*$U$5/3000,2),"")</f>
        <v/>
      </c>
      <c r="Z106" s="3"/>
      <c r="AA106" s="3"/>
    </row>
    <row r="107" spans="5:27" x14ac:dyDescent="0.25">
      <c r="E107" s="5"/>
      <c r="F107" t="str">
        <f t="shared" si="25"/>
        <v/>
      </c>
      <c r="G107" s="5" t="str">
        <f>IF($K107&lt;&gt;"",IF(DAY(EOMONTH(DATE(YEAR($M$6),$G$11+K107+SUM($B$12:B107),1),0))&gt;DAY($M$7),DATE(YEAR($M$7),MONTH($M$7)+($A$1*($H107-1))+SUM($B$12:$B107),DAY($M$7)),EOMONTH(DATE(YEAR($M$6),$G$11+K107+SUM($B$12:B107),1),0)),"")</f>
        <v/>
      </c>
      <c r="H107" s="22" t="str">
        <f t="shared" si="26"/>
        <v/>
      </c>
      <c r="I107" s="22" t="str">
        <f t="shared" si="27"/>
        <v/>
      </c>
      <c r="J107" s="22" t="str">
        <f t="shared" si="28"/>
        <v/>
      </c>
      <c r="K107" t="str">
        <f t="shared" si="29"/>
        <v/>
      </c>
      <c r="L107" s="5" t="str">
        <f>IF($K107&lt;&gt;"",IF($E107="",IF(ULTIMODIA=0,DATE(YEAR($M$7),MONTH($M$7)+($A$1*($H107-1))+SUM($B$12:$B107),DAY($M$7)),$G107),$E107),"")</f>
        <v/>
      </c>
      <c r="M107" s="9" t="str">
        <f t="shared" si="30"/>
        <v/>
      </c>
      <c r="N107" s="3" t="str">
        <f t="shared" si="31"/>
        <v/>
      </c>
      <c r="O107" s="3" t="str">
        <f t="shared" si="32"/>
        <v/>
      </c>
      <c r="P107" s="3" t="str">
        <f t="shared" si="33"/>
        <v/>
      </c>
      <c r="Q107" s="3" t="str">
        <f t="shared" si="34"/>
        <v/>
      </c>
      <c r="R107" s="3" t="str">
        <f>IF($K107&lt;&gt;"",IF($A107="Prepago",0,IF(ROUND(($H107+SUM($B$12:$B107))*$T$6,2)&gt;ROUND(SUM($R$11:$R106)+$T$6,2),$T$6*2,$T$6)),"")</f>
        <v/>
      </c>
      <c r="S107" s="3" t="str">
        <f>IF($K107&lt;&gt;"",IF($A107="Prepago",0,IF(ROUND(($H107+SUM($B$12:$B107))*$T$7,2)&gt;ROUND(SUM($S$11:$S106)+$T$7,2),$T$7*2,$T$7)),"")</f>
        <v/>
      </c>
      <c r="T107" s="3" t="str">
        <f>IF($K107&lt;&gt;"",IF($A107="Prepago",0,IF(ROUND(($H107+SUM($B$12:$B107))*$T$8,2)&gt;ROUND(SUM($T$11:$T106)+$T$8,2),$T$8*2,$T$8)),"")</f>
        <v/>
      </c>
      <c r="U107" s="3" t="str">
        <f t="shared" si="35"/>
        <v/>
      </c>
      <c r="V107" s="3" t="str">
        <f t="shared" si="37"/>
        <v/>
      </c>
      <c r="W107" s="3" t="str">
        <f t="shared" si="36"/>
        <v/>
      </c>
      <c r="X107" s="3" t="str">
        <f>IF($K107&lt;&gt;"",IF($M107&gt;X$11,30,$M107)*ROUND(($N107+$V106)*$U$5/3000,2),"")</f>
        <v/>
      </c>
      <c r="Y107" s="3" t="str">
        <f>IF($K107&lt;&gt;"",IF($M107&gt;X$11,IF($M107&lt;Y$11,$M107-X$11,30),0)*ROUND(($N107+$V106+SUM($X107:X107))*$U$5/3000,2),"")</f>
        <v/>
      </c>
      <c r="Z107" s="3"/>
      <c r="AA107" s="3"/>
    </row>
    <row r="108" spans="5:27" x14ac:dyDescent="0.25">
      <c r="E108" s="5"/>
      <c r="F108" t="str">
        <f t="shared" ref="F108:F139" si="38">IF($K108&lt;&gt;"",TEXT(L108,"DDD"),"")</f>
        <v/>
      </c>
      <c r="G108" s="5" t="str">
        <f>IF($K108&lt;&gt;"",IF(DAY(EOMONTH(DATE(YEAR($M$6),$G$11+K108+SUM($B$12:B108),1),0))&gt;DAY($M$7),DATE(YEAR($M$7),MONTH($M$7)+($A$1*($H108-1))+SUM($B$12:$B108),DAY($M$7)),EOMONTH(DATE(YEAR($M$6),$G$11+K108+SUM($B$12:B108),1),0)),"")</f>
        <v/>
      </c>
      <c r="H108" s="22" t="str">
        <f t="shared" ref="H108:H139" si="39">IF($K108&lt;&gt;"",IF($A108="Prepago",$H107,$H107+1),"")</f>
        <v/>
      </c>
      <c r="I108" s="22" t="str">
        <f t="shared" ref="I108:I139" si="40">IF($K108&lt;&gt;"",IF(ISNUMBER($C108),-$P108+$W108-$Q108,ABS($W108)+$R108+$S108+$T108),"")</f>
        <v/>
      </c>
      <c r="J108" s="22" t="str">
        <f t="shared" ref="J108:J139" si="41">IF(K108&lt;&gt;"",IF(COUNTA($X108:$XFD108)*30&lt;$M108,1,0),"")</f>
        <v/>
      </c>
      <c r="K108" t="str">
        <f t="shared" ref="K108:K139" si="42">IF($K107&lt;NCUOTAS+CUOTAADICIONAL+PGRACIA,$K107+1,"")</f>
        <v/>
      </c>
      <c r="L108" s="5" t="str">
        <f>IF($K108&lt;&gt;"",IF($E108="",IF(ULTIMODIA=0,DATE(YEAR($M$7),MONTH($M$7)+($A$1*($H108-1))+SUM($B$12:$B108),DAY($M$7)),$G108),$E108),"")</f>
        <v/>
      </c>
      <c r="M108" s="9" t="str">
        <f t="shared" ref="M108:M139" si="43">IF($K108&lt;&gt;"",$L108-$L107,"")</f>
        <v/>
      </c>
      <c r="N108" s="3" t="str">
        <f t="shared" ref="N108:N139" si="44">IF($K108&lt;&gt;"",$U107,"")</f>
        <v/>
      </c>
      <c r="O108" s="3" t="str">
        <f t="shared" ref="O108:O139" si="45">IF($K108&lt;&gt;"",IF($A108="Gracia Parcial",IF(AND($C108&lt;$W108+$R108+$S108+$T108+$V107,$C108&gt;0),$C108,$W108+$R108+$S108+$T108+$V107),IF($A108="Gracia Total",0,IF($A108="Prepago",$C108,IF(ISNUMBER($C108),$C108*VALUE(MID($C$1,MONTH($L108),1)),$P$5*VALUE(MID($C$1,MONTH($L108),1))))))-IF($K109="",ARREGLO,0),"")</f>
        <v/>
      </c>
      <c r="P108" s="3" t="str">
        <f t="shared" ref="P108:P139" si="46">IF($K108&lt;&gt;"",IF($O108-$Q108&gt;0,$O108-$Q108-$R108-$S108-$T108,0),"")</f>
        <v/>
      </c>
      <c r="Q108" s="3" t="str">
        <f t="shared" ref="Q108:Q139" si="47">IF($K108&lt;&gt;"",IF($O108&gt;=IF($D108="",$W108,$D108)+$V107+$R108+$S108+$T108,IF($D108="",$W108,$D108)+$V107,$O108-$R108-$S108-$T108),"")</f>
        <v/>
      </c>
      <c r="R108" s="3" t="str">
        <f>IF($K108&lt;&gt;"",IF($A108="Prepago",0,IF(ROUND(($H108+SUM($B$12:$B108))*$T$6,2)&gt;ROUND(SUM($R$11:$R107)+$T$6,2),$T$6*2,$T$6)),"")</f>
        <v/>
      </c>
      <c r="S108" s="3" t="str">
        <f>IF($K108&lt;&gt;"",IF($A108="Prepago",0,IF(ROUND(($H108+SUM($B$12:$B108))*$T$7,2)&gt;ROUND(SUM($S$11:$S107)+$T$7,2),$T$7*2,$T$7)),"")</f>
        <v/>
      </c>
      <c r="T108" s="3" t="str">
        <f>IF($K108&lt;&gt;"",IF($A108="Prepago",0,IF(ROUND(($H108+SUM($B$12:$B108))*$T$8,2)&gt;ROUND(SUM($T$11:$T107)+$T$8,2),$T$8*2,$T$8)),"")</f>
        <v/>
      </c>
      <c r="U108" s="3" t="str">
        <f t="shared" ref="U108:U139" si="48">IF($K108&lt;&gt;"",$N108-$P108,"")</f>
        <v/>
      </c>
      <c r="V108" s="3" t="str">
        <f t="shared" si="37"/>
        <v/>
      </c>
      <c r="W108" s="3" t="str">
        <f t="shared" ref="W108:W139" si="49">IF($K108&lt;&gt;"",SUM($X108:$XFD108),"")</f>
        <v/>
      </c>
      <c r="X108" s="3" t="str">
        <f>IF($K108&lt;&gt;"",IF($M108&gt;X$11,30,$M108)*ROUND(($N108+$V107)*$U$5/3000,2),"")</f>
        <v/>
      </c>
      <c r="Y108" s="3" t="str">
        <f>IF($K108&lt;&gt;"",IF($M108&gt;X$11,IF($M108&lt;Y$11,$M108-X$11,30),0)*ROUND(($N108+$V107+SUM($X108:X108))*$U$5/3000,2),"")</f>
        <v/>
      </c>
      <c r="Z108" s="3"/>
      <c r="AA108" s="3"/>
    </row>
    <row r="109" spans="5:27" x14ac:dyDescent="0.25">
      <c r="E109" s="5"/>
      <c r="F109" t="str">
        <f t="shared" si="38"/>
        <v/>
      </c>
      <c r="G109" s="5" t="str">
        <f>IF($K109&lt;&gt;"",IF(DAY(EOMONTH(DATE(YEAR($M$6),$G$11+K109+SUM($B$12:B109),1),0))&gt;DAY($M$7),DATE(YEAR($M$7),MONTH($M$7)+($A$1*($H109-1))+SUM($B$12:$B109),DAY($M$7)),EOMONTH(DATE(YEAR($M$6),$G$11+K109+SUM($B$12:B109),1),0)),"")</f>
        <v/>
      </c>
      <c r="H109" s="22" t="str">
        <f t="shared" si="39"/>
        <v/>
      </c>
      <c r="I109" s="22" t="str">
        <f t="shared" si="40"/>
        <v/>
      </c>
      <c r="J109" s="22" t="str">
        <f t="shared" si="41"/>
        <v/>
      </c>
      <c r="K109" t="str">
        <f t="shared" si="42"/>
        <v/>
      </c>
      <c r="L109" s="5" t="str">
        <f>IF($K109&lt;&gt;"",IF($E109="",IF(ULTIMODIA=0,DATE(YEAR($M$7),MONTH($M$7)+($A$1*($H109-1))+SUM($B$12:$B109),DAY($M$7)),$G109),$E109),"")</f>
        <v/>
      </c>
      <c r="M109" s="9" t="str">
        <f t="shared" si="43"/>
        <v/>
      </c>
      <c r="N109" s="3" t="str">
        <f t="shared" si="44"/>
        <v/>
      </c>
      <c r="O109" s="3" t="str">
        <f t="shared" si="45"/>
        <v/>
      </c>
      <c r="P109" s="3" t="str">
        <f t="shared" si="46"/>
        <v/>
      </c>
      <c r="Q109" s="3" t="str">
        <f t="shared" si="47"/>
        <v/>
      </c>
      <c r="R109" s="3" t="str">
        <f>IF($K109&lt;&gt;"",IF($A109="Prepago",0,IF(ROUND(($H109+SUM($B$12:$B109))*$T$6,2)&gt;ROUND(SUM($R$11:$R108)+$T$6,2),$T$6*2,$T$6)),"")</f>
        <v/>
      </c>
      <c r="S109" s="3" t="str">
        <f>IF($K109&lt;&gt;"",IF($A109="Prepago",0,IF(ROUND(($H109+SUM($B$12:$B109))*$T$7,2)&gt;ROUND(SUM($S$11:$S108)+$T$7,2),$T$7*2,$T$7)),"")</f>
        <v/>
      </c>
      <c r="T109" s="3" t="str">
        <f>IF($K109&lt;&gt;"",IF($A109="Prepago",0,IF(ROUND(($H109+SUM($B$12:$B109))*$T$8,2)&gt;ROUND(SUM($T$11:$T108)+$T$8,2),$T$8*2,$T$8)),"")</f>
        <v/>
      </c>
      <c r="U109" s="3" t="str">
        <f t="shared" si="48"/>
        <v/>
      </c>
      <c r="V109" s="3" t="str">
        <f t="shared" si="37"/>
        <v/>
      </c>
      <c r="W109" s="3" t="str">
        <f t="shared" si="49"/>
        <v/>
      </c>
      <c r="X109" s="3" t="str">
        <f>IF($K109&lt;&gt;"",IF($M109&gt;X$11,30,$M109)*ROUND(($N109+$V108)*$U$5/3000,2),"")</f>
        <v/>
      </c>
      <c r="Y109" s="3" t="str">
        <f>IF($K109&lt;&gt;"",IF($M109&gt;X$11,IF($M109&lt;Y$11,$M109-X$11,30),0)*ROUND(($N109+$V108+SUM($X109:X109))*$U$5/3000,2),"")</f>
        <v/>
      </c>
      <c r="Z109" s="3"/>
      <c r="AA109" s="3"/>
    </row>
    <row r="110" spans="5:27" x14ac:dyDescent="0.25">
      <c r="E110" s="5"/>
      <c r="F110" t="str">
        <f t="shared" si="38"/>
        <v/>
      </c>
      <c r="G110" s="5" t="str">
        <f>IF($K110&lt;&gt;"",IF(DAY(EOMONTH(DATE(YEAR($M$6),$G$11+K110+SUM($B$12:B110),1),0))&gt;DAY($M$7),DATE(YEAR($M$7),MONTH($M$7)+($A$1*($H110-1))+SUM($B$12:$B110),DAY($M$7)),EOMONTH(DATE(YEAR($M$6),$G$11+K110+SUM($B$12:B110),1),0)),"")</f>
        <v/>
      </c>
      <c r="H110" s="22" t="str">
        <f t="shared" si="39"/>
        <v/>
      </c>
      <c r="I110" s="22" t="str">
        <f t="shared" si="40"/>
        <v/>
      </c>
      <c r="J110" s="22" t="str">
        <f t="shared" si="41"/>
        <v/>
      </c>
      <c r="K110" t="str">
        <f t="shared" si="42"/>
        <v/>
      </c>
      <c r="L110" s="5" t="str">
        <f>IF($K110&lt;&gt;"",IF($E110="",IF(ULTIMODIA=0,DATE(YEAR($M$7),MONTH($M$7)+($A$1*($H110-1))+SUM($B$12:$B110),DAY($M$7)),$G110),$E110),"")</f>
        <v/>
      </c>
      <c r="M110" s="9" t="str">
        <f t="shared" si="43"/>
        <v/>
      </c>
      <c r="N110" s="3" t="str">
        <f t="shared" si="44"/>
        <v/>
      </c>
      <c r="O110" s="3" t="str">
        <f t="shared" si="45"/>
        <v/>
      </c>
      <c r="P110" s="3" t="str">
        <f t="shared" si="46"/>
        <v/>
      </c>
      <c r="Q110" s="3" t="str">
        <f t="shared" si="47"/>
        <v/>
      </c>
      <c r="R110" s="3" t="str">
        <f>IF($K110&lt;&gt;"",IF($A110="Prepago",0,IF(ROUND(($H110+SUM($B$12:$B110))*$T$6,2)&gt;ROUND(SUM($R$11:$R109)+$T$6,2),$T$6*2,$T$6)),"")</f>
        <v/>
      </c>
      <c r="S110" s="3" t="str">
        <f>IF($K110&lt;&gt;"",IF($A110="Prepago",0,IF(ROUND(($H110+SUM($B$12:$B110))*$T$7,2)&gt;ROUND(SUM($S$11:$S109)+$T$7,2),$T$7*2,$T$7)),"")</f>
        <v/>
      </c>
      <c r="T110" s="3" t="str">
        <f>IF($K110&lt;&gt;"",IF($A110="Prepago",0,IF(ROUND(($H110+SUM($B$12:$B110))*$T$8,2)&gt;ROUND(SUM($T$11:$T109)+$T$8,2),$T$8*2,$T$8)),"")</f>
        <v/>
      </c>
      <c r="U110" s="3" t="str">
        <f t="shared" si="48"/>
        <v/>
      </c>
      <c r="V110" s="3" t="str">
        <f t="shared" si="37"/>
        <v/>
      </c>
      <c r="W110" s="3" t="str">
        <f t="shared" si="49"/>
        <v/>
      </c>
      <c r="X110" s="3" t="str">
        <f>IF($K110&lt;&gt;"",IF($M110&gt;X$11,30,$M110)*ROUND(($N110+$V109)*$U$5/3000,2),"")</f>
        <v/>
      </c>
      <c r="Y110" s="3" t="str">
        <f>IF($K110&lt;&gt;"",IF($M110&gt;X$11,IF($M110&lt;Y$11,$M110-X$11,30),0)*ROUND(($N110+$V109+SUM($X110:X110))*$U$5/3000,2),"")</f>
        <v/>
      </c>
      <c r="Z110" s="3"/>
      <c r="AA110" s="3"/>
    </row>
    <row r="111" spans="5:27" x14ac:dyDescent="0.25">
      <c r="E111" s="5"/>
      <c r="F111" t="str">
        <f t="shared" si="38"/>
        <v/>
      </c>
      <c r="G111" s="5" t="str">
        <f>IF($K111&lt;&gt;"",IF(DAY(EOMONTH(DATE(YEAR($M$6),$G$11+K111+SUM($B$12:B111),1),0))&gt;DAY($M$7),DATE(YEAR($M$7),MONTH($M$7)+($A$1*($H111-1))+SUM($B$12:$B111),DAY($M$7)),EOMONTH(DATE(YEAR($M$6),$G$11+K111+SUM($B$12:B111),1),0)),"")</f>
        <v/>
      </c>
      <c r="H111" s="22" t="str">
        <f t="shared" si="39"/>
        <v/>
      </c>
      <c r="I111" s="22" t="str">
        <f t="shared" si="40"/>
        <v/>
      </c>
      <c r="J111" s="22" t="str">
        <f t="shared" si="41"/>
        <v/>
      </c>
      <c r="K111" t="str">
        <f t="shared" si="42"/>
        <v/>
      </c>
      <c r="L111" s="5" t="str">
        <f>IF($K111&lt;&gt;"",IF($E111="",IF(ULTIMODIA=0,DATE(YEAR($M$7),MONTH($M$7)+($A$1*($H111-1))+SUM($B$12:$B111),DAY($M$7)),$G111),$E111),"")</f>
        <v/>
      </c>
      <c r="M111" s="9" t="str">
        <f t="shared" si="43"/>
        <v/>
      </c>
      <c r="N111" s="3" t="str">
        <f t="shared" si="44"/>
        <v/>
      </c>
      <c r="O111" s="3" t="str">
        <f t="shared" si="45"/>
        <v/>
      </c>
      <c r="P111" s="3" t="str">
        <f t="shared" si="46"/>
        <v/>
      </c>
      <c r="Q111" s="3" t="str">
        <f t="shared" si="47"/>
        <v/>
      </c>
      <c r="R111" s="3" t="str">
        <f>IF($K111&lt;&gt;"",IF($A111="Prepago",0,IF(ROUND(($H111+SUM($B$12:$B111))*$T$6,2)&gt;ROUND(SUM($R$11:$R110)+$T$6,2),$T$6*2,$T$6)),"")</f>
        <v/>
      </c>
      <c r="S111" s="3" t="str">
        <f>IF($K111&lt;&gt;"",IF($A111="Prepago",0,IF(ROUND(($H111+SUM($B$12:$B111))*$T$7,2)&gt;ROUND(SUM($S$11:$S110)+$T$7,2),$T$7*2,$T$7)),"")</f>
        <v/>
      </c>
      <c r="T111" s="3" t="str">
        <f>IF($K111&lt;&gt;"",IF($A111="Prepago",0,IF(ROUND(($H111+SUM($B$12:$B111))*$T$8,2)&gt;ROUND(SUM($T$11:$T110)+$T$8,2),$T$8*2,$T$8)),"")</f>
        <v/>
      </c>
      <c r="U111" s="3" t="str">
        <f t="shared" si="48"/>
        <v/>
      </c>
      <c r="V111" s="3" t="str">
        <f t="shared" si="37"/>
        <v/>
      </c>
      <c r="W111" s="3" t="str">
        <f t="shared" si="49"/>
        <v/>
      </c>
      <c r="X111" s="3" t="str">
        <f>IF($K111&lt;&gt;"",IF($M111&gt;X$11,30,$M111)*ROUND(($N111+$V110)*$U$5/3000,2),"")</f>
        <v/>
      </c>
      <c r="Y111" s="3" t="str">
        <f>IF($K111&lt;&gt;"",IF($M111&gt;X$11,IF($M111&lt;Y$11,$M111-X$11,30),0)*ROUND(($N111+$V110+SUM($X111:X111))*$U$5/3000,2),"")</f>
        <v/>
      </c>
      <c r="Z111" s="3"/>
      <c r="AA111" s="3"/>
    </row>
    <row r="112" spans="5:27" x14ac:dyDescent="0.25">
      <c r="E112" s="5"/>
      <c r="F112" t="str">
        <f t="shared" si="38"/>
        <v/>
      </c>
      <c r="G112" s="5" t="str">
        <f>IF($K112&lt;&gt;"",IF(DAY(EOMONTH(DATE(YEAR($M$6),$G$11+K112+SUM($B$12:B112),1),0))&gt;DAY($M$7),DATE(YEAR($M$7),MONTH($M$7)+($A$1*($H112-1))+SUM($B$12:$B112),DAY($M$7)),EOMONTH(DATE(YEAR($M$6),$G$11+K112+SUM($B$12:B112),1),0)),"")</f>
        <v/>
      </c>
      <c r="H112" s="22" t="str">
        <f t="shared" si="39"/>
        <v/>
      </c>
      <c r="I112" s="22" t="str">
        <f t="shared" si="40"/>
        <v/>
      </c>
      <c r="J112" s="22" t="str">
        <f t="shared" si="41"/>
        <v/>
      </c>
      <c r="K112" t="str">
        <f t="shared" si="42"/>
        <v/>
      </c>
      <c r="L112" s="5" t="str">
        <f>IF($K112&lt;&gt;"",IF($E112="",IF(ULTIMODIA=0,DATE(YEAR($M$7),MONTH($M$7)+($A$1*($H112-1))+SUM($B$12:$B112),DAY($M$7)),$G112),$E112),"")</f>
        <v/>
      </c>
      <c r="M112" s="9" t="str">
        <f t="shared" si="43"/>
        <v/>
      </c>
      <c r="N112" s="3" t="str">
        <f t="shared" si="44"/>
        <v/>
      </c>
      <c r="O112" s="3" t="str">
        <f t="shared" si="45"/>
        <v/>
      </c>
      <c r="P112" s="3" t="str">
        <f t="shared" si="46"/>
        <v/>
      </c>
      <c r="Q112" s="3" t="str">
        <f t="shared" si="47"/>
        <v/>
      </c>
      <c r="R112" s="3" t="str">
        <f>IF($K112&lt;&gt;"",IF($A112="Prepago",0,IF(ROUND(($H112+SUM($B$12:$B112))*$T$6,2)&gt;ROUND(SUM($R$11:$R111)+$T$6,2),$T$6*2,$T$6)),"")</f>
        <v/>
      </c>
      <c r="S112" s="3" t="str">
        <f>IF($K112&lt;&gt;"",IF($A112="Prepago",0,IF(ROUND(($H112+SUM($B$12:$B112))*$T$7,2)&gt;ROUND(SUM($S$11:$S111)+$T$7,2),$T$7*2,$T$7)),"")</f>
        <v/>
      </c>
      <c r="T112" s="3" t="str">
        <f>IF($K112&lt;&gt;"",IF($A112="Prepago",0,IF(ROUND(($H112+SUM($B$12:$B112))*$T$8,2)&gt;ROUND(SUM($T$11:$T111)+$T$8,2),$T$8*2,$T$8)),"")</f>
        <v/>
      </c>
      <c r="U112" s="3" t="str">
        <f t="shared" si="48"/>
        <v/>
      </c>
      <c r="V112" s="3" t="str">
        <f t="shared" si="37"/>
        <v/>
      </c>
      <c r="W112" s="3" t="str">
        <f t="shared" si="49"/>
        <v/>
      </c>
      <c r="X112" s="3" t="str">
        <f>IF($K112&lt;&gt;"",IF($M112&gt;X$11,30,$M112)*ROUND(($N112+$V111)*$U$5/3000,2),"")</f>
        <v/>
      </c>
      <c r="Y112" s="3" t="str">
        <f>IF($K112&lt;&gt;"",IF($M112&gt;X$11,IF($M112&lt;Y$11,$M112-X$11,30),0)*ROUND(($N112+$V111+SUM($X112:X112))*$U$5/3000,2),"")</f>
        <v/>
      </c>
      <c r="Z112" s="3"/>
      <c r="AA112" s="3"/>
    </row>
    <row r="113" spans="5:27" x14ac:dyDescent="0.25">
      <c r="E113" s="5"/>
      <c r="F113" t="str">
        <f t="shared" si="38"/>
        <v/>
      </c>
      <c r="G113" s="5" t="str">
        <f>IF($K113&lt;&gt;"",IF(DAY(EOMONTH(DATE(YEAR($M$6),$G$11+K113+SUM($B$12:B113),1),0))&gt;DAY($M$7),DATE(YEAR($M$7),MONTH($M$7)+($A$1*($H113-1))+SUM($B$12:$B113),DAY($M$7)),EOMONTH(DATE(YEAR($M$6),$G$11+K113+SUM($B$12:B113),1),0)),"")</f>
        <v/>
      </c>
      <c r="H113" s="22" t="str">
        <f t="shared" si="39"/>
        <v/>
      </c>
      <c r="I113" s="22" t="str">
        <f t="shared" si="40"/>
        <v/>
      </c>
      <c r="J113" s="22" t="str">
        <f t="shared" si="41"/>
        <v/>
      </c>
      <c r="K113" t="str">
        <f t="shared" si="42"/>
        <v/>
      </c>
      <c r="L113" s="5" t="str">
        <f>IF($K113&lt;&gt;"",IF($E113="",IF(ULTIMODIA=0,DATE(YEAR($M$7),MONTH($M$7)+($A$1*($H113-1))+SUM($B$12:$B113),DAY($M$7)),$G113),$E113),"")</f>
        <v/>
      </c>
      <c r="M113" s="9" t="str">
        <f t="shared" si="43"/>
        <v/>
      </c>
      <c r="N113" s="3" t="str">
        <f t="shared" si="44"/>
        <v/>
      </c>
      <c r="O113" s="3" t="str">
        <f t="shared" si="45"/>
        <v/>
      </c>
      <c r="P113" s="3" t="str">
        <f t="shared" si="46"/>
        <v/>
      </c>
      <c r="Q113" s="3" t="str">
        <f t="shared" si="47"/>
        <v/>
      </c>
      <c r="R113" s="3" t="str">
        <f>IF($K113&lt;&gt;"",IF($A113="Prepago",0,IF(ROUND(($H113+SUM($B$12:$B113))*$T$6,2)&gt;ROUND(SUM($R$11:$R112)+$T$6,2),$T$6*2,$T$6)),"")</f>
        <v/>
      </c>
      <c r="S113" s="3" t="str">
        <f>IF($K113&lt;&gt;"",IF($A113="Prepago",0,IF(ROUND(($H113+SUM($B$12:$B113))*$T$7,2)&gt;ROUND(SUM($S$11:$S112)+$T$7,2),$T$7*2,$T$7)),"")</f>
        <v/>
      </c>
      <c r="T113" s="3" t="str">
        <f>IF($K113&lt;&gt;"",IF($A113="Prepago",0,IF(ROUND(($H113+SUM($B$12:$B113))*$T$8,2)&gt;ROUND(SUM($T$11:$T112)+$T$8,2),$T$8*2,$T$8)),"")</f>
        <v/>
      </c>
      <c r="U113" s="3" t="str">
        <f t="shared" si="48"/>
        <v/>
      </c>
      <c r="V113" s="3" t="str">
        <f t="shared" si="37"/>
        <v/>
      </c>
      <c r="W113" s="3" t="str">
        <f t="shared" si="49"/>
        <v/>
      </c>
      <c r="X113" s="3" t="str">
        <f>IF($K113&lt;&gt;"",IF($M113&gt;X$11,30,$M113)*ROUND(($N113+$V112)*$U$5/3000,2),"")</f>
        <v/>
      </c>
      <c r="Y113" s="3" t="str">
        <f>IF($K113&lt;&gt;"",IF($M113&gt;X$11,IF($M113&lt;Y$11,$M113-X$11,30),0)*ROUND(($N113+$V112+SUM($X113:X113))*$U$5/3000,2),"")</f>
        <v/>
      </c>
      <c r="Z113" s="3"/>
      <c r="AA113" s="3"/>
    </row>
    <row r="114" spans="5:27" x14ac:dyDescent="0.25">
      <c r="E114" s="5"/>
      <c r="F114" t="str">
        <f t="shared" si="38"/>
        <v/>
      </c>
      <c r="G114" s="5" t="str">
        <f>IF($K114&lt;&gt;"",IF(DAY(EOMONTH(DATE(YEAR($M$6),$G$11+K114+SUM($B$12:B114),1),0))&gt;DAY($M$7),DATE(YEAR($M$7),MONTH($M$7)+($A$1*($H114-1))+SUM($B$12:$B114),DAY($M$7)),EOMONTH(DATE(YEAR($M$6),$G$11+K114+SUM($B$12:B114),1),0)),"")</f>
        <v/>
      </c>
      <c r="H114" s="22" t="str">
        <f t="shared" si="39"/>
        <v/>
      </c>
      <c r="I114" s="22" t="str">
        <f t="shared" si="40"/>
        <v/>
      </c>
      <c r="J114" s="22" t="str">
        <f t="shared" si="41"/>
        <v/>
      </c>
      <c r="K114" t="str">
        <f t="shared" si="42"/>
        <v/>
      </c>
      <c r="L114" s="5" t="str">
        <f>IF($K114&lt;&gt;"",IF($E114="",IF(ULTIMODIA=0,DATE(YEAR($M$7),MONTH($M$7)+($A$1*($H114-1))+SUM($B$12:$B114),DAY($M$7)),$G114),$E114),"")</f>
        <v/>
      </c>
      <c r="M114" s="9" t="str">
        <f t="shared" si="43"/>
        <v/>
      </c>
      <c r="N114" s="3" t="str">
        <f t="shared" si="44"/>
        <v/>
      </c>
      <c r="O114" s="3" t="str">
        <f t="shared" si="45"/>
        <v/>
      </c>
      <c r="P114" s="3" t="str">
        <f t="shared" si="46"/>
        <v/>
      </c>
      <c r="Q114" s="3" t="str">
        <f t="shared" si="47"/>
        <v/>
      </c>
      <c r="R114" s="3" t="str">
        <f>IF($K114&lt;&gt;"",IF($A114="Prepago",0,IF(ROUND(($H114+SUM($B$12:$B114))*$T$6,2)&gt;ROUND(SUM($R$11:$R113)+$T$6,2),$T$6*2,$T$6)),"")</f>
        <v/>
      </c>
      <c r="S114" s="3" t="str">
        <f>IF($K114&lt;&gt;"",IF($A114="Prepago",0,IF(ROUND(($H114+SUM($B$12:$B114))*$T$7,2)&gt;ROUND(SUM($S$11:$S113)+$T$7,2),$T$7*2,$T$7)),"")</f>
        <v/>
      </c>
      <c r="T114" s="3" t="str">
        <f>IF($K114&lt;&gt;"",IF($A114="Prepago",0,IF(ROUND(($H114+SUM($B$12:$B114))*$T$8,2)&gt;ROUND(SUM($T$11:$T113)+$T$8,2),$T$8*2,$T$8)),"")</f>
        <v/>
      </c>
      <c r="U114" s="3" t="str">
        <f t="shared" si="48"/>
        <v/>
      </c>
      <c r="V114" s="3" t="str">
        <f t="shared" si="37"/>
        <v/>
      </c>
      <c r="W114" s="3" t="str">
        <f t="shared" si="49"/>
        <v/>
      </c>
      <c r="X114" s="3" t="str">
        <f>IF($K114&lt;&gt;"",IF($M114&gt;X$11,30,$M114)*ROUND(($N114+$V113)*$U$5/3000,2),"")</f>
        <v/>
      </c>
      <c r="Y114" s="3" t="str">
        <f>IF($K114&lt;&gt;"",IF($M114&gt;X$11,IF($M114&lt;Y$11,$M114-X$11,30),0)*ROUND(($N114+$V113+SUM($X114:X114))*$U$5/3000,2),"")</f>
        <v/>
      </c>
      <c r="Z114" s="3"/>
      <c r="AA114" s="3"/>
    </row>
    <row r="115" spans="5:27" x14ac:dyDescent="0.25">
      <c r="E115" s="5"/>
      <c r="F115" t="str">
        <f t="shared" si="38"/>
        <v/>
      </c>
      <c r="G115" s="5" t="str">
        <f>IF($K115&lt;&gt;"",IF(DAY(EOMONTH(DATE(YEAR($M$6),$G$11+K115+SUM($B$12:B115),1),0))&gt;DAY($M$7),DATE(YEAR($M$7),MONTH($M$7)+($A$1*($H115-1))+SUM($B$12:$B115),DAY($M$7)),EOMONTH(DATE(YEAR($M$6),$G$11+K115+SUM($B$12:B115),1),0)),"")</f>
        <v/>
      </c>
      <c r="H115" s="22" t="str">
        <f t="shared" si="39"/>
        <v/>
      </c>
      <c r="I115" s="22" t="str">
        <f t="shared" si="40"/>
        <v/>
      </c>
      <c r="J115" s="22" t="str">
        <f t="shared" si="41"/>
        <v/>
      </c>
      <c r="K115" t="str">
        <f t="shared" si="42"/>
        <v/>
      </c>
      <c r="L115" s="5" t="str">
        <f>IF($K115&lt;&gt;"",IF($E115="",IF(ULTIMODIA=0,DATE(YEAR($M$7),MONTH($M$7)+($A$1*($H115-1))+SUM($B$12:$B115),DAY($M$7)),$G115),$E115),"")</f>
        <v/>
      </c>
      <c r="M115" s="9" t="str">
        <f t="shared" si="43"/>
        <v/>
      </c>
      <c r="N115" s="3" t="str">
        <f t="shared" si="44"/>
        <v/>
      </c>
      <c r="O115" s="3" t="str">
        <f t="shared" si="45"/>
        <v/>
      </c>
      <c r="P115" s="3" t="str">
        <f t="shared" si="46"/>
        <v/>
      </c>
      <c r="Q115" s="3" t="str">
        <f t="shared" si="47"/>
        <v/>
      </c>
      <c r="R115" s="3" t="str">
        <f>IF($K115&lt;&gt;"",IF($A115="Prepago",0,IF(ROUND(($H115+SUM($B$12:$B115))*$T$6,2)&gt;ROUND(SUM($R$11:$R114)+$T$6,2),$T$6*2,$T$6)),"")</f>
        <v/>
      </c>
      <c r="S115" s="3" t="str">
        <f>IF($K115&lt;&gt;"",IF($A115="Prepago",0,IF(ROUND(($H115+SUM($B$12:$B115))*$T$7,2)&gt;ROUND(SUM($S$11:$S114)+$T$7,2),$T$7*2,$T$7)),"")</f>
        <v/>
      </c>
      <c r="T115" s="3" t="str">
        <f>IF($K115&lt;&gt;"",IF($A115="Prepago",0,IF(ROUND(($H115+SUM($B$12:$B115))*$T$8,2)&gt;ROUND(SUM($T$11:$T114)+$T$8,2),$T$8*2,$T$8)),"")</f>
        <v/>
      </c>
      <c r="U115" s="3" t="str">
        <f t="shared" si="48"/>
        <v/>
      </c>
      <c r="V115" s="3" t="str">
        <f t="shared" si="37"/>
        <v/>
      </c>
      <c r="W115" s="3" t="str">
        <f t="shared" si="49"/>
        <v/>
      </c>
      <c r="X115" s="3" t="str">
        <f>IF($K115&lt;&gt;"",IF($M115&gt;X$11,30,$M115)*ROUND(($N115+$V114)*$U$5/3000,2),"")</f>
        <v/>
      </c>
      <c r="Y115" s="3" t="str">
        <f>IF($K115&lt;&gt;"",IF($M115&gt;X$11,IF($M115&lt;Y$11,$M115-X$11,30),0)*ROUND(($N115+$V114+SUM($X115:X115))*$U$5/3000,2),"")</f>
        <v/>
      </c>
      <c r="Z115" s="3"/>
      <c r="AA115" s="3"/>
    </row>
    <row r="116" spans="5:27" x14ac:dyDescent="0.25">
      <c r="E116" s="5"/>
      <c r="F116" t="str">
        <f t="shared" si="38"/>
        <v/>
      </c>
      <c r="G116" s="5" t="str">
        <f>IF($K116&lt;&gt;"",IF(DAY(EOMONTH(DATE(YEAR($M$6),$G$11+K116+SUM($B$12:B116),1),0))&gt;DAY($M$7),DATE(YEAR($M$7),MONTH($M$7)+($A$1*($H116-1))+SUM($B$12:$B116),DAY($M$7)),EOMONTH(DATE(YEAR($M$6),$G$11+K116+SUM($B$12:B116),1),0)),"")</f>
        <v/>
      </c>
      <c r="H116" s="22" t="str">
        <f t="shared" si="39"/>
        <v/>
      </c>
      <c r="I116" s="22" t="str">
        <f t="shared" si="40"/>
        <v/>
      </c>
      <c r="J116" s="22" t="str">
        <f t="shared" si="41"/>
        <v/>
      </c>
      <c r="K116" t="str">
        <f t="shared" si="42"/>
        <v/>
      </c>
      <c r="L116" s="5" t="str">
        <f>IF($K116&lt;&gt;"",IF($E116="",IF(ULTIMODIA=0,DATE(YEAR($M$7),MONTH($M$7)+($A$1*($H116-1))+SUM($B$12:$B116),DAY($M$7)),$G116),$E116),"")</f>
        <v/>
      </c>
      <c r="M116" s="9" t="str">
        <f t="shared" si="43"/>
        <v/>
      </c>
      <c r="N116" s="3" t="str">
        <f t="shared" si="44"/>
        <v/>
      </c>
      <c r="O116" s="3" t="str">
        <f t="shared" si="45"/>
        <v/>
      </c>
      <c r="P116" s="3" t="str">
        <f t="shared" si="46"/>
        <v/>
      </c>
      <c r="Q116" s="3" t="str">
        <f t="shared" si="47"/>
        <v/>
      </c>
      <c r="R116" s="3" t="str">
        <f>IF($K116&lt;&gt;"",IF($A116="Prepago",0,IF(ROUND(($H116+SUM($B$12:$B116))*$T$6,2)&gt;ROUND(SUM($R$11:$R115)+$T$6,2),$T$6*2,$T$6)),"")</f>
        <v/>
      </c>
      <c r="S116" s="3" t="str">
        <f>IF($K116&lt;&gt;"",IF($A116="Prepago",0,IF(ROUND(($H116+SUM($B$12:$B116))*$T$7,2)&gt;ROUND(SUM($S$11:$S115)+$T$7,2),$T$7*2,$T$7)),"")</f>
        <v/>
      </c>
      <c r="T116" s="3" t="str">
        <f>IF($K116&lt;&gt;"",IF($A116="Prepago",0,IF(ROUND(($H116+SUM($B$12:$B116))*$T$8,2)&gt;ROUND(SUM($T$11:$T115)+$T$8,2),$T$8*2,$T$8)),"")</f>
        <v/>
      </c>
      <c r="U116" s="3" t="str">
        <f t="shared" si="48"/>
        <v/>
      </c>
      <c r="V116" s="3" t="str">
        <f t="shared" si="37"/>
        <v/>
      </c>
      <c r="W116" s="3" t="str">
        <f t="shared" si="49"/>
        <v/>
      </c>
      <c r="X116" s="3" t="str">
        <f>IF($K116&lt;&gt;"",IF($M116&gt;X$11,30,$M116)*ROUND(($N116+$V115)*$U$5/3000,2),"")</f>
        <v/>
      </c>
      <c r="Y116" s="3" t="str">
        <f>IF($K116&lt;&gt;"",IF($M116&gt;X$11,IF($M116&lt;Y$11,$M116-X$11,30),0)*ROUND(($N116+$V115+SUM($X116:X116))*$U$5/3000,2),"")</f>
        <v/>
      </c>
      <c r="Z116" s="3"/>
      <c r="AA116" s="3"/>
    </row>
    <row r="117" spans="5:27" x14ac:dyDescent="0.25">
      <c r="E117" s="5"/>
      <c r="F117" t="str">
        <f t="shared" si="38"/>
        <v/>
      </c>
      <c r="G117" s="5" t="str">
        <f>IF($K117&lt;&gt;"",IF(DAY(EOMONTH(DATE(YEAR($M$6),$G$11+K117+SUM($B$12:B117),1),0))&gt;DAY($M$7),DATE(YEAR($M$7),MONTH($M$7)+($A$1*($H117-1))+SUM($B$12:$B117),DAY($M$7)),EOMONTH(DATE(YEAR($M$6),$G$11+K117+SUM($B$12:B117),1),0)),"")</f>
        <v/>
      </c>
      <c r="H117" s="22" t="str">
        <f t="shared" si="39"/>
        <v/>
      </c>
      <c r="I117" s="22" t="str">
        <f t="shared" si="40"/>
        <v/>
      </c>
      <c r="J117" s="22" t="str">
        <f t="shared" si="41"/>
        <v/>
      </c>
      <c r="K117" t="str">
        <f t="shared" si="42"/>
        <v/>
      </c>
      <c r="L117" s="5" t="str">
        <f>IF($K117&lt;&gt;"",IF($E117="",IF(ULTIMODIA=0,DATE(YEAR($M$7),MONTH($M$7)+($A$1*($H117-1))+SUM($B$12:$B117),DAY($M$7)),$G117),$E117),"")</f>
        <v/>
      </c>
      <c r="M117" s="9" t="str">
        <f t="shared" si="43"/>
        <v/>
      </c>
      <c r="N117" s="3" t="str">
        <f t="shared" si="44"/>
        <v/>
      </c>
      <c r="O117" s="3" t="str">
        <f t="shared" si="45"/>
        <v/>
      </c>
      <c r="P117" s="3" t="str">
        <f t="shared" si="46"/>
        <v/>
      </c>
      <c r="Q117" s="3" t="str">
        <f t="shared" si="47"/>
        <v/>
      </c>
      <c r="R117" s="3" t="str">
        <f>IF($K117&lt;&gt;"",IF($A117="Prepago",0,IF(ROUND(($H117+SUM($B$12:$B117))*$T$6,2)&gt;ROUND(SUM($R$11:$R116)+$T$6,2),$T$6*2,$T$6)),"")</f>
        <v/>
      </c>
      <c r="S117" s="3" t="str">
        <f>IF($K117&lt;&gt;"",IF($A117="Prepago",0,IF(ROUND(($H117+SUM($B$12:$B117))*$T$7,2)&gt;ROUND(SUM($S$11:$S116)+$T$7,2),$T$7*2,$T$7)),"")</f>
        <v/>
      </c>
      <c r="T117" s="3" t="str">
        <f>IF($K117&lt;&gt;"",IF($A117="Prepago",0,IF(ROUND(($H117+SUM($B$12:$B117))*$T$8,2)&gt;ROUND(SUM($T$11:$T116)+$T$8,2),$T$8*2,$T$8)),"")</f>
        <v/>
      </c>
      <c r="U117" s="3" t="str">
        <f t="shared" si="48"/>
        <v/>
      </c>
      <c r="V117" s="3" t="str">
        <f t="shared" si="37"/>
        <v/>
      </c>
      <c r="W117" s="3" t="str">
        <f t="shared" si="49"/>
        <v/>
      </c>
      <c r="X117" s="3" t="str">
        <f>IF($K117&lt;&gt;"",IF($M117&gt;X$11,30,$M117)*ROUND(($N117+$V116)*$U$5/3000,2),"")</f>
        <v/>
      </c>
      <c r="Y117" s="3" t="str">
        <f>IF($K117&lt;&gt;"",IF($M117&gt;X$11,IF($M117&lt;Y$11,$M117-X$11,30),0)*ROUND(($N117+$V116+SUM($X117:X117))*$U$5/3000,2),"")</f>
        <v/>
      </c>
      <c r="Z117" s="3"/>
      <c r="AA117" s="3"/>
    </row>
    <row r="118" spans="5:27" x14ac:dyDescent="0.25">
      <c r="E118" s="5"/>
      <c r="F118" t="str">
        <f t="shared" si="38"/>
        <v/>
      </c>
      <c r="G118" s="5" t="str">
        <f>IF($K118&lt;&gt;"",IF(DAY(EOMONTH(DATE(YEAR($M$6),$G$11+K118+SUM($B$12:B118),1),0))&gt;DAY($M$7),DATE(YEAR($M$7),MONTH($M$7)+($A$1*($H118-1))+SUM($B$12:$B118),DAY($M$7)),EOMONTH(DATE(YEAR($M$6),$G$11+K118+SUM($B$12:B118),1),0)),"")</f>
        <v/>
      </c>
      <c r="H118" s="22" t="str">
        <f t="shared" si="39"/>
        <v/>
      </c>
      <c r="I118" s="22" t="str">
        <f t="shared" si="40"/>
        <v/>
      </c>
      <c r="J118" s="22" t="str">
        <f t="shared" si="41"/>
        <v/>
      </c>
      <c r="K118" t="str">
        <f t="shared" si="42"/>
        <v/>
      </c>
      <c r="L118" s="5" t="str">
        <f>IF($K118&lt;&gt;"",IF($E118="",IF(ULTIMODIA=0,DATE(YEAR($M$7),MONTH($M$7)+($A$1*($H118-1))+SUM($B$12:$B118),DAY($M$7)),$G118),$E118),"")</f>
        <v/>
      </c>
      <c r="M118" s="9" t="str">
        <f t="shared" si="43"/>
        <v/>
      </c>
      <c r="N118" s="3" t="str">
        <f t="shared" si="44"/>
        <v/>
      </c>
      <c r="O118" s="3" t="str">
        <f t="shared" si="45"/>
        <v/>
      </c>
      <c r="P118" s="3" t="str">
        <f t="shared" si="46"/>
        <v/>
      </c>
      <c r="Q118" s="3" t="str">
        <f t="shared" si="47"/>
        <v/>
      </c>
      <c r="R118" s="3" t="str">
        <f>IF($K118&lt;&gt;"",IF($A118="Prepago",0,IF(ROUND(($H118+SUM($B$12:$B118))*$T$6,2)&gt;ROUND(SUM($R$11:$R117)+$T$6,2),$T$6*2,$T$6)),"")</f>
        <v/>
      </c>
      <c r="S118" s="3" t="str">
        <f>IF($K118&lt;&gt;"",IF($A118="Prepago",0,IF(ROUND(($H118+SUM($B$12:$B118))*$T$7,2)&gt;ROUND(SUM($S$11:$S117)+$T$7,2),$T$7*2,$T$7)),"")</f>
        <v/>
      </c>
      <c r="T118" s="3" t="str">
        <f>IF($K118&lt;&gt;"",IF($A118="Prepago",0,IF(ROUND(($H118+SUM($B$12:$B118))*$T$8,2)&gt;ROUND(SUM($T$11:$T117)+$T$8,2),$T$8*2,$T$8)),"")</f>
        <v/>
      </c>
      <c r="U118" s="3" t="str">
        <f t="shared" si="48"/>
        <v/>
      </c>
      <c r="V118" s="3" t="str">
        <f t="shared" si="37"/>
        <v/>
      </c>
      <c r="W118" s="3" t="str">
        <f t="shared" si="49"/>
        <v/>
      </c>
      <c r="X118" s="3" t="str">
        <f>IF($K118&lt;&gt;"",IF($M118&gt;X$11,30,$M118)*ROUND(($N118+$V117)*$U$5/3000,2),"")</f>
        <v/>
      </c>
      <c r="Y118" s="3" t="str">
        <f>IF($K118&lt;&gt;"",IF($M118&gt;X$11,IF($M118&lt;Y$11,$M118-X$11,30),0)*ROUND(($N118+$V117+SUM($X118:X118))*$U$5/3000,2),"")</f>
        <v/>
      </c>
      <c r="Z118" s="3"/>
      <c r="AA118" s="3"/>
    </row>
    <row r="119" spans="5:27" x14ac:dyDescent="0.25">
      <c r="E119" s="5"/>
      <c r="F119" t="str">
        <f t="shared" si="38"/>
        <v/>
      </c>
      <c r="G119" s="5" t="str">
        <f>IF($K119&lt;&gt;"",IF(DAY(EOMONTH(DATE(YEAR($M$6),$G$11+K119+SUM($B$12:B119),1),0))&gt;DAY($M$7),DATE(YEAR($M$7),MONTH($M$7)+($A$1*($H119-1))+SUM($B$12:$B119),DAY($M$7)),EOMONTH(DATE(YEAR($M$6),$G$11+K119+SUM($B$12:B119),1),0)),"")</f>
        <v/>
      </c>
      <c r="H119" s="22" t="str">
        <f t="shared" si="39"/>
        <v/>
      </c>
      <c r="I119" s="22" t="str">
        <f t="shared" si="40"/>
        <v/>
      </c>
      <c r="J119" s="22" t="str">
        <f t="shared" si="41"/>
        <v/>
      </c>
      <c r="K119" t="str">
        <f t="shared" si="42"/>
        <v/>
      </c>
      <c r="L119" s="5" t="str">
        <f>IF($K119&lt;&gt;"",IF($E119="",IF(ULTIMODIA=0,DATE(YEAR($M$7),MONTH($M$7)+($A$1*($H119-1))+SUM($B$12:$B119),DAY($M$7)),$G119),$E119),"")</f>
        <v/>
      </c>
      <c r="M119" s="9" t="str">
        <f t="shared" si="43"/>
        <v/>
      </c>
      <c r="N119" s="3" t="str">
        <f t="shared" si="44"/>
        <v/>
      </c>
      <c r="O119" s="3" t="str">
        <f t="shared" si="45"/>
        <v/>
      </c>
      <c r="P119" s="3" t="str">
        <f t="shared" si="46"/>
        <v/>
      </c>
      <c r="Q119" s="3" t="str">
        <f t="shared" si="47"/>
        <v/>
      </c>
      <c r="R119" s="3" t="str">
        <f>IF($K119&lt;&gt;"",IF($A119="Prepago",0,IF(ROUND(($H119+SUM($B$12:$B119))*$T$6,2)&gt;ROUND(SUM($R$11:$R118)+$T$6,2),$T$6*2,$T$6)),"")</f>
        <v/>
      </c>
      <c r="S119" s="3" t="str">
        <f>IF($K119&lt;&gt;"",IF($A119="Prepago",0,IF(ROUND(($H119+SUM($B$12:$B119))*$T$7,2)&gt;ROUND(SUM($S$11:$S118)+$T$7,2),$T$7*2,$T$7)),"")</f>
        <v/>
      </c>
      <c r="T119" s="3" t="str">
        <f>IF($K119&lt;&gt;"",IF($A119="Prepago",0,IF(ROUND(($H119+SUM($B$12:$B119))*$T$8,2)&gt;ROUND(SUM($T$11:$T118)+$T$8,2),$T$8*2,$T$8)),"")</f>
        <v/>
      </c>
      <c r="U119" s="3" t="str">
        <f t="shared" si="48"/>
        <v/>
      </c>
      <c r="V119" s="3" t="str">
        <f t="shared" si="37"/>
        <v/>
      </c>
      <c r="W119" s="3" t="str">
        <f t="shared" si="49"/>
        <v/>
      </c>
      <c r="X119" s="3" t="str">
        <f>IF($K119&lt;&gt;"",IF($M119&gt;X$11,30,$M119)*ROUND(($N119+$V118)*$U$5/3000,2),"")</f>
        <v/>
      </c>
      <c r="Y119" s="3" t="str">
        <f>IF($K119&lt;&gt;"",IF($M119&gt;X$11,IF($M119&lt;Y$11,$M119-X$11,30),0)*ROUND(($N119+$V118+SUM($X119:X119))*$U$5/3000,2),"")</f>
        <v/>
      </c>
      <c r="Z119" s="3"/>
      <c r="AA119" s="3"/>
    </row>
    <row r="120" spans="5:27" x14ac:dyDescent="0.25">
      <c r="E120" s="5"/>
      <c r="F120" t="str">
        <f t="shared" si="38"/>
        <v/>
      </c>
      <c r="G120" s="5" t="str">
        <f>IF($K120&lt;&gt;"",IF(DAY(EOMONTH(DATE(YEAR($M$6),$G$11+K120+SUM($B$12:B120),1),0))&gt;DAY($M$7),DATE(YEAR($M$7),MONTH($M$7)+($A$1*($H120-1))+SUM($B$12:$B120),DAY($M$7)),EOMONTH(DATE(YEAR($M$6),$G$11+K120+SUM($B$12:B120),1),0)),"")</f>
        <v/>
      </c>
      <c r="H120" s="22" t="str">
        <f t="shared" si="39"/>
        <v/>
      </c>
      <c r="I120" s="22" t="str">
        <f t="shared" si="40"/>
        <v/>
      </c>
      <c r="J120" s="22" t="str">
        <f t="shared" si="41"/>
        <v/>
      </c>
      <c r="K120" t="str">
        <f t="shared" si="42"/>
        <v/>
      </c>
      <c r="L120" s="5" t="str">
        <f>IF($K120&lt;&gt;"",IF($E120="",IF(ULTIMODIA=0,DATE(YEAR($M$7),MONTH($M$7)+($A$1*($H120-1))+SUM($B$12:$B120),DAY($M$7)),$G120),$E120),"")</f>
        <v/>
      </c>
      <c r="M120" s="9" t="str">
        <f t="shared" si="43"/>
        <v/>
      </c>
      <c r="N120" s="3" t="str">
        <f t="shared" si="44"/>
        <v/>
      </c>
      <c r="O120" s="3" t="str">
        <f t="shared" si="45"/>
        <v/>
      </c>
      <c r="P120" s="3" t="str">
        <f t="shared" si="46"/>
        <v/>
      </c>
      <c r="Q120" s="3" t="str">
        <f t="shared" si="47"/>
        <v/>
      </c>
      <c r="R120" s="3" t="str">
        <f>IF($K120&lt;&gt;"",IF($A120="Prepago",0,IF(ROUND(($H120+SUM($B$12:$B120))*$T$6,2)&gt;ROUND(SUM($R$11:$R119)+$T$6,2),$T$6*2,$T$6)),"")</f>
        <v/>
      </c>
      <c r="S120" s="3" t="str">
        <f>IF($K120&lt;&gt;"",IF($A120="Prepago",0,IF(ROUND(($H120+SUM($B$12:$B120))*$T$7,2)&gt;ROUND(SUM($S$11:$S119)+$T$7,2),$T$7*2,$T$7)),"")</f>
        <v/>
      </c>
      <c r="T120" s="3" t="str">
        <f>IF($K120&lt;&gt;"",IF($A120="Prepago",0,IF(ROUND(($H120+SUM($B$12:$B120))*$T$8,2)&gt;ROUND(SUM($T$11:$T119)+$T$8,2),$T$8*2,$T$8)),"")</f>
        <v/>
      </c>
      <c r="U120" s="3" t="str">
        <f t="shared" si="48"/>
        <v/>
      </c>
      <c r="V120" s="3" t="str">
        <f t="shared" si="37"/>
        <v/>
      </c>
      <c r="W120" s="3" t="str">
        <f t="shared" si="49"/>
        <v/>
      </c>
      <c r="X120" s="3" t="str">
        <f>IF($K120&lt;&gt;"",IF($M120&gt;X$11,30,$M120)*ROUND(($N120+$V119)*$U$5/3000,2),"")</f>
        <v/>
      </c>
      <c r="Y120" s="3" t="str">
        <f>IF($K120&lt;&gt;"",IF($M120&gt;X$11,IF($M120&lt;Y$11,$M120-X$11,30),0)*ROUND(($N120+$V119+SUM($X120:X120))*$U$5/3000,2),"")</f>
        <v/>
      </c>
      <c r="Z120" s="3"/>
      <c r="AA120" s="3"/>
    </row>
    <row r="121" spans="5:27" x14ac:dyDescent="0.25">
      <c r="E121" s="5"/>
      <c r="F121" t="str">
        <f t="shared" si="38"/>
        <v/>
      </c>
      <c r="G121" s="5" t="str">
        <f>IF($K121&lt;&gt;"",IF(DAY(EOMONTH(DATE(YEAR($M$6),$G$11+K121+SUM($B$12:B121),1),0))&gt;DAY($M$7),DATE(YEAR($M$7),MONTH($M$7)+($A$1*($H121-1))+SUM($B$12:$B121),DAY($M$7)),EOMONTH(DATE(YEAR($M$6),$G$11+K121+SUM($B$12:B121),1),0)),"")</f>
        <v/>
      </c>
      <c r="H121" s="22" t="str">
        <f t="shared" si="39"/>
        <v/>
      </c>
      <c r="I121" s="22" t="str">
        <f t="shared" si="40"/>
        <v/>
      </c>
      <c r="J121" s="22" t="str">
        <f t="shared" si="41"/>
        <v/>
      </c>
      <c r="K121" t="str">
        <f t="shared" si="42"/>
        <v/>
      </c>
      <c r="L121" s="5" t="str">
        <f>IF($K121&lt;&gt;"",IF($E121="",IF(ULTIMODIA=0,DATE(YEAR($M$7),MONTH($M$7)+($A$1*($H121-1))+SUM($B$12:$B121),DAY($M$7)),$G121),$E121),"")</f>
        <v/>
      </c>
      <c r="M121" s="9" t="str">
        <f t="shared" si="43"/>
        <v/>
      </c>
      <c r="N121" s="3" t="str">
        <f t="shared" si="44"/>
        <v/>
      </c>
      <c r="O121" s="3" t="str">
        <f t="shared" si="45"/>
        <v/>
      </c>
      <c r="P121" s="3" t="str">
        <f t="shared" si="46"/>
        <v/>
      </c>
      <c r="Q121" s="3" t="str">
        <f t="shared" si="47"/>
        <v/>
      </c>
      <c r="R121" s="3" t="str">
        <f>IF($K121&lt;&gt;"",IF($A121="Prepago",0,IF(ROUND(($H121+SUM($B$12:$B121))*$T$6,2)&gt;ROUND(SUM($R$11:$R120)+$T$6,2),$T$6*2,$T$6)),"")</f>
        <v/>
      </c>
      <c r="S121" s="3" t="str">
        <f>IF($K121&lt;&gt;"",IF($A121="Prepago",0,IF(ROUND(($H121+SUM($B$12:$B121))*$T$7,2)&gt;ROUND(SUM($S$11:$S120)+$T$7,2),$T$7*2,$T$7)),"")</f>
        <v/>
      </c>
      <c r="T121" s="3" t="str">
        <f>IF($K121&lt;&gt;"",IF($A121="Prepago",0,IF(ROUND(($H121+SUM($B$12:$B121))*$T$8,2)&gt;ROUND(SUM($T$11:$T120)+$T$8,2),$T$8*2,$T$8)),"")</f>
        <v/>
      </c>
      <c r="U121" s="3" t="str">
        <f t="shared" si="48"/>
        <v/>
      </c>
      <c r="V121" s="3" t="str">
        <f t="shared" si="37"/>
        <v/>
      </c>
      <c r="W121" s="3" t="str">
        <f t="shared" si="49"/>
        <v/>
      </c>
      <c r="X121" s="3" t="str">
        <f>IF($K121&lt;&gt;"",IF($M121&gt;X$11,30,$M121)*ROUND(($N121+$V120)*$U$5/3000,2),"")</f>
        <v/>
      </c>
      <c r="Y121" s="3" t="str">
        <f>IF($K121&lt;&gt;"",IF($M121&gt;X$11,IF($M121&lt;Y$11,$M121-X$11,30),0)*ROUND(($N121+$V120+SUM($X121:X121))*$U$5/3000,2),"")</f>
        <v/>
      </c>
      <c r="Z121" s="3"/>
      <c r="AA121" s="3"/>
    </row>
    <row r="122" spans="5:27" x14ac:dyDescent="0.25">
      <c r="E122" s="5"/>
      <c r="F122" t="str">
        <f t="shared" si="38"/>
        <v/>
      </c>
      <c r="G122" s="5" t="str">
        <f>IF($K122&lt;&gt;"",IF(DAY(EOMONTH(DATE(YEAR($M$6),$G$11+K122+SUM($B$12:B122),1),0))&gt;DAY($M$7),DATE(YEAR($M$7),MONTH($M$7)+($A$1*($H122-1))+SUM($B$12:$B122),DAY($M$7)),EOMONTH(DATE(YEAR($M$6),$G$11+K122+SUM($B$12:B122),1),0)),"")</f>
        <v/>
      </c>
      <c r="H122" s="22" t="str">
        <f t="shared" si="39"/>
        <v/>
      </c>
      <c r="I122" s="22" t="str">
        <f t="shared" si="40"/>
        <v/>
      </c>
      <c r="J122" s="22" t="str">
        <f t="shared" si="41"/>
        <v/>
      </c>
      <c r="K122" t="str">
        <f t="shared" si="42"/>
        <v/>
      </c>
      <c r="L122" s="5" t="str">
        <f>IF($K122&lt;&gt;"",IF($E122="",IF(ULTIMODIA=0,DATE(YEAR($M$7),MONTH($M$7)+($A$1*($H122-1))+SUM($B$12:$B122),DAY($M$7)),$G122),$E122),"")</f>
        <v/>
      </c>
      <c r="M122" s="9" t="str">
        <f t="shared" si="43"/>
        <v/>
      </c>
      <c r="N122" s="3" t="str">
        <f t="shared" si="44"/>
        <v/>
      </c>
      <c r="O122" s="3" t="str">
        <f t="shared" si="45"/>
        <v/>
      </c>
      <c r="P122" s="3" t="str">
        <f t="shared" si="46"/>
        <v/>
      </c>
      <c r="Q122" s="3" t="str">
        <f t="shared" si="47"/>
        <v/>
      </c>
      <c r="R122" s="3" t="str">
        <f>IF($K122&lt;&gt;"",IF($A122="Prepago",0,IF(ROUND(($H122+SUM($B$12:$B122))*$T$6,2)&gt;ROUND(SUM($R$11:$R121)+$T$6,2),$T$6*2,$T$6)),"")</f>
        <v/>
      </c>
      <c r="S122" s="3" t="str">
        <f>IF($K122&lt;&gt;"",IF($A122="Prepago",0,IF(ROUND(($H122+SUM($B$12:$B122))*$T$7,2)&gt;ROUND(SUM($S$11:$S121)+$T$7,2),$T$7*2,$T$7)),"")</f>
        <v/>
      </c>
      <c r="T122" s="3" t="str">
        <f>IF($K122&lt;&gt;"",IF($A122="Prepago",0,IF(ROUND(($H122+SUM($B$12:$B122))*$T$8,2)&gt;ROUND(SUM($T$11:$T121)+$T$8,2),$T$8*2,$T$8)),"")</f>
        <v/>
      </c>
      <c r="U122" s="3" t="str">
        <f t="shared" si="48"/>
        <v/>
      </c>
      <c r="V122" s="3" t="str">
        <f t="shared" si="37"/>
        <v/>
      </c>
      <c r="W122" s="3" t="str">
        <f t="shared" si="49"/>
        <v/>
      </c>
      <c r="X122" s="3" t="str">
        <f>IF($K122&lt;&gt;"",IF($M122&gt;X$11,30,$M122)*ROUND(($N122+$V121)*$U$5/3000,2),"")</f>
        <v/>
      </c>
      <c r="Y122" s="3" t="str">
        <f>IF($K122&lt;&gt;"",IF($M122&gt;X$11,IF($M122&lt;Y$11,$M122-X$11,30),0)*ROUND(($N122+$V121+SUM($X122:X122))*$U$5/3000,2),"")</f>
        <v/>
      </c>
      <c r="Z122" s="3"/>
      <c r="AA122" s="3"/>
    </row>
    <row r="123" spans="5:27" x14ac:dyDescent="0.25">
      <c r="E123" s="5"/>
      <c r="F123" t="str">
        <f t="shared" si="38"/>
        <v/>
      </c>
      <c r="G123" s="5" t="str">
        <f>IF($K123&lt;&gt;"",IF(DAY(EOMONTH(DATE(YEAR($M$6),$G$11+K123+SUM($B$12:B123),1),0))&gt;DAY($M$7),DATE(YEAR($M$7),MONTH($M$7)+($A$1*($H123-1))+SUM($B$12:$B123),DAY($M$7)),EOMONTH(DATE(YEAR($M$6),$G$11+K123+SUM($B$12:B123),1),0)),"")</f>
        <v/>
      </c>
      <c r="H123" s="22" t="str">
        <f t="shared" si="39"/>
        <v/>
      </c>
      <c r="I123" s="22" t="str">
        <f t="shared" si="40"/>
        <v/>
      </c>
      <c r="J123" s="22" t="str">
        <f t="shared" si="41"/>
        <v/>
      </c>
      <c r="K123" t="str">
        <f t="shared" si="42"/>
        <v/>
      </c>
      <c r="L123" s="5" t="str">
        <f>IF($K123&lt;&gt;"",IF($E123="",IF(ULTIMODIA=0,DATE(YEAR($M$7),MONTH($M$7)+($A$1*($H123-1))+SUM($B$12:$B123),DAY($M$7)),$G123),$E123),"")</f>
        <v/>
      </c>
      <c r="M123" s="9" t="str">
        <f t="shared" si="43"/>
        <v/>
      </c>
      <c r="N123" s="3" t="str">
        <f t="shared" si="44"/>
        <v/>
      </c>
      <c r="O123" s="3" t="str">
        <f t="shared" si="45"/>
        <v/>
      </c>
      <c r="P123" s="3" t="str">
        <f t="shared" si="46"/>
        <v/>
      </c>
      <c r="Q123" s="3" t="str">
        <f t="shared" si="47"/>
        <v/>
      </c>
      <c r="R123" s="3" t="str">
        <f>IF($K123&lt;&gt;"",IF($A123="Prepago",0,IF(ROUND(($H123+SUM($B$12:$B123))*$T$6,2)&gt;ROUND(SUM($R$11:$R122)+$T$6,2),$T$6*2,$T$6)),"")</f>
        <v/>
      </c>
      <c r="S123" s="3" t="str">
        <f>IF($K123&lt;&gt;"",IF($A123="Prepago",0,IF(ROUND(($H123+SUM($B$12:$B123))*$T$7,2)&gt;ROUND(SUM($S$11:$S122)+$T$7,2),$T$7*2,$T$7)),"")</f>
        <v/>
      </c>
      <c r="T123" s="3" t="str">
        <f>IF($K123&lt;&gt;"",IF($A123="Prepago",0,IF(ROUND(($H123+SUM($B$12:$B123))*$T$8,2)&gt;ROUND(SUM($T$11:$T122)+$T$8,2),$T$8*2,$T$8)),"")</f>
        <v/>
      </c>
      <c r="U123" s="3" t="str">
        <f t="shared" si="48"/>
        <v/>
      </c>
      <c r="V123" s="3" t="str">
        <f t="shared" si="37"/>
        <v/>
      </c>
      <c r="W123" s="3" t="str">
        <f t="shared" si="49"/>
        <v/>
      </c>
      <c r="X123" s="3" t="str">
        <f>IF($K123&lt;&gt;"",IF($M123&gt;X$11,30,$M123)*ROUND(($N123+$V122)*$U$5/3000,2),"")</f>
        <v/>
      </c>
      <c r="Y123" s="3" t="str">
        <f>IF($K123&lt;&gt;"",IF($M123&gt;X$11,IF($M123&lt;Y$11,$M123-X$11,30),0)*ROUND(($N123+$V122+SUM($X123:X123))*$U$5/3000,2),"")</f>
        <v/>
      </c>
      <c r="Z123" s="3"/>
      <c r="AA123" s="3"/>
    </row>
    <row r="124" spans="5:27" x14ac:dyDescent="0.25">
      <c r="E124" s="5"/>
      <c r="F124" t="str">
        <f t="shared" si="38"/>
        <v/>
      </c>
      <c r="G124" s="5" t="str">
        <f>IF($K124&lt;&gt;"",IF(DAY(EOMONTH(DATE(YEAR($M$6),$G$11+K124+SUM($B$12:B124),1),0))&gt;DAY($M$7),DATE(YEAR($M$7),MONTH($M$7)+($A$1*($H124-1))+SUM($B$12:$B124),DAY($M$7)),EOMONTH(DATE(YEAR($M$6),$G$11+K124+SUM($B$12:B124),1),0)),"")</f>
        <v/>
      </c>
      <c r="H124" s="22" t="str">
        <f t="shared" si="39"/>
        <v/>
      </c>
      <c r="I124" s="22" t="str">
        <f t="shared" si="40"/>
        <v/>
      </c>
      <c r="J124" s="22" t="str">
        <f t="shared" si="41"/>
        <v/>
      </c>
      <c r="K124" t="str">
        <f t="shared" si="42"/>
        <v/>
      </c>
      <c r="L124" s="5" t="str">
        <f>IF($K124&lt;&gt;"",IF($E124="",IF(ULTIMODIA=0,DATE(YEAR($M$7),MONTH($M$7)+($A$1*($H124-1))+SUM($B$12:$B124),DAY($M$7)),$G124),$E124),"")</f>
        <v/>
      </c>
      <c r="M124" s="9" t="str">
        <f t="shared" si="43"/>
        <v/>
      </c>
      <c r="N124" s="3" t="str">
        <f t="shared" si="44"/>
        <v/>
      </c>
      <c r="O124" s="3" t="str">
        <f t="shared" si="45"/>
        <v/>
      </c>
      <c r="P124" s="3" t="str">
        <f t="shared" si="46"/>
        <v/>
      </c>
      <c r="Q124" s="3" t="str">
        <f t="shared" si="47"/>
        <v/>
      </c>
      <c r="R124" s="3" t="str">
        <f>IF($K124&lt;&gt;"",IF($A124="Prepago",0,IF(ROUND(($H124+SUM($B$12:$B124))*$T$6,2)&gt;ROUND(SUM($R$11:$R123)+$T$6,2),$T$6*2,$T$6)),"")</f>
        <v/>
      </c>
      <c r="S124" s="3" t="str">
        <f>IF($K124&lt;&gt;"",IF($A124="Prepago",0,IF(ROUND(($H124+SUM($B$12:$B124))*$T$7,2)&gt;ROUND(SUM($S$11:$S123)+$T$7,2),$T$7*2,$T$7)),"")</f>
        <v/>
      </c>
      <c r="T124" s="3" t="str">
        <f>IF($K124&lt;&gt;"",IF($A124="Prepago",0,IF(ROUND(($H124+SUM($B$12:$B124))*$T$8,2)&gt;ROUND(SUM($T$11:$T123)+$T$8,2),$T$8*2,$T$8)),"")</f>
        <v/>
      </c>
      <c r="U124" s="3" t="str">
        <f t="shared" si="48"/>
        <v/>
      </c>
      <c r="V124" s="3" t="str">
        <f t="shared" si="37"/>
        <v/>
      </c>
      <c r="W124" s="3" t="str">
        <f t="shared" si="49"/>
        <v/>
      </c>
      <c r="X124" s="3" t="str">
        <f>IF($K124&lt;&gt;"",IF($M124&gt;X$11,30,$M124)*ROUND(($N124+$V123)*$U$5/3000,2),"")</f>
        <v/>
      </c>
      <c r="Y124" s="3" t="str">
        <f>IF($K124&lt;&gt;"",IF($M124&gt;X$11,IF($M124&lt;Y$11,$M124-X$11,30),0)*ROUND(($N124+$V123+SUM($X124:X124))*$U$5/3000,2),"")</f>
        <v/>
      </c>
      <c r="Z124" s="3"/>
      <c r="AA124" s="3"/>
    </row>
    <row r="125" spans="5:27" x14ac:dyDescent="0.25">
      <c r="E125" s="5"/>
      <c r="F125" t="str">
        <f t="shared" si="38"/>
        <v/>
      </c>
      <c r="G125" s="5" t="str">
        <f>IF($K125&lt;&gt;"",IF(DAY(EOMONTH(DATE(YEAR($M$6),$G$11+K125+SUM($B$12:B125),1),0))&gt;DAY($M$7),DATE(YEAR($M$7),MONTH($M$7)+($A$1*($H125-1))+SUM($B$12:$B125),DAY($M$7)),EOMONTH(DATE(YEAR($M$6),$G$11+K125+SUM($B$12:B125),1),0)),"")</f>
        <v/>
      </c>
      <c r="H125" s="22" t="str">
        <f t="shared" si="39"/>
        <v/>
      </c>
      <c r="I125" s="22" t="str">
        <f t="shared" si="40"/>
        <v/>
      </c>
      <c r="J125" s="22" t="str">
        <f t="shared" si="41"/>
        <v/>
      </c>
      <c r="K125" t="str">
        <f t="shared" si="42"/>
        <v/>
      </c>
      <c r="L125" s="5" t="str">
        <f>IF($K125&lt;&gt;"",IF($E125="",IF(ULTIMODIA=0,DATE(YEAR($M$7),MONTH($M$7)+($A$1*($H125-1))+SUM($B$12:$B125),DAY($M$7)),$G125),$E125),"")</f>
        <v/>
      </c>
      <c r="M125" s="9" t="str">
        <f t="shared" si="43"/>
        <v/>
      </c>
      <c r="N125" s="3" t="str">
        <f t="shared" si="44"/>
        <v/>
      </c>
      <c r="O125" s="3" t="str">
        <f t="shared" si="45"/>
        <v/>
      </c>
      <c r="P125" s="3" t="str">
        <f t="shared" si="46"/>
        <v/>
      </c>
      <c r="Q125" s="3" t="str">
        <f t="shared" si="47"/>
        <v/>
      </c>
      <c r="R125" s="3" t="str">
        <f>IF($K125&lt;&gt;"",IF($A125="Prepago",0,IF(ROUND(($H125+SUM($B$12:$B125))*$T$6,2)&gt;ROUND(SUM($R$11:$R124)+$T$6,2),$T$6*2,$T$6)),"")</f>
        <v/>
      </c>
      <c r="S125" s="3" t="str">
        <f>IF($K125&lt;&gt;"",IF($A125="Prepago",0,IF(ROUND(($H125+SUM($B$12:$B125))*$T$7,2)&gt;ROUND(SUM($S$11:$S124)+$T$7,2),$T$7*2,$T$7)),"")</f>
        <v/>
      </c>
      <c r="T125" s="3" t="str">
        <f>IF($K125&lt;&gt;"",IF($A125="Prepago",0,IF(ROUND(($H125+SUM($B$12:$B125))*$T$8,2)&gt;ROUND(SUM($T$11:$T124)+$T$8,2),$T$8*2,$T$8)),"")</f>
        <v/>
      </c>
      <c r="U125" s="3" t="str">
        <f t="shared" si="48"/>
        <v/>
      </c>
      <c r="V125" s="3" t="str">
        <f t="shared" si="37"/>
        <v/>
      </c>
      <c r="W125" s="3" t="str">
        <f t="shared" si="49"/>
        <v/>
      </c>
      <c r="X125" s="3" t="str">
        <f>IF($K125&lt;&gt;"",IF($M125&gt;X$11,30,$M125)*ROUND(($N125+$V124)*$U$5/3000,2),"")</f>
        <v/>
      </c>
      <c r="Y125" s="3" t="str">
        <f>IF($K125&lt;&gt;"",IF($M125&gt;X$11,IF($M125&lt;Y$11,$M125-X$11,30),0)*ROUND(($N125+$V124+SUM($X125:X125))*$U$5/3000,2),"")</f>
        <v/>
      </c>
      <c r="Z125" s="3"/>
      <c r="AA125" s="3"/>
    </row>
    <row r="126" spans="5:27" x14ac:dyDescent="0.25">
      <c r="E126" s="5"/>
      <c r="F126" t="str">
        <f t="shared" si="38"/>
        <v/>
      </c>
      <c r="G126" s="5" t="str">
        <f>IF($K126&lt;&gt;"",IF(DAY(EOMONTH(DATE(YEAR($M$6),$G$11+K126+SUM($B$12:B126),1),0))&gt;DAY($M$7),DATE(YEAR($M$7),MONTH($M$7)+($A$1*($H126-1))+SUM($B$12:$B126),DAY($M$7)),EOMONTH(DATE(YEAR($M$6),$G$11+K126+SUM($B$12:B126),1),0)),"")</f>
        <v/>
      </c>
      <c r="H126" s="22" t="str">
        <f t="shared" si="39"/>
        <v/>
      </c>
      <c r="I126" s="22" t="str">
        <f t="shared" si="40"/>
        <v/>
      </c>
      <c r="J126" s="22" t="str">
        <f t="shared" si="41"/>
        <v/>
      </c>
      <c r="K126" t="str">
        <f t="shared" si="42"/>
        <v/>
      </c>
      <c r="L126" s="5" t="str">
        <f>IF($K126&lt;&gt;"",IF($E126="",IF(ULTIMODIA=0,DATE(YEAR($M$7),MONTH($M$7)+($A$1*($H126-1))+SUM($B$12:$B126),DAY($M$7)),$G126),$E126),"")</f>
        <v/>
      </c>
      <c r="M126" s="9" t="str">
        <f t="shared" si="43"/>
        <v/>
      </c>
      <c r="N126" s="3" t="str">
        <f t="shared" si="44"/>
        <v/>
      </c>
      <c r="O126" s="3" t="str">
        <f t="shared" si="45"/>
        <v/>
      </c>
      <c r="P126" s="3" t="str">
        <f t="shared" si="46"/>
        <v/>
      </c>
      <c r="Q126" s="3" t="str">
        <f t="shared" si="47"/>
        <v/>
      </c>
      <c r="R126" s="3" t="str">
        <f>IF($K126&lt;&gt;"",IF($A126="Prepago",0,IF(ROUND(($H126+SUM($B$12:$B126))*$T$6,2)&gt;ROUND(SUM($R$11:$R125)+$T$6,2),$T$6*2,$T$6)),"")</f>
        <v/>
      </c>
      <c r="S126" s="3" t="str">
        <f>IF($K126&lt;&gt;"",IF($A126="Prepago",0,IF(ROUND(($H126+SUM($B$12:$B126))*$T$7,2)&gt;ROUND(SUM($S$11:$S125)+$T$7,2),$T$7*2,$T$7)),"")</f>
        <v/>
      </c>
      <c r="T126" s="3" t="str">
        <f>IF($K126&lt;&gt;"",IF($A126="Prepago",0,IF(ROUND(($H126+SUM($B$12:$B126))*$T$8,2)&gt;ROUND(SUM($T$11:$T125)+$T$8,2),$T$8*2,$T$8)),"")</f>
        <v/>
      </c>
      <c r="U126" s="3" t="str">
        <f t="shared" si="48"/>
        <v/>
      </c>
      <c r="V126" s="3" t="str">
        <f t="shared" si="37"/>
        <v/>
      </c>
      <c r="W126" s="3" t="str">
        <f t="shared" si="49"/>
        <v/>
      </c>
      <c r="X126" s="3" t="str">
        <f>IF($K126&lt;&gt;"",IF($M126&gt;X$11,30,$M126)*ROUND(($N126+$V125)*$U$5/3000,2),"")</f>
        <v/>
      </c>
      <c r="Y126" s="3" t="str">
        <f>IF($K126&lt;&gt;"",IF($M126&gt;X$11,IF($M126&lt;Y$11,$M126-X$11,30),0)*ROUND(($N126+$V125+SUM($X126:X126))*$U$5/3000,2),"")</f>
        <v/>
      </c>
      <c r="Z126" s="3"/>
      <c r="AA126" s="3"/>
    </row>
    <row r="127" spans="5:27" x14ac:dyDescent="0.25">
      <c r="E127" s="5"/>
      <c r="F127" t="str">
        <f t="shared" si="38"/>
        <v/>
      </c>
      <c r="G127" s="5" t="str">
        <f>IF($K127&lt;&gt;"",IF(DAY(EOMONTH(DATE(YEAR($M$6),$G$11+K127+SUM($B$12:B127),1),0))&gt;DAY($M$7),DATE(YEAR($M$7),MONTH($M$7)+($A$1*($H127-1))+SUM($B$12:$B127),DAY($M$7)),EOMONTH(DATE(YEAR($M$6),$G$11+K127+SUM($B$12:B127),1),0)),"")</f>
        <v/>
      </c>
      <c r="H127" s="22" t="str">
        <f t="shared" si="39"/>
        <v/>
      </c>
      <c r="I127" s="22" t="str">
        <f t="shared" si="40"/>
        <v/>
      </c>
      <c r="J127" s="22" t="str">
        <f t="shared" si="41"/>
        <v/>
      </c>
      <c r="K127" t="str">
        <f t="shared" si="42"/>
        <v/>
      </c>
      <c r="L127" s="5" t="str">
        <f>IF($K127&lt;&gt;"",IF($E127="",IF(ULTIMODIA=0,DATE(YEAR($M$7),MONTH($M$7)+($A$1*($H127-1))+SUM($B$12:$B127),DAY($M$7)),$G127),$E127),"")</f>
        <v/>
      </c>
      <c r="M127" s="9" t="str">
        <f t="shared" si="43"/>
        <v/>
      </c>
      <c r="N127" s="3" t="str">
        <f t="shared" si="44"/>
        <v/>
      </c>
      <c r="O127" s="3" t="str">
        <f t="shared" si="45"/>
        <v/>
      </c>
      <c r="P127" s="3" t="str">
        <f t="shared" si="46"/>
        <v/>
      </c>
      <c r="Q127" s="3" t="str">
        <f t="shared" si="47"/>
        <v/>
      </c>
      <c r="R127" s="3" t="str">
        <f>IF($K127&lt;&gt;"",IF($A127="Prepago",0,IF(ROUND(($H127+SUM($B$12:$B127))*$T$6,2)&gt;ROUND(SUM($R$11:$R126)+$T$6,2),$T$6*2,$T$6)),"")</f>
        <v/>
      </c>
      <c r="S127" s="3" t="str">
        <f>IF($K127&lt;&gt;"",IF($A127="Prepago",0,IF(ROUND(($H127+SUM($B$12:$B127))*$T$7,2)&gt;ROUND(SUM($S$11:$S126)+$T$7,2),$T$7*2,$T$7)),"")</f>
        <v/>
      </c>
      <c r="T127" s="3" t="str">
        <f>IF($K127&lt;&gt;"",IF($A127="Prepago",0,IF(ROUND(($H127+SUM($B$12:$B127))*$T$8,2)&gt;ROUND(SUM($T$11:$T126)+$T$8,2),$T$8*2,$T$8)),"")</f>
        <v/>
      </c>
      <c r="U127" s="3" t="str">
        <f t="shared" si="48"/>
        <v/>
      </c>
      <c r="V127" s="3" t="str">
        <f t="shared" si="37"/>
        <v/>
      </c>
      <c r="W127" s="3" t="str">
        <f t="shared" si="49"/>
        <v/>
      </c>
      <c r="X127" s="3" t="str">
        <f>IF($K127&lt;&gt;"",IF($M127&gt;X$11,30,$M127)*ROUND(($N127+$V126)*$U$5/3000,2),"")</f>
        <v/>
      </c>
      <c r="Y127" s="3" t="str">
        <f>IF($K127&lt;&gt;"",IF($M127&gt;X$11,IF($M127&lt;Y$11,$M127-X$11,30),0)*ROUND(($N127+$V126+SUM($X127:X127))*$U$5/3000,2),"")</f>
        <v/>
      </c>
      <c r="Z127" s="3"/>
      <c r="AA127" s="3"/>
    </row>
    <row r="128" spans="5:27" x14ac:dyDescent="0.25">
      <c r="E128" s="5"/>
      <c r="F128" t="str">
        <f t="shared" si="38"/>
        <v/>
      </c>
      <c r="G128" s="5" t="str">
        <f>IF($K128&lt;&gt;"",IF(DAY(EOMONTH(DATE(YEAR($M$6),$G$11+K128+SUM($B$12:B128),1),0))&gt;DAY($M$7),DATE(YEAR($M$7),MONTH($M$7)+($A$1*($H128-1))+SUM($B$12:$B128),DAY($M$7)),EOMONTH(DATE(YEAR($M$6),$G$11+K128+SUM($B$12:B128),1),0)),"")</f>
        <v/>
      </c>
      <c r="H128" s="22" t="str">
        <f t="shared" si="39"/>
        <v/>
      </c>
      <c r="I128" s="22" t="str">
        <f t="shared" si="40"/>
        <v/>
      </c>
      <c r="J128" s="22" t="str">
        <f t="shared" si="41"/>
        <v/>
      </c>
      <c r="K128" t="str">
        <f t="shared" si="42"/>
        <v/>
      </c>
      <c r="L128" s="5" t="str">
        <f>IF($K128&lt;&gt;"",IF($E128="",IF(ULTIMODIA=0,DATE(YEAR($M$7),MONTH($M$7)+($A$1*($H128-1))+SUM($B$12:$B128),DAY($M$7)),$G128),$E128),"")</f>
        <v/>
      </c>
      <c r="M128" s="9" t="str">
        <f t="shared" si="43"/>
        <v/>
      </c>
      <c r="N128" s="3" t="str">
        <f t="shared" si="44"/>
        <v/>
      </c>
      <c r="O128" s="3" t="str">
        <f t="shared" si="45"/>
        <v/>
      </c>
      <c r="P128" s="3" t="str">
        <f t="shared" si="46"/>
        <v/>
      </c>
      <c r="Q128" s="3" t="str">
        <f t="shared" si="47"/>
        <v/>
      </c>
      <c r="R128" s="3" t="str">
        <f>IF($K128&lt;&gt;"",IF($A128="Prepago",0,IF(ROUND(($H128+SUM($B$12:$B128))*$T$6,2)&gt;ROUND(SUM($R$11:$R127)+$T$6,2),$T$6*2,$T$6)),"")</f>
        <v/>
      </c>
      <c r="S128" s="3" t="str">
        <f>IF($K128&lt;&gt;"",IF($A128="Prepago",0,IF(ROUND(($H128+SUM($B$12:$B128))*$T$7,2)&gt;ROUND(SUM($S$11:$S127)+$T$7,2),$T$7*2,$T$7)),"")</f>
        <v/>
      </c>
      <c r="T128" s="3" t="str">
        <f>IF($K128&lt;&gt;"",IF($A128="Prepago",0,IF(ROUND(($H128+SUM($B$12:$B128))*$T$8,2)&gt;ROUND(SUM($T$11:$T127)+$T$8,2),$T$8*2,$T$8)),"")</f>
        <v/>
      </c>
      <c r="U128" s="3" t="str">
        <f t="shared" si="48"/>
        <v/>
      </c>
      <c r="V128" s="3" t="str">
        <f t="shared" si="37"/>
        <v/>
      </c>
      <c r="W128" s="3" t="str">
        <f t="shared" si="49"/>
        <v/>
      </c>
      <c r="X128" s="3" t="str">
        <f>IF($K128&lt;&gt;"",IF($M128&gt;X$11,30,$M128)*ROUND(($N128+$V127)*$U$5/3000,2),"")</f>
        <v/>
      </c>
      <c r="Y128" s="3" t="str">
        <f>IF($K128&lt;&gt;"",IF($M128&gt;X$11,IF($M128&lt;Y$11,$M128-X$11,30),0)*ROUND(($N128+$V127+SUM($X128:X128))*$U$5/3000,2),"")</f>
        <v/>
      </c>
      <c r="Z128" s="3"/>
      <c r="AA128" s="3"/>
    </row>
    <row r="129" spans="5:27" x14ac:dyDescent="0.25">
      <c r="E129" s="5"/>
      <c r="F129" t="str">
        <f t="shared" si="38"/>
        <v/>
      </c>
      <c r="G129" s="5" t="str">
        <f>IF($K129&lt;&gt;"",IF(DAY(EOMONTH(DATE(YEAR($M$6),$G$11+K129+SUM($B$12:B129),1),0))&gt;DAY($M$7),DATE(YEAR($M$7),MONTH($M$7)+($A$1*($H129-1))+SUM($B$12:$B129),DAY($M$7)),EOMONTH(DATE(YEAR($M$6),$G$11+K129+SUM($B$12:B129),1),0)),"")</f>
        <v/>
      </c>
      <c r="H129" s="22" t="str">
        <f t="shared" si="39"/>
        <v/>
      </c>
      <c r="I129" s="22" t="str">
        <f t="shared" si="40"/>
        <v/>
      </c>
      <c r="J129" s="22" t="str">
        <f t="shared" si="41"/>
        <v/>
      </c>
      <c r="K129" t="str">
        <f t="shared" si="42"/>
        <v/>
      </c>
      <c r="L129" s="5" t="str">
        <f>IF($K129&lt;&gt;"",IF($E129="",IF(ULTIMODIA=0,DATE(YEAR($M$7),MONTH($M$7)+($A$1*($H129-1))+SUM($B$12:$B129),DAY($M$7)),$G129),$E129),"")</f>
        <v/>
      </c>
      <c r="M129" s="9" t="str">
        <f t="shared" si="43"/>
        <v/>
      </c>
      <c r="N129" s="3" t="str">
        <f t="shared" si="44"/>
        <v/>
      </c>
      <c r="O129" s="3" t="str">
        <f t="shared" si="45"/>
        <v/>
      </c>
      <c r="P129" s="3" t="str">
        <f t="shared" si="46"/>
        <v/>
      </c>
      <c r="Q129" s="3" t="str">
        <f t="shared" si="47"/>
        <v/>
      </c>
      <c r="R129" s="3" t="str">
        <f>IF($K129&lt;&gt;"",IF($A129="Prepago",0,IF(ROUND(($H129+SUM($B$12:$B129))*$T$6,2)&gt;ROUND(SUM($R$11:$R128)+$T$6,2),$T$6*2,$T$6)),"")</f>
        <v/>
      </c>
      <c r="S129" s="3" t="str">
        <f>IF($K129&lt;&gt;"",IF($A129="Prepago",0,IF(ROUND(($H129+SUM($B$12:$B129))*$T$7,2)&gt;ROUND(SUM($S$11:$S128)+$T$7,2),$T$7*2,$T$7)),"")</f>
        <v/>
      </c>
      <c r="T129" s="3" t="str">
        <f>IF($K129&lt;&gt;"",IF($A129="Prepago",0,IF(ROUND(($H129+SUM($B$12:$B129))*$T$8,2)&gt;ROUND(SUM($T$11:$T128)+$T$8,2),$T$8*2,$T$8)),"")</f>
        <v/>
      </c>
      <c r="U129" s="3" t="str">
        <f t="shared" si="48"/>
        <v/>
      </c>
      <c r="V129" s="3" t="str">
        <f t="shared" si="37"/>
        <v/>
      </c>
      <c r="W129" s="3" t="str">
        <f t="shared" si="49"/>
        <v/>
      </c>
      <c r="X129" s="3" t="str">
        <f>IF($K129&lt;&gt;"",IF($M129&gt;X$11,30,$M129)*ROUND(($N129+$V128)*$U$5/3000,2),"")</f>
        <v/>
      </c>
      <c r="Y129" s="3" t="str">
        <f>IF($K129&lt;&gt;"",IF($M129&gt;X$11,IF($M129&lt;Y$11,$M129-X$11,30),0)*ROUND(($N129+$V128+SUM($X129:X129))*$U$5/3000,2),"")</f>
        <v/>
      </c>
      <c r="Z129" s="3"/>
      <c r="AA129" s="3"/>
    </row>
    <row r="130" spans="5:27" x14ac:dyDescent="0.25">
      <c r="E130" s="5"/>
      <c r="F130" t="str">
        <f t="shared" si="38"/>
        <v/>
      </c>
      <c r="G130" s="5" t="str">
        <f>IF($K130&lt;&gt;"",IF(DAY(EOMONTH(DATE(YEAR($M$6),$G$11+K130+SUM($B$12:B130),1),0))&gt;DAY($M$7),DATE(YEAR($M$7),MONTH($M$7)+($A$1*($H130-1))+SUM($B$12:$B130),DAY($M$7)),EOMONTH(DATE(YEAR($M$6),$G$11+K130+SUM($B$12:B130),1),0)),"")</f>
        <v/>
      </c>
      <c r="H130" s="22" t="str">
        <f t="shared" si="39"/>
        <v/>
      </c>
      <c r="I130" s="22" t="str">
        <f t="shared" si="40"/>
        <v/>
      </c>
      <c r="J130" s="22" t="str">
        <f t="shared" si="41"/>
        <v/>
      </c>
      <c r="K130" t="str">
        <f t="shared" si="42"/>
        <v/>
      </c>
      <c r="L130" s="5" t="str">
        <f>IF($K130&lt;&gt;"",IF($E130="",IF(ULTIMODIA=0,DATE(YEAR($M$7),MONTH($M$7)+($A$1*($H130-1))+SUM($B$12:$B130),DAY($M$7)),$G130),$E130),"")</f>
        <v/>
      </c>
      <c r="M130" s="9" t="str">
        <f t="shared" si="43"/>
        <v/>
      </c>
      <c r="N130" s="3" t="str">
        <f t="shared" si="44"/>
        <v/>
      </c>
      <c r="O130" s="3" t="str">
        <f t="shared" si="45"/>
        <v/>
      </c>
      <c r="P130" s="3" t="str">
        <f t="shared" si="46"/>
        <v/>
      </c>
      <c r="Q130" s="3" t="str">
        <f t="shared" si="47"/>
        <v/>
      </c>
      <c r="R130" s="3" t="str">
        <f>IF($K130&lt;&gt;"",IF($A130="Prepago",0,IF(ROUND(($H130+SUM($B$12:$B130))*$T$6,2)&gt;ROUND(SUM($R$11:$R129)+$T$6,2),$T$6*2,$T$6)),"")</f>
        <v/>
      </c>
      <c r="S130" s="3" t="str">
        <f>IF($K130&lt;&gt;"",IF($A130="Prepago",0,IF(ROUND(($H130+SUM($B$12:$B130))*$T$7,2)&gt;ROUND(SUM($S$11:$S129)+$T$7,2),$T$7*2,$T$7)),"")</f>
        <v/>
      </c>
      <c r="T130" s="3" t="str">
        <f>IF($K130&lt;&gt;"",IF($A130="Prepago",0,IF(ROUND(($H130+SUM($B$12:$B130))*$T$8,2)&gt;ROUND(SUM($T$11:$T129)+$T$8,2),$T$8*2,$T$8)),"")</f>
        <v/>
      </c>
      <c r="U130" s="3" t="str">
        <f t="shared" si="48"/>
        <v/>
      </c>
      <c r="V130" s="3" t="str">
        <f t="shared" si="37"/>
        <v/>
      </c>
      <c r="W130" s="3" t="str">
        <f t="shared" si="49"/>
        <v/>
      </c>
      <c r="X130" s="3" t="str">
        <f>IF($K130&lt;&gt;"",IF($M130&gt;X$11,30,$M130)*ROUND(($N130+$V129)*$U$5/3000,2),"")</f>
        <v/>
      </c>
      <c r="Y130" s="3" t="str">
        <f>IF($K130&lt;&gt;"",IF($M130&gt;X$11,IF($M130&lt;Y$11,$M130-X$11,30),0)*ROUND(($N130+$V129+SUM($X130:X130))*$U$5/3000,2),"")</f>
        <v/>
      </c>
      <c r="Z130" s="3"/>
      <c r="AA130" s="3"/>
    </row>
    <row r="131" spans="5:27" x14ac:dyDescent="0.25">
      <c r="E131" s="5"/>
      <c r="F131" t="str">
        <f t="shared" si="38"/>
        <v/>
      </c>
      <c r="G131" s="5" t="str">
        <f>IF($K131&lt;&gt;"",IF(DAY(EOMONTH(DATE(YEAR($M$6),$G$11+K131+SUM($B$12:B131),1),0))&gt;DAY($M$7),DATE(YEAR($M$7),MONTH($M$7)+($A$1*($H131-1))+SUM($B$12:$B131),DAY($M$7)),EOMONTH(DATE(YEAR($M$6),$G$11+K131+SUM($B$12:B131),1),0)),"")</f>
        <v/>
      </c>
      <c r="H131" s="22" t="str">
        <f t="shared" si="39"/>
        <v/>
      </c>
      <c r="I131" s="22" t="str">
        <f t="shared" si="40"/>
        <v/>
      </c>
      <c r="J131" s="22" t="str">
        <f t="shared" si="41"/>
        <v/>
      </c>
      <c r="K131" t="str">
        <f t="shared" si="42"/>
        <v/>
      </c>
      <c r="L131" s="5" t="str">
        <f>IF($K131&lt;&gt;"",IF($E131="",IF(ULTIMODIA=0,DATE(YEAR($M$7),MONTH($M$7)+($A$1*($H131-1))+SUM($B$12:$B131),DAY($M$7)),$G131),$E131),"")</f>
        <v/>
      </c>
      <c r="M131" s="9" t="str">
        <f t="shared" si="43"/>
        <v/>
      </c>
      <c r="N131" s="3" t="str">
        <f t="shared" si="44"/>
        <v/>
      </c>
      <c r="O131" s="3" t="str">
        <f t="shared" si="45"/>
        <v/>
      </c>
      <c r="P131" s="3" t="str">
        <f t="shared" si="46"/>
        <v/>
      </c>
      <c r="Q131" s="3" t="str">
        <f t="shared" si="47"/>
        <v/>
      </c>
      <c r="R131" s="3" t="str">
        <f>IF($K131&lt;&gt;"",IF($A131="Prepago",0,IF(ROUND(($H131+SUM($B$12:$B131))*$T$6,2)&gt;ROUND(SUM($R$11:$R130)+$T$6,2),$T$6*2,$T$6)),"")</f>
        <v/>
      </c>
      <c r="S131" s="3" t="str">
        <f>IF($K131&lt;&gt;"",IF($A131="Prepago",0,IF(ROUND(($H131+SUM($B$12:$B131))*$T$7,2)&gt;ROUND(SUM($S$11:$S130)+$T$7,2),$T$7*2,$T$7)),"")</f>
        <v/>
      </c>
      <c r="T131" s="3" t="str">
        <f>IF($K131&lt;&gt;"",IF($A131="Prepago",0,IF(ROUND(($H131+SUM($B$12:$B131))*$T$8,2)&gt;ROUND(SUM($T$11:$T130)+$T$8,2),$T$8*2,$T$8)),"")</f>
        <v/>
      </c>
      <c r="U131" s="3" t="str">
        <f t="shared" si="48"/>
        <v/>
      </c>
      <c r="V131" s="3" t="str">
        <f t="shared" si="37"/>
        <v/>
      </c>
      <c r="W131" s="3" t="str">
        <f t="shared" si="49"/>
        <v/>
      </c>
      <c r="X131" s="3" t="str">
        <f>IF($K131&lt;&gt;"",IF($M131&gt;X$11,30,$M131)*ROUND(($N131+$V130)*$U$5/3000,2),"")</f>
        <v/>
      </c>
      <c r="Y131" s="3" t="str">
        <f>IF($K131&lt;&gt;"",IF($M131&gt;X$11,IF($M131&lt;Y$11,$M131-X$11,30),0)*ROUND(($N131+$V130+SUM($X131:X131))*$U$5/3000,2),"")</f>
        <v/>
      </c>
      <c r="Z131" s="3"/>
      <c r="AA131" s="3"/>
    </row>
    <row r="132" spans="5:27" x14ac:dyDescent="0.25">
      <c r="E132" s="5"/>
      <c r="F132" t="str">
        <f t="shared" si="38"/>
        <v/>
      </c>
      <c r="G132" s="5" t="str">
        <f>IF($K132&lt;&gt;"",IF(DAY(EOMONTH(DATE(YEAR($M$6),$G$11+K132+SUM($B$12:B132),1),0))&gt;DAY($M$7),DATE(YEAR($M$7),MONTH($M$7)+($A$1*($H132-1))+SUM($B$12:$B132),DAY($M$7)),EOMONTH(DATE(YEAR($M$6),$G$11+K132+SUM($B$12:B132),1),0)),"")</f>
        <v/>
      </c>
      <c r="H132" s="22" t="str">
        <f t="shared" si="39"/>
        <v/>
      </c>
      <c r="I132" s="22" t="str">
        <f t="shared" si="40"/>
        <v/>
      </c>
      <c r="J132" s="22" t="str">
        <f t="shared" si="41"/>
        <v/>
      </c>
      <c r="K132" t="str">
        <f t="shared" si="42"/>
        <v/>
      </c>
      <c r="L132" s="5" t="str">
        <f>IF($K132&lt;&gt;"",IF($E132="",IF(ULTIMODIA=0,DATE(YEAR($M$7),MONTH($M$7)+($A$1*($H132-1))+SUM($B$12:$B132),DAY($M$7)),$G132),$E132),"")</f>
        <v/>
      </c>
      <c r="M132" s="9" t="str">
        <f t="shared" si="43"/>
        <v/>
      </c>
      <c r="N132" s="3" t="str">
        <f t="shared" si="44"/>
        <v/>
      </c>
      <c r="O132" s="3" t="str">
        <f t="shared" si="45"/>
        <v/>
      </c>
      <c r="P132" s="3" t="str">
        <f t="shared" si="46"/>
        <v/>
      </c>
      <c r="Q132" s="3" t="str">
        <f t="shared" si="47"/>
        <v/>
      </c>
      <c r="R132" s="3" t="str">
        <f>IF($K132&lt;&gt;"",IF($A132="Prepago",0,IF(ROUND(($H132+SUM($B$12:$B132))*$T$6,2)&gt;ROUND(SUM($R$11:$R131)+$T$6,2),$T$6*2,$T$6)),"")</f>
        <v/>
      </c>
      <c r="S132" s="3" t="str">
        <f>IF($K132&lt;&gt;"",IF($A132="Prepago",0,IF(ROUND(($H132+SUM($B$12:$B132))*$T$7,2)&gt;ROUND(SUM($S$11:$S131)+$T$7,2),$T$7*2,$T$7)),"")</f>
        <v/>
      </c>
      <c r="T132" s="3" t="str">
        <f>IF($K132&lt;&gt;"",IF($A132="Prepago",0,IF(ROUND(($H132+SUM($B$12:$B132))*$T$8,2)&gt;ROUND(SUM($T$11:$T131)+$T$8,2),$T$8*2,$T$8)),"")</f>
        <v/>
      </c>
      <c r="U132" s="3" t="str">
        <f t="shared" si="48"/>
        <v/>
      </c>
      <c r="V132" s="3" t="str">
        <f t="shared" si="37"/>
        <v/>
      </c>
      <c r="W132" s="3" t="str">
        <f t="shared" si="49"/>
        <v/>
      </c>
      <c r="X132" s="3" t="str">
        <f>IF($K132&lt;&gt;"",IF($M132&gt;X$11,30,$M132)*ROUND(($N132+$V131)*$U$5/3000,2),"")</f>
        <v/>
      </c>
      <c r="Y132" s="3" t="str">
        <f>IF($K132&lt;&gt;"",IF($M132&gt;X$11,IF($M132&lt;Y$11,$M132-X$11,30),0)*ROUND(($N132+$V131+SUM($X132:X132))*$U$5/3000,2),"")</f>
        <v/>
      </c>
      <c r="Z132" s="3"/>
      <c r="AA132" s="3"/>
    </row>
    <row r="133" spans="5:27" x14ac:dyDescent="0.25">
      <c r="E133" s="5"/>
      <c r="F133" t="str">
        <f t="shared" si="38"/>
        <v/>
      </c>
      <c r="G133" s="5" t="str">
        <f>IF($K133&lt;&gt;"",IF(DAY(EOMONTH(DATE(YEAR($M$6),$G$11+K133+SUM($B$12:B133),1),0))&gt;DAY($M$7),DATE(YEAR($M$7),MONTH($M$7)+($A$1*($H133-1))+SUM($B$12:$B133),DAY($M$7)),EOMONTH(DATE(YEAR($M$6),$G$11+K133+SUM($B$12:B133),1),0)),"")</f>
        <v/>
      </c>
      <c r="H133" s="22" t="str">
        <f t="shared" si="39"/>
        <v/>
      </c>
      <c r="I133" s="22" t="str">
        <f t="shared" si="40"/>
        <v/>
      </c>
      <c r="J133" s="22" t="str">
        <f t="shared" si="41"/>
        <v/>
      </c>
      <c r="K133" t="str">
        <f t="shared" si="42"/>
        <v/>
      </c>
      <c r="L133" s="5" t="str">
        <f>IF($K133&lt;&gt;"",IF($E133="",IF(ULTIMODIA=0,DATE(YEAR($M$7),MONTH($M$7)+($A$1*($H133-1))+SUM($B$12:$B133),DAY($M$7)),$G133),$E133),"")</f>
        <v/>
      </c>
      <c r="M133" s="9" t="str">
        <f t="shared" si="43"/>
        <v/>
      </c>
      <c r="N133" s="3" t="str">
        <f t="shared" si="44"/>
        <v/>
      </c>
      <c r="O133" s="3" t="str">
        <f t="shared" si="45"/>
        <v/>
      </c>
      <c r="P133" s="3" t="str">
        <f t="shared" si="46"/>
        <v/>
      </c>
      <c r="Q133" s="3" t="str">
        <f t="shared" si="47"/>
        <v/>
      </c>
      <c r="R133" s="3" t="str">
        <f>IF($K133&lt;&gt;"",IF($A133="Prepago",0,IF(ROUND(($H133+SUM($B$12:$B133))*$T$6,2)&gt;ROUND(SUM($R$11:$R132)+$T$6,2),$T$6*2,$T$6)),"")</f>
        <v/>
      </c>
      <c r="S133" s="3" t="str">
        <f>IF($K133&lt;&gt;"",IF($A133="Prepago",0,IF(ROUND(($H133+SUM($B$12:$B133))*$T$7,2)&gt;ROUND(SUM($S$11:$S132)+$T$7,2),$T$7*2,$T$7)),"")</f>
        <v/>
      </c>
      <c r="T133" s="3" t="str">
        <f>IF($K133&lt;&gt;"",IF($A133="Prepago",0,IF(ROUND(($H133+SUM($B$12:$B133))*$T$8,2)&gt;ROUND(SUM($T$11:$T132)+$T$8,2),$T$8*2,$T$8)),"")</f>
        <v/>
      </c>
      <c r="U133" s="3" t="str">
        <f t="shared" si="48"/>
        <v/>
      </c>
      <c r="V133" s="3" t="str">
        <f t="shared" si="37"/>
        <v/>
      </c>
      <c r="W133" s="3" t="str">
        <f t="shared" si="49"/>
        <v/>
      </c>
      <c r="X133" s="3" t="str">
        <f>IF($K133&lt;&gt;"",IF($M133&gt;X$11,30,$M133)*ROUND(($N133+$V132)*$U$5/3000,2),"")</f>
        <v/>
      </c>
      <c r="Y133" s="3" t="str">
        <f>IF($K133&lt;&gt;"",IF($M133&gt;X$11,IF($M133&lt;Y$11,$M133-X$11,30),0)*ROUND(($N133+$V132+SUM($X133:X133))*$U$5/3000,2),"")</f>
        <v/>
      </c>
      <c r="Z133" s="3"/>
      <c r="AA133" s="3"/>
    </row>
    <row r="134" spans="5:27" x14ac:dyDescent="0.25">
      <c r="E134" s="5"/>
      <c r="F134" t="str">
        <f t="shared" si="38"/>
        <v/>
      </c>
      <c r="G134" s="5" t="str">
        <f>IF($K134&lt;&gt;"",IF(DAY(EOMONTH(DATE(YEAR($M$6),$G$11+K134+SUM($B$12:B134),1),0))&gt;DAY($M$7),DATE(YEAR($M$7),MONTH($M$7)+($A$1*($H134-1))+SUM($B$12:$B134),DAY($M$7)),EOMONTH(DATE(YEAR($M$6),$G$11+K134+SUM($B$12:B134),1),0)),"")</f>
        <v/>
      </c>
      <c r="H134" s="22" t="str">
        <f t="shared" si="39"/>
        <v/>
      </c>
      <c r="I134" s="22" t="str">
        <f t="shared" si="40"/>
        <v/>
      </c>
      <c r="J134" s="22" t="str">
        <f t="shared" si="41"/>
        <v/>
      </c>
      <c r="K134" t="str">
        <f t="shared" si="42"/>
        <v/>
      </c>
      <c r="L134" s="5" t="str">
        <f>IF($K134&lt;&gt;"",IF($E134="",IF(ULTIMODIA=0,DATE(YEAR($M$7),MONTH($M$7)+($A$1*($H134-1))+SUM($B$12:$B134),DAY($M$7)),$G134),$E134),"")</f>
        <v/>
      </c>
      <c r="M134" s="9" t="str">
        <f t="shared" si="43"/>
        <v/>
      </c>
      <c r="N134" s="3" t="str">
        <f t="shared" si="44"/>
        <v/>
      </c>
      <c r="O134" s="3" t="str">
        <f t="shared" si="45"/>
        <v/>
      </c>
      <c r="P134" s="3" t="str">
        <f t="shared" si="46"/>
        <v/>
      </c>
      <c r="Q134" s="3" t="str">
        <f t="shared" si="47"/>
        <v/>
      </c>
      <c r="R134" s="3" t="str">
        <f>IF($K134&lt;&gt;"",IF($A134="Prepago",0,IF(ROUND(($H134+SUM($B$12:$B134))*$T$6,2)&gt;ROUND(SUM($R$11:$R133)+$T$6,2),$T$6*2,$T$6)),"")</f>
        <v/>
      </c>
      <c r="S134" s="3" t="str">
        <f>IF($K134&lt;&gt;"",IF($A134="Prepago",0,IF(ROUND(($H134+SUM($B$12:$B134))*$T$7,2)&gt;ROUND(SUM($S$11:$S133)+$T$7,2),$T$7*2,$T$7)),"")</f>
        <v/>
      </c>
      <c r="T134" s="3" t="str">
        <f>IF($K134&lt;&gt;"",IF($A134="Prepago",0,IF(ROUND(($H134+SUM($B$12:$B134))*$T$8,2)&gt;ROUND(SUM($T$11:$T133)+$T$8,2),$T$8*2,$T$8)),"")</f>
        <v/>
      </c>
      <c r="U134" s="3" t="str">
        <f t="shared" si="48"/>
        <v/>
      </c>
      <c r="V134" s="3" t="str">
        <f t="shared" si="37"/>
        <v/>
      </c>
      <c r="W134" s="3" t="str">
        <f t="shared" si="49"/>
        <v/>
      </c>
      <c r="X134" s="3" t="str">
        <f>IF($K134&lt;&gt;"",IF($M134&gt;X$11,30,$M134)*ROUND(($N134+$V133)*$U$5/3000,2),"")</f>
        <v/>
      </c>
      <c r="Y134" s="3" t="str">
        <f>IF($K134&lt;&gt;"",IF($M134&gt;X$11,IF($M134&lt;Y$11,$M134-X$11,30),0)*ROUND(($N134+$V133+SUM($X134:X134))*$U$5/3000,2),"")</f>
        <v/>
      </c>
      <c r="Z134" s="3"/>
      <c r="AA134" s="3"/>
    </row>
    <row r="135" spans="5:27" x14ac:dyDescent="0.25">
      <c r="E135" s="5"/>
      <c r="F135" t="str">
        <f t="shared" si="38"/>
        <v/>
      </c>
      <c r="G135" s="5" t="str">
        <f>IF($K135&lt;&gt;"",IF(DAY(EOMONTH(DATE(YEAR($M$6),$G$11+K135+SUM($B$12:B135),1),0))&gt;DAY($M$7),DATE(YEAR($M$7),MONTH($M$7)+($A$1*($H135-1))+SUM($B$12:$B135),DAY($M$7)),EOMONTH(DATE(YEAR($M$6),$G$11+K135+SUM($B$12:B135),1),0)),"")</f>
        <v/>
      </c>
      <c r="H135" s="22" t="str">
        <f t="shared" si="39"/>
        <v/>
      </c>
      <c r="I135" s="22" t="str">
        <f t="shared" si="40"/>
        <v/>
      </c>
      <c r="J135" s="22" t="str">
        <f t="shared" si="41"/>
        <v/>
      </c>
      <c r="K135" t="str">
        <f t="shared" si="42"/>
        <v/>
      </c>
      <c r="L135" s="5" t="str">
        <f>IF($K135&lt;&gt;"",IF($E135="",IF(ULTIMODIA=0,DATE(YEAR($M$7),MONTH($M$7)+($A$1*($H135-1))+SUM($B$12:$B135),DAY($M$7)),$G135),$E135),"")</f>
        <v/>
      </c>
      <c r="M135" s="9" t="str">
        <f t="shared" si="43"/>
        <v/>
      </c>
      <c r="N135" s="3" t="str">
        <f t="shared" si="44"/>
        <v/>
      </c>
      <c r="O135" s="3" t="str">
        <f t="shared" si="45"/>
        <v/>
      </c>
      <c r="P135" s="3" t="str">
        <f t="shared" si="46"/>
        <v/>
      </c>
      <c r="Q135" s="3" t="str">
        <f t="shared" si="47"/>
        <v/>
      </c>
      <c r="R135" s="3" t="str">
        <f>IF($K135&lt;&gt;"",IF($A135="Prepago",0,IF(ROUND(($H135+SUM($B$12:$B135))*$T$6,2)&gt;ROUND(SUM($R$11:$R134)+$T$6,2),$T$6*2,$T$6)),"")</f>
        <v/>
      </c>
      <c r="S135" s="3" t="str">
        <f>IF($K135&lt;&gt;"",IF($A135="Prepago",0,IF(ROUND(($H135+SUM($B$12:$B135))*$T$7,2)&gt;ROUND(SUM($S$11:$S134)+$T$7,2),$T$7*2,$T$7)),"")</f>
        <v/>
      </c>
      <c r="T135" s="3" t="str">
        <f>IF($K135&lt;&gt;"",IF($A135="Prepago",0,IF(ROUND(($H135+SUM($B$12:$B135))*$T$8,2)&gt;ROUND(SUM($T$11:$T134)+$T$8,2),$T$8*2,$T$8)),"")</f>
        <v/>
      </c>
      <c r="U135" s="3" t="str">
        <f t="shared" si="48"/>
        <v/>
      </c>
      <c r="V135" s="3" t="str">
        <f t="shared" si="37"/>
        <v/>
      </c>
      <c r="W135" s="3" t="str">
        <f t="shared" si="49"/>
        <v/>
      </c>
      <c r="X135" s="3" t="str">
        <f>IF($K135&lt;&gt;"",IF($M135&gt;X$11,30,$M135)*ROUND(($N135+$V134)*$U$5/3000,2),"")</f>
        <v/>
      </c>
      <c r="Y135" s="3" t="str">
        <f>IF($K135&lt;&gt;"",IF($M135&gt;X$11,IF($M135&lt;Y$11,$M135-X$11,30),0)*ROUND(($N135+$V134+SUM($X135:X135))*$U$5/3000,2),"")</f>
        <v/>
      </c>
      <c r="Z135" s="3"/>
      <c r="AA135" s="3"/>
    </row>
    <row r="136" spans="5:27" x14ac:dyDescent="0.25">
      <c r="E136" s="5"/>
      <c r="F136" t="str">
        <f t="shared" si="38"/>
        <v/>
      </c>
      <c r="G136" s="5" t="str">
        <f>IF($K136&lt;&gt;"",IF(DAY(EOMONTH(DATE(YEAR($M$6),$G$11+K136+SUM($B$12:B136),1),0))&gt;DAY($M$7),DATE(YEAR($M$7),MONTH($M$7)+($A$1*($H136-1))+SUM($B$12:$B136),DAY($M$7)),EOMONTH(DATE(YEAR($M$6),$G$11+K136+SUM($B$12:B136),1),0)),"")</f>
        <v/>
      </c>
      <c r="H136" s="22" t="str">
        <f t="shared" si="39"/>
        <v/>
      </c>
      <c r="I136" s="22" t="str">
        <f t="shared" si="40"/>
        <v/>
      </c>
      <c r="J136" s="22" t="str">
        <f t="shared" si="41"/>
        <v/>
      </c>
      <c r="K136" t="str">
        <f t="shared" si="42"/>
        <v/>
      </c>
      <c r="L136" s="5" t="str">
        <f>IF($K136&lt;&gt;"",IF($E136="",IF(ULTIMODIA=0,DATE(YEAR($M$7),MONTH($M$7)+($A$1*($H136-1))+SUM($B$12:$B136),DAY($M$7)),$G136),$E136),"")</f>
        <v/>
      </c>
      <c r="M136" s="9" t="str">
        <f t="shared" si="43"/>
        <v/>
      </c>
      <c r="N136" s="3" t="str">
        <f t="shared" si="44"/>
        <v/>
      </c>
      <c r="O136" s="3" t="str">
        <f t="shared" si="45"/>
        <v/>
      </c>
      <c r="P136" s="3" t="str">
        <f t="shared" si="46"/>
        <v/>
      </c>
      <c r="Q136" s="3" t="str">
        <f t="shared" si="47"/>
        <v/>
      </c>
      <c r="R136" s="3" t="str">
        <f>IF($K136&lt;&gt;"",IF($A136="Prepago",0,IF(ROUND(($H136+SUM($B$12:$B136))*$T$6,2)&gt;ROUND(SUM($R$11:$R135)+$T$6,2),$T$6*2,$T$6)),"")</f>
        <v/>
      </c>
      <c r="S136" s="3" t="str">
        <f>IF($K136&lt;&gt;"",IF($A136="Prepago",0,IF(ROUND(($H136+SUM($B$12:$B136))*$T$7,2)&gt;ROUND(SUM($S$11:$S135)+$T$7,2),$T$7*2,$T$7)),"")</f>
        <v/>
      </c>
      <c r="T136" s="3" t="str">
        <f>IF($K136&lt;&gt;"",IF($A136="Prepago",0,IF(ROUND(($H136+SUM($B$12:$B136))*$T$8,2)&gt;ROUND(SUM($T$11:$T135)+$T$8,2),$T$8*2,$T$8)),"")</f>
        <v/>
      </c>
      <c r="U136" s="3" t="str">
        <f t="shared" si="48"/>
        <v/>
      </c>
      <c r="V136" s="3" t="str">
        <f t="shared" si="37"/>
        <v/>
      </c>
      <c r="W136" s="3" t="str">
        <f t="shared" si="49"/>
        <v/>
      </c>
      <c r="X136" s="3" t="str">
        <f>IF($K136&lt;&gt;"",IF($M136&gt;X$11,30,$M136)*ROUND(($N136+$V135)*$U$5/3000,2),"")</f>
        <v/>
      </c>
      <c r="Y136" s="3" t="str">
        <f>IF($K136&lt;&gt;"",IF($M136&gt;X$11,IF($M136&lt;Y$11,$M136-X$11,30),0)*ROUND(($N136+$V135+SUM($X136:X136))*$U$5/3000,2),"")</f>
        <v/>
      </c>
      <c r="Z136" s="3"/>
      <c r="AA136" s="3"/>
    </row>
    <row r="137" spans="5:27" x14ac:dyDescent="0.25">
      <c r="E137" s="5"/>
      <c r="F137" t="str">
        <f t="shared" si="38"/>
        <v/>
      </c>
      <c r="G137" s="5" t="str">
        <f>IF($K137&lt;&gt;"",IF(DAY(EOMONTH(DATE(YEAR($M$6),$G$11+K137+SUM($B$12:B137),1),0))&gt;DAY($M$7),DATE(YEAR($M$7),MONTH($M$7)+($A$1*($H137-1))+SUM($B$12:$B137),DAY($M$7)),EOMONTH(DATE(YEAR($M$6),$G$11+K137+SUM($B$12:B137),1),0)),"")</f>
        <v/>
      </c>
      <c r="H137" s="22" t="str">
        <f t="shared" si="39"/>
        <v/>
      </c>
      <c r="I137" s="22" t="str">
        <f t="shared" si="40"/>
        <v/>
      </c>
      <c r="J137" s="22" t="str">
        <f t="shared" si="41"/>
        <v/>
      </c>
      <c r="K137" t="str">
        <f t="shared" si="42"/>
        <v/>
      </c>
      <c r="L137" s="5" t="str">
        <f>IF($K137&lt;&gt;"",IF($E137="",IF(ULTIMODIA=0,DATE(YEAR($M$7),MONTH($M$7)+($A$1*($H137-1))+SUM($B$12:$B137),DAY($M$7)),$G137),$E137),"")</f>
        <v/>
      </c>
      <c r="M137" s="9" t="str">
        <f t="shared" si="43"/>
        <v/>
      </c>
      <c r="N137" s="3" t="str">
        <f t="shared" si="44"/>
        <v/>
      </c>
      <c r="O137" s="3" t="str">
        <f t="shared" si="45"/>
        <v/>
      </c>
      <c r="P137" s="3" t="str">
        <f t="shared" si="46"/>
        <v/>
      </c>
      <c r="Q137" s="3" t="str">
        <f t="shared" si="47"/>
        <v/>
      </c>
      <c r="R137" s="3" t="str">
        <f>IF($K137&lt;&gt;"",IF($A137="Prepago",0,IF(ROUND(($H137+SUM($B$12:$B137))*$T$6,2)&gt;ROUND(SUM($R$11:$R136)+$T$6,2),$T$6*2,$T$6)),"")</f>
        <v/>
      </c>
      <c r="S137" s="3" t="str">
        <f>IF($K137&lt;&gt;"",IF($A137="Prepago",0,IF(ROUND(($H137+SUM($B$12:$B137))*$T$7,2)&gt;ROUND(SUM($S$11:$S136)+$T$7,2),$T$7*2,$T$7)),"")</f>
        <v/>
      </c>
      <c r="T137" s="3" t="str">
        <f>IF($K137&lt;&gt;"",IF($A137="Prepago",0,IF(ROUND(($H137+SUM($B$12:$B137))*$T$8,2)&gt;ROUND(SUM($T$11:$T136)+$T$8,2),$T$8*2,$T$8)),"")</f>
        <v/>
      </c>
      <c r="U137" s="3" t="str">
        <f t="shared" si="48"/>
        <v/>
      </c>
      <c r="V137" s="3" t="str">
        <f t="shared" si="37"/>
        <v/>
      </c>
      <c r="W137" s="3" t="str">
        <f t="shared" si="49"/>
        <v/>
      </c>
      <c r="X137" s="3" t="str">
        <f>IF($K137&lt;&gt;"",IF($M137&gt;X$11,30,$M137)*ROUND(($N137+$V136)*$U$5/3000,2),"")</f>
        <v/>
      </c>
      <c r="Y137" s="3" t="str">
        <f>IF($K137&lt;&gt;"",IF($M137&gt;X$11,IF($M137&lt;Y$11,$M137-X$11,30),0)*ROUND(($N137+$V136+SUM($X137:X137))*$U$5/3000,2),"")</f>
        <v/>
      </c>
      <c r="Z137" s="3"/>
      <c r="AA137" s="3"/>
    </row>
    <row r="138" spans="5:27" x14ac:dyDescent="0.25">
      <c r="E138" s="5"/>
      <c r="F138" t="str">
        <f t="shared" si="38"/>
        <v/>
      </c>
      <c r="G138" s="5" t="str">
        <f>IF($K138&lt;&gt;"",IF(DAY(EOMONTH(DATE(YEAR($M$6),$G$11+K138+SUM($B$12:B138),1),0))&gt;DAY($M$7),DATE(YEAR($M$7),MONTH($M$7)+($A$1*($H138-1))+SUM($B$12:$B138),DAY($M$7)),EOMONTH(DATE(YEAR($M$6),$G$11+K138+SUM($B$12:B138),1),0)),"")</f>
        <v/>
      </c>
      <c r="H138" s="22" t="str">
        <f t="shared" si="39"/>
        <v/>
      </c>
      <c r="I138" s="22" t="str">
        <f t="shared" si="40"/>
        <v/>
      </c>
      <c r="J138" s="22" t="str">
        <f t="shared" si="41"/>
        <v/>
      </c>
      <c r="K138" t="str">
        <f t="shared" si="42"/>
        <v/>
      </c>
      <c r="L138" s="5" t="str">
        <f>IF($K138&lt;&gt;"",IF($E138="",IF(ULTIMODIA=0,DATE(YEAR($M$7),MONTH($M$7)+($A$1*($H138-1))+SUM($B$12:$B138),DAY($M$7)),$G138),$E138),"")</f>
        <v/>
      </c>
      <c r="M138" s="9" t="str">
        <f t="shared" si="43"/>
        <v/>
      </c>
      <c r="N138" s="3" t="str">
        <f t="shared" si="44"/>
        <v/>
      </c>
      <c r="O138" s="3" t="str">
        <f t="shared" si="45"/>
        <v/>
      </c>
      <c r="P138" s="3" t="str">
        <f t="shared" si="46"/>
        <v/>
      </c>
      <c r="Q138" s="3" t="str">
        <f t="shared" si="47"/>
        <v/>
      </c>
      <c r="R138" s="3" t="str">
        <f>IF($K138&lt;&gt;"",IF($A138="Prepago",0,IF(ROUND(($H138+SUM($B$12:$B138))*$T$6,2)&gt;ROUND(SUM($R$11:$R137)+$T$6,2),$T$6*2,$T$6)),"")</f>
        <v/>
      </c>
      <c r="S138" s="3" t="str">
        <f>IF($K138&lt;&gt;"",IF($A138="Prepago",0,IF(ROUND(($H138+SUM($B$12:$B138))*$T$7,2)&gt;ROUND(SUM($S$11:$S137)+$T$7,2),$T$7*2,$T$7)),"")</f>
        <v/>
      </c>
      <c r="T138" s="3" t="str">
        <f>IF($K138&lt;&gt;"",IF($A138="Prepago",0,IF(ROUND(($H138+SUM($B$12:$B138))*$T$8,2)&gt;ROUND(SUM($T$11:$T137)+$T$8,2),$T$8*2,$T$8)),"")</f>
        <v/>
      </c>
      <c r="U138" s="3" t="str">
        <f t="shared" si="48"/>
        <v/>
      </c>
      <c r="V138" s="3" t="str">
        <f t="shared" si="37"/>
        <v/>
      </c>
      <c r="W138" s="3" t="str">
        <f t="shared" si="49"/>
        <v/>
      </c>
      <c r="X138" s="3" t="str">
        <f>IF($K138&lt;&gt;"",IF($M138&gt;X$11,30,$M138)*ROUND(($N138+$V137)*$U$5/3000,2),"")</f>
        <v/>
      </c>
      <c r="Y138" s="3" t="str">
        <f>IF($K138&lt;&gt;"",IF($M138&gt;X$11,IF($M138&lt;Y$11,$M138-X$11,30),0)*ROUND(($N138+$V137+SUM($X138:X138))*$U$5/3000,2),"")</f>
        <v/>
      </c>
      <c r="Z138" s="3"/>
      <c r="AA138" s="3"/>
    </row>
    <row r="139" spans="5:27" x14ac:dyDescent="0.25">
      <c r="E139" s="5"/>
      <c r="F139" t="str">
        <f t="shared" si="38"/>
        <v/>
      </c>
      <c r="G139" s="5" t="str">
        <f>IF($K139&lt;&gt;"",IF(DAY(EOMONTH(DATE(YEAR($M$6),$G$11+K139+SUM($B$12:B139),1),0))&gt;DAY($M$7),DATE(YEAR($M$7),MONTH($M$7)+($A$1*($H139-1))+SUM($B$12:$B139),DAY($M$7)),EOMONTH(DATE(YEAR($M$6),$G$11+K139+SUM($B$12:B139),1),0)),"")</f>
        <v/>
      </c>
      <c r="H139" s="22" t="str">
        <f t="shared" si="39"/>
        <v/>
      </c>
      <c r="I139" s="22" t="str">
        <f t="shared" si="40"/>
        <v/>
      </c>
      <c r="J139" s="22" t="str">
        <f t="shared" si="41"/>
        <v/>
      </c>
      <c r="K139" t="str">
        <f t="shared" si="42"/>
        <v/>
      </c>
      <c r="L139" s="5" t="str">
        <f>IF($K139&lt;&gt;"",IF($E139="",IF(ULTIMODIA=0,DATE(YEAR($M$7),MONTH($M$7)+($A$1*($H139-1))+SUM($B$12:$B139),DAY($M$7)),$G139),$E139),"")</f>
        <v/>
      </c>
      <c r="M139" s="9" t="str">
        <f t="shared" si="43"/>
        <v/>
      </c>
      <c r="N139" s="3" t="str">
        <f t="shared" si="44"/>
        <v/>
      </c>
      <c r="O139" s="3" t="str">
        <f t="shared" si="45"/>
        <v/>
      </c>
      <c r="P139" s="3" t="str">
        <f t="shared" si="46"/>
        <v/>
      </c>
      <c r="Q139" s="3" t="str">
        <f t="shared" si="47"/>
        <v/>
      </c>
      <c r="R139" s="3" t="str">
        <f>IF($K139&lt;&gt;"",IF($A139="Prepago",0,IF(ROUND(($H139+SUM($B$12:$B139))*$T$6,2)&gt;ROUND(SUM($R$11:$R138)+$T$6,2),$T$6*2,$T$6)),"")</f>
        <v/>
      </c>
      <c r="S139" s="3" t="str">
        <f>IF($K139&lt;&gt;"",IF($A139="Prepago",0,IF(ROUND(($H139+SUM($B$12:$B139))*$T$7,2)&gt;ROUND(SUM($S$11:$S138)+$T$7,2),$T$7*2,$T$7)),"")</f>
        <v/>
      </c>
      <c r="T139" s="3" t="str">
        <f>IF($K139&lt;&gt;"",IF($A139="Prepago",0,IF(ROUND(($H139+SUM($B$12:$B139))*$T$8,2)&gt;ROUND(SUM($T$11:$T138)+$T$8,2),$T$8*2,$T$8)),"")</f>
        <v/>
      </c>
      <c r="U139" s="3" t="str">
        <f t="shared" si="48"/>
        <v/>
      </c>
      <c r="V139" s="3" t="str">
        <f t="shared" si="37"/>
        <v/>
      </c>
      <c r="W139" s="3" t="str">
        <f t="shared" si="49"/>
        <v/>
      </c>
      <c r="X139" s="3" t="str">
        <f>IF($K139&lt;&gt;"",IF($M139&gt;X$11,30,$M139)*ROUND(($N139+$V138)*$U$5/3000,2),"")</f>
        <v/>
      </c>
      <c r="Y139" s="3" t="str">
        <f>IF($K139&lt;&gt;"",IF($M139&gt;X$11,IF($M139&lt;Y$11,$M139-X$11,30),0)*ROUND(($N139+$V138+SUM($X139:X139))*$U$5/3000,2),"")</f>
        <v/>
      </c>
      <c r="Z139" s="3"/>
      <c r="AA139" s="3"/>
    </row>
    <row r="140" spans="5:27" x14ac:dyDescent="0.25">
      <c r="E140" s="5"/>
      <c r="F140" t="str">
        <f t="shared" ref="F140:F171" si="50">IF($K140&lt;&gt;"",TEXT(L140,"DDD"),"")</f>
        <v/>
      </c>
      <c r="G140" s="5" t="str">
        <f>IF($K140&lt;&gt;"",IF(DAY(EOMONTH(DATE(YEAR($M$6),$G$11+K140+SUM($B$12:B140),1),0))&gt;DAY($M$7),DATE(YEAR($M$7),MONTH($M$7)+($A$1*($H140-1))+SUM($B$12:$B140),DAY($M$7)),EOMONTH(DATE(YEAR($M$6),$G$11+K140+SUM($B$12:B140),1),0)),"")</f>
        <v/>
      </c>
      <c r="H140" s="22" t="str">
        <f t="shared" ref="H140:H171" si="51">IF($K140&lt;&gt;"",IF($A140="Prepago",$H139,$H139+1),"")</f>
        <v/>
      </c>
      <c r="I140" s="22" t="str">
        <f t="shared" ref="I140:I171" si="52">IF($K140&lt;&gt;"",IF(ISNUMBER($C140),-$P140+$W140-$Q140,ABS($W140)+$R140+$S140+$T140),"")</f>
        <v/>
      </c>
      <c r="J140" s="22" t="str">
        <f t="shared" ref="J140:J171" si="53">IF(K140&lt;&gt;"",IF(COUNTA($X140:$XFD140)*30&lt;$M140,1,0),"")</f>
        <v/>
      </c>
      <c r="K140" t="str">
        <f t="shared" ref="K140:K171" si="54">IF($K139&lt;NCUOTAS+CUOTAADICIONAL+PGRACIA,$K139+1,"")</f>
        <v/>
      </c>
      <c r="L140" s="5" t="str">
        <f>IF($K140&lt;&gt;"",IF($E140="",IF(ULTIMODIA=0,DATE(YEAR($M$7),MONTH($M$7)+($A$1*($H140-1))+SUM($B$12:$B140),DAY($M$7)),$G140),$E140),"")</f>
        <v/>
      </c>
      <c r="M140" s="9" t="str">
        <f t="shared" ref="M140:M171" si="55">IF($K140&lt;&gt;"",$L140-$L139,"")</f>
        <v/>
      </c>
      <c r="N140" s="3" t="str">
        <f t="shared" ref="N140:N171" si="56">IF($K140&lt;&gt;"",$U139,"")</f>
        <v/>
      </c>
      <c r="O140" s="3" t="str">
        <f t="shared" ref="O140:O171" si="57">IF($K140&lt;&gt;"",IF($A140="Gracia Parcial",IF(AND($C140&lt;$W140+$R140+$S140+$T140+$V139,$C140&gt;0),$C140,$W140+$R140+$S140+$T140+$V139),IF($A140="Gracia Total",0,IF($A140="Prepago",$C140,IF(ISNUMBER($C140),$C140*VALUE(MID($C$1,MONTH($L140),1)),$P$5*VALUE(MID($C$1,MONTH($L140),1))))))-IF($K141="",ARREGLO,0),"")</f>
        <v/>
      </c>
      <c r="P140" s="3" t="str">
        <f t="shared" ref="P140:P171" si="58">IF($K140&lt;&gt;"",IF($O140-$Q140&gt;0,$O140-$Q140-$R140-$S140-$T140,0),"")</f>
        <v/>
      </c>
      <c r="Q140" s="3" t="str">
        <f t="shared" ref="Q140:Q171" si="59">IF($K140&lt;&gt;"",IF($O140&gt;=IF($D140="",$W140,$D140)+$V139+$R140+$S140+$T140,IF($D140="",$W140,$D140)+$V139,$O140-$R140-$S140-$T140),"")</f>
        <v/>
      </c>
      <c r="R140" s="3" t="str">
        <f>IF($K140&lt;&gt;"",IF($A140="Prepago",0,IF(ROUND(($H140+SUM($B$12:$B140))*$T$6,2)&gt;ROUND(SUM($R$11:$R139)+$T$6,2),$T$6*2,$T$6)),"")</f>
        <v/>
      </c>
      <c r="S140" s="3" t="str">
        <f>IF($K140&lt;&gt;"",IF($A140="Prepago",0,IF(ROUND(($H140+SUM($B$12:$B140))*$T$7,2)&gt;ROUND(SUM($S$11:$S139)+$T$7,2),$T$7*2,$T$7)),"")</f>
        <v/>
      </c>
      <c r="T140" s="3" t="str">
        <f>IF($K140&lt;&gt;"",IF($A140="Prepago",0,IF(ROUND(($H140+SUM($B$12:$B140))*$T$8,2)&gt;ROUND(SUM($T$11:$T139)+$T$8,2),$T$8*2,$T$8)),"")</f>
        <v/>
      </c>
      <c r="U140" s="3" t="str">
        <f t="shared" ref="U140:U171" si="60">IF($K140&lt;&gt;"",$N140-$P140,"")</f>
        <v/>
      </c>
      <c r="V140" s="3" t="str">
        <f t="shared" si="37"/>
        <v/>
      </c>
      <c r="W140" s="3" t="str">
        <f t="shared" ref="W140:W171" si="61">IF($K140&lt;&gt;"",SUM($X140:$XFD140),"")</f>
        <v/>
      </c>
      <c r="X140" s="3" t="str">
        <f>IF($K140&lt;&gt;"",IF($M140&gt;X$11,30,$M140)*ROUND(($N140+$V139)*$U$5/3000,2),"")</f>
        <v/>
      </c>
      <c r="Y140" s="3" t="str">
        <f>IF($K140&lt;&gt;"",IF($M140&gt;X$11,IF($M140&lt;Y$11,$M140-X$11,30),0)*ROUND(($N140+$V139+SUM($X140:X140))*$U$5/3000,2),"")</f>
        <v/>
      </c>
      <c r="Z140" s="3"/>
      <c r="AA140" s="3"/>
    </row>
    <row r="141" spans="5:27" x14ac:dyDescent="0.25">
      <c r="E141" s="5"/>
      <c r="F141" t="str">
        <f t="shared" si="50"/>
        <v/>
      </c>
      <c r="G141" s="5" t="str">
        <f>IF($K141&lt;&gt;"",IF(DAY(EOMONTH(DATE(YEAR($M$6),$G$11+K141+SUM($B$12:B141),1),0))&gt;DAY($M$7),DATE(YEAR($M$7),MONTH($M$7)+($A$1*($H141-1))+SUM($B$12:$B141),DAY($M$7)),EOMONTH(DATE(YEAR($M$6),$G$11+K141+SUM($B$12:B141),1),0)),"")</f>
        <v/>
      </c>
      <c r="H141" s="22" t="str">
        <f t="shared" si="51"/>
        <v/>
      </c>
      <c r="I141" s="22" t="str">
        <f t="shared" si="52"/>
        <v/>
      </c>
      <c r="J141" s="22" t="str">
        <f t="shared" si="53"/>
        <v/>
      </c>
      <c r="K141" t="str">
        <f t="shared" si="54"/>
        <v/>
      </c>
      <c r="L141" s="5" t="str">
        <f>IF($K141&lt;&gt;"",IF($E141="",IF(ULTIMODIA=0,DATE(YEAR($M$7),MONTH($M$7)+($A$1*($H141-1))+SUM($B$12:$B141),DAY($M$7)),$G141),$E141),"")</f>
        <v/>
      </c>
      <c r="M141" s="9" t="str">
        <f t="shared" si="55"/>
        <v/>
      </c>
      <c r="N141" s="3" t="str">
        <f t="shared" si="56"/>
        <v/>
      </c>
      <c r="O141" s="3" t="str">
        <f t="shared" si="57"/>
        <v/>
      </c>
      <c r="P141" s="3" t="str">
        <f t="shared" si="58"/>
        <v/>
      </c>
      <c r="Q141" s="3" t="str">
        <f t="shared" si="59"/>
        <v/>
      </c>
      <c r="R141" s="3" t="str">
        <f>IF($K141&lt;&gt;"",IF($A141="Prepago",0,IF(ROUND(($H141+SUM($B$12:$B141))*$T$6,2)&gt;ROUND(SUM($R$11:$R140)+$T$6,2),$T$6*2,$T$6)),"")</f>
        <v/>
      </c>
      <c r="S141" s="3" t="str">
        <f>IF($K141&lt;&gt;"",IF($A141="Prepago",0,IF(ROUND(($H141+SUM($B$12:$B141))*$T$7,2)&gt;ROUND(SUM($S$11:$S140)+$T$7,2),$T$7*2,$T$7)),"")</f>
        <v/>
      </c>
      <c r="T141" s="3" t="str">
        <f>IF($K141&lt;&gt;"",IF($A141="Prepago",0,IF(ROUND(($H141+SUM($B$12:$B141))*$T$8,2)&gt;ROUND(SUM($T$11:$T140)+$T$8,2),$T$8*2,$T$8)),"")</f>
        <v/>
      </c>
      <c r="U141" s="3" t="str">
        <f t="shared" si="60"/>
        <v/>
      </c>
      <c r="V141" s="3" t="str">
        <f t="shared" ref="V141:V204" si="62">IF($K141&lt;&gt;"",+$V140+IF($D141="",$W141,$D141)-$Q141,"")</f>
        <v/>
      </c>
      <c r="W141" s="3" t="str">
        <f t="shared" si="61"/>
        <v/>
      </c>
      <c r="X141" s="3" t="str">
        <f>IF($K141&lt;&gt;"",IF($M141&gt;X$11,30,$M141)*ROUND(($N141+$V140)*$U$5/3000,2),"")</f>
        <v/>
      </c>
      <c r="Y141" s="3" t="str">
        <f>IF($K141&lt;&gt;"",IF($M141&gt;X$11,IF($M141&lt;Y$11,$M141-X$11,30),0)*ROUND(($N141+$V140+SUM($X141:X141))*$U$5/3000,2),"")</f>
        <v/>
      </c>
      <c r="Z141" s="3"/>
      <c r="AA141" s="3"/>
    </row>
    <row r="142" spans="5:27" x14ac:dyDescent="0.25">
      <c r="E142" s="5"/>
      <c r="F142" t="str">
        <f t="shared" si="50"/>
        <v/>
      </c>
      <c r="G142" s="5" t="str">
        <f>IF($K142&lt;&gt;"",IF(DAY(EOMONTH(DATE(YEAR($M$6),$G$11+K142+SUM($B$12:B142),1),0))&gt;DAY($M$7),DATE(YEAR($M$7),MONTH($M$7)+($A$1*($H142-1))+SUM($B$12:$B142),DAY($M$7)),EOMONTH(DATE(YEAR($M$6),$G$11+K142+SUM($B$12:B142),1),0)),"")</f>
        <v/>
      </c>
      <c r="H142" s="22" t="str">
        <f t="shared" si="51"/>
        <v/>
      </c>
      <c r="I142" s="22" t="str">
        <f t="shared" si="52"/>
        <v/>
      </c>
      <c r="J142" s="22" t="str">
        <f t="shared" si="53"/>
        <v/>
      </c>
      <c r="K142" t="str">
        <f t="shared" si="54"/>
        <v/>
      </c>
      <c r="L142" s="5" t="str">
        <f>IF($K142&lt;&gt;"",IF($E142="",IF(ULTIMODIA=0,DATE(YEAR($M$7),MONTH($M$7)+($A$1*($H142-1))+SUM($B$12:$B142),DAY($M$7)),$G142),$E142),"")</f>
        <v/>
      </c>
      <c r="M142" s="9" t="str">
        <f t="shared" si="55"/>
        <v/>
      </c>
      <c r="N142" s="3" t="str">
        <f t="shared" si="56"/>
        <v/>
      </c>
      <c r="O142" s="3" t="str">
        <f t="shared" si="57"/>
        <v/>
      </c>
      <c r="P142" s="3" t="str">
        <f t="shared" si="58"/>
        <v/>
      </c>
      <c r="Q142" s="3" t="str">
        <f t="shared" si="59"/>
        <v/>
      </c>
      <c r="R142" s="3" t="str">
        <f>IF($K142&lt;&gt;"",IF($A142="Prepago",0,IF(ROUND(($H142+SUM($B$12:$B142))*$T$6,2)&gt;ROUND(SUM($R$11:$R141)+$T$6,2),$T$6*2,$T$6)),"")</f>
        <v/>
      </c>
      <c r="S142" s="3" t="str">
        <f>IF($K142&lt;&gt;"",IF($A142="Prepago",0,IF(ROUND(($H142+SUM($B$12:$B142))*$T$7,2)&gt;ROUND(SUM($S$11:$S141)+$T$7,2),$T$7*2,$T$7)),"")</f>
        <v/>
      </c>
      <c r="T142" s="3" t="str">
        <f>IF($K142&lt;&gt;"",IF($A142="Prepago",0,IF(ROUND(($H142+SUM($B$12:$B142))*$T$8,2)&gt;ROUND(SUM($T$11:$T141)+$T$8,2),$T$8*2,$T$8)),"")</f>
        <v/>
      </c>
      <c r="U142" s="3" t="str">
        <f t="shared" si="60"/>
        <v/>
      </c>
      <c r="V142" s="3" t="str">
        <f t="shared" si="62"/>
        <v/>
      </c>
      <c r="W142" s="3" t="str">
        <f t="shared" si="61"/>
        <v/>
      </c>
      <c r="X142" s="3" t="str">
        <f>IF($K142&lt;&gt;"",IF($M142&gt;X$11,30,$M142)*ROUND(($N142+$V141)*$U$5/3000,2),"")</f>
        <v/>
      </c>
      <c r="Y142" s="3" t="str">
        <f>IF($K142&lt;&gt;"",IF($M142&gt;X$11,IF($M142&lt;Y$11,$M142-X$11,30),0)*ROUND(($N142+$V141+SUM($X142:X142))*$U$5/3000,2),"")</f>
        <v/>
      </c>
      <c r="Z142" s="3"/>
      <c r="AA142" s="3"/>
    </row>
    <row r="143" spans="5:27" x14ac:dyDescent="0.25">
      <c r="E143" s="5"/>
      <c r="F143" t="str">
        <f t="shared" si="50"/>
        <v/>
      </c>
      <c r="G143" s="5" t="str">
        <f>IF($K143&lt;&gt;"",IF(DAY(EOMONTH(DATE(YEAR($M$6),$G$11+K143+SUM($B$12:B143),1),0))&gt;DAY($M$7),DATE(YEAR($M$7),MONTH($M$7)+($A$1*($H143-1))+SUM($B$12:$B143),DAY($M$7)),EOMONTH(DATE(YEAR($M$6),$G$11+K143+SUM($B$12:B143),1),0)),"")</f>
        <v/>
      </c>
      <c r="H143" s="22" t="str">
        <f t="shared" si="51"/>
        <v/>
      </c>
      <c r="I143" s="22" t="str">
        <f t="shared" si="52"/>
        <v/>
      </c>
      <c r="J143" s="22" t="str">
        <f t="shared" si="53"/>
        <v/>
      </c>
      <c r="K143" t="str">
        <f t="shared" si="54"/>
        <v/>
      </c>
      <c r="L143" s="5" t="str">
        <f>IF($K143&lt;&gt;"",IF($E143="",IF(ULTIMODIA=0,DATE(YEAR($M$7),MONTH($M$7)+($A$1*($H143-1))+SUM($B$12:$B143),DAY($M$7)),$G143),$E143),"")</f>
        <v/>
      </c>
      <c r="M143" s="9" t="str">
        <f t="shared" si="55"/>
        <v/>
      </c>
      <c r="N143" s="3" t="str">
        <f t="shared" si="56"/>
        <v/>
      </c>
      <c r="O143" s="3" t="str">
        <f t="shared" si="57"/>
        <v/>
      </c>
      <c r="P143" s="3" t="str">
        <f t="shared" si="58"/>
        <v/>
      </c>
      <c r="Q143" s="3" t="str">
        <f t="shared" si="59"/>
        <v/>
      </c>
      <c r="R143" s="3" t="str">
        <f>IF($K143&lt;&gt;"",IF($A143="Prepago",0,IF(ROUND(($H143+SUM($B$12:$B143))*$T$6,2)&gt;ROUND(SUM($R$11:$R142)+$T$6,2),$T$6*2,$T$6)),"")</f>
        <v/>
      </c>
      <c r="S143" s="3" t="str">
        <f>IF($K143&lt;&gt;"",IF($A143="Prepago",0,IF(ROUND(($H143+SUM($B$12:$B143))*$T$7,2)&gt;ROUND(SUM($S$11:$S142)+$T$7,2),$T$7*2,$T$7)),"")</f>
        <v/>
      </c>
      <c r="T143" s="3" t="str">
        <f>IF($K143&lt;&gt;"",IF($A143="Prepago",0,IF(ROUND(($H143+SUM($B$12:$B143))*$T$8,2)&gt;ROUND(SUM($T$11:$T142)+$T$8,2),$T$8*2,$T$8)),"")</f>
        <v/>
      </c>
      <c r="U143" s="3" t="str">
        <f t="shared" si="60"/>
        <v/>
      </c>
      <c r="V143" s="3" t="str">
        <f t="shared" si="62"/>
        <v/>
      </c>
      <c r="W143" s="3" t="str">
        <f t="shared" si="61"/>
        <v/>
      </c>
      <c r="X143" s="3" t="str">
        <f>IF($K143&lt;&gt;"",IF($M143&gt;X$11,30,$M143)*ROUND(($N143+$V142)*$U$5/3000,2),"")</f>
        <v/>
      </c>
      <c r="Y143" s="3" t="str">
        <f>IF($K143&lt;&gt;"",IF($M143&gt;X$11,IF($M143&lt;Y$11,$M143-X$11,30),0)*ROUND(($N143+$V142+SUM($X143:X143))*$U$5/3000,2),"")</f>
        <v/>
      </c>
      <c r="Z143" s="3"/>
      <c r="AA143" s="3"/>
    </row>
    <row r="144" spans="5:27" x14ac:dyDescent="0.25">
      <c r="E144" s="5"/>
      <c r="F144" t="str">
        <f t="shared" si="50"/>
        <v/>
      </c>
      <c r="G144" s="5" t="str">
        <f>IF($K144&lt;&gt;"",IF(DAY(EOMONTH(DATE(YEAR($M$6),$G$11+K144+SUM($B$12:B144),1),0))&gt;DAY($M$7),DATE(YEAR($M$7),MONTH($M$7)+($A$1*($H144-1))+SUM($B$12:$B144),DAY($M$7)),EOMONTH(DATE(YEAR($M$6),$G$11+K144+SUM($B$12:B144),1),0)),"")</f>
        <v/>
      </c>
      <c r="H144" s="22" t="str">
        <f t="shared" si="51"/>
        <v/>
      </c>
      <c r="I144" s="22" t="str">
        <f t="shared" si="52"/>
        <v/>
      </c>
      <c r="J144" s="22" t="str">
        <f t="shared" si="53"/>
        <v/>
      </c>
      <c r="K144" t="str">
        <f t="shared" si="54"/>
        <v/>
      </c>
      <c r="L144" s="5" t="str">
        <f>IF($K144&lt;&gt;"",IF($E144="",IF(ULTIMODIA=0,DATE(YEAR($M$7),MONTH($M$7)+($A$1*($H144-1))+SUM($B$12:$B144),DAY($M$7)),$G144),$E144),"")</f>
        <v/>
      </c>
      <c r="M144" s="9" t="str">
        <f t="shared" si="55"/>
        <v/>
      </c>
      <c r="N144" s="3" t="str">
        <f t="shared" si="56"/>
        <v/>
      </c>
      <c r="O144" s="3" t="str">
        <f t="shared" si="57"/>
        <v/>
      </c>
      <c r="P144" s="3" t="str">
        <f t="shared" si="58"/>
        <v/>
      </c>
      <c r="Q144" s="3" t="str">
        <f t="shared" si="59"/>
        <v/>
      </c>
      <c r="R144" s="3" t="str">
        <f>IF($K144&lt;&gt;"",IF($A144="Prepago",0,IF(ROUND(($H144+SUM($B$12:$B144))*$T$6,2)&gt;ROUND(SUM($R$11:$R143)+$T$6,2),$T$6*2,$T$6)),"")</f>
        <v/>
      </c>
      <c r="S144" s="3" t="str">
        <f>IF($K144&lt;&gt;"",IF($A144="Prepago",0,IF(ROUND(($H144+SUM($B$12:$B144))*$T$7,2)&gt;ROUND(SUM($S$11:$S143)+$T$7,2),$T$7*2,$T$7)),"")</f>
        <v/>
      </c>
      <c r="T144" s="3" t="str">
        <f>IF($K144&lt;&gt;"",IF($A144="Prepago",0,IF(ROUND(($H144+SUM($B$12:$B144))*$T$8,2)&gt;ROUND(SUM($T$11:$T143)+$T$8,2),$T$8*2,$T$8)),"")</f>
        <v/>
      </c>
      <c r="U144" s="3" t="str">
        <f t="shared" si="60"/>
        <v/>
      </c>
      <c r="V144" s="3" t="str">
        <f t="shared" si="62"/>
        <v/>
      </c>
      <c r="W144" s="3" t="str">
        <f t="shared" si="61"/>
        <v/>
      </c>
      <c r="X144" s="3" t="str">
        <f>IF($K144&lt;&gt;"",IF($M144&gt;X$11,30,$M144)*ROUND(($N144+$V143)*$U$5/3000,2),"")</f>
        <v/>
      </c>
      <c r="Y144" s="3" t="str">
        <f>IF($K144&lt;&gt;"",IF($M144&gt;X$11,IF($M144&lt;Y$11,$M144-X$11,30),0)*ROUND(($N144+$V143+SUM($X144:X144))*$U$5/3000,2),"")</f>
        <v/>
      </c>
      <c r="Z144" s="3"/>
      <c r="AA144" s="3"/>
    </row>
    <row r="145" spans="5:27" x14ac:dyDescent="0.25">
      <c r="E145" s="5"/>
      <c r="F145" t="str">
        <f t="shared" si="50"/>
        <v/>
      </c>
      <c r="G145" s="5" t="str">
        <f>IF($K145&lt;&gt;"",IF(DAY(EOMONTH(DATE(YEAR($M$6),$G$11+K145+SUM($B$12:B145),1),0))&gt;DAY($M$7),DATE(YEAR($M$7),MONTH($M$7)+($A$1*($H145-1))+SUM($B$12:$B145),DAY($M$7)),EOMONTH(DATE(YEAR($M$6),$G$11+K145+SUM($B$12:B145),1),0)),"")</f>
        <v/>
      </c>
      <c r="H145" s="22" t="str">
        <f t="shared" si="51"/>
        <v/>
      </c>
      <c r="I145" s="22" t="str">
        <f t="shared" si="52"/>
        <v/>
      </c>
      <c r="J145" s="22" t="str">
        <f t="shared" si="53"/>
        <v/>
      </c>
      <c r="K145" t="str">
        <f t="shared" si="54"/>
        <v/>
      </c>
      <c r="L145" s="5" t="str">
        <f>IF($K145&lt;&gt;"",IF($E145="",IF(ULTIMODIA=0,DATE(YEAR($M$7),MONTH($M$7)+($A$1*($H145-1))+SUM($B$12:$B145),DAY($M$7)),$G145),$E145),"")</f>
        <v/>
      </c>
      <c r="M145" s="9" t="str">
        <f t="shared" si="55"/>
        <v/>
      </c>
      <c r="N145" s="3" t="str">
        <f t="shared" si="56"/>
        <v/>
      </c>
      <c r="O145" s="3" t="str">
        <f t="shared" si="57"/>
        <v/>
      </c>
      <c r="P145" s="3" t="str">
        <f t="shared" si="58"/>
        <v/>
      </c>
      <c r="Q145" s="3" t="str">
        <f t="shared" si="59"/>
        <v/>
      </c>
      <c r="R145" s="3" t="str">
        <f>IF($K145&lt;&gt;"",IF($A145="Prepago",0,IF(ROUND(($H145+SUM($B$12:$B145))*$T$6,2)&gt;ROUND(SUM($R$11:$R144)+$T$6,2),$T$6*2,$T$6)),"")</f>
        <v/>
      </c>
      <c r="S145" s="3" t="str">
        <f>IF($K145&lt;&gt;"",IF($A145="Prepago",0,IF(ROUND(($H145+SUM($B$12:$B145))*$T$7,2)&gt;ROUND(SUM($S$11:$S144)+$T$7,2),$T$7*2,$T$7)),"")</f>
        <v/>
      </c>
      <c r="T145" s="3" t="str">
        <f>IF($K145&lt;&gt;"",IF($A145="Prepago",0,IF(ROUND(($H145+SUM($B$12:$B145))*$T$8,2)&gt;ROUND(SUM($T$11:$T144)+$T$8,2),$T$8*2,$T$8)),"")</f>
        <v/>
      </c>
      <c r="U145" s="3" t="str">
        <f t="shared" si="60"/>
        <v/>
      </c>
      <c r="V145" s="3" t="str">
        <f t="shared" si="62"/>
        <v/>
      </c>
      <c r="W145" s="3" t="str">
        <f t="shared" si="61"/>
        <v/>
      </c>
      <c r="X145" s="3" t="str">
        <f>IF($K145&lt;&gt;"",IF($M145&gt;X$11,30,$M145)*ROUND(($N145+$V144)*$U$5/3000,2),"")</f>
        <v/>
      </c>
      <c r="Y145" s="3" t="str">
        <f>IF($K145&lt;&gt;"",IF($M145&gt;X$11,IF($M145&lt;Y$11,$M145-X$11,30),0)*ROUND(($N145+$V144+SUM($X145:X145))*$U$5/3000,2),"")</f>
        <v/>
      </c>
      <c r="Z145" s="3"/>
      <c r="AA145" s="3"/>
    </row>
    <row r="146" spans="5:27" x14ac:dyDescent="0.25">
      <c r="E146" s="5"/>
      <c r="F146" t="str">
        <f t="shared" si="50"/>
        <v/>
      </c>
      <c r="G146" s="5" t="str">
        <f>IF($K146&lt;&gt;"",IF(DAY(EOMONTH(DATE(YEAR($M$6),$G$11+K146+SUM($B$12:B146),1),0))&gt;DAY($M$7),DATE(YEAR($M$7),MONTH($M$7)+($A$1*($H146-1))+SUM($B$12:$B146),DAY($M$7)),EOMONTH(DATE(YEAR($M$6),$G$11+K146+SUM($B$12:B146),1),0)),"")</f>
        <v/>
      </c>
      <c r="H146" s="22" t="str">
        <f t="shared" si="51"/>
        <v/>
      </c>
      <c r="I146" s="22" t="str">
        <f t="shared" si="52"/>
        <v/>
      </c>
      <c r="J146" s="22" t="str">
        <f t="shared" si="53"/>
        <v/>
      </c>
      <c r="K146" t="str">
        <f t="shared" si="54"/>
        <v/>
      </c>
      <c r="L146" s="5" t="str">
        <f>IF($K146&lt;&gt;"",IF($E146="",IF(ULTIMODIA=0,DATE(YEAR($M$7),MONTH($M$7)+($A$1*($H146-1))+SUM($B$12:$B146),DAY($M$7)),$G146),$E146),"")</f>
        <v/>
      </c>
      <c r="M146" s="9" t="str">
        <f t="shared" si="55"/>
        <v/>
      </c>
      <c r="N146" s="3" t="str">
        <f t="shared" si="56"/>
        <v/>
      </c>
      <c r="O146" s="3" t="str">
        <f t="shared" si="57"/>
        <v/>
      </c>
      <c r="P146" s="3" t="str">
        <f t="shared" si="58"/>
        <v/>
      </c>
      <c r="Q146" s="3" t="str">
        <f t="shared" si="59"/>
        <v/>
      </c>
      <c r="R146" s="3" t="str">
        <f>IF($K146&lt;&gt;"",IF($A146="Prepago",0,IF(ROUND(($H146+SUM($B$12:$B146))*$T$6,2)&gt;ROUND(SUM($R$11:$R145)+$T$6,2),$T$6*2,$T$6)),"")</f>
        <v/>
      </c>
      <c r="S146" s="3" t="str">
        <f>IF($K146&lt;&gt;"",IF($A146="Prepago",0,IF(ROUND(($H146+SUM($B$12:$B146))*$T$7,2)&gt;ROUND(SUM($S$11:$S145)+$T$7,2),$T$7*2,$T$7)),"")</f>
        <v/>
      </c>
      <c r="T146" s="3" t="str">
        <f>IF($K146&lt;&gt;"",IF($A146="Prepago",0,IF(ROUND(($H146+SUM($B$12:$B146))*$T$8,2)&gt;ROUND(SUM($T$11:$T145)+$T$8,2),$T$8*2,$T$8)),"")</f>
        <v/>
      </c>
      <c r="U146" s="3" t="str">
        <f t="shared" si="60"/>
        <v/>
      </c>
      <c r="V146" s="3" t="str">
        <f t="shared" si="62"/>
        <v/>
      </c>
      <c r="W146" s="3" t="str">
        <f t="shared" si="61"/>
        <v/>
      </c>
      <c r="X146" s="3" t="str">
        <f>IF($K146&lt;&gt;"",IF($M146&gt;X$11,30,$M146)*ROUND(($N146+$V145)*$U$5/3000,2),"")</f>
        <v/>
      </c>
      <c r="Y146" s="3" t="str">
        <f>IF($K146&lt;&gt;"",IF($M146&gt;X$11,IF($M146&lt;Y$11,$M146-X$11,30),0)*ROUND(($N146+$V145+SUM($X146:X146))*$U$5/3000,2),"")</f>
        <v/>
      </c>
      <c r="Z146" s="3"/>
      <c r="AA146" s="3"/>
    </row>
    <row r="147" spans="5:27" x14ac:dyDescent="0.25">
      <c r="E147" s="5"/>
      <c r="F147" t="str">
        <f t="shared" si="50"/>
        <v/>
      </c>
      <c r="G147" s="5" t="str">
        <f>IF($K147&lt;&gt;"",IF(DAY(EOMONTH(DATE(YEAR($M$6),$G$11+K147+SUM($B$12:B147),1),0))&gt;DAY($M$7),DATE(YEAR($M$7),MONTH($M$7)+($A$1*($H147-1))+SUM($B$12:$B147),DAY($M$7)),EOMONTH(DATE(YEAR($M$6),$G$11+K147+SUM($B$12:B147),1),0)),"")</f>
        <v/>
      </c>
      <c r="H147" s="22" t="str">
        <f t="shared" si="51"/>
        <v/>
      </c>
      <c r="I147" s="22" t="str">
        <f t="shared" si="52"/>
        <v/>
      </c>
      <c r="J147" s="22" t="str">
        <f t="shared" si="53"/>
        <v/>
      </c>
      <c r="K147" t="str">
        <f t="shared" si="54"/>
        <v/>
      </c>
      <c r="L147" s="5" t="str">
        <f>IF($K147&lt;&gt;"",IF($E147="",IF(ULTIMODIA=0,DATE(YEAR($M$7),MONTH($M$7)+($A$1*($H147-1))+SUM($B$12:$B147),DAY($M$7)),$G147),$E147),"")</f>
        <v/>
      </c>
      <c r="M147" s="9" t="str">
        <f t="shared" si="55"/>
        <v/>
      </c>
      <c r="N147" s="3" t="str">
        <f t="shared" si="56"/>
        <v/>
      </c>
      <c r="O147" s="3" t="str">
        <f t="shared" si="57"/>
        <v/>
      </c>
      <c r="P147" s="3" t="str">
        <f t="shared" si="58"/>
        <v/>
      </c>
      <c r="Q147" s="3" t="str">
        <f t="shared" si="59"/>
        <v/>
      </c>
      <c r="R147" s="3" t="str">
        <f>IF($K147&lt;&gt;"",IF($A147="Prepago",0,IF(ROUND(($H147+SUM($B$12:$B147))*$T$6,2)&gt;ROUND(SUM($R$11:$R146)+$T$6,2),$T$6*2,$T$6)),"")</f>
        <v/>
      </c>
      <c r="S147" s="3" t="str">
        <f>IF($K147&lt;&gt;"",IF($A147="Prepago",0,IF(ROUND(($H147+SUM($B$12:$B147))*$T$7,2)&gt;ROUND(SUM($S$11:$S146)+$T$7,2),$T$7*2,$T$7)),"")</f>
        <v/>
      </c>
      <c r="T147" s="3" t="str">
        <f>IF($K147&lt;&gt;"",IF($A147="Prepago",0,IF(ROUND(($H147+SUM($B$12:$B147))*$T$8,2)&gt;ROUND(SUM($T$11:$T146)+$T$8,2),$T$8*2,$T$8)),"")</f>
        <v/>
      </c>
      <c r="U147" s="3" t="str">
        <f t="shared" si="60"/>
        <v/>
      </c>
      <c r="V147" s="3" t="str">
        <f t="shared" si="62"/>
        <v/>
      </c>
      <c r="W147" s="3" t="str">
        <f t="shared" si="61"/>
        <v/>
      </c>
      <c r="X147" s="3" t="str">
        <f>IF($K147&lt;&gt;"",IF($M147&gt;X$11,30,$M147)*ROUND(($N147+$V146)*$U$5/3000,2),"")</f>
        <v/>
      </c>
      <c r="Y147" s="3" t="str">
        <f>IF($K147&lt;&gt;"",IF($M147&gt;X$11,IF($M147&lt;Y$11,$M147-X$11,30),0)*ROUND(($N147+$V146+SUM($X147:X147))*$U$5/3000,2),"")</f>
        <v/>
      </c>
      <c r="Z147" s="3"/>
      <c r="AA147" s="3"/>
    </row>
    <row r="148" spans="5:27" x14ac:dyDescent="0.25">
      <c r="E148" s="5"/>
      <c r="F148" t="str">
        <f t="shared" si="50"/>
        <v/>
      </c>
      <c r="G148" s="5" t="str">
        <f>IF($K148&lt;&gt;"",IF(DAY(EOMONTH(DATE(YEAR($M$6),$G$11+K148+SUM($B$12:B148),1),0))&gt;DAY($M$7),DATE(YEAR($M$7),MONTH($M$7)+($A$1*($H148-1))+SUM($B$12:$B148),DAY($M$7)),EOMONTH(DATE(YEAR($M$6),$G$11+K148+SUM($B$12:B148),1),0)),"")</f>
        <v/>
      </c>
      <c r="H148" s="22" t="str">
        <f t="shared" si="51"/>
        <v/>
      </c>
      <c r="I148" s="22" t="str">
        <f t="shared" si="52"/>
        <v/>
      </c>
      <c r="J148" s="22" t="str">
        <f t="shared" si="53"/>
        <v/>
      </c>
      <c r="K148" t="str">
        <f t="shared" si="54"/>
        <v/>
      </c>
      <c r="L148" s="5" t="str">
        <f>IF($K148&lt;&gt;"",IF($E148="",IF(ULTIMODIA=0,DATE(YEAR($M$7),MONTH($M$7)+($A$1*($H148-1))+SUM($B$12:$B148),DAY($M$7)),$G148),$E148),"")</f>
        <v/>
      </c>
      <c r="M148" s="9" t="str">
        <f t="shared" si="55"/>
        <v/>
      </c>
      <c r="N148" s="3" t="str">
        <f t="shared" si="56"/>
        <v/>
      </c>
      <c r="O148" s="3" t="str">
        <f t="shared" si="57"/>
        <v/>
      </c>
      <c r="P148" s="3" t="str">
        <f t="shared" si="58"/>
        <v/>
      </c>
      <c r="Q148" s="3" t="str">
        <f t="shared" si="59"/>
        <v/>
      </c>
      <c r="R148" s="3" t="str">
        <f>IF($K148&lt;&gt;"",IF($A148="Prepago",0,IF(ROUND(($H148+SUM($B$12:$B148))*$T$6,2)&gt;ROUND(SUM($R$11:$R147)+$T$6,2),$T$6*2,$T$6)),"")</f>
        <v/>
      </c>
      <c r="S148" s="3" t="str">
        <f>IF($K148&lt;&gt;"",IF($A148="Prepago",0,IF(ROUND(($H148+SUM($B$12:$B148))*$T$7,2)&gt;ROUND(SUM($S$11:$S147)+$T$7,2),$T$7*2,$T$7)),"")</f>
        <v/>
      </c>
      <c r="T148" s="3" t="str">
        <f>IF($K148&lt;&gt;"",IF($A148="Prepago",0,IF(ROUND(($H148+SUM($B$12:$B148))*$T$8,2)&gt;ROUND(SUM($T$11:$T147)+$T$8,2),$T$8*2,$T$8)),"")</f>
        <v/>
      </c>
      <c r="U148" s="3" t="str">
        <f t="shared" si="60"/>
        <v/>
      </c>
      <c r="V148" s="3" t="str">
        <f t="shared" si="62"/>
        <v/>
      </c>
      <c r="W148" s="3" t="str">
        <f t="shared" si="61"/>
        <v/>
      </c>
      <c r="X148" s="3" t="str">
        <f>IF($K148&lt;&gt;"",IF($M148&gt;X$11,30,$M148)*ROUND(($N148+$V147)*$U$5/3000,2),"")</f>
        <v/>
      </c>
      <c r="Y148" s="3" t="str">
        <f>IF($K148&lt;&gt;"",IF($M148&gt;X$11,IF($M148&lt;Y$11,$M148-X$11,30),0)*ROUND(($N148+$V147+SUM($X148:X148))*$U$5/3000,2),"")</f>
        <v/>
      </c>
      <c r="Z148" s="3"/>
      <c r="AA148" s="3"/>
    </row>
    <row r="149" spans="5:27" x14ac:dyDescent="0.25">
      <c r="E149" s="5"/>
      <c r="F149" t="str">
        <f t="shared" si="50"/>
        <v/>
      </c>
      <c r="G149" s="5" t="str">
        <f>IF($K149&lt;&gt;"",IF(DAY(EOMONTH(DATE(YEAR($M$6),$G$11+K149+SUM($B$12:B149),1),0))&gt;DAY($M$7),DATE(YEAR($M$7),MONTH($M$7)+($A$1*($H149-1))+SUM($B$12:$B149),DAY($M$7)),EOMONTH(DATE(YEAR($M$6),$G$11+K149+SUM($B$12:B149),1),0)),"")</f>
        <v/>
      </c>
      <c r="H149" s="22" t="str">
        <f t="shared" si="51"/>
        <v/>
      </c>
      <c r="I149" s="22" t="str">
        <f t="shared" si="52"/>
        <v/>
      </c>
      <c r="J149" s="22" t="str">
        <f t="shared" si="53"/>
        <v/>
      </c>
      <c r="K149" t="str">
        <f t="shared" si="54"/>
        <v/>
      </c>
      <c r="L149" s="5" t="str">
        <f>IF($K149&lt;&gt;"",IF($E149="",IF(ULTIMODIA=0,DATE(YEAR($M$7),MONTH($M$7)+($A$1*($H149-1))+SUM($B$12:$B149),DAY($M$7)),$G149),$E149),"")</f>
        <v/>
      </c>
      <c r="M149" s="9" t="str">
        <f t="shared" si="55"/>
        <v/>
      </c>
      <c r="N149" s="3" t="str">
        <f t="shared" si="56"/>
        <v/>
      </c>
      <c r="O149" s="3" t="str">
        <f t="shared" si="57"/>
        <v/>
      </c>
      <c r="P149" s="3" t="str">
        <f t="shared" si="58"/>
        <v/>
      </c>
      <c r="Q149" s="3" t="str">
        <f t="shared" si="59"/>
        <v/>
      </c>
      <c r="R149" s="3" t="str">
        <f>IF($K149&lt;&gt;"",IF($A149="Prepago",0,IF(ROUND(($H149+SUM($B$12:$B149))*$T$6,2)&gt;ROUND(SUM($R$11:$R148)+$T$6,2),$T$6*2,$T$6)),"")</f>
        <v/>
      </c>
      <c r="S149" s="3" t="str">
        <f>IF($K149&lt;&gt;"",IF($A149="Prepago",0,IF(ROUND(($H149+SUM($B$12:$B149))*$T$7,2)&gt;ROUND(SUM($S$11:$S148)+$T$7,2),$T$7*2,$T$7)),"")</f>
        <v/>
      </c>
      <c r="T149" s="3" t="str">
        <f>IF($K149&lt;&gt;"",IF($A149="Prepago",0,IF(ROUND(($H149+SUM($B$12:$B149))*$T$8,2)&gt;ROUND(SUM($T$11:$T148)+$T$8,2),$T$8*2,$T$8)),"")</f>
        <v/>
      </c>
      <c r="U149" s="3" t="str">
        <f t="shared" si="60"/>
        <v/>
      </c>
      <c r="V149" s="3" t="str">
        <f t="shared" si="62"/>
        <v/>
      </c>
      <c r="W149" s="3" t="str">
        <f t="shared" si="61"/>
        <v/>
      </c>
      <c r="X149" s="3" t="str">
        <f>IF($K149&lt;&gt;"",IF($M149&gt;X$11,30,$M149)*ROUND(($N149+$V148)*$U$5/3000,2),"")</f>
        <v/>
      </c>
      <c r="Y149" s="3" t="str">
        <f>IF($K149&lt;&gt;"",IF($M149&gt;X$11,IF($M149&lt;Y$11,$M149-X$11,30),0)*ROUND(($N149+$V148+SUM($X149:X149))*$U$5/3000,2),"")</f>
        <v/>
      </c>
      <c r="Z149" s="3"/>
      <c r="AA149" s="3"/>
    </row>
    <row r="150" spans="5:27" x14ac:dyDescent="0.25">
      <c r="E150" s="5"/>
      <c r="F150" t="str">
        <f t="shared" si="50"/>
        <v/>
      </c>
      <c r="G150" s="5" t="str">
        <f>IF($K150&lt;&gt;"",IF(DAY(EOMONTH(DATE(YEAR($M$6),$G$11+K150+SUM($B$12:B150),1),0))&gt;DAY($M$7),DATE(YEAR($M$7),MONTH($M$7)+($A$1*($H150-1))+SUM($B$12:$B150),DAY($M$7)),EOMONTH(DATE(YEAR($M$6),$G$11+K150+SUM($B$12:B150),1),0)),"")</f>
        <v/>
      </c>
      <c r="H150" s="22" t="str">
        <f t="shared" si="51"/>
        <v/>
      </c>
      <c r="I150" s="22" t="str">
        <f t="shared" si="52"/>
        <v/>
      </c>
      <c r="J150" s="22" t="str">
        <f t="shared" si="53"/>
        <v/>
      </c>
      <c r="K150" t="str">
        <f t="shared" si="54"/>
        <v/>
      </c>
      <c r="L150" s="5" t="str">
        <f>IF($K150&lt;&gt;"",IF($E150="",IF(ULTIMODIA=0,DATE(YEAR($M$7),MONTH($M$7)+($A$1*($H150-1))+SUM($B$12:$B150),DAY($M$7)),$G150),$E150),"")</f>
        <v/>
      </c>
      <c r="M150" s="9" t="str">
        <f t="shared" si="55"/>
        <v/>
      </c>
      <c r="N150" s="3" t="str">
        <f t="shared" si="56"/>
        <v/>
      </c>
      <c r="O150" s="3" t="str">
        <f t="shared" si="57"/>
        <v/>
      </c>
      <c r="P150" s="3" t="str">
        <f t="shared" si="58"/>
        <v/>
      </c>
      <c r="Q150" s="3" t="str">
        <f t="shared" si="59"/>
        <v/>
      </c>
      <c r="R150" s="3" t="str">
        <f>IF($K150&lt;&gt;"",IF($A150="Prepago",0,IF(ROUND(($H150+SUM($B$12:$B150))*$T$6,2)&gt;ROUND(SUM($R$11:$R149)+$T$6,2),$T$6*2,$T$6)),"")</f>
        <v/>
      </c>
      <c r="S150" s="3" t="str">
        <f>IF($K150&lt;&gt;"",IF($A150="Prepago",0,IF(ROUND(($H150+SUM($B$12:$B150))*$T$7,2)&gt;ROUND(SUM($S$11:$S149)+$T$7,2),$T$7*2,$T$7)),"")</f>
        <v/>
      </c>
      <c r="T150" s="3" t="str">
        <f>IF($K150&lt;&gt;"",IF($A150="Prepago",0,IF(ROUND(($H150+SUM($B$12:$B150))*$T$8,2)&gt;ROUND(SUM($T$11:$T149)+$T$8,2),$T$8*2,$T$8)),"")</f>
        <v/>
      </c>
      <c r="U150" s="3" t="str">
        <f t="shared" si="60"/>
        <v/>
      </c>
      <c r="V150" s="3" t="str">
        <f t="shared" si="62"/>
        <v/>
      </c>
      <c r="W150" s="3" t="str">
        <f t="shared" si="61"/>
        <v/>
      </c>
      <c r="X150" s="3" t="str">
        <f>IF($K150&lt;&gt;"",IF($M150&gt;X$11,30,$M150)*ROUND(($N150+$V149)*$U$5/3000,2),"")</f>
        <v/>
      </c>
      <c r="Y150" s="3" t="str">
        <f>IF($K150&lt;&gt;"",IF($M150&gt;X$11,IF($M150&lt;Y$11,$M150-X$11,30),0)*ROUND(($N150+$V149+SUM($X150:X150))*$U$5/3000,2),"")</f>
        <v/>
      </c>
      <c r="Z150" s="3"/>
      <c r="AA150" s="3"/>
    </row>
    <row r="151" spans="5:27" x14ac:dyDescent="0.25">
      <c r="E151" s="5"/>
      <c r="F151" t="str">
        <f t="shared" si="50"/>
        <v/>
      </c>
      <c r="G151" s="5" t="str">
        <f>IF($K151&lt;&gt;"",IF(DAY(EOMONTH(DATE(YEAR($M$6),$G$11+K151+SUM($B$12:B151),1),0))&gt;DAY($M$7),DATE(YEAR($M$7),MONTH($M$7)+($A$1*($H151-1))+SUM($B$12:$B151),DAY($M$7)),EOMONTH(DATE(YEAR($M$6),$G$11+K151+SUM($B$12:B151),1),0)),"")</f>
        <v/>
      </c>
      <c r="H151" s="22" t="str">
        <f t="shared" si="51"/>
        <v/>
      </c>
      <c r="I151" s="22" t="str">
        <f t="shared" si="52"/>
        <v/>
      </c>
      <c r="J151" s="22" t="str">
        <f t="shared" si="53"/>
        <v/>
      </c>
      <c r="K151" t="str">
        <f t="shared" si="54"/>
        <v/>
      </c>
      <c r="L151" s="5" t="str">
        <f>IF($K151&lt;&gt;"",IF($E151="",IF(ULTIMODIA=0,DATE(YEAR($M$7),MONTH($M$7)+($A$1*($H151-1))+SUM($B$12:$B151),DAY($M$7)),$G151),$E151),"")</f>
        <v/>
      </c>
      <c r="M151" s="9" t="str">
        <f t="shared" si="55"/>
        <v/>
      </c>
      <c r="N151" s="3" t="str">
        <f t="shared" si="56"/>
        <v/>
      </c>
      <c r="O151" s="3" t="str">
        <f t="shared" si="57"/>
        <v/>
      </c>
      <c r="P151" s="3" t="str">
        <f t="shared" si="58"/>
        <v/>
      </c>
      <c r="Q151" s="3" t="str">
        <f t="shared" si="59"/>
        <v/>
      </c>
      <c r="R151" s="3" t="str">
        <f>IF($K151&lt;&gt;"",IF($A151="Prepago",0,IF(ROUND(($H151+SUM($B$12:$B151))*$T$6,2)&gt;ROUND(SUM($R$11:$R150)+$T$6,2),$T$6*2,$T$6)),"")</f>
        <v/>
      </c>
      <c r="S151" s="3" t="str">
        <f>IF($K151&lt;&gt;"",IF($A151="Prepago",0,IF(ROUND(($H151+SUM($B$12:$B151))*$T$7,2)&gt;ROUND(SUM($S$11:$S150)+$T$7,2),$T$7*2,$T$7)),"")</f>
        <v/>
      </c>
      <c r="T151" s="3" t="str">
        <f>IF($K151&lt;&gt;"",IF($A151="Prepago",0,IF(ROUND(($H151+SUM($B$12:$B151))*$T$8,2)&gt;ROUND(SUM($T$11:$T150)+$T$8,2),$T$8*2,$T$8)),"")</f>
        <v/>
      </c>
      <c r="U151" s="3" t="str">
        <f t="shared" si="60"/>
        <v/>
      </c>
      <c r="V151" s="3" t="str">
        <f t="shared" si="62"/>
        <v/>
      </c>
      <c r="W151" s="3" t="str">
        <f t="shared" si="61"/>
        <v/>
      </c>
      <c r="X151" s="3" t="str">
        <f>IF($K151&lt;&gt;"",IF($M151&gt;X$11,30,$M151)*ROUND(($N151+$V150)*$U$5/3000,2),"")</f>
        <v/>
      </c>
      <c r="Y151" s="3" t="str">
        <f>IF($K151&lt;&gt;"",IF($M151&gt;X$11,IF($M151&lt;Y$11,$M151-X$11,30),0)*ROUND(($N151+$V150+SUM($X151:X151))*$U$5/3000,2),"")</f>
        <v/>
      </c>
      <c r="Z151" s="3"/>
      <c r="AA151" s="3"/>
    </row>
    <row r="152" spans="5:27" x14ac:dyDescent="0.25">
      <c r="E152" s="5"/>
      <c r="F152" t="str">
        <f t="shared" si="50"/>
        <v/>
      </c>
      <c r="G152" s="5" t="str">
        <f>IF($K152&lt;&gt;"",IF(DAY(EOMONTH(DATE(YEAR($M$6),$G$11+K152+SUM($B$12:B152),1),0))&gt;DAY($M$7),DATE(YEAR($M$7),MONTH($M$7)+($A$1*($H152-1))+SUM($B$12:$B152),DAY($M$7)),EOMONTH(DATE(YEAR($M$6),$G$11+K152+SUM($B$12:B152),1),0)),"")</f>
        <v/>
      </c>
      <c r="H152" s="22" t="str">
        <f t="shared" si="51"/>
        <v/>
      </c>
      <c r="I152" s="22" t="str">
        <f t="shared" si="52"/>
        <v/>
      </c>
      <c r="J152" s="22" t="str">
        <f t="shared" si="53"/>
        <v/>
      </c>
      <c r="K152" t="str">
        <f t="shared" si="54"/>
        <v/>
      </c>
      <c r="L152" s="5" t="str">
        <f>IF($K152&lt;&gt;"",IF($E152="",IF(ULTIMODIA=0,DATE(YEAR($M$7),MONTH($M$7)+($A$1*($H152-1))+SUM($B$12:$B152),DAY($M$7)),$G152),$E152),"")</f>
        <v/>
      </c>
      <c r="M152" s="9" t="str">
        <f t="shared" si="55"/>
        <v/>
      </c>
      <c r="N152" s="3" t="str">
        <f t="shared" si="56"/>
        <v/>
      </c>
      <c r="O152" s="3" t="str">
        <f t="shared" si="57"/>
        <v/>
      </c>
      <c r="P152" s="3" t="str">
        <f t="shared" si="58"/>
        <v/>
      </c>
      <c r="Q152" s="3" t="str">
        <f t="shared" si="59"/>
        <v/>
      </c>
      <c r="R152" s="3" t="str">
        <f>IF($K152&lt;&gt;"",IF($A152="Prepago",0,IF(ROUND(($H152+SUM($B$12:$B152))*$T$6,2)&gt;ROUND(SUM($R$11:$R151)+$T$6,2),$T$6*2,$T$6)),"")</f>
        <v/>
      </c>
      <c r="S152" s="3" t="str">
        <f>IF($K152&lt;&gt;"",IF($A152="Prepago",0,IF(ROUND(($H152+SUM($B$12:$B152))*$T$7,2)&gt;ROUND(SUM($S$11:$S151)+$T$7,2),$T$7*2,$T$7)),"")</f>
        <v/>
      </c>
      <c r="T152" s="3" t="str">
        <f>IF($K152&lt;&gt;"",IF($A152="Prepago",0,IF(ROUND(($H152+SUM($B$12:$B152))*$T$8,2)&gt;ROUND(SUM($T$11:$T151)+$T$8,2),$T$8*2,$T$8)),"")</f>
        <v/>
      </c>
      <c r="U152" s="3" t="str">
        <f t="shared" si="60"/>
        <v/>
      </c>
      <c r="V152" s="3" t="str">
        <f t="shared" si="62"/>
        <v/>
      </c>
      <c r="W152" s="3" t="str">
        <f t="shared" si="61"/>
        <v/>
      </c>
      <c r="X152" s="3" t="str">
        <f>IF($K152&lt;&gt;"",IF($M152&gt;X$11,30,$M152)*ROUND(($N152+$V151)*$U$5/3000,2),"")</f>
        <v/>
      </c>
      <c r="Y152" s="3" t="str">
        <f>IF($K152&lt;&gt;"",IF($M152&gt;X$11,IF($M152&lt;Y$11,$M152-X$11,30),0)*ROUND(($N152+$V151+SUM($X152:X152))*$U$5/3000,2),"")</f>
        <v/>
      </c>
      <c r="Z152" s="3"/>
      <c r="AA152" s="3"/>
    </row>
    <row r="153" spans="5:27" x14ac:dyDescent="0.25">
      <c r="E153" s="5"/>
      <c r="F153" t="str">
        <f t="shared" si="50"/>
        <v/>
      </c>
      <c r="G153" s="5" t="str">
        <f>IF($K153&lt;&gt;"",IF(DAY(EOMONTH(DATE(YEAR($M$6),$G$11+K153+SUM($B$12:B153),1),0))&gt;DAY($M$7),DATE(YEAR($M$7),MONTH($M$7)+($A$1*($H153-1))+SUM($B$12:$B153),DAY($M$7)),EOMONTH(DATE(YEAR($M$6),$G$11+K153+SUM($B$12:B153),1),0)),"")</f>
        <v/>
      </c>
      <c r="H153" s="22" t="str">
        <f t="shared" si="51"/>
        <v/>
      </c>
      <c r="I153" s="22" t="str">
        <f t="shared" si="52"/>
        <v/>
      </c>
      <c r="J153" s="22" t="str">
        <f t="shared" si="53"/>
        <v/>
      </c>
      <c r="K153" t="str">
        <f t="shared" si="54"/>
        <v/>
      </c>
      <c r="L153" s="5" t="str">
        <f>IF($K153&lt;&gt;"",IF($E153="",IF(ULTIMODIA=0,DATE(YEAR($M$7),MONTH($M$7)+($A$1*($H153-1))+SUM($B$12:$B153),DAY($M$7)),$G153),$E153),"")</f>
        <v/>
      </c>
      <c r="M153" s="9" t="str">
        <f t="shared" si="55"/>
        <v/>
      </c>
      <c r="N153" s="3" t="str">
        <f t="shared" si="56"/>
        <v/>
      </c>
      <c r="O153" s="3" t="str">
        <f t="shared" si="57"/>
        <v/>
      </c>
      <c r="P153" s="3" t="str">
        <f t="shared" si="58"/>
        <v/>
      </c>
      <c r="Q153" s="3" t="str">
        <f t="shared" si="59"/>
        <v/>
      </c>
      <c r="R153" s="3" t="str">
        <f>IF($K153&lt;&gt;"",IF($A153="Prepago",0,IF(ROUND(($H153+SUM($B$12:$B153))*$T$6,2)&gt;ROUND(SUM($R$11:$R152)+$T$6,2),$T$6*2,$T$6)),"")</f>
        <v/>
      </c>
      <c r="S153" s="3" t="str">
        <f>IF($K153&lt;&gt;"",IF($A153="Prepago",0,IF(ROUND(($H153+SUM($B$12:$B153))*$T$7,2)&gt;ROUND(SUM($S$11:$S152)+$T$7,2),$T$7*2,$T$7)),"")</f>
        <v/>
      </c>
      <c r="T153" s="3" t="str">
        <f>IF($K153&lt;&gt;"",IF($A153="Prepago",0,IF(ROUND(($H153+SUM($B$12:$B153))*$T$8,2)&gt;ROUND(SUM($T$11:$T152)+$T$8,2),$T$8*2,$T$8)),"")</f>
        <v/>
      </c>
      <c r="U153" s="3" t="str">
        <f t="shared" si="60"/>
        <v/>
      </c>
      <c r="V153" s="3" t="str">
        <f t="shared" si="62"/>
        <v/>
      </c>
      <c r="W153" s="3" t="str">
        <f t="shared" si="61"/>
        <v/>
      </c>
      <c r="X153" s="3" t="str">
        <f>IF($K153&lt;&gt;"",IF($M153&gt;X$11,30,$M153)*ROUND(($N153+$V152)*$U$5/3000,2),"")</f>
        <v/>
      </c>
      <c r="Y153" s="3" t="str">
        <f>IF($K153&lt;&gt;"",IF($M153&gt;X$11,IF($M153&lt;Y$11,$M153-X$11,30),0)*ROUND(($N153+$V152+SUM($X153:X153))*$U$5/3000,2),"")</f>
        <v/>
      </c>
      <c r="Z153" s="3"/>
      <c r="AA153" s="3"/>
    </row>
    <row r="154" spans="5:27" x14ac:dyDescent="0.25">
      <c r="E154" s="5"/>
      <c r="F154" t="str">
        <f t="shared" si="50"/>
        <v/>
      </c>
      <c r="G154" s="5" t="str">
        <f>IF($K154&lt;&gt;"",IF(DAY(EOMONTH(DATE(YEAR($M$6),$G$11+K154+SUM($B$12:B154),1),0))&gt;DAY($M$7),DATE(YEAR($M$7),MONTH($M$7)+($A$1*($H154-1))+SUM($B$12:$B154),DAY($M$7)),EOMONTH(DATE(YEAR($M$6),$G$11+K154+SUM($B$12:B154),1),0)),"")</f>
        <v/>
      </c>
      <c r="H154" s="22" t="str">
        <f t="shared" si="51"/>
        <v/>
      </c>
      <c r="I154" s="22" t="str">
        <f t="shared" si="52"/>
        <v/>
      </c>
      <c r="J154" s="22" t="str">
        <f t="shared" si="53"/>
        <v/>
      </c>
      <c r="K154" t="str">
        <f t="shared" si="54"/>
        <v/>
      </c>
      <c r="L154" s="5" t="str">
        <f>IF($K154&lt;&gt;"",IF($E154="",IF(ULTIMODIA=0,DATE(YEAR($M$7),MONTH($M$7)+($A$1*($H154-1))+SUM($B$12:$B154),DAY($M$7)),$G154),$E154),"")</f>
        <v/>
      </c>
      <c r="M154" s="9" t="str">
        <f t="shared" si="55"/>
        <v/>
      </c>
      <c r="N154" s="3" t="str">
        <f t="shared" si="56"/>
        <v/>
      </c>
      <c r="O154" s="3" t="str">
        <f t="shared" si="57"/>
        <v/>
      </c>
      <c r="P154" s="3" t="str">
        <f t="shared" si="58"/>
        <v/>
      </c>
      <c r="Q154" s="3" t="str">
        <f t="shared" si="59"/>
        <v/>
      </c>
      <c r="R154" s="3" t="str">
        <f>IF($K154&lt;&gt;"",IF($A154="Prepago",0,IF(ROUND(($H154+SUM($B$12:$B154))*$T$6,2)&gt;ROUND(SUM($R$11:$R153)+$T$6,2),$T$6*2,$T$6)),"")</f>
        <v/>
      </c>
      <c r="S154" s="3" t="str">
        <f>IF($K154&lt;&gt;"",IF($A154="Prepago",0,IF(ROUND(($H154+SUM($B$12:$B154))*$T$7,2)&gt;ROUND(SUM($S$11:$S153)+$T$7,2),$T$7*2,$T$7)),"")</f>
        <v/>
      </c>
      <c r="T154" s="3" t="str">
        <f>IF($K154&lt;&gt;"",IF($A154="Prepago",0,IF(ROUND(($H154+SUM($B$12:$B154))*$T$8,2)&gt;ROUND(SUM($T$11:$T153)+$T$8,2),$T$8*2,$T$8)),"")</f>
        <v/>
      </c>
      <c r="U154" s="3" t="str">
        <f t="shared" si="60"/>
        <v/>
      </c>
      <c r="V154" s="3" t="str">
        <f t="shared" si="62"/>
        <v/>
      </c>
      <c r="W154" s="3" t="str">
        <f t="shared" si="61"/>
        <v/>
      </c>
      <c r="X154" s="3" t="str">
        <f>IF($K154&lt;&gt;"",IF($M154&gt;X$11,30,$M154)*ROUND(($N154+$V153)*$U$5/3000,2),"")</f>
        <v/>
      </c>
      <c r="Y154" s="3" t="str">
        <f>IF($K154&lt;&gt;"",IF($M154&gt;X$11,IF($M154&lt;Y$11,$M154-X$11,30),0)*ROUND(($N154+$V153+SUM($X154:X154))*$U$5/3000,2),"")</f>
        <v/>
      </c>
      <c r="Z154" s="3"/>
      <c r="AA154" s="3"/>
    </row>
    <row r="155" spans="5:27" x14ac:dyDescent="0.25">
      <c r="E155" s="5"/>
      <c r="F155" t="str">
        <f t="shared" si="50"/>
        <v/>
      </c>
      <c r="G155" s="5" t="str">
        <f>IF($K155&lt;&gt;"",IF(DAY(EOMONTH(DATE(YEAR($M$6),$G$11+K155+SUM($B$12:B155),1),0))&gt;DAY($M$7),DATE(YEAR($M$7),MONTH($M$7)+($A$1*($H155-1))+SUM($B$12:$B155),DAY($M$7)),EOMONTH(DATE(YEAR($M$6),$G$11+K155+SUM($B$12:B155),1),0)),"")</f>
        <v/>
      </c>
      <c r="H155" s="22" t="str">
        <f t="shared" si="51"/>
        <v/>
      </c>
      <c r="I155" s="22" t="str">
        <f t="shared" si="52"/>
        <v/>
      </c>
      <c r="J155" s="22" t="str">
        <f t="shared" si="53"/>
        <v/>
      </c>
      <c r="K155" t="str">
        <f t="shared" si="54"/>
        <v/>
      </c>
      <c r="L155" s="5" t="str">
        <f>IF($K155&lt;&gt;"",IF($E155="",IF(ULTIMODIA=0,DATE(YEAR($M$7),MONTH($M$7)+($A$1*($H155-1))+SUM($B$12:$B155),DAY($M$7)),$G155),$E155),"")</f>
        <v/>
      </c>
      <c r="M155" s="9" t="str">
        <f t="shared" si="55"/>
        <v/>
      </c>
      <c r="N155" s="3" t="str">
        <f t="shared" si="56"/>
        <v/>
      </c>
      <c r="O155" s="3" t="str">
        <f t="shared" si="57"/>
        <v/>
      </c>
      <c r="P155" s="3" t="str">
        <f t="shared" si="58"/>
        <v/>
      </c>
      <c r="Q155" s="3" t="str">
        <f t="shared" si="59"/>
        <v/>
      </c>
      <c r="R155" s="3" t="str">
        <f>IF($K155&lt;&gt;"",IF($A155="Prepago",0,IF(ROUND(($H155+SUM($B$12:$B155))*$T$6,2)&gt;ROUND(SUM($R$11:$R154)+$T$6,2),$T$6*2,$T$6)),"")</f>
        <v/>
      </c>
      <c r="S155" s="3" t="str">
        <f>IF($K155&lt;&gt;"",IF($A155="Prepago",0,IF(ROUND(($H155+SUM($B$12:$B155))*$T$7,2)&gt;ROUND(SUM($S$11:$S154)+$T$7,2),$T$7*2,$T$7)),"")</f>
        <v/>
      </c>
      <c r="T155" s="3" t="str">
        <f>IF($K155&lt;&gt;"",IF($A155="Prepago",0,IF(ROUND(($H155+SUM($B$12:$B155))*$T$8,2)&gt;ROUND(SUM($T$11:$T154)+$T$8,2),$T$8*2,$T$8)),"")</f>
        <v/>
      </c>
      <c r="U155" s="3" t="str">
        <f t="shared" si="60"/>
        <v/>
      </c>
      <c r="V155" s="3" t="str">
        <f t="shared" si="62"/>
        <v/>
      </c>
      <c r="W155" s="3" t="str">
        <f t="shared" si="61"/>
        <v/>
      </c>
      <c r="X155" s="3" t="str">
        <f>IF($K155&lt;&gt;"",IF($M155&gt;X$11,30,$M155)*ROUND(($N155+$V154)*$U$5/3000,2),"")</f>
        <v/>
      </c>
      <c r="Y155" s="3" t="str">
        <f>IF($K155&lt;&gt;"",IF($M155&gt;X$11,IF($M155&lt;Y$11,$M155-X$11,30),0)*ROUND(($N155+$V154+SUM($X155:X155))*$U$5/3000,2),"")</f>
        <v/>
      </c>
      <c r="Z155" s="3"/>
      <c r="AA155" s="3"/>
    </row>
    <row r="156" spans="5:27" x14ac:dyDescent="0.25">
      <c r="E156" s="5"/>
      <c r="F156" t="str">
        <f t="shared" si="50"/>
        <v/>
      </c>
      <c r="G156" s="5" t="str">
        <f>IF($K156&lt;&gt;"",IF(DAY(EOMONTH(DATE(YEAR($M$6),$G$11+K156+SUM($B$12:B156),1),0))&gt;DAY($M$7),DATE(YEAR($M$7),MONTH($M$7)+($A$1*($H156-1))+SUM($B$12:$B156),DAY($M$7)),EOMONTH(DATE(YEAR($M$6),$G$11+K156+SUM($B$12:B156),1),0)),"")</f>
        <v/>
      </c>
      <c r="H156" s="22" t="str">
        <f t="shared" si="51"/>
        <v/>
      </c>
      <c r="I156" s="22" t="str">
        <f t="shared" si="52"/>
        <v/>
      </c>
      <c r="J156" s="22" t="str">
        <f t="shared" si="53"/>
        <v/>
      </c>
      <c r="K156" t="str">
        <f t="shared" si="54"/>
        <v/>
      </c>
      <c r="L156" s="5" t="str">
        <f>IF($K156&lt;&gt;"",IF($E156="",IF(ULTIMODIA=0,DATE(YEAR($M$7),MONTH($M$7)+($A$1*($H156-1))+SUM($B$12:$B156),DAY($M$7)),$G156),$E156),"")</f>
        <v/>
      </c>
      <c r="M156" s="9" t="str">
        <f t="shared" si="55"/>
        <v/>
      </c>
      <c r="N156" s="3" t="str">
        <f t="shared" si="56"/>
        <v/>
      </c>
      <c r="O156" s="3" t="str">
        <f t="shared" si="57"/>
        <v/>
      </c>
      <c r="P156" s="3" t="str">
        <f t="shared" si="58"/>
        <v/>
      </c>
      <c r="Q156" s="3" t="str">
        <f t="shared" si="59"/>
        <v/>
      </c>
      <c r="R156" s="3" t="str">
        <f>IF($K156&lt;&gt;"",IF($A156="Prepago",0,IF(ROUND(($H156+SUM($B$12:$B156))*$T$6,2)&gt;ROUND(SUM($R$11:$R155)+$T$6,2),$T$6*2,$T$6)),"")</f>
        <v/>
      </c>
      <c r="S156" s="3" t="str">
        <f>IF($K156&lt;&gt;"",IF($A156="Prepago",0,IF(ROUND(($H156+SUM($B$12:$B156))*$T$7,2)&gt;ROUND(SUM($S$11:$S155)+$T$7,2),$T$7*2,$T$7)),"")</f>
        <v/>
      </c>
      <c r="T156" s="3" t="str">
        <f>IF($K156&lt;&gt;"",IF($A156="Prepago",0,IF(ROUND(($H156+SUM($B$12:$B156))*$T$8,2)&gt;ROUND(SUM($T$11:$T155)+$T$8,2),$T$8*2,$T$8)),"")</f>
        <v/>
      </c>
      <c r="U156" s="3" t="str">
        <f t="shared" si="60"/>
        <v/>
      </c>
      <c r="V156" s="3" t="str">
        <f t="shared" si="62"/>
        <v/>
      </c>
      <c r="W156" s="3" t="str">
        <f t="shared" si="61"/>
        <v/>
      </c>
      <c r="X156" s="3" t="str">
        <f>IF($K156&lt;&gt;"",IF($M156&gt;X$11,30,$M156)*ROUND(($N156+$V155)*$U$5/3000,2),"")</f>
        <v/>
      </c>
      <c r="Y156" s="3" t="str">
        <f>IF($K156&lt;&gt;"",IF($M156&gt;X$11,IF($M156&lt;Y$11,$M156-X$11,30),0)*ROUND(($N156+$V155+SUM($X156:X156))*$U$5/3000,2),"")</f>
        <v/>
      </c>
      <c r="Z156" s="3"/>
      <c r="AA156" s="3"/>
    </row>
    <row r="157" spans="5:27" x14ac:dyDescent="0.25">
      <c r="E157" s="5"/>
      <c r="F157" t="str">
        <f t="shared" si="50"/>
        <v/>
      </c>
      <c r="G157" s="5" t="str">
        <f>IF($K157&lt;&gt;"",IF(DAY(EOMONTH(DATE(YEAR($M$6),$G$11+K157+SUM($B$12:B157),1),0))&gt;DAY($M$7),DATE(YEAR($M$7),MONTH($M$7)+($A$1*($H157-1))+SUM($B$12:$B157),DAY($M$7)),EOMONTH(DATE(YEAR($M$6),$G$11+K157+SUM($B$12:B157),1),0)),"")</f>
        <v/>
      </c>
      <c r="H157" s="22" t="str">
        <f t="shared" si="51"/>
        <v/>
      </c>
      <c r="I157" s="22" t="str">
        <f t="shared" si="52"/>
        <v/>
      </c>
      <c r="J157" s="22" t="str">
        <f t="shared" si="53"/>
        <v/>
      </c>
      <c r="K157" t="str">
        <f t="shared" si="54"/>
        <v/>
      </c>
      <c r="L157" s="5" t="str">
        <f>IF($K157&lt;&gt;"",IF($E157="",IF(ULTIMODIA=0,DATE(YEAR($M$7),MONTH($M$7)+($A$1*($H157-1))+SUM($B$12:$B157),DAY($M$7)),$G157),$E157),"")</f>
        <v/>
      </c>
      <c r="M157" s="9" t="str">
        <f t="shared" si="55"/>
        <v/>
      </c>
      <c r="N157" s="3" t="str">
        <f t="shared" si="56"/>
        <v/>
      </c>
      <c r="O157" s="3" t="str">
        <f t="shared" si="57"/>
        <v/>
      </c>
      <c r="P157" s="3" t="str">
        <f t="shared" si="58"/>
        <v/>
      </c>
      <c r="Q157" s="3" t="str">
        <f t="shared" si="59"/>
        <v/>
      </c>
      <c r="R157" s="3" t="str">
        <f>IF($K157&lt;&gt;"",IF($A157="Prepago",0,IF(ROUND(($H157+SUM($B$12:$B157))*$T$6,2)&gt;ROUND(SUM($R$11:$R156)+$T$6,2),$T$6*2,$T$6)),"")</f>
        <v/>
      </c>
      <c r="S157" s="3" t="str">
        <f>IF($K157&lt;&gt;"",IF($A157="Prepago",0,IF(ROUND(($H157+SUM($B$12:$B157))*$T$7,2)&gt;ROUND(SUM($S$11:$S156)+$T$7,2),$T$7*2,$T$7)),"")</f>
        <v/>
      </c>
      <c r="T157" s="3" t="str">
        <f>IF($K157&lt;&gt;"",IF($A157="Prepago",0,IF(ROUND(($H157+SUM($B$12:$B157))*$T$8,2)&gt;ROUND(SUM($T$11:$T156)+$T$8,2),$T$8*2,$T$8)),"")</f>
        <v/>
      </c>
      <c r="U157" s="3" t="str">
        <f t="shared" si="60"/>
        <v/>
      </c>
      <c r="V157" s="3" t="str">
        <f t="shared" si="62"/>
        <v/>
      </c>
      <c r="W157" s="3" t="str">
        <f t="shared" si="61"/>
        <v/>
      </c>
      <c r="X157" s="3" t="str">
        <f>IF($K157&lt;&gt;"",IF($M157&gt;X$11,30,$M157)*ROUND(($N157+$V156)*$U$5/3000,2),"")</f>
        <v/>
      </c>
      <c r="Y157" s="3" t="str">
        <f>IF($K157&lt;&gt;"",IF($M157&gt;X$11,IF($M157&lt;Y$11,$M157-X$11,30),0)*ROUND(($N157+$V156+SUM($X157:X157))*$U$5/3000,2),"")</f>
        <v/>
      </c>
      <c r="Z157" s="3"/>
      <c r="AA157" s="3"/>
    </row>
    <row r="158" spans="5:27" x14ac:dyDescent="0.25">
      <c r="E158" s="5"/>
      <c r="F158" t="str">
        <f t="shared" si="50"/>
        <v/>
      </c>
      <c r="G158" s="5" t="str">
        <f>IF($K158&lt;&gt;"",IF(DAY(EOMONTH(DATE(YEAR($M$6),$G$11+K158+SUM($B$12:B158),1),0))&gt;DAY($M$7),DATE(YEAR($M$7),MONTH($M$7)+($A$1*($H158-1))+SUM($B$12:$B158),DAY($M$7)),EOMONTH(DATE(YEAR($M$6),$G$11+K158+SUM($B$12:B158),1),0)),"")</f>
        <v/>
      </c>
      <c r="H158" s="22" t="str">
        <f t="shared" si="51"/>
        <v/>
      </c>
      <c r="I158" s="22" t="str">
        <f t="shared" si="52"/>
        <v/>
      </c>
      <c r="J158" s="22" t="str">
        <f t="shared" si="53"/>
        <v/>
      </c>
      <c r="K158" t="str">
        <f t="shared" si="54"/>
        <v/>
      </c>
      <c r="L158" s="5" t="str">
        <f>IF($K158&lt;&gt;"",IF($E158="",IF(ULTIMODIA=0,DATE(YEAR($M$7),MONTH($M$7)+($A$1*($H158-1))+SUM($B$12:$B158),DAY($M$7)),$G158),$E158),"")</f>
        <v/>
      </c>
      <c r="M158" s="9" t="str">
        <f t="shared" si="55"/>
        <v/>
      </c>
      <c r="N158" s="3" t="str">
        <f t="shared" si="56"/>
        <v/>
      </c>
      <c r="O158" s="3" t="str">
        <f t="shared" si="57"/>
        <v/>
      </c>
      <c r="P158" s="3" t="str">
        <f t="shared" si="58"/>
        <v/>
      </c>
      <c r="Q158" s="3" t="str">
        <f t="shared" si="59"/>
        <v/>
      </c>
      <c r="R158" s="3" t="str">
        <f>IF($K158&lt;&gt;"",IF($A158="Prepago",0,IF(ROUND(($H158+SUM($B$12:$B158))*$T$6,2)&gt;ROUND(SUM($R$11:$R157)+$T$6,2),$T$6*2,$T$6)),"")</f>
        <v/>
      </c>
      <c r="S158" s="3" t="str">
        <f>IF($K158&lt;&gt;"",IF($A158="Prepago",0,IF(ROUND(($H158+SUM($B$12:$B158))*$T$7,2)&gt;ROUND(SUM($S$11:$S157)+$T$7,2),$T$7*2,$T$7)),"")</f>
        <v/>
      </c>
      <c r="T158" s="3" t="str">
        <f>IF($K158&lt;&gt;"",IF($A158="Prepago",0,IF(ROUND(($H158+SUM($B$12:$B158))*$T$8,2)&gt;ROUND(SUM($T$11:$T157)+$T$8,2),$T$8*2,$T$8)),"")</f>
        <v/>
      </c>
      <c r="U158" s="3" t="str">
        <f t="shared" si="60"/>
        <v/>
      </c>
      <c r="V158" s="3" t="str">
        <f t="shared" si="62"/>
        <v/>
      </c>
      <c r="W158" s="3" t="str">
        <f t="shared" si="61"/>
        <v/>
      </c>
      <c r="X158" s="3" t="str">
        <f>IF($K158&lt;&gt;"",IF($M158&gt;X$11,30,$M158)*ROUND(($N158+$V157)*$U$5/3000,2),"")</f>
        <v/>
      </c>
      <c r="Y158" s="3" t="str">
        <f>IF($K158&lt;&gt;"",IF($M158&gt;X$11,IF($M158&lt;Y$11,$M158-X$11,30),0)*ROUND(($N158+$V157+SUM($X158:X158))*$U$5/3000,2),"")</f>
        <v/>
      </c>
      <c r="Z158" s="3"/>
      <c r="AA158" s="3"/>
    </row>
    <row r="159" spans="5:27" x14ac:dyDescent="0.25">
      <c r="E159" s="5"/>
      <c r="F159" t="str">
        <f t="shared" si="50"/>
        <v/>
      </c>
      <c r="G159" s="5" t="str">
        <f>IF($K159&lt;&gt;"",IF(DAY(EOMONTH(DATE(YEAR($M$6),$G$11+K159+SUM($B$12:B159),1),0))&gt;DAY($M$7),DATE(YEAR($M$7),MONTH($M$7)+($A$1*($H159-1))+SUM($B$12:$B159),DAY($M$7)),EOMONTH(DATE(YEAR($M$6),$G$11+K159+SUM($B$12:B159),1),0)),"")</f>
        <v/>
      </c>
      <c r="H159" s="22" t="str">
        <f t="shared" si="51"/>
        <v/>
      </c>
      <c r="I159" s="22" t="str">
        <f t="shared" si="52"/>
        <v/>
      </c>
      <c r="J159" s="22" t="str">
        <f t="shared" si="53"/>
        <v/>
      </c>
      <c r="K159" t="str">
        <f t="shared" si="54"/>
        <v/>
      </c>
      <c r="L159" s="5" t="str">
        <f>IF($K159&lt;&gt;"",IF($E159="",IF(ULTIMODIA=0,DATE(YEAR($M$7),MONTH($M$7)+($A$1*($H159-1))+SUM($B$12:$B159),DAY($M$7)),$G159),$E159),"")</f>
        <v/>
      </c>
      <c r="M159" s="9" t="str">
        <f t="shared" si="55"/>
        <v/>
      </c>
      <c r="N159" s="3" t="str">
        <f t="shared" si="56"/>
        <v/>
      </c>
      <c r="O159" s="3" t="str">
        <f t="shared" si="57"/>
        <v/>
      </c>
      <c r="P159" s="3" t="str">
        <f t="shared" si="58"/>
        <v/>
      </c>
      <c r="Q159" s="3" t="str">
        <f t="shared" si="59"/>
        <v/>
      </c>
      <c r="R159" s="3" t="str">
        <f>IF($K159&lt;&gt;"",IF($A159="Prepago",0,IF(ROUND(($H159+SUM($B$12:$B159))*$T$6,2)&gt;ROUND(SUM($R$11:$R158)+$T$6,2),$T$6*2,$T$6)),"")</f>
        <v/>
      </c>
      <c r="S159" s="3" t="str">
        <f>IF($K159&lt;&gt;"",IF($A159="Prepago",0,IF(ROUND(($H159+SUM($B$12:$B159))*$T$7,2)&gt;ROUND(SUM($S$11:$S158)+$T$7,2),$T$7*2,$T$7)),"")</f>
        <v/>
      </c>
      <c r="T159" s="3" t="str">
        <f>IF($K159&lt;&gt;"",IF($A159="Prepago",0,IF(ROUND(($H159+SUM($B$12:$B159))*$T$8,2)&gt;ROUND(SUM($T$11:$T158)+$T$8,2),$T$8*2,$T$8)),"")</f>
        <v/>
      </c>
      <c r="U159" s="3" t="str">
        <f t="shared" si="60"/>
        <v/>
      </c>
      <c r="V159" s="3" t="str">
        <f t="shared" si="62"/>
        <v/>
      </c>
      <c r="W159" s="3" t="str">
        <f t="shared" si="61"/>
        <v/>
      </c>
      <c r="X159" s="3" t="str">
        <f>IF($K159&lt;&gt;"",IF($M159&gt;X$11,30,$M159)*ROUND(($N159+$V158)*$U$5/3000,2),"")</f>
        <v/>
      </c>
      <c r="Y159" s="3" t="str">
        <f>IF($K159&lt;&gt;"",IF($M159&gt;X$11,IF($M159&lt;Y$11,$M159-X$11,30),0)*ROUND(($N159+$V158+SUM($X159:X159))*$U$5/3000,2),"")</f>
        <v/>
      </c>
      <c r="Z159" s="3"/>
      <c r="AA159" s="3"/>
    </row>
    <row r="160" spans="5:27" x14ac:dyDescent="0.25">
      <c r="E160" s="5"/>
      <c r="F160" t="str">
        <f t="shared" si="50"/>
        <v/>
      </c>
      <c r="G160" s="5" t="str">
        <f>IF($K160&lt;&gt;"",IF(DAY(EOMONTH(DATE(YEAR($M$6),$G$11+K160+SUM($B$12:B160),1),0))&gt;DAY($M$7),DATE(YEAR($M$7),MONTH($M$7)+($A$1*($H160-1))+SUM($B$12:$B160),DAY($M$7)),EOMONTH(DATE(YEAR($M$6),$G$11+K160+SUM($B$12:B160),1),0)),"")</f>
        <v/>
      </c>
      <c r="H160" s="22" t="str">
        <f t="shared" si="51"/>
        <v/>
      </c>
      <c r="I160" s="22" t="str">
        <f t="shared" si="52"/>
        <v/>
      </c>
      <c r="J160" s="22" t="str">
        <f t="shared" si="53"/>
        <v/>
      </c>
      <c r="K160" t="str">
        <f t="shared" si="54"/>
        <v/>
      </c>
      <c r="L160" s="5" t="str">
        <f>IF($K160&lt;&gt;"",IF($E160="",IF(ULTIMODIA=0,DATE(YEAR($M$7),MONTH($M$7)+($A$1*($H160-1))+SUM($B$12:$B160),DAY($M$7)),$G160),$E160),"")</f>
        <v/>
      </c>
      <c r="M160" s="9" t="str">
        <f t="shared" si="55"/>
        <v/>
      </c>
      <c r="N160" s="3" t="str">
        <f t="shared" si="56"/>
        <v/>
      </c>
      <c r="O160" s="3" t="str">
        <f t="shared" si="57"/>
        <v/>
      </c>
      <c r="P160" s="3" t="str">
        <f t="shared" si="58"/>
        <v/>
      </c>
      <c r="Q160" s="3" t="str">
        <f t="shared" si="59"/>
        <v/>
      </c>
      <c r="R160" s="3" t="str">
        <f>IF($K160&lt;&gt;"",IF($A160="Prepago",0,IF(ROUND(($H160+SUM($B$12:$B160))*$T$6,2)&gt;ROUND(SUM($R$11:$R159)+$T$6,2),$T$6*2,$T$6)),"")</f>
        <v/>
      </c>
      <c r="S160" s="3" t="str">
        <f>IF($K160&lt;&gt;"",IF($A160="Prepago",0,IF(ROUND(($H160+SUM($B$12:$B160))*$T$7,2)&gt;ROUND(SUM($S$11:$S159)+$T$7,2),$T$7*2,$T$7)),"")</f>
        <v/>
      </c>
      <c r="T160" s="3" t="str">
        <f>IF($K160&lt;&gt;"",IF($A160="Prepago",0,IF(ROUND(($H160+SUM($B$12:$B160))*$T$8,2)&gt;ROUND(SUM($T$11:$T159)+$T$8,2),$T$8*2,$T$8)),"")</f>
        <v/>
      </c>
      <c r="U160" s="3" t="str">
        <f t="shared" si="60"/>
        <v/>
      </c>
      <c r="V160" s="3" t="str">
        <f t="shared" si="62"/>
        <v/>
      </c>
      <c r="W160" s="3" t="str">
        <f t="shared" si="61"/>
        <v/>
      </c>
      <c r="X160" s="3" t="str">
        <f>IF($K160&lt;&gt;"",IF($M160&gt;X$11,30,$M160)*ROUND(($N160+$V159)*$U$5/3000,2),"")</f>
        <v/>
      </c>
      <c r="Y160" s="3" t="str">
        <f>IF($K160&lt;&gt;"",IF($M160&gt;X$11,IF($M160&lt;Y$11,$M160-X$11,30),0)*ROUND(($N160+$V159+SUM($X160:X160))*$U$5/3000,2),"")</f>
        <v/>
      </c>
      <c r="Z160" s="3"/>
      <c r="AA160" s="3"/>
    </row>
    <row r="161" spans="5:27" x14ac:dyDescent="0.25">
      <c r="E161" s="5"/>
      <c r="F161" t="str">
        <f t="shared" si="50"/>
        <v/>
      </c>
      <c r="G161" s="5" t="str">
        <f>IF($K161&lt;&gt;"",IF(DAY(EOMONTH(DATE(YEAR($M$6),$G$11+K161+SUM($B$12:B161),1),0))&gt;DAY($M$7),DATE(YEAR($M$7),MONTH($M$7)+($A$1*($H161-1))+SUM($B$12:$B161),DAY($M$7)),EOMONTH(DATE(YEAR($M$6),$G$11+K161+SUM($B$12:B161),1),0)),"")</f>
        <v/>
      </c>
      <c r="H161" s="22" t="str">
        <f t="shared" si="51"/>
        <v/>
      </c>
      <c r="I161" s="22" t="str">
        <f t="shared" si="52"/>
        <v/>
      </c>
      <c r="J161" s="22" t="str">
        <f t="shared" si="53"/>
        <v/>
      </c>
      <c r="K161" t="str">
        <f t="shared" si="54"/>
        <v/>
      </c>
      <c r="L161" s="5" t="str">
        <f>IF($K161&lt;&gt;"",IF($E161="",IF(ULTIMODIA=0,DATE(YEAR($M$7),MONTH($M$7)+($A$1*($H161-1))+SUM($B$12:$B161),DAY($M$7)),$G161),$E161),"")</f>
        <v/>
      </c>
      <c r="M161" s="9" t="str">
        <f t="shared" si="55"/>
        <v/>
      </c>
      <c r="N161" s="3" t="str">
        <f t="shared" si="56"/>
        <v/>
      </c>
      <c r="O161" s="3" t="str">
        <f t="shared" si="57"/>
        <v/>
      </c>
      <c r="P161" s="3" t="str">
        <f t="shared" si="58"/>
        <v/>
      </c>
      <c r="Q161" s="3" t="str">
        <f t="shared" si="59"/>
        <v/>
      </c>
      <c r="R161" s="3" t="str">
        <f>IF($K161&lt;&gt;"",IF($A161="Prepago",0,IF(ROUND(($H161+SUM($B$12:$B161))*$T$6,2)&gt;ROUND(SUM($R$11:$R160)+$T$6,2),$T$6*2,$T$6)),"")</f>
        <v/>
      </c>
      <c r="S161" s="3" t="str">
        <f>IF($K161&lt;&gt;"",IF($A161="Prepago",0,IF(ROUND(($H161+SUM($B$12:$B161))*$T$7,2)&gt;ROUND(SUM($S$11:$S160)+$T$7,2),$T$7*2,$T$7)),"")</f>
        <v/>
      </c>
      <c r="T161" s="3" t="str">
        <f>IF($K161&lt;&gt;"",IF($A161="Prepago",0,IF(ROUND(($H161+SUM($B$12:$B161))*$T$8,2)&gt;ROUND(SUM($T$11:$T160)+$T$8,2),$T$8*2,$T$8)),"")</f>
        <v/>
      </c>
      <c r="U161" s="3" t="str">
        <f t="shared" si="60"/>
        <v/>
      </c>
      <c r="V161" s="3" t="str">
        <f t="shared" si="62"/>
        <v/>
      </c>
      <c r="W161" s="3" t="str">
        <f t="shared" si="61"/>
        <v/>
      </c>
      <c r="X161" s="3" t="str">
        <f>IF($K161&lt;&gt;"",IF($M161&gt;X$11,30,$M161)*ROUND(($N161+$V160)*$U$5/3000,2),"")</f>
        <v/>
      </c>
      <c r="Y161" s="3" t="str">
        <f>IF($K161&lt;&gt;"",IF($M161&gt;X$11,IF($M161&lt;Y$11,$M161-X$11,30),0)*ROUND(($N161+$V160+SUM($X161:X161))*$U$5/3000,2),"")</f>
        <v/>
      </c>
      <c r="Z161" s="3"/>
      <c r="AA161" s="3"/>
    </row>
    <row r="162" spans="5:27" x14ac:dyDescent="0.25">
      <c r="E162" s="5"/>
      <c r="F162" t="str">
        <f t="shared" si="50"/>
        <v/>
      </c>
      <c r="G162" s="5" t="str">
        <f>IF($K162&lt;&gt;"",IF(DAY(EOMONTH(DATE(YEAR($M$6),$G$11+K162+SUM($B$12:B162),1),0))&gt;DAY($M$7),DATE(YEAR($M$7),MONTH($M$7)+($A$1*($H162-1))+SUM($B$12:$B162),DAY($M$7)),EOMONTH(DATE(YEAR($M$6),$G$11+K162+SUM($B$12:B162),1),0)),"")</f>
        <v/>
      </c>
      <c r="H162" s="22" t="str">
        <f t="shared" si="51"/>
        <v/>
      </c>
      <c r="I162" s="22" t="str">
        <f t="shared" si="52"/>
        <v/>
      </c>
      <c r="J162" s="22" t="str">
        <f t="shared" si="53"/>
        <v/>
      </c>
      <c r="K162" t="str">
        <f t="shared" si="54"/>
        <v/>
      </c>
      <c r="L162" s="5" t="str">
        <f>IF($K162&lt;&gt;"",IF($E162="",IF(ULTIMODIA=0,DATE(YEAR($M$7),MONTH($M$7)+($A$1*($H162-1))+SUM($B$12:$B162),DAY($M$7)),$G162),$E162),"")</f>
        <v/>
      </c>
      <c r="M162" s="9" t="str">
        <f t="shared" si="55"/>
        <v/>
      </c>
      <c r="N162" s="3" t="str">
        <f t="shared" si="56"/>
        <v/>
      </c>
      <c r="O162" s="3" t="str">
        <f t="shared" si="57"/>
        <v/>
      </c>
      <c r="P162" s="3" t="str">
        <f t="shared" si="58"/>
        <v/>
      </c>
      <c r="Q162" s="3" t="str">
        <f t="shared" si="59"/>
        <v/>
      </c>
      <c r="R162" s="3" t="str">
        <f>IF($K162&lt;&gt;"",IF($A162="Prepago",0,IF(ROUND(($H162+SUM($B$12:$B162))*$T$6,2)&gt;ROUND(SUM($R$11:$R161)+$T$6,2),$T$6*2,$T$6)),"")</f>
        <v/>
      </c>
      <c r="S162" s="3" t="str">
        <f>IF($K162&lt;&gt;"",IF($A162="Prepago",0,IF(ROUND(($H162+SUM($B$12:$B162))*$T$7,2)&gt;ROUND(SUM($S$11:$S161)+$T$7,2),$T$7*2,$T$7)),"")</f>
        <v/>
      </c>
      <c r="T162" s="3" t="str">
        <f>IF($K162&lt;&gt;"",IF($A162="Prepago",0,IF(ROUND(($H162+SUM($B$12:$B162))*$T$8,2)&gt;ROUND(SUM($T$11:$T161)+$T$8,2),$T$8*2,$T$8)),"")</f>
        <v/>
      </c>
      <c r="U162" s="3" t="str">
        <f t="shared" si="60"/>
        <v/>
      </c>
      <c r="V162" s="3" t="str">
        <f t="shared" si="62"/>
        <v/>
      </c>
      <c r="W162" s="3" t="str">
        <f t="shared" si="61"/>
        <v/>
      </c>
      <c r="X162" s="3" t="str">
        <f>IF($K162&lt;&gt;"",IF($M162&gt;X$11,30,$M162)*ROUND(($N162+$V161)*$U$5/3000,2),"")</f>
        <v/>
      </c>
      <c r="Y162" s="3" t="str">
        <f>IF($K162&lt;&gt;"",IF($M162&gt;X$11,IF($M162&lt;Y$11,$M162-X$11,30),0)*ROUND(($N162+$V161+SUM($X162:X162))*$U$5/3000,2),"")</f>
        <v/>
      </c>
      <c r="Z162" s="3"/>
      <c r="AA162" s="3"/>
    </row>
    <row r="163" spans="5:27" x14ac:dyDescent="0.25">
      <c r="E163" s="5"/>
      <c r="F163" t="str">
        <f t="shared" si="50"/>
        <v/>
      </c>
      <c r="G163" s="5" t="str">
        <f>IF($K163&lt;&gt;"",IF(DAY(EOMONTH(DATE(YEAR($M$6),$G$11+K163+SUM($B$12:B163),1),0))&gt;DAY($M$7),DATE(YEAR($M$7),MONTH($M$7)+($A$1*($H163-1))+SUM($B$12:$B163),DAY($M$7)),EOMONTH(DATE(YEAR($M$6),$G$11+K163+SUM($B$12:B163),1),0)),"")</f>
        <v/>
      </c>
      <c r="H163" s="22" t="str">
        <f t="shared" si="51"/>
        <v/>
      </c>
      <c r="I163" s="22" t="str">
        <f t="shared" si="52"/>
        <v/>
      </c>
      <c r="J163" s="22" t="str">
        <f t="shared" si="53"/>
        <v/>
      </c>
      <c r="K163" t="str">
        <f t="shared" si="54"/>
        <v/>
      </c>
      <c r="L163" s="5" t="str">
        <f>IF($K163&lt;&gt;"",IF($E163="",IF(ULTIMODIA=0,DATE(YEAR($M$7),MONTH($M$7)+($A$1*($H163-1))+SUM($B$12:$B163),DAY($M$7)),$G163),$E163),"")</f>
        <v/>
      </c>
      <c r="M163" s="9" t="str">
        <f t="shared" si="55"/>
        <v/>
      </c>
      <c r="N163" s="3" t="str">
        <f t="shared" si="56"/>
        <v/>
      </c>
      <c r="O163" s="3" t="str">
        <f t="shared" si="57"/>
        <v/>
      </c>
      <c r="P163" s="3" t="str">
        <f t="shared" si="58"/>
        <v/>
      </c>
      <c r="Q163" s="3" t="str">
        <f t="shared" si="59"/>
        <v/>
      </c>
      <c r="R163" s="3" t="str">
        <f>IF($K163&lt;&gt;"",IF($A163="Prepago",0,IF(ROUND(($H163+SUM($B$12:$B163))*$T$6,2)&gt;ROUND(SUM($R$11:$R162)+$T$6,2),$T$6*2,$T$6)),"")</f>
        <v/>
      </c>
      <c r="S163" s="3" t="str">
        <f>IF($K163&lt;&gt;"",IF($A163="Prepago",0,IF(ROUND(($H163+SUM($B$12:$B163))*$T$7,2)&gt;ROUND(SUM($S$11:$S162)+$T$7,2),$T$7*2,$T$7)),"")</f>
        <v/>
      </c>
      <c r="T163" s="3" t="str">
        <f>IF($K163&lt;&gt;"",IF($A163="Prepago",0,IF(ROUND(($H163+SUM($B$12:$B163))*$T$8,2)&gt;ROUND(SUM($T$11:$T162)+$T$8,2),$T$8*2,$T$8)),"")</f>
        <v/>
      </c>
      <c r="U163" s="3" t="str">
        <f t="shared" si="60"/>
        <v/>
      </c>
      <c r="V163" s="3" t="str">
        <f t="shared" si="62"/>
        <v/>
      </c>
      <c r="W163" s="3" t="str">
        <f t="shared" si="61"/>
        <v/>
      </c>
      <c r="X163" s="3" t="str">
        <f>IF($K163&lt;&gt;"",IF($M163&gt;X$11,30,$M163)*ROUND(($N163+$V162)*$U$5/3000,2),"")</f>
        <v/>
      </c>
      <c r="Y163" s="3" t="str">
        <f>IF($K163&lt;&gt;"",IF($M163&gt;X$11,IF($M163&lt;Y$11,$M163-X$11,30),0)*ROUND(($N163+$V162+SUM($X163:X163))*$U$5/3000,2),"")</f>
        <v/>
      </c>
      <c r="Z163" s="3"/>
      <c r="AA163" s="3"/>
    </row>
    <row r="164" spans="5:27" x14ac:dyDescent="0.25">
      <c r="E164" s="5"/>
      <c r="F164" t="str">
        <f t="shared" si="50"/>
        <v/>
      </c>
      <c r="G164" s="5" t="str">
        <f>IF($K164&lt;&gt;"",IF(DAY(EOMONTH(DATE(YEAR($M$6),$G$11+K164+SUM($B$12:B164),1),0))&gt;DAY($M$7),DATE(YEAR($M$7),MONTH($M$7)+($A$1*($H164-1))+SUM($B$12:$B164),DAY($M$7)),EOMONTH(DATE(YEAR($M$6),$G$11+K164+SUM($B$12:B164),1),0)),"")</f>
        <v/>
      </c>
      <c r="H164" s="22" t="str">
        <f t="shared" si="51"/>
        <v/>
      </c>
      <c r="I164" s="22" t="str">
        <f t="shared" si="52"/>
        <v/>
      </c>
      <c r="J164" s="22" t="str">
        <f t="shared" si="53"/>
        <v/>
      </c>
      <c r="K164" t="str">
        <f t="shared" si="54"/>
        <v/>
      </c>
      <c r="L164" s="5" t="str">
        <f>IF($K164&lt;&gt;"",IF($E164="",IF(ULTIMODIA=0,DATE(YEAR($M$7),MONTH($M$7)+($A$1*($H164-1))+SUM($B$12:$B164),DAY($M$7)),$G164),$E164),"")</f>
        <v/>
      </c>
      <c r="M164" s="9" t="str">
        <f t="shared" si="55"/>
        <v/>
      </c>
      <c r="N164" s="3" t="str">
        <f t="shared" si="56"/>
        <v/>
      </c>
      <c r="O164" s="3" t="str">
        <f t="shared" si="57"/>
        <v/>
      </c>
      <c r="P164" s="3" t="str">
        <f t="shared" si="58"/>
        <v/>
      </c>
      <c r="Q164" s="3" t="str">
        <f t="shared" si="59"/>
        <v/>
      </c>
      <c r="R164" s="3" t="str">
        <f>IF($K164&lt;&gt;"",IF($A164="Prepago",0,IF(ROUND(($H164+SUM($B$12:$B164))*$T$6,2)&gt;ROUND(SUM($R$11:$R163)+$T$6,2),$T$6*2,$T$6)),"")</f>
        <v/>
      </c>
      <c r="S164" s="3" t="str">
        <f>IF($K164&lt;&gt;"",IF($A164="Prepago",0,IF(ROUND(($H164+SUM($B$12:$B164))*$T$7,2)&gt;ROUND(SUM($S$11:$S163)+$T$7,2),$T$7*2,$T$7)),"")</f>
        <v/>
      </c>
      <c r="T164" s="3" t="str">
        <f>IF($K164&lt;&gt;"",IF($A164="Prepago",0,IF(ROUND(($H164+SUM($B$12:$B164))*$T$8,2)&gt;ROUND(SUM($T$11:$T163)+$T$8,2),$T$8*2,$T$8)),"")</f>
        <v/>
      </c>
      <c r="U164" s="3" t="str">
        <f t="shared" si="60"/>
        <v/>
      </c>
      <c r="V164" s="3" t="str">
        <f t="shared" si="62"/>
        <v/>
      </c>
      <c r="W164" s="3" t="str">
        <f t="shared" si="61"/>
        <v/>
      </c>
      <c r="X164" s="3" t="str">
        <f>IF($K164&lt;&gt;"",IF($M164&gt;X$11,30,$M164)*ROUND(($N164+$V163)*$U$5/3000,2),"")</f>
        <v/>
      </c>
      <c r="Y164" s="3" t="str">
        <f>IF($K164&lt;&gt;"",IF($M164&gt;X$11,IF($M164&lt;Y$11,$M164-X$11,30),0)*ROUND(($N164+$V163+SUM($X164:X164))*$U$5/3000,2),"")</f>
        <v/>
      </c>
      <c r="Z164" s="3"/>
      <c r="AA164" s="3"/>
    </row>
    <row r="165" spans="5:27" x14ac:dyDescent="0.25">
      <c r="E165" s="5"/>
      <c r="F165" t="str">
        <f t="shared" si="50"/>
        <v/>
      </c>
      <c r="G165" s="5" t="str">
        <f>IF($K165&lt;&gt;"",IF(DAY(EOMONTH(DATE(YEAR($M$6),$G$11+K165+SUM($B$12:B165),1),0))&gt;DAY($M$7),DATE(YEAR($M$7),MONTH($M$7)+($A$1*($H165-1))+SUM($B$12:$B165),DAY($M$7)),EOMONTH(DATE(YEAR($M$6),$G$11+K165+SUM($B$12:B165),1),0)),"")</f>
        <v/>
      </c>
      <c r="H165" s="22" t="str">
        <f t="shared" si="51"/>
        <v/>
      </c>
      <c r="I165" s="22" t="str">
        <f t="shared" si="52"/>
        <v/>
      </c>
      <c r="J165" s="22" t="str">
        <f t="shared" si="53"/>
        <v/>
      </c>
      <c r="K165" t="str">
        <f t="shared" si="54"/>
        <v/>
      </c>
      <c r="L165" s="5" t="str">
        <f>IF($K165&lt;&gt;"",IF($E165="",IF(ULTIMODIA=0,DATE(YEAR($M$7),MONTH($M$7)+($A$1*($H165-1))+SUM($B$12:$B165),DAY($M$7)),$G165),$E165),"")</f>
        <v/>
      </c>
      <c r="M165" s="9" t="str">
        <f t="shared" si="55"/>
        <v/>
      </c>
      <c r="N165" s="3" t="str">
        <f t="shared" si="56"/>
        <v/>
      </c>
      <c r="O165" s="3" t="str">
        <f t="shared" si="57"/>
        <v/>
      </c>
      <c r="P165" s="3" t="str">
        <f t="shared" si="58"/>
        <v/>
      </c>
      <c r="Q165" s="3" t="str">
        <f t="shared" si="59"/>
        <v/>
      </c>
      <c r="R165" s="3" t="str">
        <f>IF($K165&lt;&gt;"",IF($A165="Prepago",0,IF(ROUND(($H165+SUM($B$12:$B165))*$T$6,2)&gt;ROUND(SUM($R$11:$R164)+$T$6,2),$T$6*2,$T$6)),"")</f>
        <v/>
      </c>
      <c r="S165" s="3" t="str">
        <f>IF($K165&lt;&gt;"",IF($A165="Prepago",0,IF(ROUND(($H165+SUM($B$12:$B165))*$T$7,2)&gt;ROUND(SUM($S$11:$S164)+$T$7,2),$T$7*2,$T$7)),"")</f>
        <v/>
      </c>
      <c r="T165" s="3" t="str">
        <f>IF($K165&lt;&gt;"",IF($A165="Prepago",0,IF(ROUND(($H165+SUM($B$12:$B165))*$T$8,2)&gt;ROUND(SUM($T$11:$T164)+$T$8,2),$T$8*2,$T$8)),"")</f>
        <v/>
      </c>
      <c r="U165" s="3" t="str">
        <f t="shared" si="60"/>
        <v/>
      </c>
      <c r="V165" s="3" t="str">
        <f t="shared" si="62"/>
        <v/>
      </c>
      <c r="W165" s="3" t="str">
        <f t="shared" si="61"/>
        <v/>
      </c>
      <c r="X165" s="3" t="str">
        <f>IF($K165&lt;&gt;"",IF($M165&gt;X$11,30,$M165)*ROUND(($N165+$V164)*$U$5/3000,2),"")</f>
        <v/>
      </c>
      <c r="Y165" s="3" t="str">
        <f>IF($K165&lt;&gt;"",IF($M165&gt;X$11,IF($M165&lt;Y$11,$M165-X$11,30),0)*ROUND(($N165+$V164+SUM($X165:X165))*$U$5/3000,2),"")</f>
        <v/>
      </c>
      <c r="Z165" s="3"/>
      <c r="AA165" s="3"/>
    </row>
    <row r="166" spans="5:27" x14ac:dyDescent="0.25">
      <c r="E166" s="5"/>
      <c r="F166" t="str">
        <f t="shared" si="50"/>
        <v/>
      </c>
      <c r="G166" s="5" t="str">
        <f>IF($K166&lt;&gt;"",IF(DAY(EOMONTH(DATE(YEAR($M$6),$G$11+K166+SUM($B$12:B166),1),0))&gt;DAY($M$7),DATE(YEAR($M$7),MONTH($M$7)+($A$1*($H166-1))+SUM($B$12:$B166),DAY($M$7)),EOMONTH(DATE(YEAR($M$6),$G$11+K166+SUM($B$12:B166),1),0)),"")</f>
        <v/>
      </c>
      <c r="H166" s="22" t="str">
        <f t="shared" si="51"/>
        <v/>
      </c>
      <c r="I166" s="22" t="str">
        <f t="shared" si="52"/>
        <v/>
      </c>
      <c r="J166" s="22" t="str">
        <f t="shared" si="53"/>
        <v/>
      </c>
      <c r="K166" t="str">
        <f t="shared" si="54"/>
        <v/>
      </c>
      <c r="L166" s="5" t="str">
        <f>IF($K166&lt;&gt;"",IF($E166="",IF(ULTIMODIA=0,DATE(YEAR($M$7),MONTH($M$7)+($A$1*($H166-1))+SUM($B$12:$B166),DAY($M$7)),$G166),$E166),"")</f>
        <v/>
      </c>
      <c r="M166" s="9" t="str">
        <f t="shared" si="55"/>
        <v/>
      </c>
      <c r="N166" s="3" t="str">
        <f t="shared" si="56"/>
        <v/>
      </c>
      <c r="O166" s="3" t="str">
        <f t="shared" si="57"/>
        <v/>
      </c>
      <c r="P166" s="3" t="str">
        <f t="shared" si="58"/>
        <v/>
      </c>
      <c r="Q166" s="3" t="str">
        <f t="shared" si="59"/>
        <v/>
      </c>
      <c r="R166" s="3" t="str">
        <f>IF($K166&lt;&gt;"",IF($A166="Prepago",0,IF(ROUND(($H166+SUM($B$12:$B166))*$T$6,2)&gt;ROUND(SUM($R$11:$R165)+$T$6,2),$T$6*2,$T$6)),"")</f>
        <v/>
      </c>
      <c r="S166" s="3" t="str">
        <f>IF($K166&lt;&gt;"",IF($A166="Prepago",0,IF(ROUND(($H166+SUM($B$12:$B166))*$T$7,2)&gt;ROUND(SUM($S$11:$S165)+$T$7,2),$T$7*2,$T$7)),"")</f>
        <v/>
      </c>
      <c r="T166" s="3" t="str">
        <f>IF($K166&lt;&gt;"",IF($A166="Prepago",0,IF(ROUND(($H166+SUM($B$12:$B166))*$T$8,2)&gt;ROUND(SUM($T$11:$T165)+$T$8,2),$T$8*2,$T$8)),"")</f>
        <v/>
      </c>
      <c r="U166" s="3" t="str">
        <f t="shared" si="60"/>
        <v/>
      </c>
      <c r="V166" s="3" t="str">
        <f t="shared" si="62"/>
        <v/>
      </c>
      <c r="W166" s="3" t="str">
        <f t="shared" si="61"/>
        <v/>
      </c>
      <c r="X166" s="3" t="str">
        <f>IF($K166&lt;&gt;"",IF($M166&gt;X$11,30,$M166)*ROUND(($N166+$V165)*$U$5/3000,2),"")</f>
        <v/>
      </c>
      <c r="Y166" s="3" t="str">
        <f>IF($K166&lt;&gt;"",IF($M166&gt;X$11,IF($M166&lt;Y$11,$M166-X$11,30),0)*ROUND(($N166+$V165+SUM($X166:X166))*$U$5/3000,2),"")</f>
        <v/>
      </c>
      <c r="Z166" s="3"/>
      <c r="AA166" s="3"/>
    </row>
    <row r="167" spans="5:27" x14ac:dyDescent="0.25">
      <c r="E167" s="5"/>
      <c r="F167" t="str">
        <f t="shared" si="50"/>
        <v/>
      </c>
      <c r="G167" s="5" t="str">
        <f>IF($K167&lt;&gt;"",IF(DAY(EOMONTH(DATE(YEAR($M$6),$G$11+K167+SUM($B$12:B167),1),0))&gt;DAY($M$7),DATE(YEAR($M$7),MONTH($M$7)+($A$1*($H167-1))+SUM($B$12:$B167),DAY($M$7)),EOMONTH(DATE(YEAR($M$6),$G$11+K167+SUM($B$12:B167),1),0)),"")</f>
        <v/>
      </c>
      <c r="H167" s="22" t="str">
        <f t="shared" si="51"/>
        <v/>
      </c>
      <c r="I167" s="22" t="str">
        <f t="shared" si="52"/>
        <v/>
      </c>
      <c r="J167" s="22" t="str">
        <f t="shared" si="53"/>
        <v/>
      </c>
      <c r="K167" t="str">
        <f t="shared" si="54"/>
        <v/>
      </c>
      <c r="L167" s="5" t="str">
        <f>IF($K167&lt;&gt;"",IF($E167="",IF(ULTIMODIA=0,DATE(YEAR($M$7),MONTH($M$7)+($A$1*($H167-1))+SUM($B$12:$B167),DAY($M$7)),$G167),$E167),"")</f>
        <v/>
      </c>
      <c r="M167" s="9" t="str">
        <f t="shared" si="55"/>
        <v/>
      </c>
      <c r="N167" s="3" t="str">
        <f t="shared" si="56"/>
        <v/>
      </c>
      <c r="O167" s="3" t="str">
        <f t="shared" si="57"/>
        <v/>
      </c>
      <c r="P167" s="3" t="str">
        <f t="shared" si="58"/>
        <v/>
      </c>
      <c r="Q167" s="3" t="str">
        <f t="shared" si="59"/>
        <v/>
      </c>
      <c r="R167" s="3" t="str">
        <f>IF($K167&lt;&gt;"",IF($A167="Prepago",0,IF(ROUND(($H167+SUM($B$12:$B167))*$T$6,2)&gt;ROUND(SUM($R$11:$R166)+$T$6,2),$T$6*2,$T$6)),"")</f>
        <v/>
      </c>
      <c r="S167" s="3" t="str">
        <f>IF($K167&lt;&gt;"",IF($A167="Prepago",0,IF(ROUND(($H167+SUM($B$12:$B167))*$T$7,2)&gt;ROUND(SUM($S$11:$S166)+$T$7,2),$T$7*2,$T$7)),"")</f>
        <v/>
      </c>
      <c r="T167" s="3" t="str">
        <f>IF($K167&lt;&gt;"",IF($A167="Prepago",0,IF(ROUND(($H167+SUM($B$12:$B167))*$T$8,2)&gt;ROUND(SUM($T$11:$T166)+$T$8,2),$T$8*2,$T$8)),"")</f>
        <v/>
      </c>
      <c r="U167" s="3" t="str">
        <f t="shared" si="60"/>
        <v/>
      </c>
      <c r="V167" s="3" t="str">
        <f t="shared" si="62"/>
        <v/>
      </c>
      <c r="W167" s="3" t="str">
        <f t="shared" si="61"/>
        <v/>
      </c>
      <c r="X167" s="3" t="str">
        <f>IF($K167&lt;&gt;"",IF($M167&gt;X$11,30,$M167)*ROUND(($N167+$V166)*$U$5/3000,2),"")</f>
        <v/>
      </c>
      <c r="Y167" s="3" t="str">
        <f>IF($K167&lt;&gt;"",IF($M167&gt;X$11,IF($M167&lt;Y$11,$M167-X$11,30),0)*ROUND(($N167+$V166+SUM($X167:X167))*$U$5/3000,2),"")</f>
        <v/>
      </c>
      <c r="Z167" s="3"/>
      <c r="AA167" s="3"/>
    </row>
    <row r="168" spans="5:27" x14ac:dyDescent="0.25">
      <c r="E168" s="5"/>
      <c r="F168" t="str">
        <f t="shared" si="50"/>
        <v/>
      </c>
      <c r="G168" s="5" t="str">
        <f>IF($K168&lt;&gt;"",IF(DAY(EOMONTH(DATE(YEAR($M$6),$G$11+K168+SUM($B$12:B168),1),0))&gt;DAY($M$7),DATE(YEAR($M$7),MONTH($M$7)+($A$1*($H168-1))+SUM($B$12:$B168),DAY($M$7)),EOMONTH(DATE(YEAR($M$6),$G$11+K168+SUM($B$12:B168),1),0)),"")</f>
        <v/>
      </c>
      <c r="H168" s="22" t="str">
        <f t="shared" si="51"/>
        <v/>
      </c>
      <c r="I168" s="22" t="str">
        <f t="shared" si="52"/>
        <v/>
      </c>
      <c r="J168" s="22" t="str">
        <f t="shared" si="53"/>
        <v/>
      </c>
      <c r="K168" t="str">
        <f t="shared" si="54"/>
        <v/>
      </c>
      <c r="L168" s="5" t="str">
        <f>IF($K168&lt;&gt;"",IF($E168="",IF(ULTIMODIA=0,DATE(YEAR($M$7),MONTH($M$7)+($A$1*($H168-1))+SUM($B$12:$B168),DAY($M$7)),$G168),$E168),"")</f>
        <v/>
      </c>
      <c r="M168" s="9" t="str">
        <f t="shared" si="55"/>
        <v/>
      </c>
      <c r="N168" s="3" t="str">
        <f t="shared" si="56"/>
        <v/>
      </c>
      <c r="O168" s="3" t="str">
        <f t="shared" si="57"/>
        <v/>
      </c>
      <c r="P168" s="3" t="str">
        <f t="shared" si="58"/>
        <v/>
      </c>
      <c r="Q168" s="3" t="str">
        <f t="shared" si="59"/>
        <v/>
      </c>
      <c r="R168" s="3" t="str">
        <f>IF($K168&lt;&gt;"",IF($A168="Prepago",0,IF(ROUND(($H168+SUM($B$12:$B168))*$T$6,2)&gt;ROUND(SUM($R$11:$R167)+$T$6,2),$T$6*2,$T$6)),"")</f>
        <v/>
      </c>
      <c r="S168" s="3" t="str">
        <f>IF($K168&lt;&gt;"",IF($A168="Prepago",0,IF(ROUND(($H168+SUM($B$12:$B168))*$T$7,2)&gt;ROUND(SUM($S$11:$S167)+$T$7,2),$T$7*2,$T$7)),"")</f>
        <v/>
      </c>
      <c r="T168" s="3" t="str">
        <f>IF($K168&lt;&gt;"",IF($A168="Prepago",0,IF(ROUND(($H168+SUM($B$12:$B168))*$T$8,2)&gt;ROUND(SUM($T$11:$T167)+$T$8,2),$T$8*2,$T$8)),"")</f>
        <v/>
      </c>
      <c r="U168" s="3" t="str">
        <f t="shared" si="60"/>
        <v/>
      </c>
      <c r="V168" s="3" t="str">
        <f t="shared" si="62"/>
        <v/>
      </c>
      <c r="W168" s="3" t="str">
        <f t="shared" si="61"/>
        <v/>
      </c>
      <c r="X168" s="3" t="str">
        <f>IF($K168&lt;&gt;"",IF($M168&gt;X$11,30,$M168)*ROUND(($N168+$V167)*$U$5/3000,2),"")</f>
        <v/>
      </c>
      <c r="Y168" s="3" t="str">
        <f>IF($K168&lt;&gt;"",IF($M168&gt;X$11,IF($M168&lt;Y$11,$M168-X$11,30),0)*ROUND(($N168+$V167+SUM($X168:X168))*$U$5/3000,2),"")</f>
        <v/>
      </c>
      <c r="Z168" s="3"/>
      <c r="AA168" s="3"/>
    </row>
    <row r="169" spans="5:27" x14ac:dyDescent="0.25">
      <c r="E169" s="5"/>
      <c r="F169" t="str">
        <f t="shared" si="50"/>
        <v/>
      </c>
      <c r="G169" s="5" t="str">
        <f>IF($K169&lt;&gt;"",IF(DAY(EOMONTH(DATE(YEAR($M$6),$G$11+K169+SUM($B$12:B169),1),0))&gt;DAY($M$7),DATE(YEAR($M$7),MONTH($M$7)+($A$1*($H169-1))+SUM($B$12:$B169),DAY($M$7)),EOMONTH(DATE(YEAR($M$6),$G$11+K169+SUM($B$12:B169),1),0)),"")</f>
        <v/>
      </c>
      <c r="H169" s="22" t="str">
        <f t="shared" si="51"/>
        <v/>
      </c>
      <c r="I169" s="22" t="str">
        <f t="shared" si="52"/>
        <v/>
      </c>
      <c r="J169" s="22" t="str">
        <f t="shared" si="53"/>
        <v/>
      </c>
      <c r="K169" t="str">
        <f t="shared" si="54"/>
        <v/>
      </c>
      <c r="L169" s="5" t="str">
        <f>IF($K169&lt;&gt;"",IF($E169="",IF(ULTIMODIA=0,DATE(YEAR($M$7),MONTH($M$7)+($A$1*($H169-1))+SUM($B$12:$B169),DAY($M$7)),$G169),$E169),"")</f>
        <v/>
      </c>
      <c r="M169" s="9" t="str">
        <f t="shared" si="55"/>
        <v/>
      </c>
      <c r="N169" s="3" t="str">
        <f t="shared" si="56"/>
        <v/>
      </c>
      <c r="O169" s="3" t="str">
        <f t="shared" si="57"/>
        <v/>
      </c>
      <c r="P169" s="3" t="str">
        <f t="shared" si="58"/>
        <v/>
      </c>
      <c r="Q169" s="3" t="str">
        <f t="shared" si="59"/>
        <v/>
      </c>
      <c r="R169" s="3" t="str">
        <f>IF($K169&lt;&gt;"",IF($A169="Prepago",0,IF(ROUND(($H169+SUM($B$12:$B169))*$T$6,2)&gt;ROUND(SUM($R$11:$R168)+$T$6,2),$T$6*2,$T$6)),"")</f>
        <v/>
      </c>
      <c r="S169" s="3" t="str">
        <f>IF($K169&lt;&gt;"",IF($A169="Prepago",0,IF(ROUND(($H169+SUM($B$12:$B169))*$T$7,2)&gt;ROUND(SUM($S$11:$S168)+$T$7,2),$T$7*2,$T$7)),"")</f>
        <v/>
      </c>
      <c r="T169" s="3" t="str">
        <f>IF($K169&lt;&gt;"",IF($A169="Prepago",0,IF(ROUND(($H169+SUM($B$12:$B169))*$T$8,2)&gt;ROUND(SUM($T$11:$T168)+$T$8,2),$T$8*2,$T$8)),"")</f>
        <v/>
      </c>
      <c r="U169" s="3" t="str">
        <f t="shared" si="60"/>
        <v/>
      </c>
      <c r="V169" s="3" t="str">
        <f t="shared" si="62"/>
        <v/>
      </c>
      <c r="W169" s="3" t="str">
        <f t="shared" si="61"/>
        <v/>
      </c>
      <c r="X169" s="3" t="str">
        <f>IF($K169&lt;&gt;"",IF($M169&gt;X$11,30,$M169)*ROUND(($N169+$V168)*$U$5/3000,2),"")</f>
        <v/>
      </c>
      <c r="Y169" s="3" t="str">
        <f>IF($K169&lt;&gt;"",IF($M169&gt;X$11,IF($M169&lt;Y$11,$M169-X$11,30),0)*ROUND(($N169+$V168+SUM($X169:X169))*$U$5/3000,2),"")</f>
        <v/>
      </c>
      <c r="Z169" s="3"/>
      <c r="AA169" s="3"/>
    </row>
    <row r="170" spans="5:27" x14ac:dyDescent="0.25">
      <c r="E170" s="5"/>
      <c r="F170" t="str">
        <f t="shared" si="50"/>
        <v/>
      </c>
      <c r="G170" s="5" t="str">
        <f>IF($K170&lt;&gt;"",IF(DAY(EOMONTH(DATE(YEAR($M$6),$G$11+K170+SUM($B$12:B170),1),0))&gt;DAY($M$7),DATE(YEAR($M$7),MONTH($M$7)+($A$1*($H170-1))+SUM($B$12:$B170),DAY($M$7)),EOMONTH(DATE(YEAR($M$6),$G$11+K170+SUM($B$12:B170),1),0)),"")</f>
        <v/>
      </c>
      <c r="H170" s="22" t="str">
        <f t="shared" si="51"/>
        <v/>
      </c>
      <c r="I170" s="22" t="str">
        <f t="shared" si="52"/>
        <v/>
      </c>
      <c r="J170" s="22" t="str">
        <f t="shared" si="53"/>
        <v/>
      </c>
      <c r="K170" t="str">
        <f t="shared" si="54"/>
        <v/>
      </c>
      <c r="L170" s="5" t="str">
        <f>IF($K170&lt;&gt;"",IF($E170="",IF(ULTIMODIA=0,DATE(YEAR($M$7),MONTH($M$7)+($A$1*($H170-1))+SUM($B$12:$B170),DAY($M$7)),$G170),$E170),"")</f>
        <v/>
      </c>
      <c r="M170" s="9" t="str">
        <f t="shared" si="55"/>
        <v/>
      </c>
      <c r="N170" s="3" t="str">
        <f t="shared" si="56"/>
        <v/>
      </c>
      <c r="O170" s="3" t="str">
        <f t="shared" si="57"/>
        <v/>
      </c>
      <c r="P170" s="3" t="str">
        <f t="shared" si="58"/>
        <v/>
      </c>
      <c r="Q170" s="3" t="str">
        <f t="shared" si="59"/>
        <v/>
      </c>
      <c r="R170" s="3" t="str">
        <f>IF($K170&lt;&gt;"",IF($A170="Prepago",0,IF(ROUND(($H170+SUM($B$12:$B170))*$T$6,2)&gt;ROUND(SUM($R$11:$R169)+$T$6,2),$T$6*2,$T$6)),"")</f>
        <v/>
      </c>
      <c r="S170" s="3" t="str">
        <f>IF($K170&lt;&gt;"",IF($A170="Prepago",0,IF(ROUND(($H170+SUM($B$12:$B170))*$T$7,2)&gt;ROUND(SUM($S$11:$S169)+$T$7,2),$T$7*2,$T$7)),"")</f>
        <v/>
      </c>
      <c r="T170" s="3" t="str">
        <f>IF($K170&lt;&gt;"",IF($A170="Prepago",0,IF(ROUND(($H170+SUM($B$12:$B170))*$T$8,2)&gt;ROUND(SUM($T$11:$T169)+$T$8,2),$T$8*2,$T$8)),"")</f>
        <v/>
      </c>
      <c r="U170" s="3" t="str">
        <f t="shared" si="60"/>
        <v/>
      </c>
      <c r="V170" s="3" t="str">
        <f t="shared" si="62"/>
        <v/>
      </c>
      <c r="W170" s="3" t="str">
        <f t="shared" si="61"/>
        <v/>
      </c>
      <c r="X170" s="3" t="str">
        <f>IF($K170&lt;&gt;"",IF($M170&gt;X$11,30,$M170)*ROUND(($N170+$V169)*$U$5/3000,2),"")</f>
        <v/>
      </c>
      <c r="Y170" s="3" t="str">
        <f>IF($K170&lt;&gt;"",IF($M170&gt;X$11,IF($M170&lt;Y$11,$M170-X$11,30),0)*ROUND(($N170+$V169+SUM($X170:X170))*$U$5/3000,2),"")</f>
        <v/>
      </c>
      <c r="Z170" s="3"/>
      <c r="AA170" s="3"/>
    </row>
    <row r="171" spans="5:27" x14ac:dyDescent="0.25">
      <c r="E171" s="5"/>
      <c r="F171" t="str">
        <f t="shared" si="50"/>
        <v/>
      </c>
      <c r="G171" s="5" t="str">
        <f>IF($K171&lt;&gt;"",IF(DAY(EOMONTH(DATE(YEAR($M$6),$G$11+K171+SUM($B$12:B171),1),0))&gt;DAY($M$7),DATE(YEAR($M$7),MONTH($M$7)+($A$1*($H171-1))+SUM($B$12:$B171),DAY($M$7)),EOMONTH(DATE(YEAR($M$6),$G$11+K171+SUM($B$12:B171),1),0)),"")</f>
        <v/>
      </c>
      <c r="H171" s="22" t="str">
        <f t="shared" si="51"/>
        <v/>
      </c>
      <c r="I171" s="22" t="str">
        <f t="shared" si="52"/>
        <v/>
      </c>
      <c r="J171" s="22" t="str">
        <f t="shared" si="53"/>
        <v/>
      </c>
      <c r="K171" t="str">
        <f t="shared" si="54"/>
        <v/>
      </c>
      <c r="L171" s="5" t="str">
        <f>IF($K171&lt;&gt;"",IF($E171="",IF(ULTIMODIA=0,DATE(YEAR($M$7),MONTH($M$7)+($A$1*($H171-1))+SUM($B$12:$B171),DAY($M$7)),$G171),$E171),"")</f>
        <v/>
      </c>
      <c r="M171" s="9" t="str">
        <f t="shared" si="55"/>
        <v/>
      </c>
      <c r="N171" s="3" t="str">
        <f t="shared" si="56"/>
        <v/>
      </c>
      <c r="O171" s="3" t="str">
        <f t="shared" si="57"/>
        <v/>
      </c>
      <c r="P171" s="3" t="str">
        <f t="shared" si="58"/>
        <v/>
      </c>
      <c r="Q171" s="3" t="str">
        <f t="shared" si="59"/>
        <v/>
      </c>
      <c r="R171" s="3" t="str">
        <f>IF($K171&lt;&gt;"",IF($A171="Prepago",0,IF(ROUND(($H171+SUM($B$12:$B171))*$T$6,2)&gt;ROUND(SUM($R$11:$R170)+$T$6,2),$T$6*2,$T$6)),"")</f>
        <v/>
      </c>
      <c r="S171" s="3" t="str">
        <f>IF($K171&lt;&gt;"",IF($A171="Prepago",0,IF(ROUND(($H171+SUM($B$12:$B171))*$T$7,2)&gt;ROUND(SUM($S$11:$S170)+$T$7,2),$T$7*2,$T$7)),"")</f>
        <v/>
      </c>
      <c r="T171" s="3" t="str">
        <f>IF($K171&lt;&gt;"",IF($A171="Prepago",0,IF(ROUND(($H171+SUM($B$12:$B171))*$T$8,2)&gt;ROUND(SUM($T$11:$T170)+$T$8,2),$T$8*2,$T$8)),"")</f>
        <v/>
      </c>
      <c r="U171" s="3" t="str">
        <f t="shared" si="60"/>
        <v/>
      </c>
      <c r="V171" s="3" t="str">
        <f t="shared" si="62"/>
        <v/>
      </c>
      <c r="W171" s="3" t="str">
        <f t="shared" si="61"/>
        <v/>
      </c>
      <c r="X171" s="3" t="str">
        <f>IF($K171&lt;&gt;"",IF($M171&gt;X$11,30,$M171)*ROUND(($N171+$V170)*$U$5/3000,2),"")</f>
        <v/>
      </c>
      <c r="Y171" s="3" t="str">
        <f>IF($K171&lt;&gt;"",IF($M171&gt;X$11,IF($M171&lt;Y$11,$M171-X$11,30),0)*ROUND(($N171+$V170+SUM($X171:X171))*$U$5/3000,2),"")</f>
        <v/>
      </c>
      <c r="Z171" s="3"/>
      <c r="AA171" s="3"/>
    </row>
    <row r="172" spans="5:27" x14ac:dyDescent="0.25">
      <c r="E172" s="5"/>
      <c r="F172" t="str">
        <f t="shared" ref="F172:F204" si="63">IF($K172&lt;&gt;"",TEXT(L172,"DDD"),"")</f>
        <v/>
      </c>
      <c r="G172" s="5" t="str">
        <f>IF($K172&lt;&gt;"",IF(DAY(EOMONTH(DATE(YEAR($M$6),$G$11+K172+SUM($B$12:B172),1),0))&gt;DAY($M$7),DATE(YEAR($M$7),MONTH($M$7)+($A$1*($H172-1))+SUM($B$12:$B172),DAY($M$7)),EOMONTH(DATE(YEAR($M$6),$G$11+K172+SUM($B$12:B172),1),0)),"")</f>
        <v/>
      </c>
      <c r="H172" s="22" t="str">
        <f t="shared" ref="H172:H208" si="64">IF($K172&lt;&gt;"",IF($A172="Prepago",$H171,$H171+1),"")</f>
        <v/>
      </c>
      <c r="I172" s="22" t="str">
        <f t="shared" ref="I172:I208" si="65">IF($K172&lt;&gt;"",IF(ISNUMBER($C172),-$P172+$W172-$Q172,ABS($W172)+$R172+$S172+$T172),"")</f>
        <v/>
      </c>
      <c r="J172" s="22" t="str">
        <f t="shared" ref="J172:J203" si="66">IF(K172&lt;&gt;"",IF(COUNTA($X172:$XFD172)*30&lt;$M172,1,0),"")</f>
        <v/>
      </c>
      <c r="K172" t="str">
        <f t="shared" ref="K172:K208" si="67">IF($K171&lt;NCUOTAS+CUOTAADICIONAL+PGRACIA,$K171+1,"")</f>
        <v/>
      </c>
      <c r="L172" s="5" t="str">
        <f>IF($K172&lt;&gt;"",IF($E172="",IF(ULTIMODIA=0,DATE(YEAR($M$7),MONTH($M$7)+($A$1*($H172-1))+SUM($B$12:$B172),DAY($M$7)),$G172),$E172),"")</f>
        <v/>
      </c>
      <c r="M172" s="9" t="str">
        <f t="shared" ref="M172:M204" si="68">IF($K172&lt;&gt;"",$L172-$L171,"")</f>
        <v/>
      </c>
      <c r="N172" s="3" t="str">
        <f t="shared" ref="N172:N204" si="69">IF($K172&lt;&gt;"",$U171,"")</f>
        <v/>
      </c>
      <c r="O172" s="3" t="str">
        <f t="shared" ref="O172:O208" si="70">IF($K172&lt;&gt;"",IF($A172="Gracia Parcial",IF(AND($C172&lt;$W172+$R172+$S172+$T172+$V171,$C172&gt;0),$C172,$W172+$R172+$S172+$T172+$V171),IF($A172="Gracia Total",0,IF($A172="Prepago",$C172,IF(ISNUMBER($C172),$C172*VALUE(MID($C$1,MONTH($L172),1)),$P$5*VALUE(MID($C$1,MONTH($L172),1))))))-IF($K173="",ARREGLO,0),"")</f>
        <v/>
      </c>
      <c r="P172" s="3" t="str">
        <f t="shared" ref="P172:P208" si="71">IF($K172&lt;&gt;"",IF($O172-$Q172&gt;0,$O172-$Q172-$R172-$S172-$T172,0),"")</f>
        <v/>
      </c>
      <c r="Q172" s="3" t="str">
        <f t="shared" ref="Q172:Q208" si="72">IF($K172&lt;&gt;"",IF($O172&gt;=IF($D172="",$W172,$D172)+$V171+$R172+$S172+$T172,IF($D172="",$W172,$D172)+$V171,$O172-$R172-$S172-$T172),"")</f>
        <v/>
      </c>
      <c r="R172" s="3" t="str">
        <f>IF($K172&lt;&gt;"",IF($A172="Prepago",0,IF(ROUND(($H172+SUM($B$12:$B172))*$T$6,2)&gt;ROUND(SUM($R$11:$R171)+$T$6,2),$T$6*2,$T$6)),"")</f>
        <v/>
      </c>
      <c r="S172" s="3" t="str">
        <f>IF($K172&lt;&gt;"",IF($A172="Prepago",0,IF(ROUND(($H172+SUM($B$12:$B172))*$T$7,2)&gt;ROUND(SUM($S$11:$S171)+$T$7,2),$T$7*2,$T$7)),"")</f>
        <v/>
      </c>
      <c r="T172" s="3" t="str">
        <f>IF($K172&lt;&gt;"",IF($A172="Prepago",0,IF(ROUND(($H172+SUM($B$12:$B172))*$T$8,2)&gt;ROUND(SUM($T$11:$T171)+$T$8,2),$T$8*2,$T$8)),"")</f>
        <v/>
      </c>
      <c r="U172" s="3" t="str">
        <f t="shared" ref="U172:U208" si="73">IF($K172&lt;&gt;"",$N172-$P172,"")</f>
        <v/>
      </c>
      <c r="V172" s="3" t="str">
        <f t="shared" si="62"/>
        <v/>
      </c>
      <c r="W172" s="3" t="str">
        <f t="shared" ref="W172:W208" si="74">IF($K172&lt;&gt;"",SUM($X172:$XFD172),"")</f>
        <v/>
      </c>
      <c r="X172" s="3" t="str">
        <f>IF($K172&lt;&gt;"",IF($M172&gt;X$11,30,$M172)*ROUND(($N172+$V171)*$U$5/3000,2),"")</f>
        <v/>
      </c>
      <c r="Y172" s="3" t="str">
        <f>IF($K172&lt;&gt;"",IF($M172&gt;X$11,IF($M172&lt;Y$11,$M172-X$11,30),0)*ROUND(($N172+$V171+SUM($X172:X172))*$U$5/3000,2),"")</f>
        <v/>
      </c>
      <c r="Z172" s="3"/>
      <c r="AA172" s="3"/>
    </row>
    <row r="173" spans="5:27" x14ac:dyDescent="0.25">
      <c r="E173" s="5"/>
      <c r="F173" t="str">
        <f t="shared" si="63"/>
        <v/>
      </c>
      <c r="G173" s="5" t="str">
        <f>IF($K173&lt;&gt;"",IF(DAY(EOMONTH(DATE(YEAR($M$6),$G$11+K173+SUM($B$12:B173),1),0))&gt;DAY($M$7),DATE(YEAR($M$7),MONTH($M$7)+($A$1*($H173-1))+SUM($B$12:$B173),DAY($M$7)),EOMONTH(DATE(YEAR($M$6),$G$11+K173+SUM($B$12:B173),1),0)),"")</f>
        <v/>
      </c>
      <c r="H173" s="22" t="str">
        <f t="shared" si="64"/>
        <v/>
      </c>
      <c r="I173" s="22" t="str">
        <f t="shared" si="65"/>
        <v/>
      </c>
      <c r="J173" s="22" t="str">
        <f t="shared" si="66"/>
        <v/>
      </c>
      <c r="K173" t="str">
        <f t="shared" si="67"/>
        <v/>
      </c>
      <c r="L173" s="5" t="str">
        <f>IF($K173&lt;&gt;"",IF($E173="",IF(ULTIMODIA=0,DATE(YEAR($M$7),MONTH($M$7)+($A$1*($H173-1))+SUM($B$12:$B173),DAY($M$7)),$G173),$E173),"")</f>
        <v/>
      </c>
      <c r="M173" s="9" t="str">
        <f t="shared" si="68"/>
        <v/>
      </c>
      <c r="N173" s="3" t="str">
        <f t="shared" si="69"/>
        <v/>
      </c>
      <c r="O173" s="3" t="str">
        <f t="shared" si="70"/>
        <v/>
      </c>
      <c r="P173" s="3" t="str">
        <f t="shared" si="71"/>
        <v/>
      </c>
      <c r="Q173" s="3" t="str">
        <f t="shared" si="72"/>
        <v/>
      </c>
      <c r="R173" s="3" t="str">
        <f>IF($K173&lt;&gt;"",IF($A173="Prepago",0,IF(ROUND(($H173+SUM($B$12:$B173))*$T$6,2)&gt;ROUND(SUM($R$11:$R172)+$T$6,2),$T$6*2,$T$6)),"")</f>
        <v/>
      </c>
      <c r="S173" s="3" t="str">
        <f>IF($K173&lt;&gt;"",IF($A173="Prepago",0,IF(ROUND(($H173+SUM($B$12:$B173))*$T$7,2)&gt;ROUND(SUM($S$11:$S172)+$T$7,2),$T$7*2,$T$7)),"")</f>
        <v/>
      </c>
      <c r="T173" s="3" t="str">
        <f>IF($K173&lt;&gt;"",IF($A173="Prepago",0,IF(ROUND(($H173+SUM($B$12:$B173))*$T$8,2)&gt;ROUND(SUM($T$11:$T172)+$T$8,2),$T$8*2,$T$8)),"")</f>
        <v/>
      </c>
      <c r="U173" s="3" t="str">
        <f t="shared" si="73"/>
        <v/>
      </c>
      <c r="V173" s="3" t="str">
        <f t="shared" si="62"/>
        <v/>
      </c>
      <c r="W173" s="3" t="str">
        <f t="shared" si="74"/>
        <v/>
      </c>
      <c r="X173" s="3" t="str">
        <f>IF($K173&lt;&gt;"",IF($M173&gt;X$11,30,$M173)*ROUND(($N173+$V172)*$U$5/3000,2),"")</f>
        <v/>
      </c>
      <c r="Y173" s="3" t="str">
        <f>IF($K173&lt;&gt;"",IF($M173&gt;X$11,IF($M173&lt;Y$11,$M173-X$11,30),0)*ROUND(($N173+$V172+SUM($X173:X173))*$U$5/3000,2),"")</f>
        <v/>
      </c>
      <c r="Z173" s="3"/>
      <c r="AA173" s="3"/>
    </row>
    <row r="174" spans="5:27" x14ac:dyDescent="0.25">
      <c r="E174" s="5"/>
      <c r="F174" t="str">
        <f t="shared" si="63"/>
        <v/>
      </c>
      <c r="G174" s="5" t="str">
        <f>IF($K174&lt;&gt;"",IF(DAY(EOMONTH(DATE(YEAR($M$6),$G$11+K174+SUM($B$12:B174),1),0))&gt;DAY($M$7),DATE(YEAR($M$7),MONTH($M$7)+($A$1*($H174-1))+SUM($B$12:$B174),DAY($M$7)),EOMONTH(DATE(YEAR($M$6),$G$11+K174+SUM($B$12:B174),1),0)),"")</f>
        <v/>
      </c>
      <c r="H174" s="22" t="str">
        <f t="shared" si="64"/>
        <v/>
      </c>
      <c r="I174" s="22" t="str">
        <f t="shared" si="65"/>
        <v/>
      </c>
      <c r="J174" s="22" t="str">
        <f t="shared" si="66"/>
        <v/>
      </c>
      <c r="K174" t="str">
        <f t="shared" si="67"/>
        <v/>
      </c>
      <c r="L174" s="5" t="str">
        <f>IF($K174&lt;&gt;"",IF($E174="",IF(ULTIMODIA=0,DATE(YEAR($M$7),MONTH($M$7)+($A$1*($H174-1))+SUM($B$12:$B174),DAY($M$7)),$G174),$E174),"")</f>
        <v/>
      </c>
      <c r="M174" s="9" t="str">
        <f t="shared" si="68"/>
        <v/>
      </c>
      <c r="N174" s="3" t="str">
        <f t="shared" si="69"/>
        <v/>
      </c>
      <c r="O174" s="3" t="str">
        <f t="shared" si="70"/>
        <v/>
      </c>
      <c r="P174" s="3" t="str">
        <f t="shared" si="71"/>
        <v/>
      </c>
      <c r="Q174" s="3" t="str">
        <f t="shared" si="72"/>
        <v/>
      </c>
      <c r="R174" s="3" t="str">
        <f>IF($K174&lt;&gt;"",IF($A174="Prepago",0,IF(ROUND(($H174+SUM($B$12:$B174))*$T$6,2)&gt;ROUND(SUM($R$11:$R173)+$T$6,2),$T$6*2,$T$6)),"")</f>
        <v/>
      </c>
      <c r="S174" s="3" t="str">
        <f>IF($K174&lt;&gt;"",IF($A174="Prepago",0,IF(ROUND(($H174+SUM($B$12:$B174))*$T$7,2)&gt;ROUND(SUM($S$11:$S173)+$T$7,2),$T$7*2,$T$7)),"")</f>
        <v/>
      </c>
      <c r="T174" s="3" t="str">
        <f>IF($K174&lt;&gt;"",IF($A174="Prepago",0,IF(ROUND(($H174+SUM($B$12:$B174))*$T$8,2)&gt;ROUND(SUM($T$11:$T173)+$T$8,2),$T$8*2,$T$8)),"")</f>
        <v/>
      </c>
      <c r="U174" s="3" t="str">
        <f t="shared" si="73"/>
        <v/>
      </c>
      <c r="V174" s="3" t="str">
        <f t="shared" si="62"/>
        <v/>
      </c>
      <c r="W174" s="3" t="str">
        <f t="shared" si="74"/>
        <v/>
      </c>
      <c r="X174" s="3" t="str">
        <f>IF($K174&lt;&gt;"",IF($M174&gt;X$11,30,$M174)*ROUND(($N174+$V173)*$U$5/3000,2),"")</f>
        <v/>
      </c>
      <c r="Y174" s="3" t="str">
        <f>IF($K174&lt;&gt;"",IF($M174&gt;X$11,IF($M174&lt;Y$11,$M174-X$11,30),0)*ROUND(($N174+$V173+SUM($X174:X174))*$U$5/3000,2),"")</f>
        <v/>
      </c>
      <c r="Z174" s="3"/>
      <c r="AA174" s="3"/>
    </row>
    <row r="175" spans="5:27" x14ac:dyDescent="0.25">
      <c r="E175" s="5"/>
      <c r="F175" t="str">
        <f t="shared" si="63"/>
        <v/>
      </c>
      <c r="G175" s="5" t="str">
        <f>IF($K175&lt;&gt;"",IF(DAY(EOMONTH(DATE(YEAR($M$6),$G$11+K175+SUM($B$12:B175),1),0))&gt;DAY($M$7),DATE(YEAR($M$7),MONTH($M$7)+($A$1*($H175-1))+SUM($B$12:$B175),DAY($M$7)),EOMONTH(DATE(YEAR($M$6),$G$11+K175+SUM($B$12:B175),1),0)),"")</f>
        <v/>
      </c>
      <c r="H175" s="22" t="str">
        <f t="shared" si="64"/>
        <v/>
      </c>
      <c r="I175" s="22" t="str">
        <f t="shared" si="65"/>
        <v/>
      </c>
      <c r="J175" s="22" t="str">
        <f t="shared" si="66"/>
        <v/>
      </c>
      <c r="K175" t="str">
        <f t="shared" si="67"/>
        <v/>
      </c>
      <c r="L175" s="5" t="str">
        <f>IF($K175&lt;&gt;"",IF($E175="",IF(ULTIMODIA=0,DATE(YEAR($M$7),MONTH($M$7)+($A$1*($H175-1))+SUM($B$12:$B175),DAY($M$7)),$G175),$E175),"")</f>
        <v/>
      </c>
      <c r="M175" s="9" t="str">
        <f t="shared" si="68"/>
        <v/>
      </c>
      <c r="N175" s="3" t="str">
        <f t="shared" si="69"/>
        <v/>
      </c>
      <c r="O175" s="3" t="str">
        <f t="shared" si="70"/>
        <v/>
      </c>
      <c r="P175" s="3" t="str">
        <f t="shared" si="71"/>
        <v/>
      </c>
      <c r="Q175" s="3" t="str">
        <f t="shared" si="72"/>
        <v/>
      </c>
      <c r="R175" s="3" t="str">
        <f>IF($K175&lt;&gt;"",IF($A175="Prepago",0,IF(ROUND(($H175+SUM($B$12:$B175))*$T$6,2)&gt;ROUND(SUM($R$11:$R174)+$T$6,2),$T$6*2,$T$6)),"")</f>
        <v/>
      </c>
      <c r="S175" s="3" t="str">
        <f>IF($K175&lt;&gt;"",IF($A175="Prepago",0,IF(ROUND(($H175+SUM($B$12:$B175))*$T$7,2)&gt;ROUND(SUM($S$11:$S174)+$T$7,2),$T$7*2,$T$7)),"")</f>
        <v/>
      </c>
      <c r="T175" s="3" t="str">
        <f>IF($K175&lt;&gt;"",IF($A175="Prepago",0,IF(ROUND(($H175+SUM($B$12:$B175))*$T$8,2)&gt;ROUND(SUM($T$11:$T174)+$T$8,2),$T$8*2,$T$8)),"")</f>
        <v/>
      </c>
      <c r="U175" s="3" t="str">
        <f t="shared" si="73"/>
        <v/>
      </c>
      <c r="V175" s="3" t="str">
        <f t="shared" si="62"/>
        <v/>
      </c>
      <c r="W175" s="3" t="str">
        <f t="shared" si="74"/>
        <v/>
      </c>
      <c r="X175" s="3" t="str">
        <f>IF($K175&lt;&gt;"",IF($M175&gt;X$11,30,$M175)*ROUND(($N175+$V174)*$U$5/3000,2),"")</f>
        <v/>
      </c>
      <c r="Y175" s="3" t="str">
        <f>IF($K175&lt;&gt;"",IF($M175&gt;X$11,IF($M175&lt;Y$11,$M175-X$11,30),0)*ROUND(($N175+$V174+SUM($X175:X175))*$U$5/3000,2),"")</f>
        <v/>
      </c>
      <c r="Z175" s="3"/>
      <c r="AA175" s="3"/>
    </row>
    <row r="176" spans="5:27" x14ac:dyDescent="0.25">
      <c r="E176" s="5"/>
      <c r="F176" t="str">
        <f t="shared" si="63"/>
        <v/>
      </c>
      <c r="G176" s="5" t="str">
        <f>IF($K176&lt;&gt;"",IF(DAY(EOMONTH(DATE(YEAR($M$6),$G$11+K176+SUM($B$12:B176),1),0))&gt;DAY($M$7),DATE(YEAR($M$7),MONTH($M$7)+($A$1*($H176-1))+SUM($B$12:$B176),DAY($M$7)),EOMONTH(DATE(YEAR($M$6),$G$11+K176+SUM($B$12:B176),1),0)),"")</f>
        <v/>
      </c>
      <c r="H176" s="22" t="str">
        <f t="shared" si="64"/>
        <v/>
      </c>
      <c r="I176" s="22" t="str">
        <f t="shared" si="65"/>
        <v/>
      </c>
      <c r="J176" s="22" t="str">
        <f t="shared" si="66"/>
        <v/>
      </c>
      <c r="K176" t="str">
        <f t="shared" si="67"/>
        <v/>
      </c>
      <c r="L176" s="5" t="str">
        <f>IF($K176&lt;&gt;"",IF($E176="",IF(ULTIMODIA=0,DATE(YEAR($M$7),MONTH($M$7)+($A$1*($H176-1))+SUM($B$12:$B176),DAY($M$7)),$G176),$E176),"")</f>
        <v/>
      </c>
      <c r="M176" s="9" t="str">
        <f t="shared" si="68"/>
        <v/>
      </c>
      <c r="N176" s="3" t="str">
        <f t="shared" si="69"/>
        <v/>
      </c>
      <c r="O176" s="3" t="str">
        <f t="shared" si="70"/>
        <v/>
      </c>
      <c r="P176" s="3" t="str">
        <f t="shared" si="71"/>
        <v/>
      </c>
      <c r="Q176" s="3" t="str">
        <f t="shared" si="72"/>
        <v/>
      </c>
      <c r="R176" s="3" t="str">
        <f>IF($K176&lt;&gt;"",IF($A176="Prepago",0,IF(ROUND(($H176+SUM($B$12:$B176))*$T$6,2)&gt;ROUND(SUM($R$11:$R175)+$T$6,2),$T$6*2,$T$6)),"")</f>
        <v/>
      </c>
      <c r="S176" s="3" t="str">
        <f>IF($K176&lt;&gt;"",IF($A176="Prepago",0,IF(ROUND(($H176+SUM($B$12:$B176))*$T$7,2)&gt;ROUND(SUM($S$11:$S175)+$T$7,2),$T$7*2,$T$7)),"")</f>
        <v/>
      </c>
      <c r="T176" s="3" t="str">
        <f>IF($K176&lt;&gt;"",IF($A176="Prepago",0,IF(ROUND(($H176+SUM($B$12:$B176))*$T$8,2)&gt;ROUND(SUM($T$11:$T175)+$T$8,2),$T$8*2,$T$8)),"")</f>
        <v/>
      </c>
      <c r="U176" s="3" t="str">
        <f t="shared" si="73"/>
        <v/>
      </c>
      <c r="V176" s="3" t="str">
        <f t="shared" si="62"/>
        <v/>
      </c>
      <c r="W176" s="3" t="str">
        <f t="shared" si="74"/>
        <v/>
      </c>
      <c r="X176" s="3" t="str">
        <f>IF($K176&lt;&gt;"",IF($M176&gt;X$11,30,$M176)*ROUND(($N176+$V175)*$U$5/3000,2),"")</f>
        <v/>
      </c>
      <c r="Y176" s="3" t="str">
        <f>IF($K176&lt;&gt;"",IF($M176&gt;X$11,IF($M176&lt;Y$11,$M176-X$11,30),0)*ROUND(($N176+$V175+SUM($X176:X176))*$U$5/3000,2),"")</f>
        <v/>
      </c>
      <c r="Z176" s="3"/>
      <c r="AA176" s="3"/>
    </row>
    <row r="177" spans="5:27" x14ac:dyDescent="0.25">
      <c r="E177" s="5"/>
      <c r="F177" t="str">
        <f t="shared" si="63"/>
        <v/>
      </c>
      <c r="G177" s="5" t="str">
        <f>IF($K177&lt;&gt;"",IF(DAY(EOMONTH(DATE(YEAR($M$6),$G$11+K177+SUM($B$12:B177),1),0))&gt;DAY($M$7),DATE(YEAR($M$7),MONTH($M$7)+($A$1*($H177-1))+SUM($B$12:$B177),DAY($M$7)),EOMONTH(DATE(YEAR($M$6),$G$11+K177+SUM($B$12:B177),1),0)),"")</f>
        <v/>
      </c>
      <c r="H177" s="22" t="str">
        <f t="shared" si="64"/>
        <v/>
      </c>
      <c r="I177" s="22" t="str">
        <f t="shared" si="65"/>
        <v/>
      </c>
      <c r="J177" s="22" t="str">
        <f t="shared" si="66"/>
        <v/>
      </c>
      <c r="K177" t="str">
        <f t="shared" si="67"/>
        <v/>
      </c>
      <c r="L177" s="5" t="str">
        <f>IF($K177&lt;&gt;"",IF($E177="",IF(ULTIMODIA=0,DATE(YEAR($M$7),MONTH($M$7)+($A$1*($H177-1))+SUM($B$12:$B177),DAY($M$7)),$G177),$E177),"")</f>
        <v/>
      </c>
      <c r="M177" s="9" t="str">
        <f t="shared" si="68"/>
        <v/>
      </c>
      <c r="N177" s="3" t="str">
        <f t="shared" si="69"/>
        <v/>
      </c>
      <c r="O177" s="3" t="str">
        <f t="shared" si="70"/>
        <v/>
      </c>
      <c r="P177" s="3" t="str">
        <f t="shared" si="71"/>
        <v/>
      </c>
      <c r="Q177" s="3" t="str">
        <f t="shared" si="72"/>
        <v/>
      </c>
      <c r="R177" s="3" t="str">
        <f>IF($K177&lt;&gt;"",IF($A177="Prepago",0,IF(ROUND(($H177+SUM($B$12:$B177))*$T$6,2)&gt;ROUND(SUM($R$11:$R176)+$T$6,2),$T$6*2,$T$6)),"")</f>
        <v/>
      </c>
      <c r="S177" s="3" t="str">
        <f>IF($K177&lt;&gt;"",IF($A177="Prepago",0,IF(ROUND(($H177+SUM($B$12:$B177))*$T$7,2)&gt;ROUND(SUM($S$11:$S176)+$T$7,2),$T$7*2,$T$7)),"")</f>
        <v/>
      </c>
      <c r="T177" s="3" t="str">
        <f>IF($K177&lt;&gt;"",IF($A177="Prepago",0,IF(ROUND(($H177+SUM($B$12:$B177))*$T$8,2)&gt;ROUND(SUM($T$11:$T176)+$T$8,2),$T$8*2,$T$8)),"")</f>
        <v/>
      </c>
      <c r="U177" s="3" t="str">
        <f t="shared" si="73"/>
        <v/>
      </c>
      <c r="V177" s="3" t="str">
        <f t="shared" si="62"/>
        <v/>
      </c>
      <c r="W177" s="3" t="str">
        <f t="shared" si="74"/>
        <v/>
      </c>
      <c r="X177" s="3" t="str">
        <f>IF($K177&lt;&gt;"",IF($M177&gt;X$11,30,$M177)*ROUND(($N177+$V176)*$U$5/3000,2),"")</f>
        <v/>
      </c>
      <c r="Y177" s="3" t="str">
        <f>IF($K177&lt;&gt;"",IF($M177&gt;X$11,IF($M177&lt;Y$11,$M177-X$11,30),0)*ROUND(($N177+$V176+SUM($X177:X177))*$U$5/3000,2),"")</f>
        <v/>
      </c>
      <c r="Z177" s="3"/>
      <c r="AA177" s="3"/>
    </row>
    <row r="178" spans="5:27" x14ac:dyDescent="0.25">
      <c r="E178" s="5"/>
      <c r="F178" t="str">
        <f t="shared" si="63"/>
        <v/>
      </c>
      <c r="G178" s="5" t="str">
        <f>IF($K178&lt;&gt;"",IF(DAY(EOMONTH(DATE(YEAR($M$6),$G$11+K178+SUM($B$12:B178),1),0))&gt;DAY($M$7),DATE(YEAR($M$7),MONTH($M$7)+($A$1*($H178-1))+SUM($B$12:$B178),DAY($M$7)),EOMONTH(DATE(YEAR($M$6),$G$11+K178+SUM($B$12:B178),1),0)),"")</f>
        <v/>
      </c>
      <c r="H178" s="22" t="str">
        <f t="shared" si="64"/>
        <v/>
      </c>
      <c r="I178" s="22" t="str">
        <f t="shared" si="65"/>
        <v/>
      </c>
      <c r="J178" s="22" t="str">
        <f t="shared" si="66"/>
        <v/>
      </c>
      <c r="K178" t="str">
        <f t="shared" si="67"/>
        <v/>
      </c>
      <c r="L178" s="5" t="str">
        <f>IF($K178&lt;&gt;"",IF($E178="",IF(ULTIMODIA=0,DATE(YEAR($M$7),MONTH($M$7)+($A$1*($H178-1))+SUM($B$12:$B178),DAY($M$7)),$G178),$E178),"")</f>
        <v/>
      </c>
      <c r="M178" s="9" t="str">
        <f t="shared" si="68"/>
        <v/>
      </c>
      <c r="N178" s="3" t="str">
        <f t="shared" si="69"/>
        <v/>
      </c>
      <c r="O178" s="3" t="str">
        <f t="shared" si="70"/>
        <v/>
      </c>
      <c r="P178" s="3" t="str">
        <f t="shared" si="71"/>
        <v/>
      </c>
      <c r="Q178" s="3" t="str">
        <f t="shared" si="72"/>
        <v/>
      </c>
      <c r="R178" s="3" t="str">
        <f>IF($K178&lt;&gt;"",IF($A178="Prepago",0,IF(ROUND(($H178+SUM($B$12:$B178))*$T$6,2)&gt;ROUND(SUM($R$11:$R177)+$T$6,2),$T$6*2,$T$6)),"")</f>
        <v/>
      </c>
      <c r="S178" s="3" t="str">
        <f>IF($K178&lt;&gt;"",IF($A178="Prepago",0,IF(ROUND(($H178+SUM($B$12:$B178))*$T$7,2)&gt;ROUND(SUM($S$11:$S177)+$T$7,2),$T$7*2,$T$7)),"")</f>
        <v/>
      </c>
      <c r="T178" s="3" t="str">
        <f>IF($K178&lt;&gt;"",IF($A178="Prepago",0,IF(ROUND(($H178+SUM($B$12:$B178))*$T$8,2)&gt;ROUND(SUM($T$11:$T177)+$T$8,2),$T$8*2,$T$8)),"")</f>
        <v/>
      </c>
      <c r="U178" s="3" t="str">
        <f t="shared" si="73"/>
        <v/>
      </c>
      <c r="V178" s="3" t="str">
        <f t="shared" si="62"/>
        <v/>
      </c>
      <c r="W178" s="3" t="str">
        <f t="shared" si="74"/>
        <v/>
      </c>
      <c r="X178" s="3" t="str">
        <f>IF($K178&lt;&gt;"",IF($M178&gt;X$11,30,$M178)*ROUND(($N178+$V177)*$U$5/3000,2),"")</f>
        <v/>
      </c>
      <c r="Y178" s="3" t="str">
        <f>IF($K178&lt;&gt;"",IF($M178&gt;X$11,IF($M178&lt;Y$11,$M178-X$11,30),0)*ROUND(($N178+$V177+SUM($X178:X178))*$U$5/3000,2),"")</f>
        <v/>
      </c>
      <c r="Z178" s="3"/>
      <c r="AA178" s="3"/>
    </row>
    <row r="179" spans="5:27" x14ac:dyDescent="0.25">
      <c r="E179" s="5"/>
      <c r="F179" t="str">
        <f t="shared" si="63"/>
        <v/>
      </c>
      <c r="G179" s="5" t="str">
        <f>IF($K179&lt;&gt;"",IF(DAY(EOMONTH(DATE(YEAR($M$6),$G$11+K179+SUM($B$12:B179),1),0))&gt;DAY($M$7),DATE(YEAR($M$7),MONTH($M$7)+($A$1*($H179-1))+SUM($B$12:$B179),DAY($M$7)),EOMONTH(DATE(YEAR($M$6),$G$11+K179+SUM($B$12:B179),1),0)),"")</f>
        <v/>
      </c>
      <c r="H179" s="22" t="str">
        <f t="shared" si="64"/>
        <v/>
      </c>
      <c r="I179" s="22" t="str">
        <f t="shared" si="65"/>
        <v/>
      </c>
      <c r="J179" s="22" t="str">
        <f t="shared" si="66"/>
        <v/>
      </c>
      <c r="K179" t="str">
        <f t="shared" si="67"/>
        <v/>
      </c>
      <c r="L179" s="5" t="str">
        <f>IF($K179&lt;&gt;"",IF($E179="",IF(ULTIMODIA=0,DATE(YEAR($M$7),MONTH($M$7)+($A$1*($H179-1))+SUM($B$12:$B179),DAY($M$7)),$G179),$E179),"")</f>
        <v/>
      </c>
      <c r="M179" s="9" t="str">
        <f t="shared" si="68"/>
        <v/>
      </c>
      <c r="N179" s="3" t="str">
        <f t="shared" si="69"/>
        <v/>
      </c>
      <c r="O179" s="3" t="str">
        <f t="shared" si="70"/>
        <v/>
      </c>
      <c r="P179" s="3" t="str">
        <f t="shared" si="71"/>
        <v/>
      </c>
      <c r="Q179" s="3" t="str">
        <f t="shared" si="72"/>
        <v/>
      </c>
      <c r="R179" s="3" t="str">
        <f>IF($K179&lt;&gt;"",IF($A179="Prepago",0,IF(ROUND(($H179+SUM($B$12:$B179))*$T$6,2)&gt;ROUND(SUM($R$11:$R178)+$T$6,2),$T$6*2,$T$6)),"")</f>
        <v/>
      </c>
      <c r="S179" s="3" t="str">
        <f>IF($K179&lt;&gt;"",IF($A179="Prepago",0,IF(ROUND(($H179+SUM($B$12:$B179))*$T$7,2)&gt;ROUND(SUM($S$11:$S178)+$T$7,2),$T$7*2,$T$7)),"")</f>
        <v/>
      </c>
      <c r="T179" s="3" t="str">
        <f>IF($K179&lt;&gt;"",IF($A179="Prepago",0,IF(ROUND(($H179+SUM($B$12:$B179))*$T$8,2)&gt;ROUND(SUM($T$11:$T178)+$T$8,2),$T$8*2,$T$8)),"")</f>
        <v/>
      </c>
      <c r="U179" s="3" t="str">
        <f t="shared" si="73"/>
        <v/>
      </c>
      <c r="V179" s="3" t="str">
        <f t="shared" si="62"/>
        <v/>
      </c>
      <c r="W179" s="3" t="str">
        <f t="shared" si="74"/>
        <v/>
      </c>
      <c r="X179" s="3" t="str">
        <f>IF($K179&lt;&gt;"",IF($M179&gt;X$11,30,$M179)*ROUND(($N179+$V178)*$U$5/3000,2),"")</f>
        <v/>
      </c>
      <c r="Y179" s="3" t="str">
        <f>IF($K179&lt;&gt;"",IF($M179&gt;X$11,IF($M179&lt;Y$11,$M179-X$11,30),0)*ROUND(($N179+$V178+SUM($X179:X179))*$U$5/3000,2),"")</f>
        <v/>
      </c>
      <c r="Z179" s="3"/>
      <c r="AA179" s="3"/>
    </row>
    <row r="180" spans="5:27" x14ac:dyDescent="0.25">
      <c r="E180" s="5"/>
      <c r="F180" t="str">
        <f t="shared" si="63"/>
        <v/>
      </c>
      <c r="G180" s="5" t="str">
        <f>IF($K180&lt;&gt;"",IF(DAY(EOMONTH(DATE(YEAR($M$6),$G$11+K180+SUM($B$12:B180),1),0))&gt;DAY($M$7),DATE(YEAR($M$7),MONTH($M$7)+($A$1*($H180-1))+SUM($B$12:$B180),DAY($M$7)),EOMONTH(DATE(YEAR($M$6),$G$11+K180+SUM($B$12:B180),1),0)),"")</f>
        <v/>
      </c>
      <c r="H180" s="22" t="str">
        <f t="shared" si="64"/>
        <v/>
      </c>
      <c r="I180" s="22" t="str">
        <f t="shared" si="65"/>
        <v/>
      </c>
      <c r="J180" s="22" t="str">
        <f t="shared" si="66"/>
        <v/>
      </c>
      <c r="K180" t="str">
        <f t="shared" si="67"/>
        <v/>
      </c>
      <c r="L180" s="5" t="str">
        <f>IF($K180&lt;&gt;"",IF($E180="",IF(ULTIMODIA=0,DATE(YEAR($M$7),MONTH($M$7)+($A$1*($H180-1))+SUM($B$12:$B180),DAY($M$7)),$G180),$E180),"")</f>
        <v/>
      </c>
      <c r="M180" s="9" t="str">
        <f t="shared" si="68"/>
        <v/>
      </c>
      <c r="N180" s="3" t="str">
        <f t="shared" si="69"/>
        <v/>
      </c>
      <c r="O180" s="3" t="str">
        <f t="shared" si="70"/>
        <v/>
      </c>
      <c r="P180" s="3" t="str">
        <f t="shared" si="71"/>
        <v/>
      </c>
      <c r="Q180" s="3" t="str">
        <f t="shared" si="72"/>
        <v/>
      </c>
      <c r="R180" s="3" t="str">
        <f>IF($K180&lt;&gt;"",IF($A180="Prepago",0,IF(ROUND(($H180+SUM($B$12:$B180))*$T$6,2)&gt;ROUND(SUM($R$11:$R179)+$T$6,2),$T$6*2,$T$6)),"")</f>
        <v/>
      </c>
      <c r="S180" s="3" t="str">
        <f>IF($K180&lt;&gt;"",IF($A180="Prepago",0,IF(ROUND(($H180+SUM($B$12:$B180))*$T$7,2)&gt;ROUND(SUM($S$11:$S179)+$T$7,2),$T$7*2,$T$7)),"")</f>
        <v/>
      </c>
      <c r="T180" s="3" t="str">
        <f>IF($K180&lt;&gt;"",IF($A180="Prepago",0,IF(ROUND(($H180+SUM($B$12:$B180))*$T$8,2)&gt;ROUND(SUM($T$11:$T179)+$T$8,2),$T$8*2,$T$8)),"")</f>
        <v/>
      </c>
      <c r="U180" s="3" t="str">
        <f t="shared" si="73"/>
        <v/>
      </c>
      <c r="V180" s="3" t="str">
        <f t="shared" si="62"/>
        <v/>
      </c>
      <c r="W180" s="3" t="str">
        <f t="shared" si="74"/>
        <v/>
      </c>
      <c r="X180" s="3" t="str">
        <f>IF($K180&lt;&gt;"",IF($M180&gt;X$11,30,$M180)*ROUND(($N180+$V179)*$U$5/3000,2),"")</f>
        <v/>
      </c>
      <c r="Y180" s="3" t="str">
        <f>IF($K180&lt;&gt;"",IF($M180&gt;X$11,IF($M180&lt;Y$11,$M180-X$11,30),0)*ROUND(($N180+$V179+SUM($X180:X180))*$U$5/3000,2),"")</f>
        <v/>
      </c>
      <c r="Z180" s="3"/>
      <c r="AA180" s="3"/>
    </row>
    <row r="181" spans="5:27" x14ac:dyDescent="0.25">
      <c r="E181" s="5"/>
      <c r="F181" t="str">
        <f t="shared" si="63"/>
        <v/>
      </c>
      <c r="G181" s="5" t="str">
        <f>IF($K181&lt;&gt;"",IF(DAY(EOMONTH(DATE(YEAR($M$6),$G$11+K181+SUM($B$12:B181),1),0))&gt;DAY($M$7),DATE(YEAR($M$7),MONTH($M$7)+($A$1*($H181-1))+SUM($B$12:$B181),DAY($M$7)),EOMONTH(DATE(YEAR($M$6),$G$11+K181+SUM($B$12:B181),1),0)),"")</f>
        <v/>
      </c>
      <c r="H181" s="22" t="str">
        <f t="shared" si="64"/>
        <v/>
      </c>
      <c r="I181" s="22" t="str">
        <f t="shared" si="65"/>
        <v/>
      </c>
      <c r="J181" s="22" t="str">
        <f t="shared" si="66"/>
        <v/>
      </c>
      <c r="K181" t="str">
        <f t="shared" si="67"/>
        <v/>
      </c>
      <c r="L181" s="5" t="str">
        <f>IF($K181&lt;&gt;"",IF($E181="",IF(ULTIMODIA=0,DATE(YEAR($M$7),MONTH($M$7)+($A$1*($H181-1))+SUM($B$12:$B181),DAY($M$7)),$G181),$E181),"")</f>
        <v/>
      </c>
      <c r="M181" s="9" t="str">
        <f t="shared" si="68"/>
        <v/>
      </c>
      <c r="N181" s="3" t="str">
        <f t="shared" si="69"/>
        <v/>
      </c>
      <c r="O181" s="3" t="str">
        <f t="shared" si="70"/>
        <v/>
      </c>
      <c r="P181" s="3" t="str">
        <f t="shared" si="71"/>
        <v/>
      </c>
      <c r="Q181" s="3" t="str">
        <f t="shared" si="72"/>
        <v/>
      </c>
      <c r="R181" s="3" t="str">
        <f>IF($K181&lt;&gt;"",IF($A181="Prepago",0,IF(ROUND(($H181+SUM($B$12:$B181))*$T$6,2)&gt;ROUND(SUM($R$11:$R180)+$T$6,2),$T$6*2,$T$6)),"")</f>
        <v/>
      </c>
      <c r="S181" s="3" t="str">
        <f>IF($K181&lt;&gt;"",IF($A181="Prepago",0,IF(ROUND(($H181+SUM($B$12:$B181))*$T$7,2)&gt;ROUND(SUM($S$11:$S180)+$T$7,2),$T$7*2,$T$7)),"")</f>
        <v/>
      </c>
      <c r="T181" s="3" t="str">
        <f>IF($K181&lt;&gt;"",IF($A181="Prepago",0,IF(ROUND(($H181+SUM($B$12:$B181))*$T$8,2)&gt;ROUND(SUM($T$11:$T180)+$T$8,2),$T$8*2,$T$8)),"")</f>
        <v/>
      </c>
      <c r="U181" s="3" t="str">
        <f t="shared" si="73"/>
        <v/>
      </c>
      <c r="V181" s="3" t="str">
        <f t="shared" si="62"/>
        <v/>
      </c>
      <c r="W181" s="3" t="str">
        <f t="shared" si="74"/>
        <v/>
      </c>
      <c r="X181" s="3" t="str">
        <f>IF($K181&lt;&gt;"",IF($M181&gt;X$11,30,$M181)*ROUND(($N181+$V180)*$U$5/3000,2),"")</f>
        <v/>
      </c>
      <c r="Y181" s="3" t="str">
        <f>IF($K181&lt;&gt;"",IF($M181&gt;X$11,IF($M181&lt;Y$11,$M181-X$11,30),0)*ROUND(($N181+$V180+SUM($X181:X181))*$U$5/3000,2),"")</f>
        <v/>
      </c>
      <c r="Z181" s="3"/>
      <c r="AA181" s="3"/>
    </row>
    <row r="182" spans="5:27" x14ac:dyDescent="0.25">
      <c r="E182" s="5"/>
      <c r="F182" t="str">
        <f t="shared" si="63"/>
        <v/>
      </c>
      <c r="G182" s="5" t="str">
        <f>IF($K182&lt;&gt;"",IF(DAY(EOMONTH(DATE(YEAR($M$6),$G$11+K182+SUM($B$12:B182),1),0))&gt;DAY($M$7),DATE(YEAR($M$7),MONTH($M$7)+($A$1*($H182-1))+SUM($B$12:$B182),DAY($M$7)),EOMONTH(DATE(YEAR($M$6),$G$11+K182+SUM($B$12:B182),1),0)),"")</f>
        <v/>
      </c>
      <c r="H182" s="22" t="str">
        <f t="shared" si="64"/>
        <v/>
      </c>
      <c r="I182" s="22" t="str">
        <f t="shared" si="65"/>
        <v/>
      </c>
      <c r="J182" s="22" t="str">
        <f t="shared" si="66"/>
        <v/>
      </c>
      <c r="K182" t="str">
        <f t="shared" si="67"/>
        <v/>
      </c>
      <c r="L182" s="5" t="str">
        <f>IF($K182&lt;&gt;"",IF($E182="",IF(ULTIMODIA=0,DATE(YEAR($M$7),MONTH($M$7)+($A$1*($H182-1))+SUM($B$12:$B182),DAY($M$7)),$G182),$E182),"")</f>
        <v/>
      </c>
      <c r="M182" s="9" t="str">
        <f t="shared" si="68"/>
        <v/>
      </c>
      <c r="N182" s="3" t="str">
        <f t="shared" si="69"/>
        <v/>
      </c>
      <c r="O182" s="3" t="str">
        <f t="shared" si="70"/>
        <v/>
      </c>
      <c r="P182" s="3" t="str">
        <f t="shared" si="71"/>
        <v/>
      </c>
      <c r="Q182" s="3" t="str">
        <f t="shared" si="72"/>
        <v/>
      </c>
      <c r="R182" s="3" t="str">
        <f>IF($K182&lt;&gt;"",IF($A182="Prepago",0,IF(ROUND(($H182+SUM($B$12:$B182))*$T$6,2)&gt;ROUND(SUM($R$11:$R181)+$T$6,2),$T$6*2,$T$6)),"")</f>
        <v/>
      </c>
      <c r="S182" s="3" t="str">
        <f>IF($K182&lt;&gt;"",IF($A182="Prepago",0,IF(ROUND(($H182+SUM($B$12:$B182))*$T$7,2)&gt;ROUND(SUM($S$11:$S181)+$T$7,2),$T$7*2,$T$7)),"")</f>
        <v/>
      </c>
      <c r="T182" s="3" t="str">
        <f>IF($K182&lt;&gt;"",IF($A182="Prepago",0,IF(ROUND(($H182+SUM($B$12:$B182))*$T$8,2)&gt;ROUND(SUM($T$11:$T181)+$T$8,2),$T$8*2,$T$8)),"")</f>
        <v/>
      </c>
      <c r="U182" s="3" t="str">
        <f t="shared" si="73"/>
        <v/>
      </c>
      <c r="V182" s="3" t="str">
        <f t="shared" si="62"/>
        <v/>
      </c>
      <c r="W182" s="3" t="str">
        <f t="shared" si="74"/>
        <v/>
      </c>
      <c r="X182" s="3" t="str">
        <f>IF($K182&lt;&gt;"",IF($M182&gt;X$11,30,$M182)*ROUND(($N182+$V181)*$U$5/3000,2),"")</f>
        <v/>
      </c>
      <c r="Y182" s="3" t="str">
        <f>IF($K182&lt;&gt;"",IF($M182&gt;X$11,IF($M182&lt;Y$11,$M182-X$11,30),0)*ROUND(($N182+$V181+SUM($X182:X182))*$U$5/3000,2),"")</f>
        <v/>
      </c>
      <c r="Z182" s="3"/>
      <c r="AA182" s="3"/>
    </row>
    <row r="183" spans="5:27" x14ac:dyDescent="0.25">
      <c r="E183" s="5"/>
      <c r="F183" t="str">
        <f t="shared" si="63"/>
        <v/>
      </c>
      <c r="G183" s="5" t="str">
        <f>IF($K183&lt;&gt;"",IF(DAY(EOMONTH(DATE(YEAR($M$6),$G$11+K183+SUM($B$12:B183),1),0))&gt;DAY($M$7),DATE(YEAR($M$7),MONTH($M$7)+($A$1*($H183-1))+SUM($B$12:$B183),DAY($M$7)),EOMONTH(DATE(YEAR($M$6),$G$11+K183+SUM($B$12:B183),1),0)),"")</f>
        <v/>
      </c>
      <c r="H183" s="22" t="str">
        <f t="shared" si="64"/>
        <v/>
      </c>
      <c r="I183" s="22" t="str">
        <f t="shared" si="65"/>
        <v/>
      </c>
      <c r="J183" s="22" t="str">
        <f t="shared" si="66"/>
        <v/>
      </c>
      <c r="K183" t="str">
        <f t="shared" si="67"/>
        <v/>
      </c>
      <c r="L183" s="5" t="str">
        <f>IF($K183&lt;&gt;"",IF($E183="",IF(ULTIMODIA=0,DATE(YEAR($M$7),MONTH($M$7)+($A$1*($H183-1))+SUM($B$12:$B183),DAY($M$7)),$G183),$E183),"")</f>
        <v/>
      </c>
      <c r="M183" s="9" t="str">
        <f t="shared" si="68"/>
        <v/>
      </c>
      <c r="N183" s="3" t="str">
        <f t="shared" si="69"/>
        <v/>
      </c>
      <c r="O183" s="3" t="str">
        <f t="shared" si="70"/>
        <v/>
      </c>
      <c r="P183" s="3" t="str">
        <f t="shared" si="71"/>
        <v/>
      </c>
      <c r="Q183" s="3" t="str">
        <f t="shared" si="72"/>
        <v/>
      </c>
      <c r="R183" s="3" t="str">
        <f>IF($K183&lt;&gt;"",IF($A183="Prepago",0,IF(ROUND(($H183+SUM($B$12:$B183))*$T$6,2)&gt;ROUND(SUM($R$11:$R182)+$T$6,2),$T$6*2,$T$6)),"")</f>
        <v/>
      </c>
      <c r="S183" s="3" t="str">
        <f>IF($K183&lt;&gt;"",IF($A183="Prepago",0,IF(ROUND(($H183+SUM($B$12:$B183))*$T$7,2)&gt;ROUND(SUM($S$11:$S182)+$T$7,2),$T$7*2,$T$7)),"")</f>
        <v/>
      </c>
      <c r="T183" s="3" t="str">
        <f>IF($K183&lt;&gt;"",IF($A183="Prepago",0,IF(ROUND(($H183+SUM($B$12:$B183))*$T$8,2)&gt;ROUND(SUM($T$11:$T182)+$T$8,2),$T$8*2,$T$8)),"")</f>
        <v/>
      </c>
      <c r="U183" s="3" t="str">
        <f t="shared" si="73"/>
        <v/>
      </c>
      <c r="V183" s="3" t="str">
        <f t="shared" si="62"/>
        <v/>
      </c>
      <c r="W183" s="3" t="str">
        <f t="shared" si="74"/>
        <v/>
      </c>
      <c r="X183" s="3" t="str">
        <f>IF($K183&lt;&gt;"",IF($M183&gt;X$11,30,$M183)*ROUND(($N183+$V182)*$U$5/3000,2),"")</f>
        <v/>
      </c>
      <c r="Y183" s="3" t="str">
        <f>IF($K183&lt;&gt;"",IF($M183&gt;X$11,IF($M183&lt;Y$11,$M183-X$11,30),0)*ROUND(($N183+$V182+SUM($X183:X183))*$U$5/3000,2),"")</f>
        <v/>
      </c>
      <c r="Z183" s="3"/>
      <c r="AA183" s="3"/>
    </row>
    <row r="184" spans="5:27" x14ac:dyDescent="0.25">
      <c r="E184" s="5"/>
      <c r="F184" t="str">
        <f t="shared" si="63"/>
        <v/>
      </c>
      <c r="G184" s="5" t="str">
        <f>IF($K184&lt;&gt;"",IF(DAY(EOMONTH(DATE(YEAR($M$6),$G$11+K184+SUM($B$12:B184),1),0))&gt;DAY($M$7),DATE(YEAR($M$7),MONTH($M$7)+($A$1*($H184-1))+SUM($B$12:$B184),DAY($M$7)),EOMONTH(DATE(YEAR($M$6),$G$11+K184+SUM($B$12:B184),1),0)),"")</f>
        <v/>
      </c>
      <c r="H184" s="22" t="str">
        <f t="shared" si="64"/>
        <v/>
      </c>
      <c r="I184" s="22" t="str">
        <f t="shared" si="65"/>
        <v/>
      </c>
      <c r="J184" s="22" t="str">
        <f t="shared" si="66"/>
        <v/>
      </c>
      <c r="K184" t="str">
        <f t="shared" si="67"/>
        <v/>
      </c>
      <c r="L184" s="5" t="str">
        <f>IF($K184&lt;&gt;"",IF($E184="",IF(ULTIMODIA=0,DATE(YEAR($M$7),MONTH($M$7)+($A$1*($H184-1))+SUM($B$12:$B184),DAY($M$7)),$G184),$E184),"")</f>
        <v/>
      </c>
      <c r="M184" s="9" t="str">
        <f t="shared" si="68"/>
        <v/>
      </c>
      <c r="N184" s="3" t="str">
        <f t="shared" si="69"/>
        <v/>
      </c>
      <c r="O184" s="3" t="str">
        <f t="shared" si="70"/>
        <v/>
      </c>
      <c r="P184" s="3" t="str">
        <f t="shared" si="71"/>
        <v/>
      </c>
      <c r="Q184" s="3" t="str">
        <f t="shared" si="72"/>
        <v/>
      </c>
      <c r="R184" s="3" t="str">
        <f>IF($K184&lt;&gt;"",IF($A184="Prepago",0,IF(ROUND(($H184+SUM($B$12:$B184))*$T$6,2)&gt;ROUND(SUM($R$11:$R183)+$T$6,2),$T$6*2,$T$6)),"")</f>
        <v/>
      </c>
      <c r="S184" s="3" t="str">
        <f>IF($K184&lt;&gt;"",IF($A184="Prepago",0,IF(ROUND(($H184+SUM($B$12:$B184))*$T$7,2)&gt;ROUND(SUM($S$11:$S183)+$T$7,2),$T$7*2,$T$7)),"")</f>
        <v/>
      </c>
      <c r="T184" s="3" t="str">
        <f>IF($K184&lt;&gt;"",IF($A184="Prepago",0,IF(ROUND(($H184+SUM($B$12:$B184))*$T$8,2)&gt;ROUND(SUM($T$11:$T183)+$T$8,2),$T$8*2,$T$8)),"")</f>
        <v/>
      </c>
      <c r="U184" s="3" t="str">
        <f t="shared" si="73"/>
        <v/>
      </c>
      <c r="V184" s="3" t="str">
        <f t="shared" si="62"/>
        <v/>
      </c>
      <c r="W184" s="3" t="str">
        <f t="shared" si="74"/>
        <v/>
      </c>
      <c r="X184" s="3" t="str">
        <f>IF($K184&lt;&gt;"",IF($M184&gt;X$11,30,$M184)*ROUND(($N184+$V183)*$U$5/3000,2),"")</f>
        <v/>
      </c>
      <c r="Y184" s="3" t="str">
        <f>IF($K184&lt;&gt;"",IF($M184&gt;X$11,IF($M184&lt;Y$11,$M184-X$11,30),0)*ROUND(($N184+$V183+SUM($X184:X184))*$U$5/3000,2),"")</f>
        <v/>
      </c>
      <c r="Z184" s="3"/>
      <c r="AA184" s="3"/>
    </row>
    <row r="185" spans="5:27" x14ac:dyDescent="0.25">
      <c r="E185" s="5"/>
      <c r="F185" t="str">
        <f t="shared" si="63"/>
        <v/>
      </c>
      <c r="G185" s="5" t="str">
        <f>IF($K185&lt;&gt;"",IF(DAY(EOMONTH(DATE(YEAR($M$6),$G$11+K185+SUM($B$12:B185),1),0))&gt;DAY($M$7),DATE(YEAR($M$7),MONTH($M$7)+($A$1*($H185-1))+SUM($B$12:$B185),DAY($M$7)),EOMONTH(DATE(YEAR($M$6),$G$11+K185+SUM($B$12:B185),1),0)),"")</f>
        <v/>
      </c>
      <c r="H185" s="22" t="str">
        <f t="shared" si="64"/>
        <v/>
      </c>
      <c r="I185" s="22" t="str">
        <f t="shared" si="65"/>
        <v/>
      </c>
      <c r="J185" s="22" t="str">
        <f t="shared" si="66"/>
        <v/>
      </c>
      <c r="K185" t="str">
        <f t="shared" si="67"/>
        <v/>
      </c>
      <c r="L185" s="5" t="str">
        <f>IF($K185&lt;&gt;"",IF($E185="",IF(ULTIMODIA=0,DATE(YEAR($M$7),MONTH($M$7)+($A$1*($H185-1))+SUM($B$12:$B185),DAY($M$7)),$G185),$E185),"")</f>
        <v/>
      </c>
      <c r="M185" s="9" t="str">
        <f t="shared" si="68"/>
        <v/>
      </c>
      <c r="N185" s="3" t="str">
        <f t="shared" si="69"/>
        <v/>
      </c>
      <c r="O185" s="3" t="str">
        <f t="shared" si="70"/>
        <v/>
      </c>
      <c r="P185" s="3" t="str">
        <f t="shared" si="71"/>
        <v/>
      </c>
      <c r="Q185" s="3" t="str">
        <f t="shared" si="72"/>
        <v/>
      </c>
      <c r="R185" s="3" t="str">
        <f>IF($K185&lt;&gt;"",IF($A185="Prepago",0,IF(ROUND(($H185+SUM($B$12:$B185))*$T$6,2)&gt;ROUND(SUM($R$11:$R184)+$T$6,2),$T$6*2,$T$6)),"")</f>
        <v/>
      </c>
      <c r="S185" s="3" t="str">
        <f>IF($K185&lt;&gt;"",IF($A185="Prepago",0,IF(ROUND(($H185+SUM($B$12:$B185))*$T$7,2)&gt;ROUND(SUM($S$11:$S184)+$T$7,2),$T$7*2,$T$7)),"")</f>
        <v/>
      </c>
      <c r="T185" s="3" t="str">
        <f>IF($K185&lt;&gt;"",IF($A185="Prepago",0,IF(ROUND(($H185+SUM($B$12:$B185))*$T$8,2)&gt;ROUND(SUM($T$11:$T184)+$T$8,2),$T$8*2,$T$8)),"")</f>
        <v/>
      </c>
      <c r="U185" s="3" t="str">
        <f t="shared" si="73"/>
        <v/>
      </c>
      <c r="V185" s="3" t="str">
        <f t="shared" si="62"/>
        <v/>
      </c>
      <c r="W185" s="3" t="str">
        <f t="shared" si="74"/>
        <v/>
      </c>
      <c r="X185" s="3" t="str">
        <f>IF($K185&lt;&gt;"",IF($M185&gt;X$11,30,$M185)*ROUND(($N185+$V184)*$U$5/3000,2),"")</f>
        <v/>
      </c>
      <c r="Y185" s="3" t="str">
        <f>IF($K185&lt;&gt;"",IF($M185&gt;X$11,IF($M185&lt;Y$11,$M185-X$11,30),0)*ROUND(($N185+$V184+SUM($X185:X185))*$U$5/3000,2),"")</f>
        <v/>
      </c>
      <c r="Z185" s="3"/>
      <c r="AA185" s="3"/>
    </row>
    <row r="186" spans="5:27" x14ac:dyDescent="0.25">
      <c r="E186" s="5"/>
      <c r="F186" t="str">
        <f t="shared" si="63"/>
        <v/>
      </c>
      <c r="G186" s="5" t="str">
        <f>IF($K186&lt;&gt;"",IF(DAY(EOMONTH(DATE(YEAR($M$6),$G$11+K186+SUM($B$12:B186),1),0))&gt;DAY($M$7),DATE(YEAR($M$7),MONTH($M$7)+($A$1*($H186-1))+SUM($B$12:$B186),DAY($M$7)),EOMONTH(DATE(YEAR($M$6),$G$11+K186+SUM($B$12:B186),1),0)),"")</f>
        <v/>
      </c>
      <c r="H186" s="22" t="str">
        <f t="shared" si="64"/>
        <v/>
      </c>
      <c r="I186" s="22" t="str">
        <f t="shared" si="65"/>
        <v/>
      </c>
      <c r="J186" s="22" t="str">
        <f t="shared" si="66"/>
        <v/>
      </c>
      <c r="K186" t="str">
        <f t="shared" si="67"/>
        <v/>
      </c>
      <c r="L186" s="5" t="str">
        <f>IF($K186&lt;&gt;"",IF($E186="",IF(ULTIMODIA=0,DATE(YEAR($M$7),MONTH($M$7)+($A$1*($H186-1))+SUM($B$12:$B186),DAY($M$7)),$G186),$E186),"")</f>
        <v/>
      </c>
      <c r="M186" s="9" t="str">
        <f t="shared" si="68"/>
        <v/>
      </c>
      <c r="N186" s="3" t="str">
        <f t="shared" si="69"/>
        <v/>
      </c>
      <c r="O186" s="3" t="str">
        <f t="shared" si="70"/>
        <v/>
      </c>
      <c r="P186" s="3" t="str">
        <f t="shared" si="71"/>
        <v/>
      </c>
      <c r="Q186" s="3" t="str">
        <f t="shared" si="72"/>
        <v/>
      </c>
      <c r="R186" s="3" t="str">
        <f>IF($K186&lt;&gt;"",IF($A186="Prepago",0,IF(ROUND(($H186+SUM($B$12:$B186))*$T$6,2)&gt;ROUND(SUM($R$11:$R185)+$T$6,2),$T$6*2,$T$6)),"")</f>
        <v/>
      </c>
      <c r="S186" s="3" t="str">
        <f>IF($K186&lt;&gt;"",IF($A186="Prepago",0,IF(ROUND(($H186+SUM($B$12:$B186))*$T$7,2)&gt;ROUND(SUM($S$11:$S185)+$T$7,2),$T$7*2,$T$7)),"")</f>
        <v/>
      </c>
      <c r="T186" s="3" t="str">
        <f>IF($K186&lt;&gt;"",IF($A186="Prepago",0,IF(ROUND(($H186+SUM($B$12:$B186))*$T$8,2)&gt;ROUND(SUM($T$11:$T185)+$T$8,2),$T$8*2,$T$8)),"")</f>
        <v/>
      </c>
      <c r="U186" s="3" t="str">
        <f t="shared" si="73"/>
        <v/>
      </c>
      <c r="V186" s="3" t="str">
        <f t="shared" si="62"/>
        <v/>
      </c>
      <c r="W186" s="3" t="str">
        <f t="shared" si="74"/>
        <v/>
      </c>
      <c r="X186" s="3" t="str">
        <f>IF($K186&lt;&gt;"",IF($M186&gt;X$11,30,$M186)*ROUND(($N186+$V185)*$U$5/3000,2),"")</f>
        <v/>
      </c>
      <c r="Y186" s="3" t="str">
        <f>IF($K186&lt;&gt;"",IF($M186&gt;X$11,IF($M186&lt;Y$11,$M186-X$11,30),0)*ROUND(($N186+$V185+SUM($X186:X186))*$U$5/3000,2),"")</f>
        <v/>
      </c>
      <c r="Z186" s="3"/>
      <c r="AA186" s="3"/>
    </row>
    <row r="187" spans="5:27" x14ac:dyDescent="0.25">
      <c r="E187" s="5"/>
      <c r="F187" t="str">
        <f t="shared" si="63"/>
        <v/>
      </c>
      <c r="G187" s="5" t="str">
        <f>IF($K187&lt;&gt;"",IF(DAY(EOMONTH(DATE(YEAR($M$6),$G$11+K187+SUM($B$12:B187),1),0))&gt;DAY($M$7),DATE(YEAR($M$7),MONTH($M$7)+($A$1*($H187-1))+SUM($B$12:$B187),DAY($M$7)),EOMONTH(DATE(YEAR($M$6),$G$11+K187+SUM($B$12:B187),1),0)),"")</f>
        <v/>
      </c>
      <c r="H187" s="22" t="str">
        <f t="shared" si="64"/>
        <v/>
      </c>
      <c r="I187" s="22" t="str">
        <f t="shared" si="65"/>
        <v/>
      </c>
      <c r="J187" s="22" t="str">
        <f t="shared" si="66"/>
        <v/>
      </c>
      <c r="K187" t="str">
        <f t="shared" si="67"/>
        <v/>
      </c>
      <c r="L187" s="5" t="str">
        <f>IF($K187&lt;&gt;"",IF($E187="",IF(ULTIMODIA=0,DATE(YEAR($M$7),MONTH($M$7)+($A$1*($H187-1))+SUM($B$12:$B187),DAY($M$7)),$G187),$E187),"")</f>
        <v/>
      </c>
      <c r="M187" s="9" t="str">
        <f t="shared" si="68"/>
        <v/>
      </c>
      <c r="N187" s="3" t="str">
        <f t="shared" si="69"/>
        <v/>
      </c>
      <c r="O187" s="3" t="str">
        <f t="shared" si="70"/>
        <v/>
      </c>
      <c r="P187" s="3" t="str">
        <f t="shared" si="71"/>
        <v/>
      </c>
      <c r="Q187" s="3" t="str">
        <f t="shared" si="72"/>
        <v/>
      </c>
      <c r="R187" s="3" t="str">
        <f>IF($K187&lt;&gt;"",IF($A187="Prepago",0,IF(ROUND(($H187+SUM($B$12:$B187))*$T$6,2)&gt;ROUND(SUM($R$11:$R186)+$T$6,2),$T$6*2,$T$6)),"")</f>
        <v/>
      </c>
      <c r="S187" s="3" t="str">
        <f>IF($K187&lt;&gt;"",IF($A187="Prepago",0,IF(ROUND(($H187+SUM($B$12:$B187))*$T$7,2)&gt;ROUND(SUM($S$11:$S186)+$T$7,2),$T$7*2,$T$7)),"")</f>
        <v/>
      </c>
      <c r="T187" s="3" t="str">
        <f>IF($K187&lt;&gt;"",IF($A187="Prepago",0,IF(ROUND(($H187+SUM($B$12:$B187))*$T$8,2)&gt;ROUND(SUM($T$11:$T186)+$T$8,2),$T$8*2,$T$8)),"")</f>
        <v/>
      </c>
      <c r="U187" s="3" t="str">
        <f t="shared" si="73"/>
        <v/>
      </c>
      <c r="V187" s="3" t="str">
        <f t="shared" si="62"/>
        <v/>
      </c>
      <c r="W187" s="3" t="str">
        <f t="shared" si="74"/>
        <v/>
      </c>
      <c r="X187" s="3" t="str">
        <f>IF($K187&lt;&gt;"",IF($M187&gt;X$11,30,$M187)*ROUND(($N187+$V186)*$U$5/3000,2),"")</f>
        <v/>
      </c>
      <c r="Y187" s="3" t="str">
        <f>IF($K187&lt;&gt;"",IF($M187&gt;X$11,IF($M187&lt;Y$11,$M187-X$11,30),0)*ROUND(($N187+$V186+SUM($X187:X187))*$U$5/3000,2),"")</f>
        <v/>
      </c>
      <c r="Z187" s="3"/>
      <c r="AA187" s="3"/>
    </row>
    <row r="188" spans="5:27" x14ac:dyDescent="0.25">
      <c r="E188" s="5"/>
      <c r="F188" t="str">
        <f t="shared" si="63"/>
        <v/>
      </c>
      <c r="G188" s="5" t="str">
        <f>IF($K188&lt;&gt;"",IF(DAY(EOMONTH(DATE(YEAR($M$6),$G$11+K188+SUM($B$12:B188),1),0))&gt;DAY($M$7),DATE(YEAR($M$7),MONTH($M$7)+($A$1*($H188-1))+SUM($B$12:$B188),DAY($M$7)),EOMONTH(DATE(YEAR($M$6),$G$11+K188+SUM($B$12:B188),1),0)),"")</f>
        <v/>
      </c>
      <c r="H188" s="22" t="str">
        <f t="shared" si="64"/>
        <v/>
      </c>
      <c r="I188" s="22" t="str">
        <f t="shared" si="65"/>
        <v/>
      </c>
      <c r="J188" s="22" t="str">
        <f t="shared" si="66"/>
        <v/>
      </c>
      <c r="K188" t="str">
        <f t="shared" si="67"/>
        <v/>
      </c>
      <c r="L188" s="5" t="str">
        <f>IF($K188&lt;&gt;"",IF($E188="",IF(ULTIMODIA=0,DATE(YEAR($M$7),MONTH($M$7)+($A$1*($H188-1))+SUM($B$12:$B188),DAY($M$7)),$G188),$E188),"")</f>
        <v/>
      </c>
      <c r="M188" s="9" t="str">
        <f t="shared" si="68"/>
        <v/>
      </c>
      <c r="N188" s="3" t="str">
        <f t="shared" si="69"/>
        <v/>
      </c>
      <c r="O188" s="3" t="str">
        <f t="shared" si="70"/>
        <v/>
      </c>
      <c r="P188" s="3" t="str">
        <f t="shared" si="71"/>
        <v/>
      </c>
      <c r="Q188" s="3" t="str">
        <f t="shared" si="72"/>
        <v/>
      </c>
      <c r="R188" s="3" t="str">
        <f>IF($K188&lt;&gt;"",IF($A188="Prepago",0,IF(ROUND(($H188+SUM($B$12:$B188))*$T$6,2)&gt;ROUND(SUM($R$11:$R187)+$T$6,2),$T$6*2,$T$6)),"")</f>
        <v/>
      </c>
      <c r="S188" s="3" t="str">
        <f>IF($K188&lt;&gt;"",IF($A188="Prepago",0,IF(ROUND(($H188+SUM($B$12:$B188))*$T$7,2)&gt;ROUND(SUM($S$11:$S187)+$T$7,2),$T$7*2,$T$7)),"")</f>
        <v/>
      </c>
      <c r="T188" s="3" t="str">
        <f>IF($K188&lt;&gt;"",IF($A188="Prepago",0,IF(ROUND(($H188+SUM($B$12:$B188))*$T$8,2)&gt;ROUND(SUM($T$11:$T187)+$T$8,2),$T$8*2,$T$8)),"")</f>
        <v/>
      </c>
      <c r="U188" s="3" t="str">
        <f t="shared" si="73"/>
        <v/>
      </c>
      <c r="V188" s="3" t="str">
        <f t="shared" si="62"/>
        <v/>
      </c>
      <c r="W188" s="3" t="str">
        <f t="shared" si="74"/>
        <v/>
      </c>
      <c r="X188" s="3" t="str">
        <f>IF($K188&lt;&gt;"",IF($M188&gt;X$11,30,$M188)*ROUND(($N188+$V187)*$U$5/3000,2),"")</f>
        <v/>
      </c>
      <c r="Y188" s="3" t="str">
        <f>IF($K188&lt;&gt;"",IF($M188&gt;X$11,IF($M188&lt;Y$11,$M188-X$11,30),0)*ROUND(($N188+$V187+SUM($X188:X188))*$U$5/3000,2),"")</f>
        <v/>
      </c>
      <c r="Z188" s="3"/>
      <c r="AA188" s="3"/>
    </row>
    <row r="189" spans="5:27" x14ac:dyDescent="0.25">
      <c r="E189" s="5"/>
      <c r="F189" t="str">
        <f t="shared" si="63"/>
        <v/>
      </c>
      <c r="G189" s="5" t="str">
        <f>IF($K189&lt;&gt;"",IF(DAY(EOMONTH(DATE(YEAR($M$6),$G$11+K189+SUM($B$12:B189),1),0))&gt;DAY($M$7),DATE(YEAR($M$7),MONTH($M$7)+($A$1*($H189-1))+SUM($B$12:$B189),DAY($M$7)),EOMONTH(DATE(YEAR($M$6),$G$11+K189+SUM($B$12:B189),1),0)),"")</f>
        <v/>
      </c>
      <c r="H189" s="22" t="str">
        <f t="shared" si="64"/>
        <v/>
      </c>
      <c r="I189" s="22" t="str">
        <f t="shared" si="65"/>
        <v/>
      </c>
      <c r="J189" s="22" t="str">
        <f t="shared" si="66"/>
        <v/>
      </c>
      <c r="K189" t="str">
        <f t="shared" si="67"/>
        <v/>
      </c>
      <c r="L189" s="5" t="str">
        <f>IF($K189&lt;&gt;"",IF($E189="",IF(ULTIMODIA=0,DATE(YEAR($M$7),MONTH($M$7)+($A$1*($H189-1))+SUM($B$12:$B189),DAY($M$7)),$G189),$E189),"")</f>
        <v/>
      </c>
      <c r="M189" s="9" t="str">
        <f t="shared" si="68"/>
        <v/>
      </c>
      <c r="N189" s="3" t="str">
        <f t="shared" si="69"/>
        <v/>
      </c>
      <c r="O189" s="3" t="str">
        <f t="shared" si="70"/>
        <v/>
      </c>
      <c r="P189" s="3" t="str">
        <f t="shared" si="71"/>
        <v/>
      </c>
      <c r="Q189" s="3" t="str">
        <f t="shared" si="72"/>
        <v/>
      </c>
      <c r="R189" s="3" t="str">
        <f>IF($K189&lt;&gt;"",IF($A189="Prepago",0,IF(ROUND(($H189+SUM($B$12:$B189))*$T$6,2)&gt;ROUND(SUM($R$11:$R188)+$T$6,2),$T$6*2,$T$6)),"")</f>
        <v/>
      </c>
      <c r="S189" s="3" t="str">
        <f>IF($K189&lt;&gt;"",IF($A189="Prepago",0,IF(ROUND(($H189+SUM($B$12:$B189))*$T$7,2)&gt;ROUND(SUM($S$11:$S188)+$T$7,2),$T$7*2,$T$7)),"")</f>
        <v/>
      </c>
      <c r="T189" s="3" t="str">
        <f>IF($K189&lt;&gt;"",IF($A189="Prepago",0,IF(ROUND(($H189+SUM($B$12:$B189))*$T$8,2)&gt;ROUND(SUM($T$11:$T188)+$T$8,2),$T$8*2,$T$8)),"")</f>
        <v/>
      </c>
      <c r="U189" s="3" t="str">
        <f t="shared" si="73"/>
        <v/>
      </c>
      <c r="V189" s="3" t="str">
        <f t="shared" si="62"/>
        <v/>
      </c>
      <c r="W189" s="3" t="str">
        <f t="shared" si="74"/>
        <v/>
      </c>
      <c r="X189" s="3" t="str">
        <f>IF($K189&lt;&gt;"",IF($M189&gt;X$11,30,$M189)*ROUND(($N189+$V188)*$U$5/3000,2),"")</f>
        <v/>
      </c>
      <c r="Y189" s="3" t="str">
        <f>IF($K189&lt;&gt;"",IF($M189&gt;X$11,IF($M189&lt;Y$11,$M189-X$11,30),0)*ROUND(($N189+$V188+SUM($X189:X189))*$U$5/3000,2),"")</f>
        <v/>
      </c>
      <c r="Z189" s="3"/>
      <c r="AA189" s="3"/>
    </row>
    <row r="190" spans="5:27" x14ac:dyDescent="0.25">
      <c r="E190" s="5"/>
      <c r="F190" t="str">
        <f t="shared" si="63"/>
        <v/>
      </c>
      <c r="G190" s="5" t="str">
        <f>IF($K190&lt;&gt;"",IF(DAY(EOMONTH(DATE(YEAR($M$6),$G$11+K190+SUM($B$12:B190),1),0))&gt;DAY($M$7),DATE(YEAR($M$7),MONTH($M$7)+($A$1*($H190-1))+SUM($B$12:$B190),DAY($M$7)),EOMONTH(DATE(YEAR($M$6),$G$11+K190+SUM($B$12:B190),1),0)),"")</f>
        <v/>
      </c>
      <c r="H190" s="22" t="str">
        <f t="shared" si="64"/>
        <v/>
      </c>
      <c r="I190" s="22" t="str">
        <f t="shared" si="65"/>
        <v/>
      </c>
      <c r="J190" s="22" t="str">
        <f t="shared" si="66"/>
        <v/>
      </c>
      <c r="K190" t="str">
        <f t="shared" si="67"/>
        <v/>
      </c>
      <c r="L190" s="5" t="str">
        <f>IF($K190&lt;&gt;"",IF($E190="",IF(ULTIMODIA=0,DATE(YEAR($M$7),MONTH($M$7)+($A$1*($H190-1))+SUM($B$12:$B190),DAY($M$7)),$G190),$E190),"")</f>
        <v/>
      </c>
      <c r="M190" s="9" t="str">
        <f t="shared" si="68"/>
        <v/>
      </c>
      <c r="N190" s="3" t="str">
        <f t="shared" si="69"/>
        <v/>
      </c>
      <c r="O190" s="3" t="str">
        <f t="shared" si="70"/>
        <v/>
      </c>
      <c r="P190" s="3" t="str">
        <f t="shared" si="71"/>
        <v/>
      </c>
      <c r="Q190" s="3" t="str">
        <f t="shared" si="72"/>
        <v/>
      </c>
      <c r="R190" s="3" t="str">
        <f>IF($K190&lt;&gt;"",IF($A190="Prepago",0,IF(ROUND(($H190+SUM($B$12:$B190))*$T$6,2)&gt;ROUND(SUM($R$11:$R189)+$T$6,2),$T$6*2,$T$6)),"")</f>
        <v/>
      </c>
      <c r="S190" s="3" t="str">
        <f>IF($K190&lt;&gt;"",IF($A190="Prepago",0,IF(ROUND(($H190+SUM($B$12:$B190))*$T$7,2)&gt;ROUND(SUM($S$11:$S189)+$T$7,2),$T$7*2,$T$7)),"")</f>
        <v/>
      </c>
      <c r="T190" s="3" t="str">
        <f>IF($K190&lt;&gt;"",IF($A190="Prepago",0,IF(ROUND(($H190+SUM($B$12:$B190))*$T$8,2)&gt;ROUND(SUM($T$11:$T189)+$T$8,2),$T$8*2,$T$8)),"")</f>
        <v/>
      </c>
      <c r="U190" s="3" t="str">
        <f t="shared" si="73"/>
        <v/>
      </c>
      <c r="V190" s="3" t="str">
        <f t="shared" si="62"/>
        <v/>
      </c>
      <c r="W190" s="3" t="str">
        <f t="shared" si="74"/>
        <v/>
      </c>
      <c r="X190" s="3" t="str">
        <f>IF($K190&lt;&gt;"",IF($M190&gt;X$11,30,$M190)*ROUND(($N190+$V189)*$U$5/3000,2),"")</f>
        <v/>
      </c>
      <c r="Y190" s="3" t="str">
        <f>IF($K190&lt;&gt;"",IF($M190&gt;X$11,IF($M190&lt;Y$11,$M190-X$11,30),0)*ROUND(($N190+$V189+SUM($X190:X190))*$U$5/3000,2),"")</f>
        <v/>
      </c>
      <c r="Z190" s="3"/>
      <c r="AA190" s="3"/>
    </row>
    <row r="191" spans="5:27" x14ac:dyDescent="0.25">
      <c r="E191" s="5"/>
      <c r="F191" t="str">
        <f t="shared" si="63"/>
        <v/>
      </c>
      <c r="G191" s="5" t="str">
        <f>IF($K191&lt;&gt;"",IF(DAY(EOMONTH(DATE(YEAR($M$6),$G$11+K191+SUM($B$12:B191),1),0))&gt;DAY($M$7),DATE(YEAR($M$7),MONTH($M$7)+($A$1*($H191-1))+SUM($B$12:$B191),DAY($M$7)),EOMONTH(DATE(YEAR($M$6),$G$11+K191+SUM($B$12:B191),1),0)),"")</f>
        <v/>
      </c>
      <c r="H191" s="22" t="str">
        <f t="shared" si="64"/>
        <v/>
      </c>
      <c r="I191" s="22" t="str">
        <f t="shared" si="65"/>
        <v/>
      </c>
      <c r="J191" s="22" t="str">
        <f t="shared" si="66"/>
        <v/>
      </c>
      <c r="K191" t="str">
        <f t="shared" si="67"/>
        <v/>
      </c>
      <c r="L191" s="5" t="str">
        <f>IF($K191&lt;&gt;"",IF($E191="",IF(ULTIMODIA=0,DATE(YEAR($M$7),MONTH($M$7)+($A$1*($H191-1))+SUM($B$12:$B191),DAY($M$7)),$G191),$E191),"")</f>
        <v/>
      </c>
      <c r="M191" s="9" t="str">
        <f t="shared" si="68"/>
        <v/>
      </c>
      <c r="N191" s="3" t="str">
        <f t="shared" si="69"/>
        <v/>
      </c>
      <c r="O191" s="3" t="str">
        <f t="shared" si="70"/>
        <v/>
      </c>
      <c r="P191" s="3" t="str">
        <f t="shared" si="71"/>
        <v/>
      </c>
      <c r="Q191" s="3" t="str">
        <f t="shared" si="72"/>
        <v/>
      </c>
      <c r="R191" s="3" t="str">
        <f>IF($K191&lt;&gt;"",IF($A191="Prepago",0,IF(ROUND(($H191+SUM($B$12:$B191))*$T$6,2)&gt;ROUND(SUM($R$11:$R190)+$T$6,2),$T$6*2,$T$6)),"")</f>
        <v/>
      </c>
      <c r="S191" s="3" t="str">
        <f>IF($K191&lt;&gt;"",IF($A191="Prepago",0,IF(ROUND(($H191+SUM($B$12:$B191))*$T$7,2)&gt;ROUND(SUM($S$11:$S190)+$T$7,2),$T$7*2,$T$7)),"")</f>
        <v/>
      </c>
      <c r="T191" s="3" t="str">
        <f>IF($K191&lt;&gt;"",IF($A191="Prepago",0,IF(ROUND(($H191+SUM($B$12:$B191))*$T$8,2)&gt;ROUND(SUM($T$11:$T190)+$T$8,2),$T$8*2,$T$8)),"")</f>
        <v/>
      </c>
      <c r="U191" s="3" t="str">
        <f t="shared" si="73"/>
        <v/>
      </c>
      <c r="V191" s="3" t="str">
        <f t="shared" si="62"/>
        <v/>
      </c>
      <c r="W191" s="3" t="str">
        <f t="shared" si="74"/>
        <v/>
      </c>
      <c r="X191" s="3" t="str">
        <f>IF($K191&lt;&gt;"",IF($M191&gt;X$11,30,$M191)*ROUND(($N191+$V190)*$U$5/3000,2),"")</f>
        <v/>
      </c>
      <c r="Y191" s="3" t="str">
        <f>IF($K191&lt;&gt;"",IF($M191&gt;X$11,IF($M191&lt;Y$11,$M191-X$11,30),0)*ROUND(($N191+$V190+SUM($X191:X191))*$U$5/3000,2),"")</f>
        <v/>
      </c>
      <c r="Z191" s="3"/>
      <c r="AA191" s="3"/>
    </row>
    <row r="192" spans="5:27" x14ac:dyDescent="0.25">
      <c r="E192" s="5"/>
      <c r="F192" t="str">
        <f t="shared" si="63"/>
        <v/>
      </c>
      <c r="G192" s="5" t="str">
        <f>IF($K192&lt;&gt;"",IF(DAY(EOMONTH(DATE(YEAR($M$6),$G$11+K192+SUM($B$12:B192),1),0))&gt;DAY($M$7),DATE(YEAR($M$7),MONTH($M$7)+($A$1*($H192-1))+SUM($B$12:$B192),DAY($M$7)),EOMONTH(DATE(YEAR($M$6),$G$11+K192+SUM($B$12:B192),1),0)),"")</f>
        <v/>
      </c>
      <c r="H192" s="22" t="str">
        <f t="shared" si="64"/>
        <v/>
      </c>
      <c r="I192" s="22" t="str">
        <f t="shared" si="65"/>
        <v/>
      </c>
      <c r="J192" s="22" t="str">
        <f t="shared" si="66"/>
        <v/>
      </c>
      <c r="K192" t="str">
        <f t="shared" si="67"/>
        <v/>
      </c>
      <c r="L192" s="5" t="str">
        <f>IF($K192&lt;&gt;"",IF($E192="",IF(ULTIMODIA=0,DATE(YEAR($M$7),MONTH($M$7)+($A$1*($H192-1))+SUM($B$12:$B192),DAY($M$7)),$G192),$E192),"")</f>
        <v/>
      </c>
      <c r="M192" s="9" t="str">
        <f t="shared" si="68"/>
        <v/>
      </c>
      <c r="N192" s="3" t="str">
        <f t="shared" si="69"/>
        <v/>
      </c>
      <c r="O192" s="3" t="str">
        <f t="shared" si="70"/>
        <v/>
      </c>
      <c r="P192" s="3" t="str">
        <f t="shared" si="71"/>
        <v/>
      </c>
      <c r="Q192" s="3" t="str">
        <f t="shared" si="72"/>
        <v/>
      </c>
      <c r="R192" s="3" t="str">
        <f>IF($K192&lt;&gt;"",IF($A192="Prepago",0,IF(ROUND(($H192+SUM($B$12:$B192))*$T$6,2)&gt;ROUND(SUM($R$11:$R191)+$T$6,2),$T$6*2,$T$6)),"")</f>
        <v/>
      </c>
      <c r="S192" s="3" t="str">
        <f>IF($K192&lt;&gt;"",IF($A192="Prepago",0,IF(ROUND(($H192+SUM($B$12:$B192))*$T$7,2)&gt;ROUND(SUM($S$11:$S191)+$T$7,2),$T$7*2,$T$7)),"")</f>
        <v/>
      </c>
      <c r="T192" s="3" t="str">
        <f>IF($K192&lt;&gt;"",IF($A192="Prepago",0,IF(ROUND(($H192+SUM($B$12:$B192))*$T$8,2)&gt;ROUND(SUM($T$11:$T191)+$T$8,2),$T$8*2,$T$8)),"")</f>
        <v/>
      </c>
      <c r="U192" s="3" t="str">
        <f t="shared" si="73"/>
        <v/>
      </c>
      <c r="V192" s="3" t="str">
        <f t="shared" si="62"/>
        <v/>
      </c>
      <c r="W192" s="3" t="str">
        <f t="shared" si="74"/>
        <v/>
      </c>
      <c r="X192" s="3" t="str">
        <f>IF($K192&lt;&gt;"",IF($M192&gt;X$11,30,$M192)*ROUND(($N192+$V191)*$U$5/3000,2),"")</f>
        <v/>
      </c>
      <c r="Y192" s="3" t="str">
        <f>IF($K192&lt;&gt;"",IF($M192&gt;X$11,IF($M192&lt;Y$11,$M192-X$11,30),0)*ROUND(($N192+$V191+SUM($X192:X192))*$U$5/3000,2),"")</f>
        <v/>
      </c>
      <c r="Z192" s="3"/>
      <c r="AA192" s="3"/>
    </row>
    <row r="193" spans="5:27" x14ac:dyDescent="0.25">
      <c r="E193" s="5"/>
      <c r="F193" t="str">
        <f t="shared" si="63"/>
        <v/>
      </c>
      <c r="G193" s="5" t="str">
        <f>IF($K193&lt;&gt;"",IF(DAY(EOMONTH(DATE(YEAR($M$6),$G$11+K193+SUM($B$12:B193),1),0))&gt;DAY($M$7),DATE(YEAR($M$7),MONTH($M$7)+($A$1*($H193-1))+SUM($B$12:$B193),DAY($M$7)),EOMONTH(DATE(YEAR($M$6),$G$11+K193+SUM($B$12:B193),1),0)),"")</f>
        <v/>
      </c>
      <c r="H193" s="22" t="str">
        <f t="shared" si="64"/>
        <v/>
      </c>
      <c r="I193" s="22" t="str">
        <f t="shared" si="65"/>
        <v/>
      </c>
      <c r="J193" s="22" t="str">
        <f t="shared" si="66"/>
        <v/>
      </c>
      <c r="K193" t="str">
        <f t="shared" si="67"/>
        <v/>
      </c>
      <c r="L193" s="5" t="str">
        <f>IF($K193&lt;&gt;"",IF($E193="",IF(ULTIMODIA=0,DATE(YEAR($M$7),MONTH($M$7)+($A$1*($H193-1))+SUM($B$12:$B193),DAY($M$7)),$G193),$E193),"")</f>
        <v/>
      </c>
      <c r="M193" s="9" t="str">
        <f t="shared" si="68"/>
        <v/>
      </c>
      <c r="N193" s="3" t="str">
        <f t="shared" si="69"/>
        <v/>
      </c>
      <c r="O193" s="3" t="str">
        <f t="shared" si="70"/>
        <v/>
      </c>
      <c r="P193" s="3" t="str">
        <f t="shared" si="71"/>
        <v/>
      </c>
      <c r="Q193" s="3" t="str">
        <f t="shared" si="72"/>
        <v/>
      </c>
      <c r="R193" s="3" t="str">
        <f>IF($K193&lt;&gt;"",IF($A193="Prepago",0,IF(ROUND(($H193+SUM($B$12:$B193))*$T$6,2)&gt;ROUND(SUM($R$11:$R192)+$T$6,2),$T$6*2,$T$6)),"")</f>
        <v/>
      </c>
      <c r="S193" s="3" t="str">
        <f>IF($K193&lt;&gt;"",IF($A193="Prepago",0,IF(ROUND(($H193+SUM($B$12:$B193))*$T$7,2)&gt;ROUND(SUM($S$11:$S192)+$T$7,2),$T$7*2,$T$7)),"")</f>
        <v/>
      </c>
      <c r="T193" s="3" t="str">
        <f>IF($K193&lt;&gt;"",IF($A193="Prepago",0,IF(ROUND(($H193+SUM($B$12:$B193))*$T$8,2)&gt;ROUND(SUM($T$11:$T192)+$T$8,2),$T$8*2,$T$8)),"")</f>
        <v/>
      </c>
      <c r="U193" s="3" t="str">
        <f t="shared" si="73"/>
        <v/>
      </c>
      <c r="V193" s="3" t="str">
        <f t="shared" si="62"/>
        <v/>
      </c>
      <c r="W193" s="3" t="str">
        <f t="shared" si="74"/>
        <v/>
      </c>
      <c r="X193" s="3" t="str">
        <f>IF($K193&lt;&gt;"",IF($M193&gt;X$11,30,$M193)*ROUND(($N193+$V192)*$U$5/3000,2),"")</f>
        <v/>
      </c>
      <c r="Y193" s="3" t="str">
        <f>IF($K193&lt;&gt;"",IF($M193&gt;X$11,IF($M193&lt;Y$11,$M193-X$11,30),0)*ROUND(($N193+$V192+SUM($X193:X193))*$U$5/3000,2),"")</f>
        <v/>
      </c>
      <c r="Z193" s="3"/>
      <c r="AA193" s="3"/>
    </row>
    <row r="194" spans="5:27" x14ac:dyDescent="0.25">
      <c r="E194" s="5"/>
      <c r="F194" t="str">
        <f t="shared" si="63"/>
        <v/>
      </c>
      <c r="G194" s="5" t="str">
        <f>IF($K194&lt;&gt;"",IF(DAY(EOMONTH(DATE(YEAR($M$6),$G$11+K194+SUM($B$12:B194),1),0))&gt;DAY($M$7),DATE(YEAR($M$7),MONTH($M$7)+($A$1*($H194-1))+SUM($B$12:$B194),DAY($M$7)),EOMONTH(DATE(YEAR($M$6),$G$11+K194+SUM($B$12:B194),1),0)),"")</f>
        <v/>
      </c>
      <c r="H194" s="22" t="str">
        <f t="shared" si="64"/>
        <v/>
      </c>
      <c r="I194" s="22" t="str">
        <f t="shared" si="65"/>
        <v/>
      </c>
      <c r="J194" s="22" t="str">
        <f t="shared" si="66"/>
        <v/>
      </c>
      <c r="K194" t="str">
        <f t="shared" si="67"/>
        <v/>
      </c>
      <c r="L194" s="5" t="str">
        <f>IF($K194&lt;&gt;"",IF($E194="",IF(ULTIMODIA=0,DATE(YEAR($M$7),MONTH($M$7)+($A$1*($H194-1))+SUM($B$12:$B194),DAY($M$7)),$G194),$E194),"")</f>
        <v/>
      </c>
      <c r="M194" s="9" t="str">
        <f t="shared" si="68"/>
        <v/>
      </c>
      <c r="N194" s="3" t="str">
        <f t="shared" si="69"/>
        <v/>
      </c>
      <c r="O194" s="3" t="str">
        <f t="shared" si="70"/>
        <v/>
      </c>
      <c r="P194" s="3" t="str">
        <f t="shared" si="71"/>
        <v/>
      </c>
      <c r="Q194" s="3" t="str">
        <f t="shared" si="72"/>
        <v/>
      </c>
      <c r="R194" s="3" t="str">
        <f>IF($K194&lt;&gt;"",IF($A194="Prepago",0,IF(ROUND(($H194+SUM($B$12:$B194))*$T$6,2)&gt;ROUND(SUM($R$11:$R193)+$T$6,2),$T$6*2,$T$6)),"")</f>
        <v/>
      </c>
      <c r="S194" s="3" t="str">
        <f>IF($K194&lt;&gt;"",IF($A194="Prepago",0,IF(ROUND(($H194+SUM($B$12:$B194))*$T$7,2)&gt;ROUND(SUM($S$11:$S193)+$T$7,2),$T$7*2,$T$7)),"")</f>
        <v/>
      </c>
      <c r="T194" s="3" t="str">
        <f>IF($K194&lt;&gt;"",IF($A194="Prepago",0,IF(ROUND(($H194+SUM($B$12:$B194))*$T$8,2)&gt;ROUND(SUM($T$11:$T193)+$T$8,2),$T$8*2,$T$8)),"")</f>
        <v/>
      </c>
      <c r="U194" s="3" t="str">
        <f t="shared" si="73"/>
        <v/>
      </c>
      <c r="V194" s="3" t="str">
        <f t="shared" si="62"/>
        <v/>
      </c>
      <c r="W194" s="3" t="str">
        <f t="shared" si="74"/>
        <v/>
      </c>
      <c r="X194" s="3" t="str">
        <f>IF($K194&lt;&gt;"",IF($M194&gt;X$11,30,$M194)*ROUND(($N194+$V193)*$U$5/3000,2),"")</f>
        <v/>
      </c>
      <c r="Y194" s="3" t="str">
        <f>IF($K194&lt;&gt;"",IF($M194&gt;X$11,IF($M194&lt;Y$11,$M194-X$11,30),0)*ROUND(($N194+$V193+SUM($X194:X194))*$U$5/3000,2),"")</f>
        <v/>
      </c>
      <c r="Z194" s="3"/>
      <c r="AA194" s="3"/>
    </row>
    <row r="195" spans="5:27" x14ac:dyDescent="0.25">
      <c r="E195" s="5"/>
      <c r="F195" t="str">
        <f t="shared" si="63"/>
        <v/>
      </c>
      <c r="G195" s="5" t="str">
        <f>IF($K195&lt;&gt;"",IF(DAY(EOMONTH(DATE(YEAR($M$6),$G$11+K195+SUM($B$12:B195),1),0))&gt;DAY($M$7),DATE(YEAR($M$7),MONTH($M$7)+($A$1*($H195-1))+SUM($B$12:$B195),DAY($M$7)),EOMONTH(DATE(YEAR($M$6),$G$11+K195+SUM($B$12:B195),1),0)),"")</f>
        <v/>
      </c>
      <c r="H195" s="22" t="str">
        <f t="shared" si="64"/>
        <v/>
      </c>
      <c r="I195" s="22" t="str">
        <f t="shared" si="65"/>
        <v/>
      </c>
      <c r="J195" s="22" t="str">
        <f t="shared" si="66"/>
        <v/>
      </c>
      <c r="K195" t="str">
        <f t="shared" si="67"/>
        <v/>
      </c>
      <c r="L195" s="5" t="str">
        <f>IF($K195&lt;&gt;"",IF($E195="",IF(ULTIMODIA=0,DATE(YEAR($M$7),MONTH($M$7)+($A$1*($H195-1))+SUM($B$12:$B195),DAY($M$7)),$G195),$E195),"")</f>
        <v/>
      </c>
      <c r="M195" s="9" t="str">
        <f t="shared" si="68"/>
        <v/>
      </c>
      <c r="N195" s="3" t="str">
        <f t="shared" si="69"/>
        <v/>
      </c>
      <c r="O195" s="3" t="str">
        <f t="shared" si="70"/>
        <v/>
      </c>
      <c r="P195" s="3" t="str">
        <f t="shared" si="71"/>
        <v/>
      </c>
      <c r="Q195" s="3" t="str">
        <f t="shared" si="72"/>
        <v/>
      </c>
      <c r="R195" s="3" t="str">
        <f>IF($K195&lt;&gt;"",IF($A195="Prepago",0,IF(ROUND(($H195+SUM($B$12:$B195))*$T$6,2)&gt;ROUND(SUM($R$11:$R194)+$T$6,2),$T$6*2,$T$6)),"")</f>
        <v/>
      </c>
      <c r="S195" s="3" t="str">
        <f>IF($K195&lt;&gt;"",IF($A195="Prepago",0,IF(ROUND(($H195+SUM($B$12:$B195))*$T$7,2)&gt;ROUND(SUM($S$11:$S194)+$T$7,2),$T$7*2,$T$7)),"")</f>
        <v/>
      </c>
      <c r="T195" s="3" t="str">
        <f>IF($K195&lt;&gt;"",IF($A195="Prepago",0,IF(ROUND(($H195+SUM($B$12:$B195))*$T$8,2)&gt;ROUND(SUM($T$11:$T194)+$T$8,2),$T$8*2,$T$8)),"")</f>
        <v/>
      </c>
      <c r="U195" s="3" t="str">
        <f t="shared" si="73"/>
        <v/>
      </c>
      <c r="V195" s="3" t="str">
        <f t="shared" si="62"/>
        <v/>
      </c>
      <c r="W195" s="3" t="str">
        <f t="shared" si="74"/>
        <v/>
      </c>
      <c r="X195" s="3" t="str">
        <f>IF($K195&lt;&gt;"",IF($M195&gt;X$11,30,$M195)*ROUND(($N195+$V194)*$U$5/3000,2),"")</f>
        <v/>
      </c>
      <c r="Y195" s="3" t="str">
        <f>IF($K195&lt;&gt;"",IF($M195&gt;X$11,IF($M195&lt;Y$11,$M195-X$11,30),0)*ROUND(($N195+$V194+SUM($X195:X195))*$U$5/3000,2),"")</f>
        <v/>
      </c>
      <c r="Z195" s="3"/>
      <c r="AA195" s="3"/>
    </row>
    <row r="196" spans="5:27" x14ac:dyDescent="0.25">
      <c r="E196" s="5"/>
      <c r="F196" t="str">
        <f t="shared" si="63"/>
        <v/>
      </c>
      <c r="G196" s="5" t="str">
        <f>IF($K196&lt;&gt;"",IF(DAY(EOMONTH(DATE(YEAR($M$6),$G$11+K196+SUM($B$12:B196),1),0))&gt;DAY($M$7),DATE(YEAR($M$7),MONTH($M$7)+($A$1*($H196-1))+SUM($B$12:$B196),DAY($M$7)),EOMONTH(DATE(YEAR($M$6),$G$11+K196+SUM($B$12:B196),1),0)),"")</f>
        <v/>
      </c>
      <c r="H196" s="22" t="str">
        <f t="shared" si="64"/>
        <v/>
      </c>
      <c r="I196" s="22" t="str">
        <f t="shared" si="65"/>
        <v/>
      </c>
      <c r="J196" s="22" t="str">
        <f t="shared" si="66"/>
        <v/>
      </c>
      <c r="K196" t="str">
        <f t="shared" si="67"/>
        <v/>
      </c>
      <c r="L196" s="5" t="str">
        <f>IF($K196&lt;&gt;"",IF($E196="",IF(ULTIMODIA=0,DATE(YEAR($M$7),MONTH($M$7)+($A$1*($H196-1))+SUM($B$12:$B196),DAY($M$7)),$G196),$E196),"")</f>
        <v/>
      </c>
      <c r="M196" s="9" t="str">
        <f t="shared" si="68"/>
        <v/>
      </c>
      <c r="N196" s="3" t="str">
        <f t="shared" si="69"/>
        <v/>
      </c>
      <c r="O196" s="3" t="str">
        <f t="shared" si="70"/>
        <v/>
      </c>
      <c r="P196" s="3" t="str">
        <f t="shared" si="71"/>
        <v/>
      </c>
      <c r="Q196" s="3" t="str">
        <f t="shared" si="72"/>
        <v/>
      </c>
      <c r="R196" s="3" t="str">
        <f>IF($K196&lt;&gt;"",IF($A196="Prepago",0,IF(ROUND(($H196+SUM($B$12:$B196))*$T$6,2)&gt;ROUND(SUM($R$11:$R195)+$T$6,2),$T$6*2,$T$6)),"")</f>
        <v/>
      </c>
      <c r="S196" s="3" t="str">
        <f>IF($K196&lt;&gt;"",IF($A196="Prepago",0,IF(ROUND(($H196+SUM($B$12:$B196))*$T$7,2)&gt;ROUND(SUM($S$11:$S195)+$T$7,2),$T$7*2,$T$7)),"")</f>
        <v/>
      </c>
      <c r="T196" s="3" t="str">
        <f>IF($K196&lt;&gt;"",IF($A196="Prepago",0,IF(ROUND(($H196+SUM($B$12:$B196))*$T$8,2)&gt;ROUND(SUM($T$11:$T195)+$T$8,2),$T$8*2,$T$8)),"")</f>
        <v/>
      </c>
      <c r="U196" s="3" t="str">
        <f t="shared" si="73"/>
        <v/>
      </c>
      <c r="V196" s="3" t="str">
        <f t="shared" si="62"/>
        <v/>
      </c>
      <c r="W196" s="3" t="str">
        <f t="shared" si="74"/>
        <v/>
      </c>
      <c r="X196" s="3" t="str">
        <f>IF($K196&lt;&gt;"",IF($M196&gt;X$11,30,$M196)*ROUND(($N196+$V195)*$U$5/3000,2),"")</f>
        <v/>
      </c>
      <c r="Y196" s="3" t="str">
        <f>IF($K196&lt;&gt;"",IF($M196&gt;X$11,IF($M196&lt;Y$11,$M196-X$11,30),0)*ROUND(($N196+$V195+SUM($X196:X196))*$U$5/3000,2),"")</f>
        <v/>
      </c>
      <c r="Z196" s="3"/>
      <c r="AA196" s="3"/>
    </row>
    <row r="197" spans="5:27" x14ac:dyDescent="0.25">
      <c r="E197" s="5"/>
      <c r="F197" t="str">
        <f t="shared" si="63"/>
        <v/>
      </c>
      <c r="G197" s="5" t="str">
        <f>IF($K197&lt;&gt;"",IF(DAY(EOMONTH(DATE(YEAR($M$6),$G$11+K197+SUM($B$12:B197),1),0))&gt;DAY($M$7),DATE(YEAR($M$7),MONTH($M$7)+($A$1*($H197-1))+SUM($B$12:$B197),DAY($M$7)),EOMONTH(DATE(YEAR($M$6),$G$11+K197+SUM($B$12:B197),1),0)),"")</f>
        <v/>
      </c>
      <c r="H197" s="22" t="str">
        <f t="shared" si="64"/>
        <v/>
      </c>
      <c r="I197" s="22" t="str">
        <f t="shared" si="65"/>
        <v/>
      </c>
      <c r="J197" s="22" t="str">
        <f t="shared" si="66"/>
        <v/>
      </c>
      <c r="K197" t="str">
        <f t="shared" si="67"/>
        <v/>
      </c>
      <c r="L197" s="5" t="str">
        <f>IF($K197&lt;&gt;"",IF($E197="",IF(ULTIMODIA=0,DATE(YEAR($M$7),MONTH($M$7)+($A$1*($H197-1))+SUM($B$12:$B197),DAY($M$7)),$G197),$E197),"")</f>
        <v/>
      </c>
      <c r="M197" s="9" t="str">
        <f t="shared" si="68"/>
        <v/>
      </c>
      <c r="N197" s="3" t="str">
        <f t="shared" si="69"/>
        <v/>
      </c>
      <c r="O197" s="3" t="str">
        <f t="shared" si="70"/>
        <v/>
      </c>
      <c r="P197" s="3" t="str">
        <f t="shared" si="71"/>
        <v/>
      </c>
      <c r="Q197" s="3" t="str">
        <f t="shared" si="72"/>
        <v/>
      </c>
      <c r="R197" s="3" t="str">
        <f>IF($K197&lt;&gt;"",IF($A197="Prepago",0,IF(ROUND(($H197+SUM($B$12:$B197))*$T$6,2)&gt;ROUND(SUM($R$11:$R196)+$T$6,2),$T$6*2,$T$6)),"")</f>
        <v/>
      </c>
      <c r="S197" s="3" t="str">
        <f>IF($K197&lt;&gt;"",IF($A197="Prepago",0,IF(ROUND(($H197+SUM($B$12:$B197))*$T$7,2)&gt;ROUND(SUM($S$11:$S196)+$T$7,2),$T$7*2,$T$7)),"")</f>
        <v/>
      </c>
      <c r="T197" s="3" t="str">
        <f>IF($K197&lt;&gt;"",IF($A197="Prepago",0,IF(ROUND(($H197+SUM($B$12:$B197))*$T$8,2)&gt;ROUND(SUM($T$11:$T196)+$T$8,2),$T$8*2,$T$8)),"")</f>
        <v/>
      </c>
      <c r="U197" s="3" t="str">
        <f t="shared" si="73"/>
        <v/>
      </c>
      <c r="V197" s="3" t="str">
        <f t="shared" si="62"/>
        <v/>
      </c>
      <c r="W197" s="3" t="str">
        <f t="shared" si="74"/>
        <v/>
      </c>
      <c r="X197" s="3" t="str">
        <f>IF($K197&lt;&gt;"",IF($M197&gt;X$11,30,$M197)*ROUND(($N197+$V196)*$U$5/3000,2),"")</f>
        <v/>
      </c>
      <c r="Y197" s="3" t="str">
        <f>IF($K197&lt;&gt;"",IF($M197&gt;X$11,IF($M197&lt;Y$11,$M197-X$11,30),0)*ROUND(($N197+$V196+SUM($X197:X197))*$U$5/3000,2),"")</f>
        <v/>
      </c>
      <c r="Z197" s="3"/>
      <c r="AA197" s="3"/>
    </row>
    <row r="198" spans="5:27" x14ac:dyDescent="0.25">
      <c r="E198" s="5"/>
      <c r="F198" t="str">
        <f t="shared" si="63"/>
        <v/>
      </c>
      <c r="G198" s="5" t="str">
        <f>IF($K198&lt;&gt;"",IF(DAY(EOMONTH(DATE(YEAR($M$6),$G$11+K198+SUM($B$12:B198),1),0))&gt;DAY($M$7),DATE(YEAR($M$7),MONTH($M$7)+($A$1*($H198-1))+SUM($B$12:$B198),DAY($M$7)),EOMONTH(DATE(YEAR($M$6),$G$11+K198+SUM($B$12:B198),1),0)),"")</f>
        <v/>
      </c>
      <c r="H198" s="22" t="str">
        <f t="shared" si="64"/>
        <v/>
      </c>
      <c r="I198" s="22" t="str">
        <f t="shared" si="65"/>
        <v/>
      </c>
      <c r="J198" s="22" t="str">
        <f t="shared" si="66"/>
        <v/>
      </c>
      <c r="K198" t="str">
        <f t="shared" si="67"/>
        <v/>
      </c>
      <c r="L198" s="5" t="str">
        <f>IF($K198&lt;&gt;"",IF($E198="",IF(ULTIMODIA=0,DATE(YEAR($M$7),MONTH($M$7)+($A$1*($H198-1))+SUM($B$12:$B198),DAY($M$7)),$G198),$E198),"")</f>
        <v/>
      </c>
      <c r="M198" s="9" t="str">
        <f t="shared" si="68"/>
        <v/>
      </c>
      <c r="N198" s="3" t="str">
        <f t="shared" si="69"/>
        <v/>
      </c>
      <c r="O198" s="3" t="str">
        <f t="shared" si="70"/>
        <v/>
      </c>
      <c r="P198" s="3" t="str">
        <f t="shared" si="71"/>
        <v/>
      </c>
      <c r="Q198" s="3" t="str">
        <f t="shared" si="72"/>
        <v/>
      </c>
      <c r="R198" s="3" t="str">
        <f>IF($K198&lt;&gt;"",IF($A198="Prepago",0,IF(ROUND(($H198+SUM($B$12:$B198))*$T$6,2)&gt;ROUND(SUM($R$11:$R197)+$T$6,2),$T$6*2,$T$6)),"")</f>
        <v/>
      </c>
      <c r="S198" s="3" t="str">
        <f>IF($K198&lt;&gt;"",IF($A198="Prepago",0,IF(ROUND(($H198+SUM($B$12:$B198))*$T$7,2)&gt;ROUND(SUM($S$11:$S197)+$T$7,2),$T$7*2,$T$7)),"")</f>
        <v/>
      </c>
      <c r="T198" s="3" t="str">
        <f>IF($K198&lt;&gt;"",IF($A198="Prepago",0,IF(ROUND(($H198+SUM($B$12:$B198))*$T$8,2)&gt;ROUND(SUM($T$11:$T197)+$T$8,2),$T$8*2,$T$8)),"")</f>
        <v/>
      </c>
      <c r="U198" s="3" t="str">
        <f t="shared" si="73"/>
        <v/>
      </c>
      <c r="V198" s="3" t="str">
        <f t="shared" si="62"/>
        <v/>
      </c>
      <c r="W198" s="3" t="str">
        <f t="shared" si="74"/>
        <v/>
      </c>
      <c r="X198" s="3" t="str">
        <f>IF($K198&lt;&gt;"",IF($M198&gt;X$11,30,$M198)*ROUND(($N198+$V197)*$U$5/3000,2),"")</f>
        <v/>
      </c>
      <c r="Y198" s="3" t="str">
        <f>IF($K198&lt;&gt;"",IF($M198&gt;X$11,IF($M198&lt;Y$11,$M198-X$11,30),0)*ROUND(($N198+$V197+SUM($X198:X198))*$U$5/3000,2),"")</f>
        <v/>
      </c>
      <c r="Z198" s="3"/>
      <c r="AA198" s="3"/>
    </row>
    <row r="199" spans="5:27" x14ac:dyDescent="0.25">
      <c r="E199" s="5"/>
      <c r="F199" t="str">
        <f t="shared" si="63"/>
        <v/>
      </c>
      <c r="G199" s="5" t="str">
        <f>IF($K199&lt;&gt;"",IF(DAY(EOMONTH(DATE(YEAR($M$6),$G$11+K199+SUM($B$12:B199),1),0))&gt;DAY($M$7),DATE(YEAR($M$7),MONTH($M$7)+($A$1*($H199-1))+SUM($B$12:$B199),DAY($M$7)),EOMONTH(DATE(YEAR($M$6),$G$11+K199+SUM($B$12:B199),1),0)),"")</f>
        <v/>
      </c>
      <c r="H199" s="22" t="str">
        <f t="shared" si="64"/>
        <v/>
      </c>
      <c r="I199" s="22" t="str">
        <f t="shared" si="65"/>
        <v/>
      </c>
      <c r="J199" s="22" t="str">
        <f t="shared" si="66"/>
        <v/>
      </c>
      <c r="K199" t="str">
        <f t="shared" si="67"/>
        <v/>
      </c>
      <c r="L199" s="5" t="str">
        <f>IF($K199&lt;&gt;"",IF($E199="",IF(ULTIMODIA=0,DATE(YEAR($M$7),MONTH($M$7)+($A$1*($H199-1))+SUM($B$12:$B199),DAY($M$7)),$G199),$E199),"")</f>
        <v/>
      </c>
      <c r="M199" s="9" t="str">
        <f t="shared" si="68"/>
        <v/>
      </c>
      <c r="N199" s="3" t="str">
        <f t="shared" si="69"/>
        <v/>
      </c>
      <c r="O199" s="3" t="str">
        <f t="shared" si="70"/>
        <v/>
      </c>
      <c r="P199" s="3" t="str">
        <f t="shared" si="71"/>
        <v/>
      </c>
      <c r="Q199" s="3" t="str">
        <f t="shared" si="72"/>
        <v/>
      </c>
      <c r="R199" s="3" t="str">
        <f>IF($K199&lt;&gt;"",IF($A199="Prepago",0,IF(ROUND(($H199+SUM($B$12:$B199))*$T$6,2)&gt;ROUND(SUM($R$11:$R198)+$T$6,2),$T$6*2,$T$6)),"")</f>
        <v/>
      </c>
      <c r="S199" s="3" t="str">
        <f>IF($K199&lt;&gt;"",IF($A199="Prepago",0,IF(ROUND(($H199+SUM($B$12:$B199))*$T$7,2)&gt;ROUND(SUM($S$11:$S198)+$T$7,2),$T$7*2,$T$7)),"")</f>
        <v/>
      </c>
      <c r="T199" s="3" t="str">
        <f>IF($K199&lt;&gt;"",IF($A199="Prepago",0,IF(ROUND(($H199+SUM($B$12:$B199))*$T$8,2)&gt;ROUND(SUM($T$11:$T198)+$T$8,2),$T$8*2,$T$8)),"")</f>
        <v/>
      </c>
      <c r="U199" s="3" t="str">
        <f t="shared" si="73"/>
        <v/>
      </c>
      <c r="V199" s="3" t="str">
        <f t="shared" si="62"/>
        <v/>
      </c>
      <c r="W199" s="3" t="str">
        <f t="shared" si="74"/>
        <v/>
      </c>
      <c r="X199" s="3" t="str">
        <f>IF($K199&lt;&gt;"",IF($M199&gt;X$11,30,$M199)*ROUND(($N199+$V198)*$U$5/3000,2),"")</f>
        <v/>
      </c>
      <c r="Y199" s="3" t="str">
        <f>IF($K199&lt;&gt;"",IF($M199&gt;X$11,IF($M199&lt;Y$11,$M199-X$11,30),0)*ROUND(($N199+$V198+SUM($X199:X199))*$U$5/3000,2),"")</f>
        <v/>
      </c>
      <c r="Z199" s="3"/>
      <c r="AA199" s="3"/>
    </row>
    <row r="200" spans="5:27" x14ac:dyDescent="0.25">
      <c r="E200" s="5"/>
      <c r="F200" t="str">
        <f t="shared" si="63"/>
        <v/>
      </c>
      <c r="G200" s="5" t="str">
        <f>IF($K200&lt;&gt;"",IF(DAY(EOMONTH(DATE(YEAR($M$6),$G$11+K200+SUM($B$12:B200),1),0))&gt;DAY($M$7),DATE(YEAR($M$7),MONTH($M$7)+($A$1*($H200-1))+SUM($B$12:$B200),DAY($M$7)),EOMONTH(DATE(YEAR($M$6),$G$11+K200+SUM($B$12:B200),1),0)),"")</f>
        <v/>
      </c>
      <c r="H200" s="22" t="str">
        <f t="shared" si="64"/>
        <v/>
      </c>
      <c r="I200" s="22" t="str">
        <f t="shared" si="65"/>
        <v/>
      </c>
      <c r="J200" s="22" t="str">
        <f t="shared" si="66"/>
        <v/>
      </c>
      <c r="K200" t="str">
        <f t="shared" si="67"/>
        <v/>
      </c>
      <c r="L200" s="5" t="str">
        <f>IF($K200&lt;&gt;"",IF($E200="",IF(ULTIMODIA=0,DATE(YEAR($M$7),MONTH($M$7)+($A$1*($H200-1))+SUM($B$12:$B200),DAY($M$7)),$G200),$E200),"")</f>
        <v/>
      </c>
      <c r="M200" s="9" t="str">
        <f t="shared" si="68"/>
        <v/>
      </c>
      <c r="N200" s="3" t="str">
        <f t="shared" si="69"/>
        <v/>
      </c>
      <c r="O200" s="3" t="str">
        <f t="shared" si="70"/>
        <v/>
      </c>
      <c r="P200" s="3" t="str">
        <f t="shared" si="71"/>
        <v/>
      </c>
      <c r="Q200" s="3" t="str">
        <f t="shared" si="72"/>
        <v/>
      </c>
      <c r="R200" s="3" t="str">
        <f>IF($K200&lt;&gt;"",IF($A200="Prepago",0,IF(ROUND(($H200+SUM($B$12:$B200))*$T$6,2)&gt;ROUND(SUM($R$11:$R199)+$T$6,2),$T$6*2,$T$6)),"")</f>
        <v/>
      </c>
      <c r="S200" s="3" t="str">
        <f>IF($K200&lt;&gt;"",IF($A200="Prepago",0,IF(ROUND(($H200+SUM($B$12:$B200))*$T$7,2)&gt;ROUND(SUM($S$11:$S199)+$T$7,2),$T$7*2,$T$7)),"")</f>
        <v/>
      </c>
      <c r="T200" s="3" t="str">
        <f>IF($K200&lt;&gt;"",IF($A200="Prepago",0,IF(ROUND(($H200+SUM($B$12:$B200))*$T$8,2)&gt;ROUND(SUM($T$11:$T199)+$T$8,2),$T$8*2,$T$8)),"")</f>
        <v/>
      </c>
      <c r="U200" s="3" t="str">
        <f t="shared" si="73"/>
        <v/>
      </c>
      <c r="V200" s="3" t="str">
        <f t="shared" si="62"/>
        <v/>
      </c>
      <c r="W200" s="3" t="str">
        <f t="shared" si="74"/>
        <v/>
      </c>
      <c r="X200" s="3" t="str">
        <f>IF($K200&lt;&gt;"",IF($M200&gt;X$11,30,$M200)*ROUND(($N200+$V199)*$U$5/3000,2),"")</f>
        <v/>
      </c>
      <c r="Y200" s="3" t="str">
        <f>IF($K200&lt;&gt;"",IF($M200&gt;X$11,IF($M200&lt;Y$11,$M200-X$11,30),0)*ROUND(($N200+$V199+SUM($X200:X200))*$U$5/3000,2),"")</f>
        <v/>
      </c>
      <c r="Z200" s="3"/>
      <c r="AA200" s="3"/>
    </row>
    <row r="201" spans="5:27" x14ac:dyDescent="0.25">
      <c r="E201" s="5"/>
      <c r="F201" t="str">
        <f t="shared" si="63"/>
        <v/>
      </c>
      <c r="G201" s="5" t="str">
        <f>IF($K201&lt;&gt;"",IF(DAY(EOMONTH(DATE(YEAR($M$6),$G$11+K201+SUM($B$12:B201),1),0))&gt;DAY($M$7),DATE(YEAR($M$7),MONTH($M$7)+($A$1*($H201-1))+SUM($B$12:$B201),DAY($M$7)),EOMONTH(DATE(YEAR($M$6),$G$11+K201+SUM($B$12:B201),1),0)),"")</f>
        <v/>
      </c>
      <c r="H201" s="22" t="str">
        <f t="shared" si="64"/>
        <v/>
      </c>
      <c r="I201" s="22" t="str">
        <f t="shared" si="65"/>
        <v/>
      </c>
      <c r="J201" s="22" t="str">
        <f t="shared" si="66"/>
        <v/>
      </c>
      <c r="K201" t="str">
        <f t="shared" si="67"/>
        <v/>
      </c>
      <c r="L201" s="5" t="str">
        <f>IF($K201&lt;&gt;"",IF($E201="",IF(ULTIMODIA=0,DATE(YEAR($M$7),MONTH($M$7)+($A$1*($H201-1))+SUM($B$12:$B201),DAY($M$7)),$G201),$E201),"")</f>
        <v/>
      </c>
      <c r="M201" s="9" t="str">
        <f t="shared" si="68"/>
        <v/>
      </c>
      <c r="N201" s="3" t="str">
        <f t="shared" si="69"/>
        <v/>
      </c>
      <c r="O201" s="3" t="str">
        <f t="shared" si="70"/>
        <v/>
      </c>
      <c r="P201" s="3" t="str">
        <f t="shared" si="71"/>
        <v/>
      </c>
      <c r="Q201" s="3" t="str">
        <f t="shared" si="72"/>
        <v/>
      </c>
      <c r="R201" s="3" t="str">
        <f>IF($K201&lt;&gt;"",IF($A201="Prepago",0,IF(ROUND(($H201+SUM($B$12:$B201))*$T$6,2)&gt;ROUND(SUM($R$11:$R200)+$T$6,2),$T$6*2,$T$6)),"")</f>
        <v/>
      </c>
      <c r="S201" s="3" t="str">
        <f>IF($K201&lt;&gt;"",IF($A201="Prepago",0,IF(ROUND(($H201+SUM($B$12:$B201))*$T$7,2)&gt;ROUND(SUM($S$11:$S200)+$T$7,2),$T$7*2,$T$7)),"")</f>
        <v/>
      </c>
      <c r="T201" s="3" t="str">
        <f>IF($K201&lt;&gt;"",IF($A201="Prepago",0,IF(ROUND(($H201+SUM($B$12:$B201))*$T$8,2)&gt;ROUND(SUM($T$11:$T200)+$T$8,2),$T$8*2,$T$8)),"")</f>
        <v/>
      </c>
      <c r="U201" s="3" t="str">
        <f t="shared" si="73"/>
        <v/>
      </c>
      <c r="V201" s="3" t="str">
        <f t="shared" si="62"/>
        <v/>
      </c>
      <c r="W201" s="3" t="str">
        <f t="shared" si="74"/>
        <v/>
      </c>
      <c r="X201" s="3" t="str">
        <f>IF($K201&lt;&gt;"",IF($M201&gt;X$11,30,$M201)*ROUND(($N201+$V200)*$U$5/3000,2),"")</f>
        <v/>
      </c>
      <c r="Y201" s="3" t="str">
        <f>IF($K201&lt;&gt;"",IF($M201&gt;X$11,IF($M201&lt;Y$11,$M201-X$11,30),0)*ROUND(($N201+$V200+SUM($X201:X201))*$U$5/3000,2),"")</f>
        <v/>
      </c>
      <c r="Z201" s="3"/>
      <c r="AA201" s="3"/>
    </row>
    <row r="202" spans="5:27" x14ac:dyDescent="0.25">
      <c r="E202" s="5"/>
      <c r="F202" t="str">
        <f t="shared" si="63"/>
        <v/>
      </c>
      <c r="G202" s="5" t="str">
        <f>IF($K202&lt;&gt;"",IF(DAY(EOMONTH(DATE(YEAR($M$6),$G$11+K202+SUM($B$12:B202),1),0))&gt;DAY($M$7),DATE(YEAR($M$7),MONTH($M$7)+($A$1*($H202-1))+SUM($B$12:$B202),DAY($M$7)),EOMONTH(DATE(YEAR($M$6),$G$11+K202+SUM($B$12:B202),1),0)),"")</f>
        <v/>
      </c>
      <c r="H202" s="22" t="str">
        <f t="shared" si="64"/>
        <v/>
      </c>
      <c r="I202" s="22" t="str">
        <f t="shared" si="65"/>
        <v/>
      </c>
      <c r="J202" s="22" t="str">
        <f t="shared" si="66"/>
        <v/>
      </c>
      <c r="K202" t="str">
        <f t="shared" si="67"/>
        <v/>
      </c>
      <c r="L202" s="5" t="str">
        <f>IF($K202&lt;&gt;"",IF($E202="",IF(ULTIMODIA=0,DATE(YEAR($M$7),MONTH($M$7)+($A$1*($H202-1))+SUM($B$12:$B202),DAY($M$7)),$G202),$E202),"")</f>
        <v/>
      </c>
      <c r="M202" s="9" t="str">
        <f t="shared" si="68"/>
        <v/>
      </c>
      <c r="N202" s="3" t="str">
        <f t="shared" si="69"/>
        <v/>
      </c>
      <c r="O202" s="3" t="str">
        <f t="shared" si="70"/>
        <v/>
      </c>
      <c r="P202" s="3" t="str">
        <f t="shared" si="71"/>
        <v/>
      </c>
      <c r="Q202" s="3" t="str">
        <f t="shared" si="72"/>
        <v/>
      </c>
      <c r="R202" s="3" t="str">
        <f>IF($K202&lt;&gt;"",IF($A202="Prepago",0,IF(ROUND(($H202+SUM($B$12:$B202))*$T$6,2)&gt;ROUND(SUM($R$11:$R201)+$T$6,2),$T$6*2,$T$6)),"")</f>
        <v/>
      </c>
      <c r="S202" s="3" t="str">
        <f>IF($K202&lt;&gt;"",IF($A202="Prepago",0,IF(ROUND(($H202+SUM($B$12:$B202))*$T$7,2)&gt;ROUND(SUM($S$11:$S201)+$T$7,2),$T$7*2,$T$7)),"")</f>
        <v/>
      </c>
      <c r="T202" s="3" t="str">
        <f>IF($K202&lt;&gt;"",IF($A202="Prepago",0,IF(ROUND(($H202+SUM($B$12:$B202))*$T$8,2)&gt;ROUND(SUM($T$11:$T201)+$T$8,2),$T$8*2,$T$8)),"")</f>
        <v/>
      </c>
      <c r="U202" s="3" t="str">
        <f t="shared" si="73"/>
        <v/>
      </c>
      <c r="V202" s="3" t="str">
        <f t="shared" si="62"/>
        <v/>
      </c>
      <c r="W202" s="3" t="str">
        <f t="shared" si="74"/>
        <v/>
      </c>
      <c r="X202" s="3" t="str">
        <f>IF($K202&lt;&gt;"",IF($M202&gt;X$11,30,$M202)*ROUND(($N202+$V201)*$U$5/3000,2),"")</f>
        <v/>
      </c>
      <c r="Y202" s="3" t="str">
        <f>IF($K202&lt;&gt;"",IF($M202&gt;X$11,IF($M202&lt;Y$11,$M202-X$11,30),0)*ROUND(($N202+$V201+SUM($X202:X202))*$U$5/3000,2),"")</f>
        <v/>
      </c>
      <c r="Z202" s="3"/>
      <c r="AA202" s="3"/>
    </row>
    <row r="203" spans="5:27" x14ac:dyDescent="0.25">
      <c r="E203" s="5"/>
      <c r="F203" t="str">
        <f t="shared" si="63"/>
        <v/>
      </c>
      <c r="G203" s="5" t="str">
        <f>IF($K203&lt;&gt;"",IF(DAY(EOMONTH(DATE(YEAR($M$6),$G$11+K203+SUM($B$12:B203),1),0))&gt;DAY($M$7),DATE(YEAR($M$7),MONTH($M$7)+($A$1*($H203-1))+SUM($B$12:$B203),DAY($M$7)),EOMONTH(DATE(YEAR($M$6),$G$11+K203+SUM($B$12:B203),1),0)),"")</f>
        <v/>
      </c>
      <c r="H203" s="22" t="str">
        <f t="shared" si="64"/>
        <v/>
      </c>
      <c r="I203" s="22" t="str">
        <f t="shared" si="65"/>
        <v/>
      </c>
      <c r="J203" s="22" t="str">
        <f t="shared" si="66"/>
        <v/>
      </c>
      <c r="K203" t="str">
        <f t="shared" si="67"/>
        <v/>
      </c>
      <c r="L203" s="5" t="str">
        <f>IF($K203&lt;&gt;"",IF($E203="",IF(ULTIMODIA=0,DATE(YEAR($M$7),MONTH($M$7)+($A$1*($H203-1))+SUM($B$12:$B203),DAY($M$7)),$G203),$E203),"")</f>
        <v/>
      </c>
      <c r="M203" s="9" t="str">
        <f t="shared" si="68"/>
        <v/>
      </c>
      <c r="N203" s="3" t="str">
        <f t="shared" si="69"/>
        <v/>
      </c>
      <c r="O203" s="3" t="str">
        <f t="shared" si="70"/>
        <v/>
      </c>
      <c r="P203" s="3" t="str">
        <f t="shared" si="71"/>
        <v/>
      </c>
      <c r="Q203" s="3" t="str">
        <f t="shared" si="72"/>
        <v/>
      </c>
      <c r="R203" s="3" t="str">
        <f>IF($K203&lt;&gt;"",IF($A203="Prepago",0,IF(ROUND(($H203+SUM($B$12:$B203))*$T$6,2)&gt;ROUND(SUM($R$11:$R202)+$T$6,2),$T$6*2,$T$6)),"")</f>
        <v/>
      </c>
      <c r="S203" s="3" t="str">
        <f>IF($K203&lt;&gt;"",IF($A203="Prepago",0,IF(ROUND(($H203+SUM($B$12:$B203))*$T$7,2)&gt;ROUND(SUM($S$11:$S202)+$T$7,2),$T$7*2,$T$7)),"")</f>
        <v/>
      </c>
      <c r="T203" s="3" t="str">
        <f>IF($K203&lt;&gt;"",IF($A203="Prepago",0,IF(ROUND(($H203+SUM($B$12:$B203))*$T$8,2)&gt;ROUND(SUM($T$11:$T202)+$T$8,2),$T$8*2,$T$8)),"")</f>
        <v/>
      </c>
      <c r="U203" s="3" t="str">
        <f t="shared" si="73"/>
        <v/>
      </c>
      <c r="V203" s="3" t="str">
        <f t="shared" si="62"/>
        <v/>
      </c>
      <c r="W203" s="3" t="str">
        <f t="shared" si="74"/>
        <v/>
      </c>
      <c r="X203" s="3" t="str">
        <f>IF($K203&lt;&gt;"",IF($M203&gt;X$11,30,$M203)*ROUND(($N203+$V202)*$U$5/3000,2),"")</f>
        <v/>
      </c>
      <c r="Y203" s="3" t="str">
        <f>IF($K203&lt;&gt;"",IF($M203&gt;X$11,IF($M203&lt;Y$11,$M203-X$11,30),0)*ROUND(($N203+$V202+SUM($X203:X203))*$U$5/3000,2),"")</f>
        <v/>
      </c>
      <c r="Z203" s="3"/>
      <c r="AA203" s="3"/>
    </row>
    <row r="204" spans="5:27" x14ac:dyDescent="0.25">
      <c r="E204" s="5"/>
      <c r="F204" t="str">
        <f t="shared" si="63"/>
        <v/>
      </c>
      <c r="G204" s="5" t="str">
        <f>IF($K204&lt;&gt;"",IF(DAY(EOMONTH(DATE(YEAR($M$6),$G$11+K204+SUM($B$12:B204),1),0))&gt;DAY($M$7),DATE(YEAR($M$7),MONTH($M$7)+($A$1*($H204-1))+SUM($B$12:$B204),DAY($M$7)),EOMONTH(DATE(YEAR($M$6),$G$11+K204+SUM($B$12:B204),1),0)),"")</f>
        <v/>
      </c>
      <c r="H204" s="22" t="str">
        <f t="shared" si="64"/>
        <v/>
      </c>
      <c r="I204" s="22" t="str">
        <f t="shared" si="65"/>
        <v/>
      </c>
      <c r="J204" s="22" t="str">
        <f t="shared" ref="J204:J208" si="75">IF(K204&lt;&gt;"",IF(COUNTA($X204:$XFD204)*30&lt;$M204,1,0),"")</f>
        <v/>
      </c>
      <c r="K204" t="str">
        <f t="shared" si="67"/>
        <v/>
      </c>
      <c r="L204" s="5" t="str">
        <f>IF($K204&lt;&gt;"",IF($E204="",IF(ULTIMODIA=0,DATE(YEAR($M$7),MONTH($M$7)+($A$1*($H204-1))+SUM($B$12:$B204),DAY($M$7)),$G204),$E204),"")</f>
        <v/>
      </c>
      <c r="M204" s="9" t="str">
        <f t="shared" si="68"/>
        <v/>
      </c>
      <c r="N204" s="3" t="str">
        <f t="shared" si="69"/>
        <v/>
      </c>
      <c r="O204" s="3" t="str">
        <f t="shared" si="70"/>
        <v/>
      </c>
      <c r="P204" s="3" t="str">
        <f t="shared" si="71"/>
        <v/>
      </c>
      <c r="Q204" s="3" t="str">
        <f t="shared" si="72"/>
        <v/>
      </c>
      <c r="R204" s="3" t="str">
        <f>IF($K204&lt;&gt;"",IF($A204="Prepago",0,IF(ROUND(($H204+SUM($B$12:$B204))*$T$6,2)&gt;ROUND(SUM($R$11:$R203)+$T$6,2),$T$6*2,$T$6)),"")</f>
        <v/>
      </c>
      <c r="S204" s="3" t="str">
        <f>IF($K204&lt;&gt;"",IF($A204="Prepago",0,IF(ROUND(($H204+SUM($B$12:$B204))*$T$7,2)&gt;ROUND(SUM($S$11:$S203)+$T$7,2),$T$7*2,$T$7)),"")</f>
        <v/>
      </c>
      <c r="T204" s="3" t="str">
        <f>IF($K204&lt;&gt;"",IF($A204="Prepago",0,IF(ROUND(($H204+SUM($B$12:$B204))*$T$8,2)&gt;ROUND(SUM($T$11:$T203)+$T$8,2),$T$8*2,$T$8)),"")</f>
        <v/>
      </c>
      <c r="U204" s="3" t="str">
        <f t="shared" si="73"/>
        <v/>
      </c>
      <c r="V204" s="3" t="str">
        <f t="shared" si="62"/>
        <v/>
      </c>
      <c r="W204" s="3" t="str">
        <f t="shared" si="74"/>
        <v/>
      </c>
      <c r="X204" s="3" t="str">
        <f>IF($K204&lt;&gt;"",IF($M204&gt;X$11,30,$M204)*ROUND(($N204+$V203)*$U$5/3000,2),"")</f>
        <v/>
      </c>
      <c r="Y204" s="3" t="str">
        <f>IF($K204&lt;&gt;"",IF($M204&gt;X$11,IF($M204&lt;Y$11,$M204-X$11,30),0)*ROUND(($N204+$V203+SUM($X204:X204))*$U$5/3000,2),"")</f>
        <v/>
      </c>
      <c r="Z204" s="3"/>
      <c r="AA204" s="3"/>
    </row>
    <row r="205" spans="5:27" x14ac:dyDescent="0.25">
      <c r="E205" s="5"/>
      <c r="F205" t="str">
        <f t="shared" ref="F205:F208" si="76">IF($K205&lt;&gt;"",TEXT(L205,"DDD"),"")</f>
        <v/>
      </c>
      <c r="G205" s="5" t="str">
        <f>IF($K205&lt;&gt;"",IF(DAY(EOMONTH(DATE(YEAR($M$6),$G$11+K205+SUM($B$12:B205),1),0))&gt;DAY($M$7),DATE(YEAR($M$7),MONTH($M$7)+($A$1*($H205-1))+SUM($B$12:$B205),DAY($M$7)),EOMONTH(DATE(YEAR($M$6),$G$11+K205+SUM($B$12:B205),1),0)),"")</f>
        <v/>
      </c>
      <c r="H205" s="22" t="str">
        <f t="shared" si="64"/>
        <v/>
      </c>
      <c r="I205" s="22" t="str">
        <f t="shared" si="65"/>
        <v/>
      </c>
      <c r="J205" s="22" t="str">
        <f t="shared" si="75"/>
        <v/>
      </c>
      <c r="K205" t="str">
        <f t="shared" si="67"/>
        <v/>
      </c>
      <c r="L205" s="5" t="str">
        <f>IF($K205&lt;&gt;"",IF($E205="",IF(ULTIMODIA=0,DATE(YEAR($M$7),MONTH($M$7)+($A$1*($H205-1))+SUM($B$12:$B205),DAY($M$7)),$G205),$E205),"")</f>
        <v/>
      </c>
      <c r="M205" s="9" t="str">
        <f t="shared" ref="M205:M208" si="77">IF($K205&lt;&gt;"",$L205-$L204,"")</f>
        <v/>
      </c>
      <c r="N205" s="3" t="str">
        <f t="shared" ref="N205:N208" si="78">IF($K205&lt;&gt;"",$U204,"")</f>
        <v/>
      </c>
      <c r="O205" s="3" t="str">
        <f t="shared" si="70"/>
        <v/>
      </c>
      <c r="P205" s="3" t="str">
        <f t="shared" si="71"/>
        <v/>
      </c>
      <c r="Q205" s="3" t="str">
        <f t="shared" si="72"/>
        <v/>
      </c>
      <c r="R205" s="3" t="str">
        <f>IF($K205&lt;&gt;"",IF($A205="Prepago",0,IF(ROUND(($H205+SUM($B$12:$B205))*$T$6,2)&gt;ROUND(SUM($R$11:$R204)+$T$6,2),$T$6*2,$T$6)),"")</f>
        <v/>
      </c>
      <c r="S205" s="3" t="str">
        <f>IF($K205&lt;&gt;"",IF($A205="Prepago",0,IF(ROUND(($H205+SUM($B$12:$B205))*$T$7,2)&gt;ROUND(SUM($S$11:$S204)+$T$7,2),$T$7*2,$T$7)),"")</f>
        <v/>
      </c>
      <c r="T205" s="3" t="str">
        <f>IF($K205&lt;&gt;"",IF($A205="Prepago",0,IF(ROUND(($H205+SUM($B$12:$B205))*$T$8,2)&gt;ROUND(SUM($T$11:$T204)+$T$8,2),$T$8*2,$T$8)),"")</f>
        <v/>
      </c>
      <c r="U205" s="3" t="str">
        <f t="shared" si="73"/>
        <v/>
      </c>
      <c r="V205" s="3" t="str">
        <f t="shared" ref="V205:V208" si="79">IF($K205&lt;&gt;"",+$V204+IF($D205="",$W205,$D205)-$Q205,"")</f>
        <v/>
      </c>
      <c r="W205" s="3" t="str">
        <f t="shared" si="74"/>
        <v/>
      </c>
      <c r="X205" s="3" t="str">
        <f>IF($K205&lt;&gt;"",IF($M205&gt;X$11,30,$M205)*ROUND(($N205+$V204)*$U$5/3000,2),"")</f>
        <v/>
      </c>
      <c r="Y205" s="3" t="str">
        <f>IF($K205&lt;&gt;"",IF($M205&gt;X$11,IF($M205&lt;Y$11,$M205-X$11,30),0)*ROUND(($N205+$V204+SUM($X205:X205))*$U$5/3000,2),"")</f>
        <v/>
      </c>
      <c r="Z205" s="3"/>
      <c r="AA205" s="3"/>
    </row>
    <row r="206" spans="5:27" x14ac:dyDescent="0.25">
      <c r="E206" s="5"/>
      <c r="F206" t="str">
        <f t="shared" si="76"/>
        <v/>
      </c>
      <c r="G206" s="5" t="str">
        <f>IF($K206&lt;&gt;"",IF(DAY(EOMONTH(DATE(YEAR($M$6),$G$11+K206+SUM($B$12:B206),1),0))&gt;DAY($M$7),DATE(YEAR($M$7),MONTH($M$7)+($A$1*($H206-1))+SUM($B$12:$B206),DAY($M$7)),EOMONTH(DATE(YEAR($M$6),$G$11+K206+SUM($B$12:B206),1),0)),"")</f>
        <v/>
      </c>
      <c r="H206" s="22" t="str">
        <f t="shared" si="64"/>
        <v/>
      </c>
      <c r="I206" s="22" t="str">
        <f t="shared" si="65"/>
        <v/>
      </c>
      <c r="J206" s="22" t="str">
        <f t="shared" si="75"/>
        <v/>
      </c>
      <c r="K206" t="str">
        <f t="shared" si="67"/>
        <v/>
      </c>
      <c r="L206" s="5" t="str">
        <f>IF($K206&lt;&gt;"",IF($E206="",IF(ULTIMODIA=0,DATE(YEAR($M$7),MONTH($M$7)+($A$1*($H206-1))+SUM($B$12:$B206),DAY($M$7)),$G206),$E206),"")</f>
        <v/>
      </c>
      <c r="M206" s="9" t="str">
        <f t="shared" si="77"/>
        <v/>
      </c>
      <c r="N206" s="3" t="str">
        <f t="shared" si="78"/>
        <v/>
      </c>
      <c r="O206" s="3" t="str">
        <f t="shared" si="70"/>
        <v/>
      </c>
      <c r="P206" s="3" t="str">
        <f t="shared" si="71"/>
        <v/>
      </c>
      <c r="Q206" s="3" t="str">
        <f t="shared" si="72"/>
        <v/>
      </c>
      <c r="R206" s="3" t="str">
        <f>IF($K206&lt;&gt;"",IF($A206="Prepago",0,IF(ROUND(($H206+SUM($B$12:$B206))*$T$6,2)&gt;ROUND(SUM($R$11:$R205)+$T$6,2),$T$6*2,$T$6)),"")</f>
        <v/>
      </c>
      <c r="S206" s="3" t="str">
        <f>IF($K206&lt;&gt;"",IF($A206="Prepago",0,IF(ROUND(($H206+SUM($B$12:$B206))*$T$7,2)&gt;ROUND(SUM($S$11:$S205)+$T$7,2),$T$7*2,$T$7)),"")</f>
        <v/>
      </c>
      <c r="T206" s="3" t="str">
        <f>IF($K206&lt;&gt;"",IF($A206="Prepago",0,IF(ROUND(($H206+SUM($B$12:$B206))*$T$8,2)&gt;ROUND(SUM($T$11:$T205)+$T$8,2),$T$8*2,$T$8)),"")</f>
        <v/>
      </c>
      <c r="U206" s="3" t="str">
        <f t="shared" si="73"/>
        <v/>
      </c>
      <c r="V206" s="3" t="str">
        <f t="shared" si="79"/>
        <v/>
      </c>
      <c r="W206" s="3" t="str">
        <f t="shared" si="74"/>
        <v/>
      </c>
      <c r="X206" s="3" t="str">
        <f>IF($K206&lt;&gt;"",IF($M206&gt;X$11,30,$M206)*ROUND(($N206+$V205)*$U$5/3000,2),"")</f>
        <v/>
      </c>
      <c r="Y206" s="3" t="str">
        <f>IF($K206&lt;&gt;"",IF($M206&gt;X$11,IF($M206&lt;Y$11,$M206-X$11,30),0)*ROUND(($N206+$V205+SUM($X206:X206))*$U$5/3000,2),"")</f>
        <v/>
      </c>
      <c r="Z206" s="3"/>
      <c r="AA206" s="3"/>
    </row>
    <row r="207" spans="5:27" x14ac:dyDescent="0.25">
      <c r="E207" s="5"/>
      <c r="F207" t="str">
        <f t="shared" si="76"/>
        <v/>
      </c>
      <c r="G207" s="5" t="str">
        <f>IF($K207&lt;&gt;"",IF(DAY(EOMONTH(DATE(YEAR($M$6),$G$11+K207+SUM($B$12:B207),1),0))&gt;DAY($M$7),DATE(YEAR($M$7),MONTH($M$7)+($A$1*($H207-1))+SUM($B$12:$B207),DAY($M$7)),EOMONTH(DATE(YEAR($M$6),$G$11+K207+SUM($B$12:B207),1),0)),"")</f>
        <v/>
      </c>
      <c r="H207" s="22" t="str">
        <f t="shared" si="64"/>
        <v/>
      </c>
      <c r="I207" s="22" t="str">
        <f t="shared" si="65"/>
        <v/>
      </c>
      <c r="J207" s="22" t="str">
        <f t="shared" si="75"/>
        <v/>
      </c>
      <c r="K207" t="str">
        <f t="shared" si="67"/>
        <v/>
      </c>
      <c r="L207" s="5" t="str">
        <f>IF($K207&lt;&gt;"",IF($E207="",IF(ULTIMODIA=0,DATE(YEAR($M$7),MONTH($M$7)+($A$1*($H207-1))+SUM($B$12:$B207),DAY($M$7)),$G207),$E207),"")</f>
        <v/>
      </c>
      <c r="M207" s="9" t="str">
        <f t="shared" si="77"/>
        <v/>
      </c>
      <c r="N207" s="3" t="str">
        <f t="shared" si="78"/>
        <v/>
      </c>
      <c r="O207" s="3" t="str">
        <f t="shared" si="70"/>
        <v/>
      </c>
      <c r="P207" s="3" t="str">
        <f t="shared" si="71"/>
        <v/>
      </c>
      <c r="Q207" s="3" t="str">
        <f t="shared" si="72"/>
        <v/>
      </c>
      <c r="R207" s="3" t="str">
        <f>IF($K207&lt;&gt;"",IF($A207="Prepago",0,IF(ROUND(($H207+SUM($B$12:$B207))*$T$6,2)&gt;ROUND(SUM($R$11:$R206)+$T$6,2),$T$6*2,$T$6)),"")</f>
        <v/>
      </c>
      <c r="S207" s="3" t="str">
        <f>IF($K207&lt;&gt;"",IF($A207="Prepago",0,IF(ROUND(($H207+SUM($B$12:$B207))*$T$7,2)&gt;ROUND(SUM($S$11:$S206)+$T$7,2),$T$7*2,$T$7)),"")</f>
        <v/>
      </c>
      <c r="T207" s="3" t="str">
        <f>IF($K207&lt;&gt;"",IF($A207="Prepago",0,IF(ROUND(($H207+SUM($B$12:$B207))*$T$8,2)&gt;ROUND(SUM($T$11:$T206)+$T$8,2),$T$8*2,$T$8)),"")</f>
        <v/>
      </c>
      <c r="U207" s="3" t="str">
        <f t="shared" si="73"/>
        <v/>
      </c>
      <c r="V207" s="3" t="str">
        <f t="shared" si="79"/>
        <v/>
      </c>
      <c r="W207" s="3" t="str">
        <f t="shared" si="74"/>
        <v/>
      </c>
      <c r="X207" s="3" t="str">
        <f>IF($K207&lt;&gt;"",IF($M207&gt;X$11,30,$M207)*ROUND(($N207+$V206)*$U$5/3000,2),"")</f>
        <v/>
      </c>
      <c r="Y207" s="3" t="str">
        <f>IF($K207&lt;&gt;"",IF($M207&gt;X$11,IF($M207&lt;Y$11,$M207-X$11,30),0)*ROUND(($N207+$V206+SUM($X207:X207))*$U$5/3000,2),"")</f>
        <v/>
      </c>
      <c r="Z207" s="3"/>
      <c r="AA207" s="3"/>
    </row>
    <row r="208" spans="5:27" x14ac:dyDescent="0.25">
      <c r="E208" s="5"/>
      <c r="F208" t="str">
        <f t="shared" si="76"/>
        <v/>
      </c>
      <c r="G208" s="5" t="str">
        <f>IF($K208&lt;&gt;"",IF(DAY(EOMONTH(DATE(YEAR($M$6),$G$11+K208+SUM($B$12:B208),1),0))&gt;DAY($M$7),DATE(YEAR($M$7),MONTH($M$7)+($A$1*($H208-1))+SUM($B$12:$B208),DAY($M$7)),EOMONTH(DATE(YEAR($M$6),$G$11+K208+SUM($B$12:B208),1),0)),"")</f>
        <v/>
      </c>
      <c r="H208" s="22" t="str">
        <f t="shared" si="64"/>
        <v/>
      </c>
      <c r="I208" s="22" t="str">
        <f t="shared" si="65"/>
        <v/>
      </c>
      <c r="J208" s="22" t="str">
        <f t="shared" si="75"/>
        <v/>
      </c>
      <c r="K208" t="str">
        <f t="shared" si="67"/>
        <v/>
      </c>
      <c r="L208" s="5" t="str">
        <f>IF($K208&lt;&gt;"",IF($E208="",IF(ULTIMODIA=0,DATE(YEAR($M$7),MONTH($M$7)+($A$1*($H208-1))+SUM($B$12:$B208),DAY($M$7)),$G208),$E208),"")</f>
        <v/>
      </c>
      <c r="M208" s="9" t="str">
        <f t="shared" si="77"/>
        <v/>
      </c>
      <c r="N208" s="3" t="str">
        <f t="shared" si="78"/>
        <v/>
      </c>
      <c r="O208" s="3" t="str">
        <f t="shared" si="70"/>
        <v/>
      </c>
      <c r="P208" s="3" t="str">
        <f t="shared" si="71"/>
        <v/>
      </c>
      <c r="Q208" s="3" t="str">
        <f t="shared" si="72"/>
        <v/>
      </c>
      <c r="R208" s="3" t="str">
        <f>IF($K208&lt;&gt;"",IF($A208="Prepago",0,IF(ROUND(($H208+SUM($B$12:$B208))*$T$6,2)&gt;ROUND(SUM($R$11:$R207)+$T$6,2),$T$6*2,$T$6)),"")</f>
        <v/>
      </c>
      <c r="S208" s="3" t="str">
        <f>IF($K208&lt;&gt;"",IF($A208="Prepago",0,IF(ROUND(($H208+SUM($B$12:$B208))*$T$7,2)&gt;ROUND(SUM($S$11:$S207)+$T$7,2),$T$7*2,$T$7)),"")</f>
        <v/>
      </c>
      <c r="T208" s="3" t="str">
        <f>IF($K208&lt;&gt;"",IF($A208="Prepago",0,IF(ROUND(($H208+SUM($B$12:$B208))*$T$8,2)&gt;ROUND(SUM($T$11:$T207)+$T$8,2),$T$8*2,$T$8)),"")</f>
        <v/>
      </c>
      <c r="U208" s="3" t="str">
        <f t="shared" si="73"/>
        <v/>
      </c>
      <c r="V208" s="3" t="str">
        <f t="shared" si="79"/>
        <v/>
      </c>
      <c r="W208" s="3" t="str">
        <f t="shared" si="74"/>
        <v/>
      </c>
      <c r="X208" s="3" t="str">
        <f>IF($K208&lt;&gt;"",IF($M208&gt;X$11,30,$M208)*ROUND(($N208+$V207)*$U$5/3000,2),"")</f>
        <v/>
      </c>
      <c r="Y208" s="3" t="str">
        <f>IF($K208&lt;&gt;"",IF($M208&gt;X$11,IF($M208&lt;Y$11,$M208-X$11,30),0)*ROUND(($N208+$V207+SUM($X208:X208))*$U$5/3000,2),"")</f>
        <v/>
      </c>
      <c r="Z208" s="3"/>
      <c r="AA208" s="3"/>
    </row>
  </sheetData>
  <protectedRanges>
    <protectedRange algorithmName="SHA-512" hashValue="saOoXsqAoQxcXXYzXQIOV3/apjOtIOId7A6E3Kbbks0v/+hkXCO7VppjyeJOkYNfZLM9Y82SgohJPBHQ4upYMw==" saltValue="AI4kOYg9mvAOcytG4WhlkQ==" spinCount="100000" sqref="AB10:AC10 AV11 AX11 AZ11 BB11 BD11 BF11 BH11 BJ11 BL11 BN11 BP11 BR11 BT11 BV11 BX11 BZ11 CB11 CD11 CF11 AF11 AH11 AJ11 AL11 AN11 AP11 AR11 AT11 AB13:AC15 AD11 AB25:AC60 AB21:AC23 AC16 BV12:CF12 AD13:CF16 AB18:CF18 AG17:CF17 AD20:CF60 AE19:CF19 U12:X208 Q12:Q208 Q10:AA11 K10:P208" name="Rango1"/>
    <protectedRange algorithmName="SHA-512" hashValue="saOoXsqAoQxcXXYzXQIOV3/apjOtIOId7A6E3Kbbks0v/+hkXCO7VppjyeJOkYNfZLM9Y82SgohJPBHQ4upYMw==" saltValue="AI4kOYg9mvAOcytG4WhlkQ==" spinCount="100000" sqref="Z25:AA208 Z24:AC24 Z21:AA23 Z20:AC20 Y16:AB16 Y13:AA15 Z18:AA18 Y18:Y208 Y12:BU12 Y17:AF17 Z19:AD19" name="Rango1_1"/>
    <protectedRange algorithmName="SHA-512" hashValue="saOoXsqAoQxcXXYzXQIOV3/apjOtIOId7A6E3Kbbks0v/+hkXCO7VppjyeJOkYNfZLM9Y82SgohJPBHQ4upYMw==" saltValue="AI4kOYg9mvAOcytG4WhlkQ==" spinCount="100000" sqref="R12:T208" name="Rango1_2"/>
  </protectedRanges>
  <mergeCells count="2">
    <mergeCell ref="AB6:AC6"/>
    <mergeCell ref="K1:K2"/>
  </mergeCells>
  <conditionalFormatting sqref="W10 U12:W208 Q11:W11 Q12:Q208 L11:N208">
    <cfRule type="expression" dxfId="10" priority="21">
      <formula>AND($K10&lt;&gt;"")</formula>
    </cfRule>
  </conditionalFormatting>
  <conditionalFormatting sqref="U12:V208 Q11:V11 Q12:Q208 L11:P208">
    <cfRule type="expression" dxfId="9" priority="9">
      <formula>AND(ROUND(L11,0)&lt;0)</formula>
    </cfRule>
  </conditionalFormatting>
  <conditionalFormatting sqref="Z7">
    <cfRule type="expression" dxfId="8" priority="8">
      <formula>AND($Z$7&lt;&gt;0)</formula>
    </cfRule>
  </conditionalFormatting>
  <conditionalFormatting sqref="AH7">
    <cfRule type="expression" dxfId="7" priority="6">
      <formula>AND($AH$7&lt;&gt;"OK")</formula>
    </cfRule>
  </conditionalFormatting>
  <conditionalFormatting sqref="AH6">
    <cfRule type="expression" dxfId="6" priority="5">
      <formula>AND($AH$6&lt;&gt;"OK")</formula>
    </cfRule>
  </conditionalFormatting>
  <conditionalFormatting sqref="H12:J208 A12:E208">
    <cfRule type="expression" dxfId="5" priority="48">
      <formula>AND($K12&lt;&gt;"")</formula>
    </cfRule>
  </conditionalFormatting>
  <conditionalFormatting sqref="K10 F10:G10">
    <cfRule type="expression" dxfId="4" priority="53">
      <formula>AND(COUNTA($K:$K)-2&lt;$P$6)</formula>
    </cfRule>
  </conditionalFormatting>
  <conditionalFormatting sqref="K12:K1048576 F12:G1048576">
    <cfRule type="expression" dxfId="3" priority="60">
      <formula>AND(COUNTA($X12:$XFD12)*30&lt;$M12,$K12&lt;&gt;"")</formula>
    </cfRule>
  </conditionalFormatting>
  <conditionalFormatting sqref="R12:T208">
    <cfRule type="expression" dxfId="2" priority="2">
      <formula>AND($K12&lt;&gt;"")</formula>
    </cfRule>
  </conditionalFormatting>
  <conditionalFormatting sqref="R12:T208">
    <cfRule type="expression" dxfId="1" priority="1">
      <formula>AND(ROUND(R12,0)&lt;0)</formula>
    </cfRule>
  </conditionalFormatting>
  <conditionalFormatting sqref="O11:P208">
    <cfRule type="expression" dxfId="0" priority="62">
      <formula>AND($K11&lt;&gt;"")</formula>
    </cfRule>
  </conditionalFormatting>
  <dataValidations count="7">
    <dataValidation type="decimal" operator="greaterThanOrEqual" allowBlank="1" showInputMessage="1" showErrorMessage="1" errorTitle="TEA" error="Debe ser un numero positivo" sqref="T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P7:P8" xr:uid="{00000000-0002-0000-0000-000001000000}"/>
    <dataValidation type="whole" operator="greaterThan" allowBlank="1" showInputMessage="1" showErrorMessage="1" errorTitle="Numero de Cuotas" error="Debe ser un numero entero positivo" sqref="P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M7" xr:uid="{00000000-0002-0000-0000-000003000000}"/>
    <dataValidation type="date" operator="greaterThanOrEqual" showInputMessage="1" showErrorMessage="1" errorTitle="Fecha de desembolso" error="Debe ser una Fecha" sqref="M6" xr:uid="{00000000-0002-0000-0000-000004000000}">
      <formula1>36892</formula1>
    </dataValidation>
    <dataValidation type="decimal" operator="notEqual" showInputMessage="1" showErrorMessage="1" errorTitle="Monto" error="Debe ser un dato numérico" sqref="M8" xr:uid="{00000000-0002-0000-0000-000005000000}">
      <formula1>0</formula1>
    </dataValidation>
    <dataValidation type="list" allowBlank="1" showInputMessage="1" showErrorMessage="1" sqref="A12:B208" xr:uid="{00000000-0002-0000-0000-000006000000}">
      <formula1>TIPO_CUOTAS</formula1>
    </dataValidation>
  </dataValidations>
  <pageMargins left="0.70866141732283472" right="0.70866141732283472" top="0.74803149606299213" bottom="0.35433070866141736" header="0.31496062992125984" footer="0.31496062992125984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42" r:id="rId4" name="cbUltimoDia">
          <controlPr defaultSize="0" autoLine="0" autoPict="0" r:id="rId5">
            <anchor moveWithCells="1">
              <from>
                <xdr:col>13</xdr:col>
                <xdr:colOff>85725</xdr:colOff>
                <xdr:row>5</xdr:row>
                <xdr:rowOff>161925</xdr:rowOff>
              </from>
              <to>
                <xdr:col>13</xdr:col>
                <xdr:colOff>981075</xdr:colOff>
                <xdr:row>7</xdr:row>
                <xdr:rowOff>19050</xdr:rowOff>
              </to>
            </anchor>
          </controlPr>
        </control>
      </mc:Choice>
      <mc:Fallback>
        <control shapeId="1042" r:id="rId4" name="cbUltimoDia"/>
      </mc:Fallback>
    </mc:AlternateContent>
    <mc:AlternateContent xmlns:mc="http://schemas.openxmlformats.org/markup-compatibility/2006">
      <mc:Choice Requires="x14">
        <control shapeId="1025" r:id="rId6" name="btnLimpiar">
          <controlPr defaultSize="0" autoLine="0" autoPict="0" r:id="rId7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133350</xdr:rowOff>
              </to>
            </anchor>
          </controlPr>
        </control>
      </mc:Choice>
      <mc:Fallback>
        <control shapeId="1025" r:id="rId6" name="btnLimpiar"/>
      </mc:Fallback>
    </mc:AlternateContent>
    <mc:AlternateContent xmlns:mc="http://schemas.openxmlformats.org/markup-compatibility/2006">
      <mc:Choice Requires="x14">
        <control shapeId="1027" r:id="rId8" name="btAjustar">
          <controlPr defaultSize="0" autoLine="0" autoPict="0" r:id="rId9">
            <anchor moveWithCells="1">
              <from>
                <xdr:col>16</xdr:col>
                <xdr:colOff>285750</xdr:colOff>
                <xdr:row>4</xdr:row>
                <xdr:rowOff>57150</xdr:rowOff>
              </from>
              <to>
                <xdr:col>17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8" name="btAjustar"/>
      </mc:Fallback>
    </mc:AlternateContent>
    <mc:AlternateContent xmlns:mc="http://schemas.openxmlformats.org/markup-compatibility/2006">
      <mc:Choice Requires="x14">
        <control shapeId="1029" r:id="rId10" name="Option Button 5">
          <controlPr defaultSize="0" autoFill="0" autoLine="0" autoPict="0" altText="Mensual Fijo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4</xdr:col>
                <xdr:colOff>38100</xdr:colOff>
                <xdr:row>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Option Button 6">
          <controlPr defaultSize="0" autoFill="0" autoLine="0" autoPict="0" altText="Mensual Fijo">
            <anchor moveWithCells="1">
              <from>
                <xdr:col>2</xdr:col>
                <xdr:colOff>57150</xdr:colOff>
                <xdr:row>2</xdr:row>
                <xdr:rowOff>123825</xdr:rowOff>
              </from>
              <to>
                <xdr:col>4</xdr:col>
                <xdr:colOff>19050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Option Button 7">
          <controlPr defaultSize="0" autoFill="0" autoLine="0" autoPict="0" altText="Mensual Fijo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4</xdr:col>
                <xdr:colOff>38100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3" name="Button 19">
          <controlPr defaultSize="0" print="0" autoFill="0" autoPict="0" macro="[0]!GenerarCSV">
            <anchor moveWithCells="1" sizeWithCells="1">
              <from>
                <xdr:col>21</xdr:col>
                <xdr:colOff>419100</xdr:colOff>
                <xdr:row>3</xdr:row>
                <xdr:rowOff>171450</xdr:rowOff>
              </from>
              <to>
                <xdr:col>23</xdr:col>
                <xdr:colOff>657225</xdr:colOff>
                <xdr:row>6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101</v>
      </c>
    </row>
    <row r="3" spans="1:1" x14ac:dyDescent="0.25">
      <c r="A3" t="s">
        <v>103</v>
      </c>
    </row>
    <row r="4" spans="1:1" x14ac:dyDescent="0.25">
      <c r="A4" t="s">
        <v>102</v>
      </c>
    </row>
    <row r="5" spans="1:1" x14ac:dyDescent="0.25">
      <c r="A5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16</vt:i4>
      </vt:variant>
    </vt:vector>
  </HeadingPairs>
  <TitlesOfParts>
    <vt:vector size="18" baseType="lpstr">
      <vt:lpstr>Hoja1</vt:lpstr>
      <vt:lpstr>Hoja2</vt:lpstr>
      <vt:lpstr>areaFija</vt:lpstr>
      <vt:lpstr>ARREGLO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MONTO</vt:lpstr>
      <vt:lpstr>NCUOTAS</vt:lpstr>
      <vt:lpstr>OBJETIVO</vt:lpstr>
      <vt:lpstr>PAGO_SIN_FIJAR</vt:lpstr>
      <vt:lpstr>PGRACIA</vt:lpstr>
      <vt:lpstr>TIPO_CUOTAS</vt:lpstr>
      <vt:lpstr>ULTIMODIA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2020-09-02T23:00:12Z</dcterms:modified>
</cp:coreProperties>
</file>