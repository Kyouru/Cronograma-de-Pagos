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4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CP\Cronogramas\12-16\"/>
    </mc:Choice>
  </mc:AlternateContent>
  <xr:revisionPtr revIDLastSave="0" documentId="13_ncr:1_{4A8B4EBE-66F6-468F-99C2-FD674E251B33}" xr6:coauthVersionLast="45" xr6:coauthVersionMax="45" xr10:uidLastSave="{00000000-0000-0000-0000-000000000000}"/>
  <bookViews>
    <workbookView xWindow="28680" yWindow="-45" windowWidth="29040" windowHeight="15840" xr2:uid="{00000000-000D-0000-FFFF-FFFF00000000}"/>
  </bookViews>
  <sheets>
    <sheet name="Hoja1" sheetId="1" r:id="rId1"/>
    <sheet name="Hoja2" sheetId="2" state="hidden" r:id="rId2"/>
  </sheets>
  <functionGroups builtInGroupCount="19"/>
  <definedNames>
    <definedName name="areaFija">Hoja1!$C$11</definedName>
    <definedName name="areaFija2">Hoja1!$B$11</definedName>
    <definedName name="ARREGLO">Hoja1!$AA$8</definedName>
    <definedName name="CAPITALFIJOPAGADO">Hoja1!$K$11</definedName>
    <definedName name="CUOTA">Hoja1!$Q$5</definedName>
    <definedName name="CUOTAADICIONAL">Hoja1!$Q$7</definedName>
    <definedName name="dataGracia">Hoja1!$A$11</definedName>
    <definedName name="FIN_REF">Hoja1!$V$11</definedName>
    <definedName name="FinLimpiar">Hoja1!$E$12</definedName>
    <definedName name="INICIO_REF">Hoja1!$L$11</definedName>
    <definedName name="InicioLimpiar">Hoja1!$A$12</definedName>
    <definedName name="MESADICIONAL">Hoja1!$B$1</definedName>
    <definedName name="MONTO">Hoja1!$N$8</definedName>
    <definedName name="NCUOTAS">Hoja1!$Q$6</definedName>
    <definedName name="NPREPAGO">Hoja1!$Q$9</definedName>
    <definedName name="OBJETIVO">Hoja1!$AA$7</definedName>
    <definedName name="OBJETIVO2">Hoja1!$AB$7</definedName>
    <definedName name="PAGO_SIN_FIJAR">Hoja1!#REF!</definedName>
    <definedName name="TIPO_CUOTAS">Hoja2!$A$2:$A$5</definedName>
    <definedName name="TOTALCUOTAS">Hoja1!$R$8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12" i="1"/>
  <c r="B11" i="1" l="1"/>
  <c r="M11" i="1" l="1"/>
  <c r="Q9" i="1" l="1"/>
  <c r="Q8" i="1" l="1"/>
  <c r="R8" i="1" s="1"/>
  <c r="L12" i="1"/>
  <c r="J12" i="1" s="1"/>
  <c r="H12" i="1" l="1"/>
  <c r="L13" i="1"/>
  <c r="J13" i="1" s="1"/>
  <c r="V11" i="1"/>
  <c r="O12" i="1" s="1"/>
  <c r="AB1" i="1"/>
  <c r="AA6" i="1"/>
  <c r="V5" i="1"/>
  <c r="U12" i="1" l="1"/>
  <c r="M12" i="1"/>
  <c r="S12" i="1"/>
  <c r="T12" i="1"/>
  <c r="H13" i="1"/>
  <c r="L14" i="1"/>
  <c r="M13" i="1" l="1"/>
  <c r="J14" i="1"/>
  <c r="U13" i="1"/>
  <c r="T13" i="1"/>
  <c r="S13" i="1"/>
  <c r="H14" i="1"/>
  <c r="L15" i="1"/>
  <c r="M14" i="1" l="1"/>
  <c r="J15" i="1"/>
  <c r="U14" i="1"/>
  <c r="S14" i="1"/>
  <c r="T14" i="1"/>
  <c r="H15" i="1"/>
  <c r="M15" i="1" s="1"/>
  <c r="L16" i="1"/>
  <c r="C1" i="1"/>
  <c r="J16" i="1" l="1"/>
  <c r="U15" i="1"/>
  <c r="S15" i="1"/>
  <c r="T15" i="1"/>
  <c r="H16" i="1"/>
  <c r="M16" i="1" s="1"/>
  <c r="L17" i="1"/>
  <c r="U16" i="1" l="1"/>
  <c r="J17" i="1"/>
  <c r="S16" i="1"/>
  <c r="T16" i="1"/>
  <c r="H17" i="1"/>
  <c r="M17" i="1" s="1"/>
  <c r="L18" i="1"/>
  <c r="J18" i="1" l="1"/>
  <c r="L19" i="1"/>
  <c r="S17" i="1"/>
  <c r="U17" i="1"/>
  <c r="T17" i="1"/>
  <c r="H18" i="1"/>
  <c r="M18" i="1" s="1"/>
  <c r="F12" i="1"/>
  <c r="L20" i="1"/>
  <c r="J20" i="1" l="1"/>
  <c r="J19" i="1"/>
  <c r="U18" i="1"/>
  <c r="S18" i="1"/>
  <c r="T18" i="1"/>
  <c r="H19" i="1"/>
  <c r="M19" i="1" s="1"/>
  <c r="L21" i="1"/>
  <c r="N12" i="1"/>
  <c r="J21" i="1" l="1"/>
  <c r="U19" i="1"/>
  <c r="S19" i="1"/>
  <c r="T19" i="1"/>
  <c r="H20" i="1"/>
  <c r="M20" i="1" s="1"/>
  <c r="Y12" i="1"/>
  <c r="L22" i="1"/>
  <c r="J22" i="1" l="1"/>
  <c r="U20" i="1"/>
  <c r="S20" i="1"/>
  <c r="T20" i="1"/>
  <c r="H21" i="1"/>
  <c r="L23" i="1"/>
  <c r="Z12" i="1"/>
  <c r="J23" i="1" l="1"/>
  <c r="H22" i="1"/>
  <c r="H23" i="1" s="1"/>
  <c r="M23" i="1" s="1"/>
  <c r="M21" i="1"/>
  <c r="T21" i="1"/>
  <c r="U21" i="1"/>
  <c r="S21" i="1"/>
  <c r="L24" i="1"/>
  <c r="F13" i="1"/>
  <c r="AA12" i="1"/>
  <c r="AB12" i="1" s="1"/>
  <c r="N13" i="1"/>
  <c r="S22" i="1" l="1"/>
  <c r="M22" i="1"/>
  <c r="U22" i="1"/>
  <c r="U23" i="1" s="1"/>
  <c r="T22" i="1"/>
  <c r="T23" i="1" s="1"/>
  <c r="J24" i="1"/>
  <c r="S23" i="1"/>
  <c r="H24" i="1"/>
  <c r="M24" i="1" s="1"/>
  <c r="L25" i="1"/>
  <c r="F14" i="1"/>
  <c r="AC12" i="1"/>
  <c r="N14" i="1"/>
  <c r="J25" i="1" l="1"/>
  <c r="U24" i="1"/>
  <c r="T24" i="1"/>
  <c r="S24" i="1"/>
  <c r="H25" i="1"/>
  <c r="M25" i="1" s="1"/>
  <c r="N15" i="1"/>
  <c r="F15" i="1"/>
  <c r="L26" i="1"/>
  <c r="AD12" i="1"/>
  <c r="J26" i="1" l="1"/>
  <c r="S25" i="1"/>
  <c r="T25" i="1"/>
  <c r="U25" i="1"/>
  <c r="H26" i="1"/>
  <c r="M26" i="1" s="1"/>
  <c r="P17" i="1"/>
  <c r="L27" i="1"/>
  <c r="F16" i="1"/>
  <c r="AE12" i="1"/>
  <c r="N16" i="1"/>
  <c r="J27" i="1" l="1"/>
  <c r="T26" i="1"/>
  <c r="S26" i="1"/>
  <c r="U26" i="1"/>
  <c r="H27" i="1"/>
  <c r="F17" i="1"/>
  <c r="N17" i="1"/>
  <c r="L28" i="1"/>
  <c r="AF12" i="1"/>
  <c r="AG12" i="1" s="1"/>
  <c r="AH12" i="1" s="1"/>
  <c r="AI12" i="1" s="1"/>
  <c r="AJ12" i="1" s="1"/>
  <c r="AK12" i="1" s="1"/>
  <c r="AL12" i="1" s="1"/>
  <c r="AM12" i="1" s="1"/>
  <c r="AN12" i="1" s="1"/>
  <c r="AO12" i="1" s="1"/>
  <c r="AP12" i="1" s="1"/>
  <c r="AQ12" i="1" s="1"/>
  <c r="AR12" i="1" s="1"/>
  <c r="AS12" i="1" s="1"/>
  <c r="AT12" i="1" s="1"/>
  <c r="AU12" i="1" s="1"/>
  <c r="AV12" i="1" s="1"/>
  <c r="AW12" i="1" s="1"/>
  <c r="AX12" i="1" s="1"/>
  <c r="AY12" i="1" s="1"/>
  <c r="AZ12" i="1" s="1"/>
  <c r="BA12" i="1" s="1"/>
  <c r="BB12" i="1" s="1"/>
  <c r="BC12" i="1" s="1"/>
  <c r="BD12" i="1" s="1"/>
  <c r="BE12" i="1" s="1"/>
  <c r="BF12" i="1" s="1"/>
  <c r="BG12" i="1" s="1"/>
  <c r="BH12" i="1" s="1"/>
  <c r="BI12" i="1" s="1"/>
  <c r="BJ12" i="1" s="1"/>
  <c r="BK12" i="1" s="1"/>
  <c r="BL12" i="1" s="1"/>
  <c r="BM12" i="1" s="1"/>
  <c r="BN12" i="1" s="1"/>
  <c r="BO12" i="1" s="1"/>
  <c r="BP12" i="1" s="1"/>
  <c r="BQ12" i="1" s="1"/>
  <c r="BR12" i="1" s="1"/>
  <c r="BS12" i="1" s="1"/>
  <c r="BT12" i="1" s="1"/>
  <c r="BU12" i="1" s="1"/>
  <c r="BV12" i="1" s="1"/>
  <c r="U27" i="1" l="1"/>
  <c r="J28" i="1"/>
  <c r="M27" i="1"/>
  <c r="S27" i="1"/>
  <c r="T27" i="1"/>
  <c r="H28" i="1"/>
  <c r="I12" i="1"/>
  <c r="X12" i="1"/>
  <c r="P12" i="1" s="1"/>
  <c r="F18" i="1"/>
  <c r="N18" i="1"/>
  <c r="F19" i="1"/>
  <c r="L29" i="1"/>
  <c r="R12" i="1" l="1"/>
  <c r="Q12" i="1" s="1"/>
  <c r="U28" i="1"/>
  <c r="J29" i="1"/>
  <c r="M28" i="1"/>
  <c r="T28" i="1"/>
  <c r="S28" i="1"/>
  <c r="H29" i="1"/>
  <c r="M29" i="1" s="1"/>
  <c r="N19" i="1"/>
  <c r="L30" i="1"/>
  <c r="W12" i="1" l="1"/>
  <c r="J30" i="1"/>
  <c r="S29" i="1"/>
  <c r="T29" i="1"/>
  <c r="U29" i="1"/>
  <c r="H30" i="1"/>
  <c r="M30" i="1" s="1"/>
  <c r="K12" i="1"/>
  <c r="P21" i="1"/>
  <c r="L31" i="1"/>
  <c r="F20" i="1"/>
  <c r="N20" i="1"/>
  <c r="J31" i="1" l="1"/>
  <c r="T30" i="1"/>
  <c r="S30" i="1"/>
  <c r="U30" i="1"/>
  <c r="V12" i="1"/>
  <c r="H31" i="1"/>
  <c r="M31" i="1" s="1"/>
  <c r="P22" i="1"/>
  <c r="L32" i="1"/>
  <c r="F21" i="1"/>
  <c r="N21" i="1"/>
  <c r="J32" i="1" l="1"/>
  <c r="S31" i="1"/>
  <c r="T31" i="1"/>
  <c r="U31" i="1"/>
  <c r="H32" i="1"/>
  <c r="M32" i="1" s="1"/>
  <c r="N22" i="1"/>
  <c r="F22" i="1"/>
  <c r="P23" i="1"/>
  <c r="L33" i="1"/>
  <c r="J33" i="1" l="1"/>
  <c r="T32" i="1"/>
  <c r="S32" i="1"/>
  <c r="U32" i="1"/>
  <c r="H33" i="1"/>
  <c r="M33" i="1" s="1"/>
  <c r="P24" i="1"/>
  <c r="N23" i="1"/>
  <c r="F23" i="1"/>
  <c r="L34" i="1"/>
  <c r="J34" i="1" l="1"/>
  <c r="S33" i="1"/>
  <c r="T33" i="1"/>
  <c r="U33" i="1"/>
  <c r="H34" i="1"/>
  <c r="M34" i="1" s="1"/>
  <c r="N24" i="1"/>
  <c r="F24" i="1"/>
  <c r="F25" i="1"/>
  <c r="L35" i="1"/>
  <c r="J35" i="1" l="1"/>
  <c r="U34" i="1"/>
  <c r="T34" i="1"/>
  <c r="S34" i="1"/>
  <c r="H35" i="1"/>
  <c r="N25" i="1"/>
  <c r="P25" i="1"/>
  <c r="L36" i="1"/>
  <c r="P26" i="1"/>
  <c r="J36" i="1" l="1"/>
  <c r="M35" i="1"/>
  <c r="S35" i="1"/>
  <c r="T35" i="1"/>
  <c r="U35" i="1"/>
  <c r="H36" i="1"/>
  <c r="M36" i="1" s="1"/>
  <c r="L37" i="1"/>
  <c r="F26" i="1"/>
  <c r="N26" i="1"/>
  <c r="P27" i="1"/>
  <c r="J37" i="1" l="1"/>
  <c r="U36" i="1"/>
  <c r="T36" i="1"/>
  <c r="S36" i="1"/>
  <c r="H37" i="1"/>
  <c r="M37" i="1" s="1"/>
  <c r="P37" i="1" s="1"/>
  <c r="P28" i="1"/>
  <c r="L38" i="1"/>
  <c r="F27" i="1"/>
  <c r="N27" i="1"/>
  <c r="J38" i="1" l="1"/>
  <c r="S37" i="1"/>
  <c r="U37" i="1"/>
  <c r="T37" i="1"/>
  <c r="H38" i="1"/>
  <c r="M38" i="1" s="1"/>
  <c r="P30" i="1"/>
  <c r="F29" i="1"/>
  <c r="L39" i="1"/>
  <c r="F28" i="1"/>
  <c r="N28" i="1"/>
  <c r="J39" i="1" l="1"/>
  <c r="T38" i="1"/>
  <c r="S38" i="1"/>
  <c r="U38" i="1"/>
  <c r="H39" i="1"/>
  <c r="M39" i="1" s="1"/>
  <c r="F30" i="1"/>
  <c r="N30" i="1"/>
  <c r="P29" i="1"/>
  <c r="N29" i="1"/>
  <c r="L40" i="1"/>
  <c r="T39" i="1" l="1"/>
  <c r="J40" i="1"/>
  <c r="S39" i="1"/>
  <c r="U39" i="1"/>
  <c r="H40" i="1"/>
  <c r="T40" i="1" s="1"/>
  <c r="P31" i="1"/>
  <c r="L41" i="1"/>
  <c r="M40" i="1" l="1"/>
  <c r="J41" i="1"/>
  <c r="U40" i="1"/>
  <c r="S40" i="1"/>
  <c r="H41" i="1"/>
  <c r="U41" i="1" s="1"/>
  <c r="F31" i="1"/>
  <c r="N31" i="1"/>
  <c r="P33" i="1"/>
  <c r="L42" i="1"/>
  <c r="M41" i="1" l="1"/>
  <c r="J42" i="1"/>
  <c r="S41" i="1"/>
  <c r="T41" i="1"/>
  <c r="H42" i="1"/>
  <c r="U42" i="1" s="1"/>
  <c r="F33" i="1"/>
  <c r="P34" i="1"/>
  <c r="L43" i="1"/>
  <c r="M42" i="1" l="1"/>
  <c r="J43" i="1"/>
  <c r="T42" i="1"/>
  <c r="S42" i="1"/>
  <c r="H43" i="1"/>
  <c r="U43" i="1" s="1"/>
  <c r="N34" i="1"/>
  <c r="F34" i="1"/>
  <c r="P35" i="1"/>
  <c r="L44" i="1"/>
  <c r="M43" i="1" l="1"/>
  <c r="J44" i="1"/>
  <c r="S43" i="1"/>
  <c r="T43" i="1"/>
  <c r="H44" i="1"/>
  <c r="U44" i="1" s="1"/>
  <c r="N35" i="1"/>
  <c r="F35" i="1"/>
  <c r="P36" i="1"/>
  <c r="L45" i="1"/>
  <c r="M44" i="1" l="1"/>
  <c r="J45" i="1"/>
  <c r="T44" i="1"/>
  <c r="S44" i="1"/>
  <c r="H45" i="1"/>
  <c r="U45" i="1" s="1"/>
  <c r="N36" i="1"/>
  <c r="F36" i="1"/>
  <c r="L46" i="1"/>
  <c r="M45" i="1" l="1"/>
  <c r="J46" i="1"/>
  <c r="S45" i="1"/>
  <c r="T45" i="1"/>
  <c r="T46" i="1" s="1"/>
  <c r="H46" i="1"/>
  <c r="M46" i="1" s="1"/>
  <c r="L47" i="1"/>
  <c r="J47" i="1" l="1"/>
  <c r="U46" i="1"/>
  <c r="S46" i="1"/>
  <c r="H47" i="1"/>
  <c r="M47" i="1" s="1"/>
  <c r="F39" i="1"/>
  <c r="L48" i="1"/>
  <c r="S47" i="1" l="1"/>
  <c r="J48" i="1"/>
  <c r="T47" i="1"/>
  <c r="U47" i="1"/>
  <c r="U48" i="1" s="1"/>
  <c r="H48" i="1"/>
  <c r="M48" i="1" s="1"/>
  <c r="P39" i="1"/>
  <c r="F40" i="1"/>
  <c r="L49" i="1"/>
  <c r="T48" i="1" l="1"/>
  <c r="S48" i="1"/>
  <c r="J49" i="1"/>
  <c r="H49" i="1"/>
  <c r="S49" i="1" s="1"/>
  <c r="P40" i="1"/>
  <c r="N40" i="1"/>
  <c r="P41" i="1"/>
  <c r="L50" i="1"/>
  <c r="U49" i="1" l="1"/>
  <c r="T49" i="1"/>
  <c r="M49" i="1"/>
  <c r="J50" i="1"/>
  <c r="H50" i="1"/>
  <c r="M50" i="1" s="1"/>
  <c r="N41" i="1"/>
  <c r="F41" i="1"/>
  <c r="L51" i="1"/>
  <c r="U50" i="1" l="1"/>
  <c r="T50" i="1"/>
  <c r="S50" i="1"/>
  <c r="J51" i="1"/>
  <c r="H51" i="1"/>
  <c r="L52" i="1"/>
  <c r="T51" i="1" l="1"/>
  <c r="M51" i="1"/>
  <c r="U51" i="1"/>
  <c r="S51" i="1"/>
  <c r="J52" i="1"/>
  <c r="H52" i="1"/>
  <c r="M52" i="1" s="1"/>
  <c r="L53" i="1"/>
  <c r="T52" i="1" l="1"/>
  <c r="S52" i="1"/>
  <c r="U52" i="1"/>
  <c r="J53" i="1"/>
  <c r="H53" i="1"/>
  <c r="M53" i="1" s="1"/>
  <c r="P45" i="1"/>
  <c r="L54" i="1"/>
  <c r="S53" i="1" l="1"/>
  <c r="U53" i="1"/>
  <c r="T53" i="1"/>
  <c r="J54" i="1"/>
  <c r="H54" i="1"/>
  <c r="M54" i="1" s="1"/>
  <c r="F45" i="1"/>
  <c r="F46" i="1"/>
  <c r="L55" i="1"/>
  <c r="S54" i="1" l="1"/>
  <c r="U54" i="1"/>
  <c r="T54" i="1"/>
  <c r="J55" i="1"/>
  <c r="H55" i="1"/>
  <c r="S55" i="1" s="1"/>
  <c r="P46" i="1"/>
  <c r="N46" i="1"/>
  <c r="L56" i="1"/>
  <c r="T55" i="1" l="1"/>
  <c r="U55" i="1"/>
  <c r="M55" i="1"/>
  <c r="J56" i="1"/>
  <c r="H56" i="1"/>
  <c r="S56" i="1" s="1"/>
  <c r="F48" i="1"/>
  <c r="P48" i="1"/>
  <c r="L57" i="1"/>
  <c r="T56" i="1" l="1"/>
  <c r="M56" i="1"/>
  <c r="U56" i="1"/>
  <c r="J57" i="1"/>
  <c r="H57" i="1"/>
  <c r="N48" i="1"/>
  <c r="P49" i="1"/>
  <c r="L58" i="1"/>
  <c r="F49" i="1"/>
  <c r="N49" i="1"/>
  <c r="U57" i="1" l="1"/>
  <c r="M57" i="1"/>
  <c r="S57" i="1"/>
  <c r="T57" i="1"/>
  <c r="J58" i="1"/>
  <c r="H58" i="1"/>
  <c r="M58" i="1" s="1"/>
  <c r="P50" i="1"/>
  <c r="L59" i="1"/>
  <c r="F50" i="1"/>
  <c r="N50" i="1"/>
  <c r="T58" i="1" l="1"/>
  <c r="U58" i="1"/>
  <c r="S58" i="1"/>
  <c r="J59" i="1"/>
  <c r="H59" i="1"/>
  <c r="M59" i="1" s="1"/>
  <c r="P51" i="1"/>
  <c r="L60" i="1"/>
  <c r="F51" i="1"/>
  <c r="N51" i="1"/>
  <c r="S59" i="1" l="1"/>
  <c r="T59" i="1"/>
  <c r="U59" i="1"/>
  <c r="J60" i="1"/>
  <c r="K60" i="1" s="1"/>
  <c r="M60" i="1"/>
  <c r="S60" i="1"/>
  <c r="T60" i="1"/>
  <c r="U60" i="1"/>
  <c r="H60" i="1"/>
  <c r="P52" i="1"/>
  <c r="L61" i="1"/>
  <c r="F52" i="1"/>
  <c r="N52" i="1"/>
  <c r="M61" i="1" l="1"/>
  <c r="R61" i="1"/>
  <c r="Q61" i="1"/>
  <c r="J61" i="1"/>
  <c r="K61" i="1"/>
  <c r="S61" i="1"/>
  <c r="T61" i="1"/>
  <c r="U61" i="1"/>
  <c r="H61" i="1"/>
  <c r="W61" i="1"/>
  <c r="L62" i="1"/>
  <c r="F53" i="1"/>
  <c r="N53" i="1"/>
  <c r="M62" i="1" l="1"/>
  <c r="Q62" i="1"/>
  <c r="R62" i="1"/>
  <c r="J62" i="1"/>
  <c r="K62" i="1"/>
  <c r="S62" i="1"/>
  <c r="T62" i="1"/>
  <c r="U62" i="1"/>
  <c r="H62" i="1"/>
  <c r="W62" i="1"/>
  <c r="P54" i="1"/>
  <c r="L63" i="1"/>
  <c r="F54" i="1"/>
  <c r="N54" i="1"/>
  <c r="M63" i="1" l="1"/>
  <c r="R63" i="1"/>
  <c r="Q63" i="1"/>
  <c r="J63" i="1"/>
  <c r="K63" i="1"/>
  <c r="S63" i="1"/>
  <c r="T63" i="1"/>
  <c r="U63" i="1"/>
  <c r="H63" i="1"/>
  <c r="W63" i="1"/>
  <c r="P55" i="1"/>
  <c r="L64" i="1"/>
  <c r="F55" i="1"/>
  <c r="N55" i="1"/>
  <c r="M64" i="1" l="1"/>
  <c r="R64" i="1"/>
  <c r="Q64" i="1"/>
  <c r="J64" i="1"/>
  <c r="K64" i="1"/>
  <c r="S64" i="1"/>
  <c r="T64" i="1"/>
  <c r="U64" i="1"/>
  <c r="H64" i="1"/>
  <c r="W64" i="1"/>
  <c r="P56" i="1"/>
  <c r="L65" i="1"/>
  <c r="F56" i="1"/>
  <c r="N56" i="1"/>
  <c r="M65" i="1" l="1"/>
  <c r="R65" i="1"/>
  <c r="Q65" i="1"/>
  <c r="J65" i="1"/>
  <c r="K65" i="1"/>
  <c r="S65" i="1"/>
  <c r="T65" i="1"/>
  <c r="U65" i="1"/>
  <c r="H65" i="1"/>
  <c r="W65" i="1"/>
  <c r="P57" i="1"/>
  <c r="L66" i="1"/>
  <c r="F57" i="1"/>
  <c r="N57" i="1"/>
  <c r="M66" i="1" l="1"/>
  <c r="R66" i="1"/>
  <c r="Q66" i="1"/>
  <c r="J66" i="1"/>
  <c r="K66" i="1"/>
  <c r="U66" i="1"/>
  <c r="S66" i="1"/>
  <c r="T66" i="1"/>
  <c r="H66" i="1"/>
  <c r="W66" i="1"/>
  <c r="P58" i="1"/>
  <c r="L67" i="1"/>
  <c r="F58" i="1"/>
  <c r="N58" i="1"/>
  <c r="M67" i="1" l="1"/>
  <c r="R67" i="1"/>
  <c r="Q67" i="1"/>
  <c r="J67" i="1"/>
  <c r="K67" i="1"/>
  <c r="T67" i="1"/>
  <c r="U67" i="1"/>
  <c r="S67" i="1"/>
  <c r="H67" i="1"/>
  <c r="W67" i="1"/>
  <c r="P59" i="1"/>
  <c r="L68" i="1"/>
  <c r="F59" i="1"/>
  <c r="N59" i="1"/>
  <c r="M68" i="1" l="1"/>
  <c r="R68" i="1"/>
  <c r="Q68" i="1"/>
  <c r="J68" i="1"/>
  <c r="K68" i="1"/>
  <c r="S68" i="1"/>
  <c r="T68" i="1"/>
  <c r="U68" i="1"/>
  <c r="H68" i="1"/>
  <c r="W68" i="1"/>
  <c r="P60" i="1"/>
  <c r="L69" i="1"/>
  <c r="F60" i="1"/>
  <c r="N60" i="1"/>
  <c r="M69" i="1" l="1"/>
  <c r="R69" i="1"/>
  <c r="Q69" i="1"/>
  <c r="J69" i="1"/>
  <c r="K69" i="1"/>
  <c r="U69" i="1"/>
  <c r="S69" i="1"/>
  <c r="T69" i="1"/>
  <c r="H69" i="1"/>
  <c r="W69" i="1"/>
  <c r="P61" i="1"/>
  <c r="L70" i="1"/>
  <c r="F61" i="1"/>
  <c r="N61" i="1"/>
  <c r="M70" i="1" l="1"/>
  <c r="R70" i="1"/>
  <c r="Q70" i="1"/>
  <c r="J70" i="1"/>
  <c r="K70" i="1"/>
  <c r="U70" i="1"/>
  <c r="T70" i="1"/>
  <c r="S70" i="1"/>
  <c r="H70" i="1"/>
  <c r="W70" i="1"/>
  <c r="P62" i="1"/>
  <c r="L71" i="1"/>
  <c r="F62" i="1"/>
  <c r="N62" i="1"/>
  <c r="M71" i="1" l="1"/>
  <c r="Q71" i="1"/>
  <c r="R71" i="1"/>
  <c r="J71" i="1"/>
  <c r="K71" i="1"/>
  <c r="T71" i="1"/>
  <c r="U71" i="1"/>
  <c r="S71" i="1"/>
  <c r="H71" i="1"/>
  <c r="W71" i="1"/>
  <c r="P63" i="1"/>
  <c r="L72" i="1"/>
  <c r="F63" i="1"/>
  <c r="N63" i="1"/>
  <c r="M72" i="1" l="1"/>
  <c r="Q72" i="1"/>
  <c r="R72" i="1"/>
  <c r="J72" i="1"/>
  <c r="K72" i="1"/>
  <c r="S72" i="1"/>
  <c r="T72" i="1"/>
  <c r="U72" i="1"/>
  <c r="H72" i="1"/>
  <c r="W72" i="1"/>
  <c r="P64" i="1"/>
  <c r="L73" i="1"/>
  <c r="F64" i="1"/>
  <c r="N64" i="1"/>
  <c r="M73" i="1" l="1"/>
  <c r="R73" i="1"/>
  <c r="Q73" i="1"/>
  <c r="J73" i="1"/>
  <c r="K73" i="1"/>
  <c r="S73" i="1"/>
  <c r="T73" i="1"/>
  <c r="U73" i="1"/>
  <c r="H73" i="1"/>
  <c r="W73" i="1"/>
  <c r="P65" i="1"/>
  <c r="L74" i="1"/>
  <c r="F65" i="1"/>
  <c r="N65" i="1"/>
  <c r="M74" i="1" l="1"/>
  <c r="Q74" i="1"/>
  <c r="R74" i="1"/>
  <c r="J74" i="1"/>
  <c r="K74" i="1"/>
  <c r="S74" i="1"/>
  <c r="T74" i="1"/>
  <c r="U74" i="1"/>
  <c r="H74" i="1"/>
  <c r="W74" i="1"/>
  <c r="P66" i="1"/>
  <c r="L75" i="1"/>
  <c r="F66" i="1"/>
  <c r="N66" i="1"/>
  <c r="M75" i="1" l="1"/>
  <c r="R75" i="1"/>
  <c r="Q75" i="1"/>
  <c r="J75" i="1"/>
  <c r="K75" i="1"/>
  <c r="S75" i="1"/>
  <c r="T75" i="1"/>
  <c r="U75" i="1"/>
  <c r="H75" i="1"/>
  <c r="W75" i="1"/>
  <c r="P67" i="1"/>
  <c r="L76" i="1"/>
  <c r="F67" i="1"/>
  <c r="N67" i="1"/>
  <c r="M76" i="1" l="1"/>
  <c r="R76" i="1"/>
  <c r="Q76" i="1"/>
  <c r="J76" i="1"/>
  <c r="K76" i="1"/>
  <c r="S76" i="1"/>
  <c r="T76" i="1"/>
  <c r="U76" i="1"/>
  <c r="H76" i="1"/>
  <c r="W76" i="1"/>
  <c r="P68" i="1"/>
  <c r="L77" i="1"/>
  <c r="F68" i="1"/>
  <c r="N68" i="1"/>
  <c r="M77" i="1" l="1"/>
  <c r="R77" i="1"/>
  <c r="Q77" i="1"/>
  <c r="J77" i="1"/>
  <c r="K77" i="1"/>
  <c r="S77" i="1"/>
  <c r="U77" i="1"/>
  <c r="T77" i="1"/>
  <c r="H77" i="1"/>
  <c r="W77" i="1"/>
  <c r="P69" i="1"/>
  <c r="L78" i="1"/>
  <c r="F69" i="1"/>
  <c r="N69" i="1"/>
  <c r="M78" i="1" l="1"/>
  <c r="Q78" i="1"/>
  <c r="R78" i="1"/>
  <c r="J78" i="1"/>
  <c r="K78" i="1"/>
  <c r="S78" i="1"/>
  <c r="U78" i="1"/>
  <c r="T78" i="1"/>
  <c r="H78" i="1"/>
  <c r="W78" i="1"/>
  <c r="P70" i="1"/>
  <c r="L79" i="1"/>
  <c r="F70" i="1"/>
  <c r="N70" i="1"/>
  <c r="M79" i="1" l="1"/>
  <c r="R79" i="1"/>
  <c r="Q79" i="1"/>
  <c r="J79" i="1"/>
  <c r="K79" i="1"/>
  <c r="U79" i="1"/>
  <c r="T79" i="1"/>
  <c r="S79" i="1"/>
  <c r="H79" i="1"/>
  <c r="W79" i="1"/>
  <c r="P71" i="1"/>
  <c r="L80" i="1"/>
  <c r="F71" i="1"/>
  <c r="N71" i="1"/>
  <c r="M80" i="1" l="1"/>
  <c r="R80" i="1"/>
  <c r="Q80" i="1"/>
  <c r="J80" i="1"/>
  <c r="K80" i="1"/>
  <c r="S80" i="1"/>
  <c r="T80" i="1"/>
  <c r="U80" i="1"/>
  <c r="H80" i="1"/>
  <c r="W80" i="1"/>
  <c r="P72" i="1"/>
  <c r="L81" i="1"/>
  <c r="F72" i="1"/>
  <c r="N72" i="1"/>
  <c r="M81" i="1" l="1"/>
  <c r="R81" i="1"/>
  <c r="Q81" i="1"/>
  <c r="J81" i="1"/>
  <c r="K81" i="1"/>
  <c r="S81" i="1"/>
  <c r="U81" i="1"/>
  <c r="T81" i="1"/>
  <c r="H81" i="1"/>
  <c r="W81" i="1"/>
  <c r="P73" i="1"/>
  <c r="L82" i="1"/>
  <c r="F73" i="1"/>
  <c r="N73" i="1"/>
  <c r="M82" i="1" l="1"/>
  <c r="R82" i="1"/>
  <c r="Q82" i="1"/>
  <c r="J82" i="1"/>
  <c r="K82" i="1"/>
  <c r="U82" i="1"/>
  <c r="T82" i="1"/>
  <c r="S82" i="1"/>
  <c r="H82" i="1"/>
  <c r="W82" i="1"/>
  <c r="P74" i="1"/>
  <c r="L83" i="1"/>
  <c r="F74" i="1"/>
  <c r="N74" i="1"/>
  <c r="M83" i="1" l="1"/>
  <c r="R83" i="1"/>
  <c r="Q83" i="1"/>
  <c r="J83" i="1"/>
  <c r="K83" i="1"/>
  <c r="T83" i="1"/>
  <c r="S83" i="1"/>
  <c r="U83" i="1"/>
  <c r="H83" i="1"/>
  <c r="W83" i="1"/>
  <c r="P75" i="1"/>
  <c r="L84" i="1"/>
  <c r="F75" i="1"/>
  <c r="N75" i="1"/>
  <c r="M84" i="1" l="1"/>
  <c r="Q84" i="1"/>
  <c r="R84" i="1"/>
  <c r="J84" i="1"/>
  <c r="K84" i="1"/>
  <c r="S84" i="1"/>
  <c r="T84" i="1"/>
  <c r="U84" i="1"/>
  <c r="H84" i="1"/>
  <c r="W84" i="1"/>
  <c r="P76" i="1"/>
  <c r="L85" i="1"/>
  <c r="F76" i="1"/>
  <c r="N76" i="1"/>
  <c r="M85" i="1" l="1"/>
  <c r="R85" i="1"/>
  <c r="Q85" i="1"/>
  <c r="J85" i="1"/>
  <c r="K85" i="1"/>
  <c r="U85" i="1"/>
  <c r="S85" i="1"/>
  <c r="T85" i="1"/>
  <c r="H85" i="1"/>
  <c r="W85" i="1"/>
  <c r="P77" i="1"/>
  <c r="L86" i="1"/>
  <c r="F77" i="1"/>
  <c r="N77" i="1"/>
  <c r="M86" i="1" l="1"/>
  <c r="Q86" i="1"/>
  <c r="R86" i="1"/>
  <c r="J86" i="1"/>
  <c r="K86" i="1"/>
  <c r="U86" i="1"/>
  <c r="S86" i="1"/>
  <c r="T86" i="1"/>
  <c r="H86" i="1"/>
  <c r="W86" i="1"/>
  <c r="P78" i="1"/>
  <c r="L87" i="1"/>
  <c r="F78" i="1"/>
  <c r="N78" i="1"/>
  <c r="M87" i="1" l="1"/>
  <c r="R87" i="1"/>
  <c r="Q87" i="1"/>
  <c r="J87" i="1"/>
  <c r="K87" i="1"/>
  <c r="S87" i="1"/>
  <c r="T87" i="1"/>
  <c r="U87" i="1"/>
  <c r="H87" i="1"/>
  <c r="W87" i="1"/>
  <c r="P79" i="1"/>
  <c r="L88" i="1"/>
  <c r="F79" i="1"/>
  <c r="N79" i="1"/>
  <c r="M88" i="1" l="1"/>
  <c r="R88" i="1"/>
  <c r="Q88" i="1"/>
  <c r="J88" i="1"/>
  <c r="K88" i="1"/>
  <c r="S88" i="1"/>
  <c r="T88" i="1"/>
  <c r="U88" i="1"/>
  <c r="H88" i="1"/>
  <c r="W88" i="1"/>
  <c r="P80" i="1"/>
  <c r="L89" i="1"/>
  <c r="F80" i="1"/>
  <c r="N80" i="1"/>
  <c r="M89" i="1" l="1"/>
  <c r="R89" i="1"/>
  <c r="Q89" i="1"/>
  <c r="J89" i="1"/>
  <c r="K89" i="1"/>
  <c r="U89" i="1"/>
  <c r="S89" i="1"/>
  <c r="T89" i="1"/>
  <c r="H89" i="1"/>
  <c r="W89" i="1"/>
  <c r="P81" i="1"/>
  <c r="L90" i="1"/>
  <c r="F81" i="1"/>
  <c r="N81" i="1"/>
  <c r="M90" i="1" l="1"/>
  <c r="Q90" i="1"/>
  <c r="R90" i="1"/>
  <c r="J90" i="1"/>
  <c r="K90" i="1"/>
  <c r="U90" i="1"/>
  <c r="S90" i="1"/>
  <c r="T90" i="1"/>
  <c r="H90" i="1"/>
  <c r="W90" i="1"/>
  <c r="P82" i="1"/>
  <c r="L91" i="1"/>
  <c r="F82" i="1"/>
  <c r="N82" i="1"/>
  <c r="M91" i="1" l="1"/>
  <c r="R91" i="1"/>
  <c r="Q91" i="1"/>
  <c r="J91" i="1"/>
  <c r="K91" i="1"/>
  <c r="U91" i="1"/>
  <c r="S91" i="1"/>
  <c r="T91" i="1"/>
  <c r="H91" i="1"/>
  <c r="W91" i="1"/>
  <c r="P83" i="1"/>
  <c r="L92" i="1"/>
  <c r="F83" i="1"/>
  <c r="N83" i="1"/>
  <c r="M92" i="1" l="1"/>
  <c r="R92" i="1"/>
  <c r="Q92" i="1"/>
  <c r="J92" i="1"/>
  <c r="K92" i="1"/>
  <c r="S92" i="1"/>
  <c r="T92" i="1"/>
  <c r="U92" i="1"/>
  <c r="H92" i="1"/>
  <c r="W92" i="1"/>
  <c r="P84" i="1"/>
  <c r="L93" i="1"/>
  <c r="F84" i="1"/>
  <c r="N84" i="1"/>
  <c r="M93" i="1" l="1"/>
  <c r="R93" i="1"/>
  <c r="Q93" i="1"/>
  <c r="J93" i="1"/>
  <c r="K93" i="1"/>
  <c r="U93" i="1"/>
  <c r="S93" i="1"/>
  <c r="T93" i="1"/>
  <c r="H93" i="1"/>
  <c r="W93" i="1"/>
  <c r="P85" i="1"/>
  <c r="L94" i="1"/>
  <c r="F85" i="1"/>
  <c r="N85" i="1"/>
  <c r="M94" i="1" l="1"/>
  <c r="R94" i="1"/>
  <c r="Q94" i="1"/>
  <c r="J94" i="1"/>
  <c r="K94" i="1"/>
  <c r="U94" i="1"/>
  <c r="T94" i="1"/>
  <c r="S94" i="1"/>
  <c r="H94" i="1"/>
  <c r="W94" i="1"/>
  <c r="P86" i="1"/>
  <c r="L95" i="1"/>
  <c r="F86" i="1"/>
  <c r="N86" i="1"/>
  <c r="M95" i="1" l="1"/>
  <c r="R95" i="1"/>
  <c r="Q95" i="1"/>
  <c r="J95" i="1"/>
  <c r="K95" i="1"/>
  <c r="T95" i="1"/>
  <c r="U95" i="1"/>
  <c r="S95" i="1"/>
  <c r="H95" i="1"/>
  <c r="W95" i="1"/>
  <c r="P87" i="1"/>
  <c r="L96" i="1"/>
  <c r="F87" i="1"/>
  <c r="N87" i="1"/>
  <c r="M96" i="1" l="1"/>
  <c r="Q96" i="1"/>
  <c r="R96" i="1"/>
  <c r="J96" i="1"/>
  <c r="K96" i="1"/>
  <c r="S96" i="1"/>
  <c r="T96" i="1"/>
  <c r="U96" i="1"/>
  <c r="H96" i="1"/>
  <c r="W96" i="1"/>
  <c r="P88" i="1"/>
  <c r="L97" i="1"/>
  <c r="F88" i="1"/>
  <c r="N88" i="1"/>
  <c r="J97" i="1" l="1"/>
  <c r="U97" i="1"/>
  <c r="H97" i="1"/>
  <c r="M97" i="1"/>
  <c r="G97" i="1"/>
  <c r="S97" i="1"/>
  <c r="T97" i="1"/>
  <c r="W97" i="1"/>
  <c r="R97" i="1"/>
  <c r="P89" i="1"/>
  <c r="F89" i="1"/>
  <c r="N89" i="1"/>
  <c r="P90" i="1" l="1"/>
  <c r="F90" i="1"/>
  <c r="N90" i="1"/>
  <c r="P91" i="1" l="1"/>
  <c r="F91" i="1"/>
  <c r="N91" i="1"/>
  <c r="P92" i="1" l="1"/>
  <c r="F92" i="1"/>
  <c r="N92" i="1"/>
  <c r="P93" i="1" l="1"/>
  <c r="F93" i="1"/>
  <c r="N93" i="1"/>
  <c r="P94" i="1" l="1"/>
  <c r="F94" i="1"/>
  <c r="N94" i="1"/>
  <c r="P95" i="1" l="1"/>
  <c r="F95" i="1"/>
  <c r="N95" i="1"/>
  <c r="P96" i="1" l="1"/>
  <c r="F96" i="1"/>
  <c r="N96" i="1"/>
  <c r="P97" i="1" l="1"/>
  <c r="F97" i="1"/>
  <c r="N97" i="1"/>
  <c r="AI6" i="1" l="1"/>
  <c r="V6" i="1"/>
  <c r="V7" i="1"/>
  <c r="V8" i="1"/>
  <c r="Y61" i="1" l="1"/>
  <c r="Z61" i="1" s="1"/>
  <c r="X61" i="1" l="1"/>
  <c r="I61" i="1"/>
  <c r="V61" i="1" l="1"/>
  <c r="O62" i="1" s="1"/>
  <c r="Y62" i="1" s="1"/>
  <c r="Z62" i="1" s="1"/>
  <c r="X62" i="1" l="1"/>
  <c r="I62" i="1"/>
  <c r="V62" i="1" l="1"/>
  <c r="O63" i="1" s="1"/>
  <c r="Y63" i="1" s="1"/>
  <c r="Z63" i="1" s="1"/>
  <c r="X63" i="1" l="1"/>
  <c r="I63" i="1"/>
  <c r="V63" i="1" l="1"/>
  <c r="O64" i="1" s="1"/>
  <c r="Y64" i="1" s="1"/>
  <c r="Z64" i="1" l="1"/>
  <c r="X64" i="1" s="1"/>
  <c r="V64" i="1" l="1"/>
  <c r="O65" i="1" s="1"/>
  <c r="I64" i="1"/>
  <c r="Y65" i="1" l="1"/>
  <c r="Z65" i="1" l="1"/>
  <c r="I65" i="1" l="1"/>
  <c r="X65" i="1"/>
  <c r="V65" i="1" l="1"/>
  <c r="O66" i="1" s="1"/>
  <c r="Y66" i="1" s="1"/>
  <c r="Z66" i="1" l="1"/>
  <c r="I66" i="1" s="1"/>
  <c r="X66" i="1" l="1"/>
  <c r="V66" i="1" l="1"/>
  <c r="O67" i="1" s="1"/>
  <c r="Y67" i="1" s="1"/>
  <c r="Z67" i="1" s="1"/>
  <c r="I67" i="1" l="1"/>
  <c r="X67" i="1"/>
  <c r="V67" i="1" l="1"/>
  <c r="O68" i="1" s="1"/>
  <c r="Y68" i="1" s="1"/>
  <c r="Z68" i="1" l="1"/>
  <c r="I68" i="1" s="1"/>
  <c r="X68" i="1" l="1"/>
  <c r="V68" i="1" l="1"/>
  <c r="O69" i="1" s="1"/>
  <c r="Y69" i="1"/>
  <c r="Z69" i="1" s="1"/>
  <c r="X69" i="1" l="1"/>
  <c r="I69" i="1"/>
  <c r="V69" i="1" l="1"/>
  <c r="O70" i="1" s="1"/>
  <c r="Y70" i="1"/>
  <c r="Z70" i="1" l="1"/>
  <c r="X70" i="1" s="1"/>
  <c r="V70" i="1" l="1"/>
  <c r="O71" i="1" s="1"/>
  <c r="I70" i="1"/>
  <c r="Y71" i="1" l="1"/>
  <c r="Z71" i="1" l="1"/>
  <c r="X71" i="1" l="1"/>
  <c r="I71" i="1"/>
  <c r="V71" i="1" l="1"/>
  <c r="O72" i="1" s="1"/>
  <c r="Y72" i="1" s="1"/>
  <c r="Z72" i="1" s="1"/>
  <c r="X72" i="1" l="1"/>
  <c r="I72" i="1"/>
  <c r="V72" i="1" l="1"/>
  <c r="O73" i="1" s="1"/>
  <c r="Y73" i="1" s="1"/>
  <c r="Z73" i="1" s="1"/>
  <c r="I73" i="1" l="1"/>
  <c r="X73" i="1"/>
  <c r="V73" i="1" l="1"/>
  <c r="O74" i="1" s="1"/>
  <c r="Y74" i="1"/>
  <c r="Z74" i="1" s="1"/>
  <c r="I74" i="1" l="1"/>
  <c r="X74" i="1"/>
  <c r="V74" i="1" l="1"/>
  <c r="O75" i="1" s="1"/>
  <c r="Y75" i="1" s="1"/>
  <c r="Z75" i="1" l="1"/>
  <c r="X75" i="1" s="1"/>
  <c r="V75" i="1" l="1"/>
  <c r="O76" i="1" s="1"/>
  <c r="I75" i="1"/>
  <c r="Y76" i="1" l="1"/>
  <c r="Z76" i="1" s="1"/>
  <c r="I76" i="1" l="1"/>
  <c r="X76" i="1"/>
  <c r="V76" i="1" l="1"/>
  <c r="O77" i="1" s="1"/>
  <c r="Y77" i="1" s="1"/>
  <c r="Z77" i="1" s="1"/>
  <c r="X77" i="1" l="1"/>
  <c r="I77" i="1"/>
  <c r="V77" i="1" l="1"/>
  <c r="O78" i="1" s="1"/>
  <c r="Y78" i="1"/>
  <c r="Z78" i="1" s="1"/>
  <c r="I78" i="1" l="1"/>
  <c r="X78" i="1"/>
  <c r="V78" i="1" l="1"/>
  <c r="O79" i="1" s="1"/>
  <c r="Y79" i="1" s="1"/>
  <c r="Z79" i="1" l="1"/>
  <c r="I79" i="1" s="1"/>
  <c r="X79" i="1" l="1"/>
  <c r="V79" i="1" l="1"/>
  <c r="O80" i="1" s="1"/>
  <c r="Y80" i="1" s="1"/>
  <c r="Z80" i="1" l="1"/>
  <c r="I80" i="1" s="1"/>
  <c r="X80" i="1" l="1"/>
  <c r="V80" i="1" l="1"/>
  <c r="O81" i="1" s="1"/>
  <c r="Y81" i="1" s="1"/>
  <c r="Z81" i="1" l="1"/>
  <c r="X81" i="1" s="1"/>
  <c r="V81" i="1" l="1"/>
  <c r="O82" i="1" s="1"/>
  <c r="I81" i="1"/>
  <c r="Y82" i="1" l="1"/>
  <c r="Z82" i="1" l="1"/>
  <c r="X82" i="1" s="1"/>
  <c r="V82" i="1" l="1"/>
  <c r="O83" i="1" s="1"/>
  <c r="I82" i="1"/>
  <c r="Y83" i="1" l="1"/>
  <c r="Z83" i="1" l="1"/>
  <c r="X83" i="1" s="1"/>
  <c r="V83" i="1" l="1"/>
  <c r="O84" i="1" s="1"/>
  <c r="I83" i="1"/>
  <c r="Y84" i="1" l="1"/>
  <c r="Z84" i="1" l="1"/>
  <c r="X84" i="1" s="1"/>
  <c r="V84" i="1" l="1"/>
  <c r="O85" i="1" s="1"/>
  <c r="I84" i="1"/>
  <c r="Y85" i="1" l="1"/>
  <c r="Z85" i="1" l="1"/>
  <c r="X85" i="1" s="1"/>
  <c r="V85" i="1" l="1"/>
  <c r="O86" i="1" s="1"/>
  <c r="I85" i="1"/>
  <c r="Y86" i="1" l="1"/>
  <c r="Z86" i="1" s="1"/>
  <c r="X86" i="1" l="1"/>
  <c r="I86" i="1"/>
  <c r="V86" i="1" l="1"/>
  <c r="O87" i="1" s="1"/>
  <c r="Y87" i="1"/>
  <c r="Z87" i="1" s="1"/>
  <c r="X87" i="1" l="1"/>
  <c r="I87" i="1"/>
  <c r="V87" i="1" l="1"/>
  <c r="O88" i="1" s="1"/>
  <c r="Y88" i="1" s="1"/>
  <c r="Z88" i="1" s="1"/>
  <c r="X88" i="1" l="1"/>
  <c r="I88" i="1"/>
  <c r="V88" i="1" l="1"/>
  <c r="O89" i="1" s="1"/>
  <c r="Y89" i="1"/>
  <c r="Z89" i="1" s="1"/>
  <c r="X89" i="1" l="1"/>
  <c r="I89" i="1"/>
  <c r="V89" i="1" l="1"/>
  <c r="O90" i="1" s="1"/>
  <c r="Y90" i="1"/>
  <c r="Z90" i="1" l="1"/>
  <c r="I90" i="1" s="1"/>
  <c r="X90" i="1" l="1"/>
  <c r="V90" i="1" l="1"/>
  <c r="O91" i="1" s="1"/>
  <c r="Y91" i="1"/>
  <c r="Z91" i="1" s="1"/>
  <c r="X91" i="1" l="1"/>
  <c r="I91" i="1"/>
  <c r="V91" i="1" l="1"/>
  <c r="O92" i="1" s="1"/>
  <c r="Y92" i="1"/>
  <c r="Z92" i="1" s="1"/>
  <c r="I92" i="1" l="1"/>
  <c r="X92" i="1"/>
  <c r="V92" i="1" l="1"/>
  <c r="O93" i="1" s="1"/>
  <c r="Y93" i="1"/>
  <c r="Z93" i="1" s="1"/>
  <c r="X93" i="1" l="1"/>
  <c r="I93" i="1"/>
  <c r="V93" i="1" l="1"/>
  <c r="O94" i="1" s="1"/>
  <c r="Y94" i="1" s="1"/>
  <c r="Z94" i="1" s="1"/>
  <c r="I94" i="1" l="1"/>
  <c r="X94" i="1"/>
  <c r="V94" i="1" l="1"/>
  <c r="O95" i="1" s="1"/>
  <c r="Y95" i="1"/>
  <c r="Z95" i="1" s="1"/>
  <c r="X95" i="1" l="1"/>
  <c r="I95" i="1"/>
  <c r="V95" i="1" l="1"/>
  <c r="O96" i="1" s="1"/>
  <c r="Y96" i="1"/>
  <c r="Z96" i="1" s="1"/>
  <c r="X96" i="1" l="1"/>
  <c r="I96" i="1"/>
  <c r="V96" i="1" l="1"/>
  <c r="O97" i="1" s="1"/>
  <c r="Y97" i="1" s="1"/>
  <c r="Z97" i="1" s="1"/>
  <c r="I97" i="1" l="1"/>
  <c r="X97" i="1"/>
  <c r="Q97" i="1" l="1"/>
  <c r="V97" i="1" l="1"/>
  <c r="P32" i="1" l="1"/>
  <c r="N33" i="1" l="1"/>
  <c r="F32" i="1"/>
  <c r="N32" i="1"/>
  <c r="N37" i="1" l="1"/>
  <c r="F37" i="1"/>
  <c r="F38" i="1"/>
  <c r="P38" i="1"/>
  <c r="N38" i="1"/>
  <c r="N39" i="1"/>
  <c r="P13" i="1"/>
  <c r="P44" i="1" l="1"/>
  <c r="F44" i="1"/>
  <c r="N44" i="1"/>
  <c r="N45" i="1"/>
  <c r="P43" i="1"/>
  <c r="N43" i="1"/>
  <c r="F43" i="1"/>
  <c r="P42" i="1"/>
  <c r="N42" i="1"/>
  <c r="F42" i="1"/>
  <c r="F47" i="1" l="1"/>
  <c r="P47" i="1"/>
  <c r="N47" i="1"/>
  <c r="O13" i="1"/>
  <c r="Y13" i="1" s="1"/>
  <c r="Z13" i="1" l="1"/>
  <c r="X13" i="1" s="1"/>
  <c r="R13" i="1" s="1"/>
  <c r="Q13" i="1" s="1"/>
  <c r="W13" i="1" l="1"/>
  <c r="I13" i="1"/>
  <c r="K13" i="1" l="1"/>
  <c r="V13" i="1" l="1"/>
  <c r="O14" i="1" s="1"/>
  <c r="Y14" i="1" s="1"/>
  <c r="Z14" i="1" s="1"/>
  <c r="X14" i="1" s="1"/>
  <c r="P14" i="1" s="1"/>
  <c r="R14" i="1" l="1"/>
  <c r="Q14" i="1" s="1"/>
  <c r="I14" i="1"/>
  <c r="W14" i="1" l="1"/>
  <c r="K14" i="1"/>
  <c r="V14" i="1" l="1"/>
  <c r="O15" i="1" s="1"/>
  <c r="Y15" i="1" s="1"/>
  <c r="Z15" i="1" l="1"/>
  <c r="X15" i="1" s="1"/>
  <c r="P15" i="1" s="1"/>
  <c r="R15" i="1" l="1"/>
  <c r="Q15" i="1" s="1"/>
  <c r="I15" i="1"/>
  <c r="W15" i="1" l="1"/>
  <c r="V15" i="1" l="1"/>
  <c r="O16" i="1" s="1"/>
  <c r="K15" i="1"/>
  <c r="Y16" i="1" l="1"/>
  <c r="Z16" i="1" s="1"/>
  <c r="AA16" i="1" s="1"/>
  <c r="AB16" i="1" l="1"/>
  <c r="AC16" i="1" s="1"/>
  <c r="X16" i="1" s="1"/>
  <c r="P16" i="1" l="1"/>
  <c r="R16" i="1" s="1"/>
  <c r="Q16" i="1" s="1"/>
  <c r="I16" i="1"/>
  <c r="V16" i="1" l="1"/>
  <c r="O17" i="1" s="1"/>
  <c r="K16" i="1"/>
  <c r="W16" i="1"/>
  <c r="Y17" i="1" l="1"/>
  <c r="Z17" i="1" s="1"/>
  <c r="I17" i="1" s="1"/>
  <c r="X17" i="1" l="1"/>
  <c r="R17" i="1" l="1"/>
  <c r="Q17" i="1" s="1"/>
  <c r="W17" i="1" l="1"/>
  <c r="V17" i="1"/>
  <c r="O18" i="1" s="1"/>
  <c r="K17" i="1"/>
  <c r="Y18" i="1" l="1"/>
  <c r="Z18" i="1" s="1"/>
  <c r="X18" i="1" s="1"/>
  <c r="P18" i="1" s="1"/>
  <c r="R18" i="1" s="1"/>
  <c r="Q18" i="1" s="1"/>
  <c r="I18" i="1" l="1"/>
  <c r="W18" i="1"/>
  <c r="K18" i="1"/>
  <c r="V18" i="1" l="1"/>
  <c r="O19" i="1" s="1"/>
  <c r="Y19" i="1" l="1"/>
  <c r="Z19" i="1" s="1"/>
  <c r="X19" i="1" l="1"/>
  <c r="I19" i="1"/>
  <c r="P19" i="1" l="1"/>
  <c r="R19" i="1" l="1"/>
  <c r="Q19" i="1" s="1"/>
  <c r="W19" i="1" l="1"/>
  <c r="V19" i="1"/>
  <c r="O20" i="1" s="1"/>
  <c r="K19" i="1"/>
  <c r="P20" i="1"/>
  <c r="Y20" i="1" l="1"/>
  <c r="Z20" i="1" s="1"/>
  <c r="I20" i="1" s="1"/>
  <c r="X20" i="1" l="1"/>
  <c r="R20" i="1" s="1"/>
  <c r="Q20" i="1" s="1"/>
  <c r="V20" i="1" s="1"/>
  <c r="O21" i="1" s="1"/>
  <c r="K20" i="1" l="1"/>
  <c r="W20" i="1"/>
  <c r="Y21" i="1" s="1"/>
  <c r="Z21" i="1" s="1"/>
  <c r="X21" i="1" s="1"/>
  <c r="R21" i="1" s="1"/>
  <c r="Q21" i="1" s="1"/>
  <c r="I21" i="1" l="1"/>
  <c r="W21" i="1" l="1"/>
  <c r="V21" i="1"/>
  <c r="O22" i="1" s="1"/>
  <c r="K21" i="1"/>
  <c r="Y22" i="1" l="1"/>
  <c r="Z22" i="1" s="1"/>
  <c r="I22" i="1" l="1"/>
  <c r="X22" i="1"/>
  <c r="R22" i="1" s="1"/>
  <c r="Q22" i="1" s="1"/>
  <c r="W22" i="1" l="1"/>
  <c r="V22" i="1"/>
  <c r="O23" i="1" s="1"/>
  <c r="K22" i="1"/>
  <c r="Y23" i="1" l="1"/>
  <c r="Z23" i="1" l="1"/>
  <c r="X23" i="1" s="1"/>
  <c r="R23" i="1" s="1"/>
  <c r="Q23" i="1" s="1"/>
  <c r="I23" i="1" l="1"/>
  <c r="W23" i="1" l="1"/>
  <c r="K23" i="1"/>
  <c r="V23" i="1"/>
  <c r="O24" i="1" s="1"/>
  <c r="Y24" i="1" l="1"/>
  <c r="Z24" i="1" l="1"/>
  <c r="I24" i="1" s="1"/>
  <c r="X24" i="1" l="1"/>
  <c r="R24" i="1" s="1"/>
  <c r="Q24" i="1" s="1"/>
  <c r="W24" i="1" l="1"/>
  <c r="K24" i="1"/>
  <c r="V24" i="1"/>
  <c r="O25" i="1" s="1"/>
  <c r="Y25" i="1" l="1"/>
  <c r="Z25" i="1" l="1"/>
  <c r="X25" i="1" s="1"/>
  <c r="R25" i="1" s="1"/>
  <c r="Q25" i="1" s="1"/>
  <c r="I25" i="1" l="1"/>
  <c r="W25" i="1" l="1"/>
  <c r="K25" i="1"/>
  <c r="V25" i="1"/>
  <c r="O26" i="1" s="1"/>
  <c r="Y26" i="1" l="1"/>
  <c r="Z26" i="1" l="1"/>
  <c r="I26" i="1" s="1"/>
  <c r="X26" i="1" l="1"/>
  <c r="R26" i="1" s="1"/>
  <c r="Q26" i="1" s="1"/>
  <c r="W26" i="1" l="1"/>
  <c r="K26" i="1"/>
  <c r="V26" i="1"/>
  <c r="O27" i="1" s="1"/>
  <c r="Y27" i="1" l="1"/>
  <c r="Z27" i="1" l="1"/>
  <c r="I27" i="1" s="1"/>
  <c r="X27" i="1" l="1"/>
  <c r="R27" i="1" s="1"/>
  <c r="Q27" i="1" s="1"/>
  <c r="W27" i="1" l="1"/>
  <c r="K27" i="1"/>
  <c r="V27" i="1"/>
  <c r="O28" i="1" s="1"/>
  <c r="Y28" i="1" l="1"/>
  <c r="Z28" i="1" l="1"/>
  <c r="I28" i="1" s="1"/>
  <c r="X28" i="1" l="1"/>
  <c r="R28" i="1" s="1"/>
  <c r="Q28" i="1" s="1"/>
  <c r="W28" i="1" l="1"/>
  <c r="K28" i="1"/>
  <c r="V28" i="1"/>
  <c r="O29" i="1" s="1"/>
  <c r="Y29" i="1" l="1"/>
  <c r="Z29" i="1" l="1"/>
  <c r="I29" i="1" s="1"/>
  <c r="X29" i="1" l="1"/>
  <c r="R29" i="1" s="1"/>
  <c r="Q29" i="1" s="1"/>
  <c r="W29" i="1" l="1"/>
  <c r="K29" i="1"/>
  <c r="V29" i="1"/>
  <c r="O30" i="1" s="1"/>
  <c r="Y30" i="1" l="1"/>
  <c r="Z30" i="1" l="1"/>
  <c r="X30" i="1" s="1"/>
  <c r="R30" i="1" s="1"/>
  <c r="Q30" i="1" s="1"/>
  <c r="I30" i="1" l="1"/>
  <c r="W30" i="1" l="1"/>
  <c r="K30" i="1"/>
  <c r="V30" i="1"/>
  <c r="O31" i="1" s="1"/>
  <c r="Y31" i="1" l="1"/>
  <c r="Z31" i="1" l="1"/>
  <c r="X31" i="1" s="1"/>
  <c r="R31" i="1" s="1"/>
  <c r="Q31" i="1" s="1"/>
  <c r="I31" i="1" l="1"/>
  <c r="W31" i="1" l="1"/>
  <c r="K31" i="1"/>
  <c r="V31" i="1"/>
  <c r="O32" i="1" s="1"/>
  <c r="Y32" i="1" l="1"/>
  <c r="Z32" i="1" l="1"/>
  <c r="I32" i="1" s="1"/>
  <c r="X32" i="1" l="1"/>
  <c r="R32" i="1" s="1"/>
  <c r="Q32" i="1" s="1"/>
  <c r="K32" i="1" l="1"/>
  <c r="V32" i="1"/>
  <c r="O33" i="1" s="1"/>
  <c r="W32" i="1"/>
  <c r="Y33" i="1" l="1"/>
  <c r="Z33" i="1" s="1"/>
  <c r="I33" i="1" s="1"/>
  <c r="X33" i="1" l="1"/>
  <c r="R33" i="1" s="1"/>
  <c r="Q33" i="1" s="1"/>
  <c r="W33" i="1" l="1"/>
  <c r="K33" i="1"/>
  <c r="V33" i="1"/>
  <c r="O34" i="1" s="1"/>
  <c r="Y34" i="1" l="1"/>
  <c r="Z34" i="1" l="1"/>
  <c r="X34" i="1" s="1"/>
  <c r="R34" i="1" s="1"/>
  <c r="Q34" i="1" s="1"/>
  <c r="I34" i="1" l="1"/>
  <c r="W34" i="1" l="1"/>
  <c r="K34" i="1"/>
  <c r="V34" i="1"/>
  <c r="O35" i="1" s="1"/>
  <c r="Y35" i="1" l="1"/>
  <c r="Z35" i="1" l="1"/>
  <c r="I35" i="1" s="1"/>
  <c r="X35" i="1" l="1"/>
  <c r="R35" i="1" s="1"/>
  <c r="Q35" i="1" s="1"/>
  <c r="W35" i="1" l="1"/>
  <c r="K35" i="1"/>
  <c r="V35" i="1"/>
  <c r="O36" i="1" s="1"/>
  <c r="Y36" i="1" l="1"/>
  <c r="Z36" i="1" l="1"/>
  <c r="I36" i="1" s="1"/>
  <c r="X36" i="1" l="1"/>
  <c r="R36" i="1" s="1"/>
  <c r="Q36" i="1" s="1"/>
  <c r="W36" i="1" l="1"/>
  <c r="V36" i="1" l="1"/>
  <c r="O37" i="1" s="1"/>
  <c r="Y37" i="1" s="1"/>
  <c r="K36" i="1"/>
  <c r="Z37" i="1" l="1"/>
  <c r="I37" i="1" s="1"/>
  <c r="X37" i="1" l="1"/>
  <c r="R37" i="1" s="1"/>
  <c r="Q37" i="1" s="1"/>
  <c r="K37" i="1" s="1"/>
  <c r="V37" i="1" l="1"/>
  <c r="W37" i="1"/>
  <c r="O38" i="1" l="1"/>
  <c r="Y38" i="1" l="1"/>
  <c r="Z38" i="1" l="1"/>
  <c r="X38" i="1" s="1"/>
  <c r="I38" i="1" l="1"/>
  <c r="R38" i="1"/>
  <c r="Q38" i="1" s="1"/>
  <c r="V38" i="1" l="1"/>
  <c r="O39" i="1" s="1"/>
  <c r="K38" i="1"/>
  <c r="W38" i="1"/>
  <c r="Y39" i="1" l="1"/>
  <c r="Z39" i="1" s="1"/>
  <c r="I39" i="1" s="1"/>
  <c r="X39" i="1" l="1"/>
  <c r="R39" i="1" l="1"/>
  <c r="Q39" i="1" s="1"/>
  <c r="V39" i="1" l="1"/>
  <c r="O40" i="1" s="1"/>
  <c r="K39" i="1"/>
  <c r="W39" i="1"/>
  <c r="Y40" i="1" l="1"/>
  <c r="Z40" i="1" s="1"/>
  <c r="I40" i="1" s="1"/>
  <c r="X40" i="1" l="1"/>
  <c r="R40" i="1" l="1"/>
  <c r="Q40" i="1" s="1"/>
  <c r="V40" i="1" l="1"/>
  <c r="O41" i="1" s="1"/>
  <c r="K40" i="1"/>
  <c r="W40" i="1"/>
  <c r="Y41" i="1" l="1"/>
  <c r="Z41" i="1" s="1"/>
  <c r="X41" i="1" s="1"/>
  <c r="R41" i="1" l="1"/>
  <c r="Q41" i="1" s="1"/>
  <c r="I41" i="1"/>
  <c r="W41" i="1" l="1"/>
  <c r="V41" i="1"/>
  <c r="O42" i="1" s="1"/>
  <c r="K41" i="1"/>
  <c r="Y42" i="1" l="1"/>
  <c r="Z42" i="1" s="1"/>
  <c r="I42" i="1" s="1"/>
  <c r="X42" i="1" l="1"/>
  <c r="R42" i="1" s="1"/>
  <c r="Q42" i="1" s="1"/>
  <c r="W42" i="1" l="1"/>
  <c r="V42" i="1"/>
  <c r="O43" i="1" s="1"/>
  <c r="K42" i="1"/>
  <c r="Y43" i="1" l="1"/>
  <c r="Z43" i="1" s="1"/>
  <c r="I43" i="1" s="1"/>
  <c r="X43" i="1" l="1"/>
  <c r="R43" i="1" s="1"/>
  <c r="Q43" i="1" s="1"/>
  <c r="W43" i="1" l="1"/>
  <c r="V43" i="1"/>
  <c r="O44" i="1" s="1"/>
  <c r="K43" i="1"/>
  <c r="Y44" i="1" l="1"/>
  <c r="Z44" i="1" s="1"/>
  <c r="X44" i="1" s="1"/>
  <c r="I44" i="1" l="1"/>
  <c r="R44" i="1"/>
  <c r="Q44" i="1" s="1"/>
  <c r="V44" i="1" l="1"/>
  <c r="O45" i="1" s="1"/>
  <c r="K44" i="1"/>
  <c r="W44" i="1"/>
  <c r="Y45" i="1" l="1"/>
  <c r="Z45" i="1" s="1"/>
  <c r="X45" i="1" s="1"/>
  <c r="R45" i="1" s="1"/>
  <c r="Q45" i="1" s="1"/>
  <c r="V45" i="1" l="1"/>
  <c r="O46" i="1" s="1"/>
  <c r="K45" i="1"/>
  <c r="W45" i="1"/>
  <c r="I45" i="1"/>
  <c r="Y46" i="1" l="1"/>
  <c r="Z46" i="1" l="1"/>
  <c r="X46" i="1" s="1"/>
  <c r="I46" i="1" l="1"/>
  <c r="R46" i="1"/>
  <c r="Q46" i="1" s="1"/>
  <c r="V46" i="1" l="1"/>
  <c r="O47" i="1" s="1"/>
  <c r="K46" i="1"/>
  <c r="W46" i="1"/>
  <c r="Y47" i="1" l="1"/>
  <c r="Z47" i="1" s="1"/>
  <c r="X47" i="1" s="1"/>
  <c r="R47" i="1" l="1"/>
  <c r="I47" i="1"/>
  <c r="Q47" i="1" l="1"/>
  <c r="V47" i="1" s="1"/>
  <c r="O48" i="1" s="1"/>
  <c r="W47" i="1"/>
  <c r="K47" i="1" l="1"/>
  <c r="Y48" i="1"/>
  <c r="Z48" i="1" s="1"/>
  <c r="X48" i="1" s="1"/>
  <c r="R48" i="1" s="1"/>
  <c r="Q48" i="1" s="1"/>
  <c r="V48" i="1" l="1"/>
  <c r="O49" i="1" s="1"/>
  <c r="K48" i="1"/>
  <c r="W48" i="1"/>
  <c r="I48" i="1"/>
  <c r="Y49" i="1" l="1"/>
  <c r="Z49" i="1" l="1"/>
  <c r="I49" i="1" s="1"/>
  <c r="X49" i="1" l="1"/>
  <c r="P53" i="1"/>
  <c r="C11" i="1"/>
  <c r="R49" i="1" l="1"/>
  <c r="Q49" i="1" s="1"/>
  <c r="AA3" i="1"/>
  <c r="AA5" i="1"/>
  <c r="V49" i="1" l="1"/>
  <c r="O50" i="1" s="1"/>
  <c r="K49" i="1"/>
  <c r="W49" i="1"/>
  <c r="Y50" i="1" l="1"/>
  <c r="Z50" i="1" s="1"/>
  <c r="X50" i="1" s="1"/>
  <c r="R50" i="1" s="1"/>
  <c r="Q50" i="1" s="1"/>
  <c r="I50" i="1" l="1"/>
  <c r="W50" i="1"/>
  <c r="V50" i="1"/>
  <c r="O51" i="1" s="1"/>
  <c r="K50" i="1"/>
  <c r="Y51" i="1" l="1"/>
  <c r="Z51" i="1" s="1"/>
  <c r="I51" i="1" s="1"/>
  <c r="X51" i="1" l="1"/>
  <c r="R51" i="1" s="1"/>
  <c r="W51" i="1" s="1"/>
  <c r="Q51" i="1" l="1"/>
  <c r="V51" i="1" l="1"/>
  <c r="O52" i="1" s="1"/>
  <c r="Y52" i="1" s="1"/>
  <c r="Z52" i="1" s="1"/>
  <c r="X52" i="1" s="1"/>
  <c r="K51" i="1"/>
  <c r="R52" i="1" l="1"/>
  <c r="W52" i="1" s="1"/>
  <c r="I52" i="1"/>
  <c r="Q52" i="1" l="1"/>
  <c r="V52" i="1" l="1"/>
  <c r="O53" i="1" s="1"/>
  <c r="Y53" i="1" s="1"/>
  <c r="Z53" i="1" s="1"/>
  <c r="I53" i="1" s="1"/>
  <c r="K52" i="1"/>
  <c r="X53" i="1" l="1"/>
  <c r="R53" i="1" l="1"/>
  <c r="W53" i="1" s="1"/>
  <c r="Q53" i="1" l="1"/>
  <c r="V53" i="1" l="1"/>
  <c r="O54" i="1" s="1"/>
  <c r="Y54" i="1" s="1"/>
  <c r="K53" i="1"/>
  <c r="Z54" i="1" l="1"/>
  <c r="X54" i="1" s="1"/>
  <c r="I54" i="1" l="1"/>
  <c r="R54" i="1"/>
  <c r="W54" i="1" s="1"/>
  <c r="Q54" i="1" l="1"/>
  <c r="V54" i="1" l="1"/>
  <c r="O55" i="1" s="1"/>
  <c r="Y55" i="1" s="1"/>
  <c r="K54" i="1"/>
  <c r="Z55" i="1" l="1"/>
  <c r="X55" i="1" s="1"/>
  <c r="I55" i="1" l="1"/>
  <c r="R55" i="1"/>
  <c r="Q55" i="1" s="1"/>
  <c r="V55" i="1" l="1"/>
  <c r="O56" i="1" s="1"/>
  <c r="K55" i="1"/>
  <c r="W55" i="1"/>
  <c r="Y56" i="1" l="1"/>
  <c r="Z56" i="1" s="1"/>
  <c r="X56" i="1" s="1"/>
  <c r="R56" i="1" l="1"/>
  <c r="Q56" i="1" s="1"/>
  <c r="I56" i="1"/>
  <c r="V56" i="1" l="1"/>
  <c r="O57" i="1" s="1"/>
  <c r="K56" i="1"/>
  <c r="W56" i="1"/>
  <c r="Y57" i="1" s="1"/>
  <c r="Z57" i="1" l="1"/>
  <c r="I57" i="1" s="1"/>
  <c r="X57" i="1" l="1"/>
  <c r="R57" i="1" s="1"/>
  <c r="Q57" i="1" s="1"/>
  <c r="V57" i="1" l="1"/>
  <c r="O58" i="1" s="1"/>
  <c r="K57" i="1"/>
  <c r="W57" i="1"/>
  <c r="Y58" i="1" l="1"/>
  <c r="Z58" i="1" s="1"/>
  <c r="X58" i="1" s="1"/>
  <c r="I58" i="1" l="1"/>
  <c r="R58" i="1"/>
  <c r="Q58" i="1" s="1"/>
  <c r="V58" i="1" l="1"/>
  <c r="O59" i="1" s="1"/>
  <c r="K58" i="1"/>
  <c r="W58" i="1"/>
  <c r="Y59" i="1" l="1"/>
  <c r="Z59" i="1" s="1"/>
  <c r="I59" i="1" s="1"/>
  <c r="X59" i="1" l="1"/>
  <c r="R59" i="1" s="1"/>
  <c r="W59" i="1" s="1"/>
  <c r="Q59" i="1" l="1"/>
  <c r="V59" i="1" l="1"/>
  <c r="O60" i="1" s="1"/>
  <c r="K59" i="1"/>
  <c r="K11" i="1" s="1"/>
  <c r="Y60" i="1" l="1"/>
  <c r="Z60" i="1" s="1"/>
  <c r="I60" i="1" s="1"/>
  <c r="AI7" i="1" s="1"/>
  <c r="X60" i="1" l="1"/>
  <c r="R60" i="1" l="1"/>
  <c r="W60" i="1" s="1"/>
  <c r="Q60" i="1" l="1"/>
  <c r="V60" i="1" s="1"/>
  <c r="AA4" i="1"/>
  <c r="AB7" i="1"/>
  <c r="O61" i="1" l="1"/>
  <c r="AA7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Kenji Jhoncon</author>
  </authors>
  <commentList>
    <comment ref="Q6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 Original</t>
        </r>
      </text>
    </comment>
    <comment ref="Q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Cuotas Adicionales por reprogramacion.
Ampliacion de Plazo</t>
        </r>
      </text>
    </comment>
    <comment ref="Q8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Total</t>
        </r>
      </text>
    </comment>
    <comment ref="R8" authorId="0" shapeId="0" xr:uid="{0EC3841B-7A88-4B22-8E73-AA21084590AA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Total Cuotas</t>
        </r>
      </text>
    </comment>
    <comment ref="Q9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Nro de Gracia Parcial</t>
        </r>
      </text>
    </comment>
    <comment ref="A10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En blanco es cuota Regular
</t>
        </r>
      </text>
    </comment>
    <comment ref="B10" authorId="0" shapeId="0" xr:uid="{00000000-0006-0000-0000-000006000000}">
      <text>
        <r>
          <rPr>
            <b/>
            <sz val="9"/>
            <color indexed="81"/>
            <rFont val="Tahoma"/>
            <family val="2"/>
          </rPr>
          <t>Kenji Jhoncon:</t>
        </r>
        <r>
          <rPr>
            <sz val="9"/>
            <color indexed="81"/>
            <rFont val="Tahoma"/>
            <family val="2"/>
          </rPr>
          <t xml:space="preserve">
Gracia Total
Valor numerico</t>
        </r>
      </text>
    </comment>
  </commentList>
</comments>
</file>

<file path=xl/sharedStrings.xml><?xml version="1.0" encoding="utf-8"?>
<sst xmlns="http://schemas.openxmlformats.org/spreadsheetml/2006/main" count="124" uniqueCount="122">
  <si>
    <t>ENE</t>
  </si>
  <si>
    <t>MAR</t>
  </si>
  <si>
    <t>MAY</t>
  </si>
  <si>
    <t>JUL</t>
  </si>
  <si>
    <t>SET</t>
  </si>
  <si>
    <t>NOV</t>
  </si>
  <si>
    <t>FEB</t>
  </si>
  <si>
    <t>ABR</t>
  </si>
  <si>
    <t>JUN</t>
  </si>
  <si>
    <t>AGO</t>
  </si>
  <si>
    <t>OCT</t>
  </si>
  <si>
    <t>DIC</t>
  </si>
  <si>
    <t>Desembolso</t>
  </si>
  <si>
    <t>Cuota</t>
  </si>
  <si>
    <t>sd</t>
  </si>
  <si>
    <t>Objetivo</t>
  </si>
  <si>
    <t>Ncuotas</t>
  </si>
  <si>
    <t>sb</t>
  </si>
  <si>
    <t>Monto</t>
  </si>
  <si>
    <t>a</t>
  </si>
  <si>
    <t>c</t>
  </si>
  <si>
    <t>f</t>
  </si>
  <si>
    <t>d</t>
  </si>
  <si>
    <t>si</t>
  </si>
  <si>
    <t>k</t>
  </si>
  <si>
    <t>i</t>
  </si>
  <si>
    <t>sf</t>
  </si>
  <si>
    <t>sfi</t>
  </si>
  <si>
    <t>I 1TRAMO</t>
  </si>
  <si>
    <t>I 2TRAMO</t>
  </si>
  <si>
    <t>I 3TRAMO</t>
  </si>
  <si>
    <t>I 4TRAMO</t>
  </si>
  <si>
    <t>I 5TRAMO</t>
  </si>
  <si>
    <t>Aportes</t>
  </si>
  <si>
    <t>Desgrav</t>
  </si>
  <si>
    <t>Seguro</t>
  </si>
  <si>
    <t>Total Intereses</t>
  </si>
  <si>
    <t>I 6TRAMO</t>
  </si>
  <si>
    <t>Dia de Pago</t>
  </si>
  <si>
    <t>T.E.A.</t>
  </si>
  <si>
    <t>interes</t>
  </si>
  <si>
    <t>Prepago</t>
  </si>
  <si>
    <t>I 7TRAMO</t>
  </si>
  <si>
    <t>I 8TRAMO</t>
  </si>
  <si>
    <t>I 9TRAMO</t>
  </si>
  <si>
    <t>I 10TRAMO</t>
  </si>
  <si>
    <t>I 11TRAMO</t>
  </si>
  <si>
    <t>I 12TRAMO</t>
  </si>
  <si>
    <t>I 13TRAMO</t>
  </si>
  <si>
    <t>I 14TRAMO</t>
  </si>
  <si>
    <t>I 15TRAMO</t>
  </si>
  <si>
    <t>I 16TRAMO</t>
  </si>
  <si>
    <t>I 17TRAMO</t>
  </si>
  <si>
    <t>I 18TRAMO</t>
  </si>
  <si>
    <t>I 19TRAMO</t>
  </si>
  <si>
    <t>I 20TRAMO</t>
  </si>
  <si>
    <t>I 21TRAMO</t>
  </si>
  <si>
    <t>I 22TRAMO</t>
  </si>
  <si>
    <t>I 23TRAMO</t>
  </si>
  <si>
    <t>I 24TRAMO</t>
  </si>
  <si>
    <t>Total Pago</t>
  </si>
  <si>
    <t>I 25TRAMO</t>
  </si>
  <si>
    <t>I 26TRAMO</t>
  </si>
  <si>
    <t>I 27TRAMO</t>
  </si>
  <si>
    <t>I 28TRAMO</t>
  </si>
  <si>
    <t>I 29TRAMO</t>
  </si>
  <si>
    <t>I 30TRAMO</t>
  </si>
  <si>
    <t>I 31TRAMO</t>
  </si>
  <si>
    <t>I 32TRAMO</t>
  </si>
  <si>
    <t>I 33TRAMO</t>
  </si>
  <si>
    <t>I 34TRAMO</t>
  </si>
  <si>
    <t>I 35TRAMO</t>
  </si>
  <si>
    <t>I 36TRAMO</t>
  </si>
  <si>
    <t>I 37TRAMO</t>
  </si>
  <si>
    <t>I 38TRAMO</t>
  </si>
  <si>
    <t>I 39TRAMO</t>
  </si>
  <si>
    <t>I 40TRAMO</t>
  </si>
  <si>
    <t>I 41TRAMO</t>
  </si>
  <si>
    <t>I 42TRAMO</t>
  </si>
  <si>
    <t>I 43TRAMO</t>
  </si>
  <si>
    <t>I 44TRAMO</t>
  </si>
  <si>
    <t>I 45TRAMO</t>
  </si>
  <si>
    <t>I 46TRAMO</t>
  </si>
  <si>
    <t>I 47TRAMO</t>
  </si>
  <si>
    <t>I 48TRAMO</t>
  </si>
  <si>
    <t>I 49TRAMO</t>
  </si>
  <si>
    <t>I 50TRAMO</t>
  </si>
  <si>
    <t>I 51TRAMO</t>
  </si>
  <si>
    <t>I 52TRAMO</t>
  </si>
  <si>
    <t>I 53TRAMO</t>
  </si>
  <si>
    <t>I 54TRAMO</t>
  </si>
  <si>
    <t>I 55TRAMO</t>
  </si>
  <si>
    <t>I 56TRAMO</t>
  </si>
  <si>
    <t>I 57TRAMO</t>
  </si>
  <si>
    <t>I 58TRAMO</t>
  </si>
  <si>
    <t>I 59TRAMO</t>
  </si>
  <si>
    <t>I 60TRAMO</t>
  </si>
  <si>
    <t>I 61TRAMO</t>
  </si>
  <si>
    <t>Fijar Pago</t>
  </si>
  <si>
    <t>Tipo Cuota</t>
  </si>
  <si>
    <t>TIPO_CUOTAS</t>
  </si>
  <si>
    <t>Gracia Parcial</t>
  </si>
  <si>
    <t>Regular</t>
  </si>
  <si>
    <t>NCuotas Sin Contar Prepagos</t>
  </si>
  <si>
    <t>Arreglo</t>
  </si>
  <si>
    <t>CheckList Formulas</t>
  </si>
  <si>
    <t>Numero de cuotas</t>
  </si>
  <si>
    <t>Numero de tramos</t>
  </si>
  <si>
    <t>TramoCheck</t>
  </si>
  <si>
    <t>Fijar Fecha</t>
  </si>
  <si>
    <t>Gtotal</t>
  </si>
  <si>
    <t>cAdicional</t>
  </si>
  <si>
    <t>Ultima Cuota</t>
  </si>
  <si>
    <t>Dia</t>
  </si>
  <si>
    <t>Nprepago</t>
  </si>
  <si>
    <t>GraciaTotal</t>
  </si>
  <si>
    <t>UltimoDia</t>
  </si>
  <si>
    <t>Fijar Interes</t>
  </si>
  <si>
    <t>Doble</t>
  </si>
  <si>
    <t>CuotaFija</t>
  </si>
  <si>
    <t>CAPITALFIJOPAGADO</t>
  </si>
  <si>
    <t>v7.2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</si>
</sst>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 * #,##0.00_ ;_ * \-#,##0.00_ ;_ * &quot;-&quot;??_ ;_ @_ 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4">
    <xf numFmtId="0" fontId="0" fillId="0" borderId="0" xfId="0"/>
    <xf numFmtId="0" fontId="2" fillId="0" borderId="0" xfId="0" applyFont="1"/>
    <xf numFmtId="0" fontId="0" fillId="0" borderId="1" xfId="0" applyBorder="1" applyAlignment="1">
      <alignment horizontal="left" indent="1"/>
    </xf>
    <xf numFmtId="4" fontId="0" fillId="0" borderId="0" xfId="0" applyNumberFormat="1"/>
    <xf numFmtId="14" fontId="2" fillId="0" borderId="0" xfId="0" applyNumberFormat="1" applyFont="1" applyFill="1"/>
    <xf numFmtId="14" fontId="0" fillId="0" borderId="0" xfId="0" applyNumberFormat="1"/>
    <xf numFmtId="164" fontId="0" fillId="0" borderId="0" xfId="0" applyNumberFormat="1"/>
    <xf numFmtId="14" fontId="0" fillId="0" borderId="0" xfId="0" applyNumberFormat="1" applyFill="1"/>
    <xf numFmtId="4" fontId="0" fillId="0" borderId="0" xfId="0" applyNumberFormat="1" applyFill="1"/>
    <xf numFmtId="3" fontId="0" fillId="0" borderId="0" xfId="0" applyNumberFormat="1" applyAlignment="1">
      <alignment horizontal="center"/>
    </xf>
    <xf numFmtId="0" fontId="0" fillId="0" borderId="0" xfId="0" applyFill="1"/>
    <xf numFmtId="0" fontId="0" fillId="2" borderId="1" xfId="0" applyFill="1" applyBorder="1" applyAlignment="1">
      <alignment horizontal="center"/>
    </xf>
    <xf numFmtId="14" fontId="0" fillId="2" borderId="0" xfId="0" applyNumberFormat="1" applyFill="1"/>
    <xf numFmtId="164" fontId="0" fillId="2" borderId="0" xfId="1" applyFont="1" applyFill="1"/>
    <xf numFmtId="0" fontId="0" fillId="2" borderId="0" xfId="0" applyFill="1"/>
    <xf numFmtId="2" fontId="0" fillId="2" borderId="0" xfId="0" applyNumberFormat="1" applyFill="1"/>
    <xf numFmtId="10" fontId="0" fillId="2" borderId="0" xfId="2" applyNumberFormat="1" applyFont="1" applyFill="1"/>
    <xf numFmtId="0" fontId="0" fillId="0" borderId="0" xfId="0" applyAlignment="1">
      <alignment horizontal="right"/>
    </xf>
    <xf numFmtId="0" fontId="0" fillId="0" borderId="0" xfId="1" applyNumberFormat="1" applyFont="1" applyAlignment="1">
      <alignment horizontal="center"/>
    </xf>
    <xf numFmtId="164" fontId="2" fillId="0" borderId="0" xfId="1" applyFont="1" applyFill="1"/>
    <xf numFmtId="164" fontId="0" fillId="0" borderId="0" xfId="1" applyFont="1"/>
    <xf numFmtId="0" fontId="2" fillId="0" borderId="0" xfId="0" applyNumberFormat="1" applyFont="1" applyFill="1"/>
    <xf numFmtId="0" fontId="0" fillId="0" borderId="0" xfId="0" applyNumberFormat="1"/>
    <xf numFmtId="19" fontId="0" fillId="0" borderId="0" xfId="0" applyNumberFormat="1"/>
    <xf numFmtId="164" fontId="1" fillId="0" borderId="0" xfId="1" applyFont="1" applyFill="1"/>
    <xf numFmtId="0" fontId="5" fillId="0" borderId="0" xfId="0" applyFont="1"/>
    <xf numFmtId="0" fontId="0" fillId="0" borderId="0" xfId="0" applyAlignment="1">
      <alignment horizontal="left" indent="2"/>
    </xf>
    <xf numFmtId="9" fontId="0" fillId="0" borderId="0" xfId="2" applyFont="1"/>
    <xf numFmtId="0" fontId="4" fillId="0" borderId="0" xfId="0" applyNumberFormat="1" applyFont="1" applyAlignment="1"/>
    <xf numFmtId="0" fontId="0" fillId="2" borderId="0" xfId="0" applyNumberFormat="1" applyFill="1"/>
    <xf numFmtId="0" fontId="0" fillId="0" borderId="0" xfId="0" applyFont="1"/>
    <xf numFmtId="0" fontId="0" fillId="0" borderId="0" xfId="0" applyAlignment="1">
      <alignment horizontal="left" indent="2"/>
    </xf>
    <xf numFmtId="0" fontId="0" fillId="0" borderId="2" xfId="0" applyBorder="1" applyAlignment="1">
      <alignment horizontal="center" vertical="center" textRotation="90" wrapText="1"/>
    </xf>
    <xf numFmtId="0" fontId="0" fillId="0" borderId="3" xfId="0" applyBorder="1" applyAlignment="1">
      <alignment horizontal="center" vertical="center" textRotation="90" wrapText="1"/>
    </xf>
  </cellXfs>
  <cellStyles count="3">
    <cellStyle name="Millares" xfId="1" builtinId="3"/>
    <cellStyle name="Normal" xfId="0" builtinId="0"/>
    <cellStyle name="Porcentaje" xfId="2" builtinId="5"/>
  </cellStyles>
  <dxfs count="13"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rgb="FFFFC000"/>
        </patternFill>
      </fill>
    </dxf>
    <dxf>
      <fill>
        <patternFill>
          <bgColor theme="7" tint="0.39994506668294322"/>
        </patternFill>
      </fill>
    </dxf>
    <dxf>
      <fill>
        <patternFill>
          <bgColor theme="7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9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ont>
        <color auto="1"/>
      </font>
      <fill>
        <patternFill>
          <bgColor theme="7" tint="0.39994506668294322"/>
        </patternFill>
      </fill>
    </dxf>
    <dxf>
      <fill>
        <patternFill>
          <bgColor theme="5"/>
        </patternFill>
      </fill>
    </dxf>
    <dxf>
      <fill>
        <patternFill>
          <bgColor rgb="FFFF0000"/>
        </patternFill>
      </fill>
    </dxf>
    <dxf>
      <fill>
        <patternFill>
          <bgColor theme="6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Radio" checked="Checked" firstButton="1" fmlaLink="$A$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B$1" lockText="1" noThreeD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7</xdr:row>
          <xdr:rowOff>28575</xdr:rowOff>
        </xdr:from>
        <xdr:to>
          <xdr:col>3</xdr:col>
          <xdr:colOff>552450</xdr:colOff>
          <xdr:row>8</xdr:row>
          <xdr:rowOff>133350</xdr:rowOff>
        </xdr:to>
        <xdr:sp macro="" textlink="">
          <xdr:nvSpPr>
            <xdr:cNvPr id="1025" name="btnLimpi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285750</xdr:colOff>
          <xdr:row>4</xdr:row>
          <xdr:rowOff>57150</xdr:rowOff>
        </xdr:from>
        <xdr:to>
          <xdr:col>18</xdr:col>
          <xdr:colOff>276225</xdr:colOff>
          <xdr:row>6</xdr:row>
          <xdr:rowOff>104775</xdr:rowOff>
        </xdr:to>
        <xdr:sp macro="" textlink="">
          <xdr:nvSpPr>
            <xdr:cNvPr id="1027" name="btAjustar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</xdr:row>
          <xdr:rowOff>47625</xdr:rowOff>
        </xdr:from>
        <xdr:to>
          <xdr:col>4</xdr:col>
          <xdr:colOff>38100</xdr:colOff>
          <xdr:row>2</xdr:row>
          <xdr:rowOff>85725</xdr:rowOff>
        </xdr:to>
        <xdr:sp macro="" textlink="">
          <xdr:nvSpPr>
            <xdr:cNvPr id="1029" name="Option Button 5" descr="Mensual Fij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Mensual Fijo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2</xdr:row>
          <xdr:rowOff>123825</xdr:rowOff>
        </xdr:from>
        <xdr:to>
          <xdr:col>4</xdr:col>
          <xdr:colOff>19050</xdr:colOff>
          <xdr:row>4</xdr:row>
          <xdr:rowOff>28575</xdr:rowOff>
        </xdr:to>
        <xdr:sp macro="" textlink="">
          <xdr:nvSpPr>
            <xdr:cNvPr id="1030" name="Option Button 6" descr="Mensual Fij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Bimensual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4</xdr:row>
          <xdr:rowOff>47625</xdr:rowOff>
        </xdr:from>
        <xdr:to>
          <xdr:col>4</xdr:col>
          <xdr:colOff>38100</xdr:colOff>
          <xdr:row>5</xdr:row>
          <xdr:rowOff>123825</xdr:rowOff>
        </xdr:to>
        <xdr:sp macro="" textlink="">
          <xdr:nvSpPr>
            <xdr:cNvPr id="1031" name="Option Button 7" descr="Mensual Fij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Trimestrual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419100</xdr:colOff>
          <xdr:row>3</xdr:row>
          <xdr:rowOff>171450</xdr:rowOff>
        </xdr:from>
        <xdr:to>
          <xdr:col>24</xdr:col>
          <xdr:colOff>657225</xdr:colOff>
          <xdr:row>6</xdr:row>
          <xdr:rowOff>142875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Exportar .csv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38100</xdr:colOff>
          <xdr:row>5</xdr:row>
          <xdr:rowOff>171450</xdr:rowOff>
        </xdr:from>
        <xdr:to>
          <xdr:col>14</xdr:col>
          <xdr:colOff>981075</xdr:colOff>
          <xdr:row>7</xdr:row>
          <xdr:rowOff>38100</xdr:rowOff>
        </xdr:to>
        <xdr:sp macro="" textlink="">
          <xdr:nvSpPr>
            <xdr:cNvPr id="1049" name="Check Box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s-E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Mes Adicional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4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CG97"/>
  <sheetViews>
    <sheetView tabSelected="1" zoomScale="80" zoomScaleNormal="80" workbookViewId="0">
      <pane ySplit="10" topLeftCell="A11" activePane="bottomLeft" state="frozen"/>
      <selection pane="bottomLeft" activeCell="C13" sqref="C13"/>
    </sheetView>
  </sheetViews>
  <sheetFormatPr baseColWidth="10" defaultRowHeight="15" x14ac:dyDescent="0.25"/>
  <cols>
    <col min="1" max="1" width="13.28515625" customWidth="1"/>
    <col min="2" max="2" width="5.42578125" customWidth="1"/>
    <col min="3" max="3" width="11" style="20" customWidth="1"/>
    <col min="4" max="4" width="11.140625" style="20" customWidth="1"/>
    <col min="5" max="5" width="12.28515625" customWidth="1"/>
    <col min="6" max="6" width="6.28515625" hidden="1" customWidth="1"/>
    <col min="7" max="7" width="12.7109375" style="22" hidden="1" customWidth="1"/>
    <col min="8" max="11" width="9.28515625" style="22" hidden="1" customWidth="1"/>
    <col min="12" max="12" width="5.140625" customWidth="1"/>
    <col min="13" max="13" width="13.7109375" customWidth="1"/>
    <col min="14" max="14" width="15.85546875" customWidth="1"/>
    <col min="15" max="15" width="15" customWidth="1"/>
    <col min="16" max="16" width="14" customWidth="1"/>
    <col min="17" max="17" width="14.28515625" customWidth="1"/>
    <col min="18" max="21" width="13.7109375" customWidth="1"/>
    <col min="22" max="22" width="19.28515625" customWidth="1"/>
    <col min="23" max="23" width="13.28515625" customWidth="1"/>
    <col min="24" max="24" width="15.5703125" hidden="1" customWidth="1"/>
    <col min="25" max="25" width="13.7109375" customWidth="1"/>
    <col min="26" max="26" width="13.5703125" customWidth="1"/>
    <col min="27" max="27" width="14.7109375" customWidth="1"/>
  </cols>
  <sheetData>
    <row r="1" spans="1:85" ht="16.5" customHeight="1" x14ac:dyDescent="0.25">
      <c r="A1" s="1">
        <v>1</v>
      </c>
      <c r="B1" s="1" t="b">
        <v>0</v>
      </c>
      <c r="C1" s="19" t="str">
        <f>CONCATENATE($N$1,$N$2,$P$1,$P$2,$R$1,$R$2,$T$1,$T$2,$V$1,$V$2,$Y$1,$Y$2)</f>
        <v>111111111111</v>
      </c>
      <c r="D1" s="19"/>
      <c r="E1" s="4"/>
      <c r="H1" s="21"/>
      <c r="I1" s="21"/>
      <c r="J1" s="21"/>
      <c r="K1" s="21"/>
      <c r="L1" s="32" t="s">
        <v>118</v>
      </c>
      <c r="M1" s="2" t="s">
        <v>0</v>
      </c>
      <c r="N1" s="11">
        <v>1</v>
      </c>
      <c r="O1" s="2" t="s">
        <v>1</v>
      </c>
      <c r="P1" s="11">
        <v>1</v>
      </c>
      <c r="Q1" s="2" t="s">
        <v>2</v>
      </c>
      <c r="R1" s="11">
        <v>1</v>
      </c>
      <c r="S1" s="2" t="s">
        <v>3</v>
      </c>
      <c r="T1" s="11">
        <v>1</v>
      </c>
      <c r="U1" s="2" t="s">
        <v>4</v>
      </c>
      <c r="V1" s="11">
        <v>1</v>
      </c>
      <c r="W1" s="2" t="s">
        <v>5</v>
      </c>
      <c r="X1" s="2"/>
      <c r="Y1" s="11">
        <v>1</v>
      </c>
      <c r="AA1" s="14">
        <v>1.388843</v>
      </c>
      <c r="AB1" s="27">
        <f>ROUND(($AA$1/100+1)^12-1,2)</f>
        <v>0.18</v>
      </c>
    </row>
    <row r="2" spans="1:85" ht="18" customHeight="1" x14ac:dyDescent="0.25">
      <c r="A2" t="s">
        <v>121</v>
      </c>
      <c r="L2" s="33"/>
      <c r="M2" s="2" t="s">
        <v>6</v>
      </c>
      <c r="N2" s="11">
        <v>1</v>
      </c>
      <c r="O2" s="2" t="s">
        <v>7</v>
      </c>
      <c r="P2" s="11">
        <v>1</v>
      </c>
      <c r="Q2" s="2" t="s">
        <v>8</v>
      </c>
      <c r="R2" s="11">
        <v>1</v>
      </c>
      <c r="S2" s="2" t="s">
        <v>9</v>
      </c>
      <c r="T2" s="11">
        <v>1</v>
      </c>
      <c r="U2" s="2" t="s">
        <v>10</v>
      </c>
      <c r="V2" s="11">
        <v>1</v>
      </c>
      <c r="W2" s="2" t="s">
        <v>11</v>
      </c>
      <c r="X2" s="2"/>
      <c r="Y2" s="11">
        <v>1</v>
      </c>
    </row>
    <row r="3" spans="1:85" x14ac:dyDescent="0.25">
      <c r="Z3" s="17" t="s">
        <v>112</v>
      </c>
      <c r="AA3" s="3">
        <f>INDEX($P$12:$P889,+NCUOTAS+CUOTAADICIONAL+NPREPAGO)</f>
        <v>1452.4499999999998</v>
      </c>
    </row>
    <row r="4" spans="1:85" x14ac:dyDescent="0.25">
      <c r="Z4" s="17" t="s">
        <v>36</v>
      </c>
      <c r="AA4" s="3">
        <f>SUM($R$12:$R889)</f>
        <v>57.389999999999993</v>
      </c>
      <c r="AC4" s="25" t="s">
        <v>105</v>
      </c>
    </row>
    <row r="5" spans="1:85" x14ac:dyDescent="0.25">
      <c r="O5" s="5"/>
      <c r="P5" t="s">
        <v>13</v>
      </c>
      <c r="Q5" s="8">
        <v>1452.4699999999998</v>
      </c>
      <c r="T5" t="s">
        <v>39</v>
      </c>
      <c r="U5" s="16">
        <v>0.1</v>
      </c>
      <c r="V5" s="18">
        <f>ROUND(((1+$U$5)^(1/12)-1)*100,6)</f>
        <v>0.79741399999999996</v>
      </c>
      <c r="Z5" s="17" t="s">
        <v>60</v>
      </c>
      <c r="AA5" s="3">
        <f>SUM($P$12:$P889)</f>
        <v>4357.3899999999994</v>
      </c>
    </row>
    <row r="6" spans="1:85" x14ac:dyDescent="0.25">
      <c r="G6" s="5"/>
      <c r="M6" t="s">
        <v>12</v>
      </c>
      <c r="N6" s="12">
        <v>44140</v>
      </c>
      <c r="O6" s="23"/>
      <c r="P6" t="s">
        <v>16</v>
      </c>
      <c r="Q6" s="14">
        <v>3</v>
      </c>
      <c r="T6" t="s">
        <v>34</v>
      </c>
      <c r="U6" s="15">
        <v>0</v>
      </c>
      <c r="V6" s="3">
        <f>SUM($S$12:$S889)</f>
        <v>0</v>
      </c>
      <c r="X6" s="3"/>
      <c r="Z6" s="17" t="s">
        <v>38</v>
      </c>
      <c r="AA6">
        <f>DAY($N$7)</f>
        <v>25</v>
      </c>
      <c r="AC6" s="31" t="s">
        <v>106</v>
      </c>
      <c r="AD6" s="31"/>
      <c r="AI6" t="str">
        <f>IF(COUNTA($L$12:$L889)&lt;$Q$6,"Falta Extender la formula hacia abajo","OK")</f>
        <v>OK</v>
      </c>
    </row>
    <row r="7" spans="1:85" x14ac:dyDescent="0.25">
      <c r="M7" t="s">
        <v>38</v>
      </c>
      <c r="N7" s="29">
        <v>25</v>
      </c>
      <c r="P7" s="3" t="s">
        <v>111</v>
      </c>
      <c r="Q7" s="14">
        <v>0</v>
      </c>
      <c r="T7" t="s">
        <v>35</v>
      </c>
      <c r="U7" s="15">
        <v>0</v>
      </c>
      <c r="V7" s="3">
        <f>SUM($T$12:$T889)</f>
        <v>0</v>
      </c>
      <c r="X7" s="8"/>
      <c r="Z7" s="17" t="s">
        <v>15</v>
      </c>
      <c r="AA7" s="3">
        <f>ROUND(INDEX($V$12:$V889,+NCUOTAS+CUOTAADICIONAL+NPREPAGO),2)</f>
        <v>0</v>
      </c>
      <c r="AB7" s="3">
        <f>ROUND(INDEX($U$12:$U889,+NCUOTAS+CUOTAADICIONAL+NPREPAGO),2)+ROUND(INDEX($T$12:$T889,+NCUOTAS+CUOTAADICIONAL+NPREPAGO),2)+ROUND(INDEX($S$12:$S889,+NCUOTAS+CUOTAADICIONAL+NPREPAGO),2)+ROUND(INDEX($R$12:$R889,+NCUOTAS+CUOTAADICIONAL+NPREPAGO),2)</f>
        <v>11.79</v>
      </c>
      <c r="AC7" s="26" t="s">
        <v>107</v>
      </c>
      <c r="AD7" s="26"/>
      <c r="AI7" t="str">
        <f>IF(SUM($I$12:$I889)&gt;0,"Falta Extender la formula hacia la derecha","OK")</f>
        <v>OK</v>
      </c>
    </row>
    <row r="8" spans="1:85" x14ac:dyDescent="0.25">
      <c r="M8" t="s">
        <v>18</v>
      </c>
      <c r="N8" s="13">
        <v>4300</v>
      </c>
      <c r="P8" t="s">
        <v>115</v>
      </c>
      <c r="Q8">
        <f>SUM($B$12:$B1048576)</f>
        <v>0</v>
      </c>
      <c r="R8">
        <f>SUM(Q6:Q8)</f>
        <v>3</v>
      </c>
      <c r="T8" t="s">
        <v>33</v>
      </c>
      <c r="U8" s="15">
        <v>0</v>
      </c>
      <c r="V8" s="3">
        <f>SUM($U$12:$U889)</f>
        <v>0</v>
      </c>
      <c r="X8" s="3"/>
      <c r="Z8" s="17" t="s">
        <v>104</v>
      </c>
      <c r="AA8" s="8">
        <v>0.02</v>
      </c>
    </row>
    <row r="9" spans="1:85" x14ac:dyDescent="0.25">
      <c r="M9" s="5"/>
      <c r="N9" s="6"/>
      <c r="P9" s="3" t="s">
        <v>114</v>
      </c>
      <c r="Q9">
        <f>COUNTIF($A$12:$A1048576,"Prepago")</f>
        <v>0</v>
      </c>
    </row>
    <row r="10" spans="1:85" x14ac:dyDescent="0.25">
      <c r="A10" t="s">
        <v>99</v>
      </c>
      <c r="B10" t="s">
        <v>110</v>
      </c>
      <c r="C10" s="24" t="s">
        <v>98</v>
      </c>
      <c r="D10" s="24" t="s">
        <v>117</v>
      </c>
      <c r="E10" t="s">
        <v>109</v>
      </c>
      <c r="F10" t="s">
        <v>113</v>
      </c>
      <c r="G10" s="22" t="s">
        <v>116</v>
      </c>
      <c r="H10" s="22" t="s">
        <v>103</v>
      </c>
      <c r="I10" s="22" t="s">
        <v>108</v>
      </c>
      <c r="J10" s="22" t="s">
        <v>119</v>
      </c>
      <c r="K10" s="22" t="s">
        <v>120</v>
      </c>
      <c r="L10" s="30" t="s">
        <v>20</v>
      </c>
      <c r="M10" t="s">
        <v>21</v>
      </c>
      <c r="N10" t="s">
        <v>22</v>
      </c>
      <c r="O10" t="s">
        <v>23</v>
      </c>
      <c r="P10" t="s">
        <v>20</v>
      </c>
      <c r="Q10" t="s">
        <v>24</v>
      </c>
      <c r="R10" t="s">
        <v>25</v>
      </c>
      <c r="S10" t="s">
        <v>14</v>
      </c>
      <c r="T10" t="s">
        <v>17</v>
      </c>
      <c r="U10" t="s">
        <v>19</v>
      </c>
      <c r="V10" t="s">
        <v>26</v>
      </c>
      <c r="W10" t="s">
        <v>27</v>
      </c>
      <c r="X10" t="s">
        <v>40</v>
      </c>
      <c r="Y10" t="s">
        <v>28</v>
      </c>
      <c r="Z10" t="s">
        <v>29</v>
      </c>
      <c r="AA10" t="s">
        <v>30</v>
      </c>
      <c r="AB10" t="s">
        <v>31</v>
      </c>
      <c r="AC10" t="s">
        <v>32</v>
      </c>
      <c r="AD10" t="s">
        <v>37</v>
      </c>
      <c r="AE10" t="s">
        <v>42</v>
      </c>
      <c r="AF10" t="s">
        <v>43</v>
      </c>
      <c r="AG10" t="s">
        <v>44</v>
      </c>
      <c r="AH10" t="s">
        <v>45</v>
      </c>
      <c r="AI10" t="s">
        <v>46</v>
      </c>
      <c r="AJ10" t="s">
        <v>47</v>
      </c>
      <c r="AK10" t="s">
        <v>48</v>
      </c>
      <c r="AL10" t="s">
        <v>49</v>
      </c>
      <c r="AM10" t="s">
        <v>50</v>
      </c>
      <c r="AN10" t="s">
        <v>51</v>
      </c>
      <c r="AO10" t="s">
        <v>52</v>
      </c>
      <c r="AP10" t="s">
        <v>53</v>
      </c>
      <c r="AQ10" t="s">
        <v>54</v>
      </c>
      <c r="AR10" t="s">
        <v>55</v>
      </c>
      <c r="AS10" t="s">
        <v>56</v>
      </c>
      <c r="AT10" t="s">
        <v>57</v>
      </c>
      <c r="AU10" t="s">
        <v>58</v>
      </c>
      <c r="AV10" t="s">
        <v>59</v>
      </c>
      <c r="AW10" t="s">
        <v>61</v>
      </c>
      <c r="AX10" t="s">
        <v>62</v>
      </c>
      <c r="AY10" t="s">
        <v>63</v>
      </c>
      <c r="AZ10" t="s">
        <v>64</v>
      </c>
      <c r="BA10" t="s">
        <v>65</v>
      </c>
      <c r="BB10" t="s">
        <v>66</v>
      </c>
      <c r="BC10" t="s">
        <v>67</v>
      </c>
      <c r="BD10" t="s">
        <v>68</v>
      </c>
      <c r="BE10" t="s">
        <v>69</v>
      </c>
      <c r="BF10" t="s">
        <v>70</v>
      </c>
      <c r="BG10" t="s">
        <v>71</v>
      </c>
      <c r="BH10" t="s">
        <v>72</v>
      </c>
      <c r="BI10" t="s">
        <v>73</v>
      </c>
      <c r="BJ10" t="s">
        <v>74</v>
      </c>
      <c r="BK10" t="s">
        <v>75</v>
      </c>
      <c r="BL10" t="s">
        <v>76</v>
      </c>
      <c r="BM10" t="s">
        <v>77</v>
      </c>
      <c r="BN10" t="s">
        <v>78</v>
      </c>
      <c r="BO10" t="s">
        <v>79</v>
      </c>
      <c r="BP10" t="s">
        <v>80</v>
      </c>
      <c r="BQ10" t="s">
        <v>81</v>
      </c>
      <c r="BR10" t="s">
        <v>82</v>
      </c>
      <c r="BS10" t="s">
        <v>83</v>
      </c>
      <c r="BT10" t="s">
        <v>84</v>
      </c>
      <c r="BU10" t="s">
        <v>85</v>
      </c>
      <c r="BV10" t="s">
        <v>86</v>
      </c>
      <c r="BW10" t="s">
        <v>87</v>
      </c>
      <c r="BX10" t="s">
        <v>88</v>
      </c>
      <c r="BY10" t="s">
        <v>89</v>
      </c>
      <c r="BZ10" t="s">
        <v>90</v>
      </c>
      <c r="CA10" t="s">
        <v>91</v>
      </c>
      <c r="CB10" t="s">
        <v>92</v>
      </c>
      <c r="CC10" t="s">
        <v>93</v>
      </c>
      <c r="CD10" t="s">
        <v>94</v>
      </c>
      <c r="CE10" t="s">
        <v>95</v>
      </c>
      <c r="CF10" t="s">
        <v>96</v>
      </c>
      <c r="CG10" t="s">
        <v>97</v>
      </c>
    </row>
    <row r="11" spans="1:85" x14ac:dyDescent="0.25">
      <c r="A11" s="28"/>
      <c r="B11" s="28">
        <f>SUM($B$12:$B$1000)</f>
        <v>0</v>
      </c>
      <c r="C11" s="28">
        <f>SUM($J$12:$J1000)</f>
        <v>0</v>
      </c>
      <c r="D11" s="28"/>
      <c r="E11" s="28"/>
      <c r="H11" s="22">
        <v>0</v>
      </c>
      <c r="K11" s="22">
        <f>SUM(K12:K1000)</f>
        <v>0</v>
      </c>
      <c r="L11">
        <v>0</v>
      </c>
      <c r="M11" s="7">
        <f>$N$6</f>
        <v>44140</v>
      </c>
      <c r="V11" s="8">
        <f>$N$8</f>
        <v>4300</v>
      </c>
      <c r="Y11">
        <v>30</v>
      </c>
      <c r="Z11">
        <v>60</v>
      </c>
      <c r="AA11">
        <v>90</v>
      </c>
      <c r="AB11">
        <v>120</v>
      </c>
      <c r="AC11">
        <v>150</v>
      </c>
      <c r="AD11">
        <v>180</v>
      </c>
      <c r="AE11">
        <v>210</v>
      </c>
      <c r="AF11">
        <v>240</v>
      </c>
      <c r="AG11">
        <v>270</v>
      </c>
      <c r="AH11">
        <v>300</v>
      </c>
      <c r="AI11">
        <v>330</v>
      </c>
      <c r="AJ11">
        <v>360</v>
      </c>
      <c r="AK11">
        <v>390</v>
      </c>
      <c r="AL11">
        <v>420</v>
      </c>
      <c r="AM11">
        <v>450</v>
      </c>
      <c r="AN11">
        <v>480</v>
      </c>
      <c r="AO11">
        <v>510</v>
      </c>
      <c r="AP11">
        <v>540</v>
      </c>
      <c r="AQ11">
        <v>570</v>
      </c>
      <c r="AR11">
        <v>600</v>
      </c>
      <c r="AS11">
        <v>630</v>
      </c>
      <c r="AT11">
        <v>660</v>
      </c>
      <c r="AU11">
        <v>690</v>
      </c>
      <c r="AV11">
        <v>720</v>
      </c>
      <c r="AW11">
        <v>750</v>
      </c>
      <c r="AX11">
        <v>780</v>
      </c>
      <c r="AY11">
        <v>810</v>
      </c>
      <c r="AZ11">
        <v>840</v>
      </c>
      <c r="BA11">
        <v>870</v>
      </c>
      <c r="BB11">
        <v>900</v>
      </c>
      <c r="BC11">
        <v>930</v>
      </c>
      <c r="BD11">
        <v>960</v>
      </c>
      <c r="BE11">
        <v>990</v>
      </c>
      <c r="BF11">
        <v>1020</v>
      </c>
      <c r="BG11">
        <v>1050</v>
      </c>
      <c r="BH11">
        <v>1080</v>
      </c>
      <c r="BI11">
        <v>1110</v>
      </c>
      <c r="BJ11">
        <v>1140</v>
      </c>
      <c r="BK11">
        <v>1170</v>
      </c>
      <c r="BL11">
        <v>1200</v>
      </c>
      <c r="BM11">
        <v>1230</v>
      </c>
      <c r="BN11">
        <v>1260</v>
      </c>
      <c r="BO11">
        <v>1290</v>
      </c>
      <c r="BP11">
        <v>1320</v>
      </c>
      <c r="BQ11">
        <v>1350</v>
      </c>
      <c r="BR11">
        <v>1380</v>
      </c>
      <c r="BS11">
        <v>1410</v>
      </c>
      <c r="BT11">
        <v>1440</v>
      </c>
      <c r="BU11">
        <v>1470</v>
      </c>
      <c r="BV11">
        <v>1500</v>
      </c>
      <c r="BW11">
        <v>1530</v>
      </c>
      <c r="BX11">
        <v>1560</v>
      </c>
      <c r="BY11">
        <v>1590</v>
      </c>
      <c r="BZ11">
        <v>1620</v>
      </c>
      <c r="CA11">
        <v>1650</v>
      </c>
      <c r="CB11">
        <v>1680</v>
      </c>
      <c r="CC11">
        <v>1710</v>
      </c>
      <c r="CD11">
        <v>1740</v>
      </c>
      <c r="CE11">
        <v>1770</v>
      </c>
      <c r="CF11">
        <v>1800</v>
      </c>
      <c r="CG11">
        <v>1830</v>
      </c>
    </row>
    <row r="12" spans="1:85" x14ac:dyDescent="0.25">
      <c r="E12" s="5"/>
      <c r="F12" t="str">
        <f t="shared" ref="F12:F43" si="0">IF($L12&lt;&gt;"",TEXT(M12,"DDD"),"")</f>
        <v>mi</v>
      </c>
      <c r="G12" s="5">
        <f>IF($L12&lt;&gt;"",EOMONTH(DATE(YEAR($M$11),MONTH($M$11)-IF(DAY($N$6)&lt;$N$7,1,0),DAY($M$11)),($H12*$A$1)+IF(MESADICIONAL=TRUE,1,0)),"")</f>
        <v>44165</v>
      </c>
      <c r="H12" s="22">
        <f t="shared" ref="H12:H43" si="1">IF($L12&lt;&gt;"",IF($A12="Prepago",$H11,$H11+1)+B12,"")</f>
        <v>1</v>
      </c>
      <c r="I12" s="22">
        <f t="shared" ref="I12:I43" si="2">IF(L12&lt;&gt;"",IF(COUNTA($Y12:$XFD12)*30&lt;$N12,1,0),"")</f>
        <v>0</v>
      </c>
      <c r="J12" s="22">
        <f t="shared" ref="J12:J43" si="3">IF($L12&lt;&gt;"",IF(OR(A12&lt;&gt;"",C12&lt;&gt;""),1,0),"")</f>
        <v>0</v>
      </c>
      <c r="K12" s="22">
        <f>IF($L12&lt;&gt;"",IF(J12=1,Q12,0),"")</f>
        <v>0</v>
      </c>
      <c r="L12">
        <f t="shared" ref="L12:L43" si="4">IF($L11&lt;NCUOTAS+CUOTAADICIONAL+NPREPAGO,$L11+1,"")</f>
        <v>1</v>
      </c>
      <c r="M12" s="5">
        <f>IF($L12&lt;&gt;"",IF($E12="",IF(DAY($G12)&lt;$N$7,$G12,DATE(YEAR($G12),MONTH($G12),$N$7)),$E12),"")</f>
        <v>44160</v>
      </c>
      <c r="N12" s="9">
        <f t="shared" ref="N12:N43" si="5">IF($L12&lt;&gt;"",$M12-$M11,"")</f>
        <v>20</v>
      </c>
      <c r="O12" s="3">
        <f t="shared" ref="O12:O43" si="6">IF($L12&lt;&gt;"",$V11,"")</f>
        <v>4300</v>
      </c>
      <c r="P12" s="3">
        <f t="shared" ref="P12:P43" si="7">IF($L12&lt;&gt;"",IF($A12="Gracia Parcial",IF(AND($C12&lt;$X12+$S12+$T12+$U12+$W11,$C12&gt;0),$C12,$X12+$S12+$T12+$U12+$W11),IF($A12="Gracia Total",0,IF($A12="Prepago",$C12,IF(ISNUMBER($C12),$C12*VALUE(MID($C$1,MONTH($M12),1)),$Q$5*VALUE(MID($C$1,MONTH($M12),1))))))-IF($L13="",ARREGLO,0),"")</f>
        <v>1452.4699999999998</v>
      </c>
      <c r="Q12" s="3">
        <f t="shared" ref="Q12:Q36" si="8">IF($L12&lt;&gt;"",IF($P12-$R12&gt;0,IF($P12&gt;=$R12+$S12+$T12+$U12,$P12-$R12-$S12-$T12-$U12,P12),0),"")</f>
        <v>1429.6699999999998</v>
      </c>
      <c r="R12" s="3">
        <f t="shared" ref="R12:R36" si="9">IF($L12&lt;&gt;"",IF($P12&gt;IF($D12="",$X12,$D12)+$W11+$S12+$T12+$U12,IF($D12="",$X12,$D12)+$W11,IF($P12&gt;=$S12+$T12+$U12,$P12-$S12-$T12-$U12,IF($D12="",$X12,$D12)+$W11)),"")</f>
        <v>22.799999999999997</v>
      </c>
      <c r="S12" s="3">
        <f>IF($L12&lt;&gt;"",IF($A12="Prepago",0,IF($H12*$U$6&gt;SUM($S$11:$S11)+$U$6,$U$6*2,$U$6)),"")</f>
        <v>0</v>
      </c>
      <c r="T12" s="3">
        <f>IF($L12&lt;&gt;"",IF($A12="Prepago",0,IF($H12*$U$7&gt;SUM($T$11:$T11)+$U$7,$U$7*2,$U$7)),"")</f>
        <v>0</v>
      </c>
      <c r="U12" s="3">
        <f>IF($L12&lt;&gt;"",IF($A12="Prepago",0,IF($H12*$U$8&gt;SUM($U$11:$U11)+$U$8,$U$8*2,$U$8)),"")</f>
        <v>0</v>
      </c>
      <c r="V12" s="3">
        <f t="shared" ref="V12:V43" si="10">IF($L12&lt;&gt;"",$O12-$Q12,"")</f>
        <v>2870.33</v>
      </c>
      <c r="W12" s="3">
        <f t="shared" ref="W12:W43" si="11">IF($L12&lt;&gt;"",+$W11+IF($D12="",$X12,$D12)-$R12,"")</f>
        <v>0</v>
      </c>
      <c r="X12" s="3">
        <f t="shared" ref="X12:X43" si="12">IF($L12&lt;&gt;"",SUM($Y12:$XFD12),"")</f>
        <v>22.799999999999997</v>
      </c>
      <c r="Y12" s="3">
        <f t="shared" ref="Y12:Y43" si="13">IF($L12&lt;&gt;"",IF($N12&gt;Y$11,30,$N12)*ROUND(($O12+$W11)*$V$5/3000,2),"")</f>
        <v>22.799999999999997</v>
      </c>
      <c r="Z12" s="3">
        <f>IF($L12&lt;&gt;"",IF($N12&gt;Y$11,IF($N12&lt;Z$11,$N12-Y$11,30),0)*ROUND(($O12+$W11+SUM($Y12:Y12))*$V$5/3000,2),"")</f>
        <v>0</v>
      </c>
      <c r="AA12" s="3">
        <f>IF($L12&lt;&gt;"",IF($N12&gt;Z$11,IF($N12&lt;AA$11,$N12-Z$11,30),0)*ROUND(($O12+$W11+SUM($Y12:Z12))*$V$5/3000,2),"")</f>
        <v>0</v>
      </c>
      <c r="AB12" s="3">
        <f>IF($L12&lt;&gt;"",IF($N12&gt;AA$11,IF($N12&lt;AB$11,$N12-AA$11,30),0)*ROUND(($O12+$W11+SUM($Y12:AA12))*$V$5/3000,2),"")</f>
        <v>0</v>
      </c>
      <c r="AC12" s="3">
        <f>IF($L12&lt;&gt;"",IF($N12&gt;AB$11,IF($N12&lt;AC$11,$N12-AB$11,30),0)*ROUND(($O12+$W11+SUM($Y12:AB12))*$V$5/3000,2),"")</f>
        <v>0</v>
      </c>
      <c r="AD12" s="3">
        <f>IF($L12&lt;&gt;"",IF($N12&gt;AC$11,IF($N12&lt;AD$11,$N12-AC$11,30),0)*ROUND(($O12+$W11+SUM($Y12:AC12))*$V$5/3000,2),"")</f>
        <v>0</v>
      </c>
      <c r="AE12" s="3">
        <f>IF($L12&lt;&gt;"",IF($N12&gt;AD$11,IF($N12&lt;AE$11,$N12-AD$11,30),0)*ROUND(($O12+$W11+SUM($Y12:AD12))*$V$5/3000,2),"")</f>
        <v>0</v>
      </c>
      <c r="AF12" s="3">
        <f>IF($L12&lt;&gt;"",IF($N12&gt;AE$11,IF($N12&lt;AF$11,$N12-AE$11,30),0)*ROUND(($O12+$W11+SUM($Y12:AE12))*$V$5/3000,2),"")</f>
        <v>0</v>
      </c>
      <c r="AG12" s="3">
        <f>IF($L12&lt;&gt;"",IF($N12&gt;AF$11,IF($N12&lt;AG$11,$N12-AF$11,30),0)*ROUND(($O12+$W11+SUM($Y12:AF12))*$V$5/3000,2),"")</f>
        <v>0</v>
      </c>
      <c r="AH12" s="3">
        <f>IF($L12&lt;&gt;"",IF($N12&gt;AG$11,IF($N12&lt;AH$11,$N12-AG$11,30),0)*ROUND(($O12+$W11+SUM($Y12:AG12))*$V$5/3000,2),"")</f>
        <v>0</v>
      </c>
      <c r="AI12" s="3">
        <f>IF($L12&lt;&gt;"",IF($N12&gt;AH$11,IF($N12&lt;AI$11,$N12-AH$11,30),0)*ROUND(($O12+$W11+SUM($Y12:AH12))*$V$5/3000,2),"")</f>
        <v>0</v>
      </c>
      <c r="AJ12" s="3">
        <f>IF($L12&lt;&gt;"",IF($N12&gt;AI$11,IF($N12&lt;AJ$11,$N12-AI$11,30),0)*ROUND(($O12+$W11+SUM($Y12:AI12))*$V$5/3000,2),"")</f>
        <v>0</v>
      </c>
      <c r="AK12" s="3">
        <f>IF($L12&lt;&gt;"",IF($N12&gt;AJ$11,IF($N12&lt;AK$11,$N12-AJ$11,30),0)*ROUND(($O12+$W11+SUM($Y12:AJ12))*$V$5/3000,2),"")</f>
        <v>0</v>
      </c>
      <c r="AL12" s="3">
        <f>IF($L12&lt;&gt;"",IF($N12&gt;AK$11,IF($N12&lt;AL$11,$N12-AK$11,30),0)*ROUND(($O12+$W11+SUM($Y12:AK12))*$V$5/3000,2),"")</f>
        <v>0</v>
      </c>
      <c r="AM12" s="3">
        <f>IF($L12&lt;&gt;"",IF($N12&gt;AL$11,IF($N12&lt;AM$11,$N12-AL$11,30),0)*ROUND(($O12+$W11+SUM($Y12:AL12))*$V$5/3000,2),"")</f>
        <v>0</v>
      </c>
      <c r="AN12" s="3">
        <f>IF($L12&lt;&gt;"",IF($N12&gt;AM$11,IF($N12&lt;AN$11,$N12-AM$11,30),0)*ROUND(($O12+$W11+SUM($Y12:AM12))*$V$5/3000,2),"")</f>
        <v>0</v>
      </c>
      <c r="AO12" s="3">
        <f>IF($L12&lt;&gt;"",IF($N12&gt;AN$11,IF($N12&lt;AO$11,$N12-AN$11,30),0)*ROUND(($O12+$W11+SUM($Y12:AN12))*$V$5/3000,2),"")</f>
        <v>0</v>
      </c>
      <c r="AP12" s="3">
        <f>IF($L12&lt;&gt;"",IF($N12&gt;AO$11,IF($N12&lt;AP$11,$N12-AO$11,30),0)*ROUND(($O12+$W11+SUM($Y12:AO12))*$V$5/3000,2),"")</f>
        <v>0</v>
      </c>
      <c r="AQ12" s="3">
        <f>IF($L12&lt;&gt;"",IF($N12&gt;AP$11,IF($N12&lt;AQ$11,$N12-AP$11,30),0)*ROUND(($O12+$W11+SUM($Y12:AP12))*$V$5/3000,2),"")</f>
        <v>0</v>
      </c>
      <c r="AR12" s="3">
        <f>IF($L12&lt;&gt;"",IF($N12&gt;AQ$11,IF($N12&lt;AR$11,$N12-AQ$11,30),0)*ROUND(($O12+$W11+SUM($Y12:AQ12))*$V$5/3000,2),"")</f>
        <v>0</v>
      </c>
      <c r="AS12" s="3">
        <f>IF($L12&lt;&gt;"",IF($N12&gt;AR$11,IF($N12&lt;AS$11,$N12-AR$11,30),0)*ROUND(($O12+$W11+SUM($Y12:AR12))*$V$5/3000,2),"")</f>
        <v>0</v>
      </c>
      <c r="AT12" s="3">
        <f>IF($L12&lt;&gt;"",IF($N12&gt;AS$11,IF($N12&lt;AT$11,$N12-AS$11,30),0)*ROUND(($O12+$W11+SUM($Y12:AS12))*$V$5/3000,2),"")</f>
        <v>0</v>
      </c>
      <c r="AU12" s="3">
        <f>IF($L12&lt;&gt;"",IF($N12&gt;AT$11,IF($N12&lt;AU$11,$N12-AT$11,30),0)*ROUND(($O12+$W11+SUM($Y12:AT12))*$V$5/3000,2),"")</f>
        <v>0</v>
      </c>
      <c r="AV12" s="3">
        <f>IF($L12&lt;&gt;"",IF($N12&gt;AU$11,IF($N12&lt;AV$11,$N12-AU$11,30),0)*ROUND(($O12+$W11+SUM($Y12:AU12))*$V$5/3000,2),"")</f>
        <v>0</v>
      </c>
      <c r="AW12" s="3">
        <f>IF($L12&lt;&gt;"",IF($N12&gt;AV$11,IF($N12&lt;AW$11,$N12-AV$11,30),0)*ROUND(($O12+$W11+SUM($Y12:AV12))*$V$5/3000,2),"")</f>
        <v>0</v>
      </c>
      <c r="AX12" s="3">
        <f>IF($L12&lt;&gt;"",IF($N12&gt;AW$11,IF($N12&lt;AX$11,$N12-AW$11,30),0)*ROUND(($O12+$W11+SUM($Y12:AW12))*$V$5/3000,2),"")</f>
        <v>0</v>
      </c>
      <c r="AY12" s="3">
        <f>IF($L12&lt;&gt;"",IF($N12&gt;AX$11,IF($N12&lt;AY$11,$N12-AX$11,30),0)*ROUND(($O12+$W11+SUM($Y12:AX12))*$V$5/3000,2),"")</f>
        <v>0</v>
      </c>
      <c r="AZ12" s="3">
        <f>IF($L12&lt;&gt;"",IF($N12&gt;AY$11,IF($N12&lt;AZ$11,$N12-AY$11,30),0)*ROUND(($O12+$W11+SUM($Y12:AY12))*$V$5/3000,2),"")</f>
        <v>0</v>
      </c>
      <c r="BA12" s="3">
        <f>IF($L12&lt;&gt;"",IF($N12&gt;AZ$11,IF($N12&lt;BA$11,$N12-AZ$11,30),0)*ROUND(($O12+$W11+SUM($Y12:AZ12))*$V$5/3000,2),"")</f>
        <v>0</v>
      </c>
      <c r="BB12" s="3">
        <f>IF($L12&lt;&gt;"",IF($N12&gt;BA$11,IF($N12&lt;BB$11,$N12-BA$11,30),0)*ROUND(($O12+$W11+SUM($Y12:BA12))*$V$5/3000,2),"")</f>
        <v>0</v>
      </c>
      <c r="BC12" s="3">
        <f>IF($L12&lt;&gt;"",IF($N12&gt;BB$11,IF($N12&lt;BC$11,$N12-BB$11,30),0)*ROUND(($O12+$W11+SUM($Y12:BB12))*$V$5/3000,2),"")</f>
        <v>0</v>
      </c>
      <c r="BD12" s="3">
        <f>IF($L12&lt;&gt;"",IF($N12&gt;BC$11,IF($N12&lt;BD$11,$N12-BC$11,30),0)*ROUND(($O12+$W11+SUM($Y12:BC12))*$V$5/3000,2),"")</f>
        <v>0</v>
      </c>
      <c r="BE12" s="3">
        <f>IF($L12&lt;&gt;"",IF($N12&gt;BD$11,IF($N12&lt;BE$11,$N12-BD$11,30),0)*ROUND(($O12+$W11+SUM($Y12:BD12))*$V$5/3000,2),"")</f>
        <v>0</v>
      </c>
      <c r="BF12" s="3">
        <f>IF($L12&lt;&gt;"",IF($N12&gt;BE$11,IF($N12&lt;BF$11,$N12-BE$11,30),0)*ROUND(($O12+$W11+SUM($Y12:BE12))*$V$5/3000,2),"")</f>
        <v>0</v>
      </c>
      <c r="BG12" s="3">
        <f>IF($L12&lt;&gt;"",IF($N12&gt;BF$11,IF($N12&lt;BG$11,$N12-BF$11,30),0)*ROUND(($O12+$W11+SUM($Y12:BF12))*$V$5/3000,2),"")</f>
        <v>0</v>
      </c>
      <c r="BH12" s="3">
        <f>IF($L12&lt;&gt;"",IF($N12&gt;BG$11,IF($N12&lt;BH$11,$N12-BG$11,30),0)*ROUND(($O12+$W11+SUM($Y12:BG12))*$V$5/3000,2),"")</f>
        <v>0</v>
      </c>
      <c r="BI12" s="3">
        <f>IF($L12&lt;&gt;"",IF($N12&gt;BH$11,IF($N12&lt;BI$11,$N12-BH$11,30),0)*ROUND(($O12+$W11+SUM($Y12:BH12))*$V$5/3000,2),"")</f>
        <v>0</v>
      </c>
      <c r="BJ12" s="3">
        <f>IF($L12&lt;&gt;"",IF($N12&gt;BI$11,IF($N12&lt;BJ$11,$N12-BI$11,30),0)*ROUND(($O12+$W11+SUM($Y12:BI12))*$V$5/3000,2),"")</f>
        <v>0</v>
      </c>
      <c r="BK12" s="3">
        <f>IF($L12&lt;&gt;"",IF($N12&gt;BJ$11,IF($N12&lt;BK$11,$N12-BJ$11,30),0)*ROUND(($O12+$W11+SUM($Y12:BJ12))*$V$5/3000,2),"")</f>
        <v>0</v>
      </c>
      <c r="BL12" s="3">
        <f>IF($L12&lt;&gt;"",IF($N12&gt;BK$11,IF($N12&lt;BL$11,$N12-BK$11,30),0)*ROUND(($O12+$W11+SUM($Y12:BK12))*$V$5/3000,2),"")</f>
        <v>0</v>
      </c>
      <c r="BM12" s="3">
        <f>IF($L12&lt;&gt;"",IF($N12&gt;BL$11,IF($N12&lt;BM$11,$N12-BL$11,30),0)*ROUND(($O12+$W11+SUM($Y12:BL12))*$V$5/3000,2),"")</f>
        <v>0</v>
      </c>
      <c r="BN12" s="3">
        <f>IF($L12&lt;&gt;"",IF($N12&gt;BM$11,IF($N12&lt;BN$11,$N12-BM$11,30),0)*ROUND(($O12+$W11+SUM($Y12:BM12))*$V$5/3000,2),"")</f>
        <v>0</v>
      </c>
      <c r="BO12" s="3">
        <f>IF($L12&lt;&gt;"",IF($N12&gt;BN$11,IF($N12&lt;BO$11,$N12-BN$11,30),0)*ROUND(($O12+$W11+SUM($Y12:BN12))*$V$5/3000,2),"")</f>
        <v>0</v>
      </c>
      <c r="BP12" s="3">
        <f>IF($L12&lt;&gt;"",IF($N12&gt;BO$11,IF($N12&lt;BP$11,$N12-BO$11,30),0)*ROUND(($O12+$W11+SUM($Y12:BO12))*$V$5/3000,2),"")</f>
        <v>0</v>
      </c>
      <c r="BQ12" s="3">
        <f>IF($L12&lt;&gt;"",IF($N12&gt;BP$11,IF($N12&lt;BQ$11,$N12-BP$11,30),0)*ROUND(($O12+$W11+SUM($Y12:BP12))*$V$5/3000,2),"")</f>
        <v>0</v>
      </c>
      <c r="BR12" s="3">
        <f>IF($L12&lt;&gt;"",IF($N12&gt;BQ$11,IF($N12&lt;BR$11,$N12-BQ$11,30),0)*ROUND(($O12+$W11+SUM($Y12:BQ12))*$V$5/3000,2),"")</f>
        <v>0</v>
      </c>
      <c r="BS12" s="3">
        <f>IF($L12&lt;&gt;"",IF($N12&gt;BR$11,IF($N12&lt;BS$11,$N12-BR$11,30),0)*ROUND(($O12+$W11+SUM($Y12:BR12))*$V$5/3000,2),"")</f>
        <v>0</v>
      </c>
      <c r="BT12" s="3">
        <f>IF($L12&lt;&gt;"",IF($N12&gt;BS$11,IF($N12&lt;BT$11,$N12-BS$11,30),0)*ROUND(($O12+$W11+SUM($Y12:BS12))*$V$5/3000,2),"")</f>
        <v>0</v>
      </c>
      <c r="BU12" s="3">
        <f>IF($L12&lt;&gt;"",IF($N12&gt;BT$11,IF($N12&lt;BU$11,$N12-BT$11,30),0)*ROUND(($O12+$W11+SUM($Y12:BT12))*$V$5/3000,2),"")</f>
        <v>0</v>
      </c>
      <c r="BV12" s="3">
        <f>IF($L12&lt;&gt;"",IF($N12&gt;BU$11,IF($N12&lt;BV$11,$N12-BU$11,30),0)*ROUND(($O12+$W11+SUM($Y12:BU12))*$V$5/3000,2),"")</f>
        <v>0</v>
      </c>
      <c r="BW12" s="8"/>
      <c r="BX12" s="8"/>
      <c r="BY12" s="8"/>
      <c r="BZ12" s="8"/>
      <c r="CA12" s="8"/>
      <c r="CB12" s="8"/>
      <c r="CC12" s="8"/>
      <c r="CD12" s="8"/>
      <c r="CE12" s="8"/>
      <c r="CF12" s="8"/>
      <c r="CG12" s="8"/>
    </row>
    <row r="13" spans="1:85" x14ac:dyDescent="0.25">
      <c r="E13" s="5"/>
      <c r="F13" t="str">
        <f t="shared" si="0"/>
        <v>vi</v>
      </c>
      <c r="G13" s="5">
        <f>IF($L13&lt;&gt;"",EOMONTH(DATE(YEAR($M$11),MONTH($M$11)-IF(DAY($N$6)&lt;$N$7,1,0),DAY($M$11)),($H13*$A$1)+IF(MESADICIONAL=TRUE,1,0)),"")</f>
        <v>44196</v>
      </c>
      <c r="H13" s="22">
        <f t="shared" si="1"/>
        <v>2</v>
      </c>
      <c r="I13" s="22">
        <f t="shared" si="2"/>
        <v>0</v>
      </c>
      <c r="J13" s="22">
        <f t="shared" si="3"/>
        <v>0</v>
      </c>
      <c r="K13" s="22">
        <f t="shared" ref="K13:K76" si="14">IF($L13&lt;&gt;"",IF(J13=1,Q13,0),"")</f>
        <v>0</v>
      </c>
      <c r="L13">
        <f t="shared" si="4"/>
        <v>2</v>
      </c>
      <c r="M13" s="5">
        <f t="shared" ref="M13:M76" si="15">IF($L13&lt;&gt;"",IF($E13="",IF(DAY($G13)&lt;$N$7,$G13,DATE(YEAR($G13),MONTH($G13),$N$7)),$E13),"")</f>
        <v>44190</v>
      </c>
      <c r="N13" s="9">
        <f t="shared" si="5"/>
        <v>30</v>
      </c>
      <c r="O13" s="3">
        <f t="shared" si="6"/>
        <v>2870.33</v>
      </c>
      <c r="P13" s="3">
        <f t="shared" si="7"/>
        <v>1452.4699999999998</v>
      </c>
      <c r="Q13" s="3">
        <f t="shared" si="8"/>
        <v>1429.6699999999998</v>
      </c>
      <c r="R13" s="3">
        <f t="shared" si="9"/>
        <v>22.8</v>
      </c>
      <c r="S13" s="3">
        <f>IF($L13&lt;&gt;"",IF($A13="Prepago",0,IF($H13*$U$6&gt;SUM($S$11:$S12)+$U$6,$U$6*2,$U$6)),"")</f>
        <v>0</v>
      </c>
      <c r="T13" s="3">
        <f>IF($L13&lt;&gt;"",IF($A13="Prepago",0,IF($H13*$U$7&gt;SUM($T$11:$T12)+$U$7,$U$7*2,$U$7)),"")</f>
        <v>0</v>
      </c>
      <c r="U13" s="3">
        <f>IF($L13&lt;&gt;"",IF($A13="Prepago",0,IF($H13*$U$8&gt;SUM($U$11:$U12)+$U$8,$U$8*2,$U$8)),"")</f>
        <v>0</v>
      </c>
      <c r="V13" s="3">
        <f t="shared" si="10"/>
        <v>1440.66</v>
      </c>
      <c r="W13" s="3">
        <f t="shared" si="11"/>
        <v>0</v>
      </c>
      <c r="X13" s="3">
        <f t="shared" si="12"/>
        <v>22.8</v>
      </c>
      <c r="Y13" s="3">
        <f t="shared" si="13"/>
        <v>22.8</v>
      </c>
      <c r="Z13" s="3">
        <f>IF($L13&lt;&gt;"",IF($N13&gt;Y$11,IF($N13&lt;Z$11,$N13-Y$11,30),0)*ROUND(($O13+$W12+SUM($Y13:Y13))*$V$5/3000,2),"")</f>
        <v>0</v>
      </c>
      <c r="AA13" s="3"/>
      <c r="AB13" s="3"/>
      <c r="AC13" s="8"/>
      <c r="AD13" s="8"/>
      <c r="AE13" s="8"/>
      <c r="AF13" s="8"/>
      <c r="AG13" s="8"/>
      <c r="AH13" s="8"/>
      <c r="AI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  <c r="AY13" s="8"/>
      <c r="AZ13" s="8"/>
      <c r="BA13" s="8"/>
      <c r="BB13" s="8"/>
      <c r="BC13" s="8"/>
      <c r="BD13" s="8"/>
      <c r="BE13" s="8"/>
      <c r="BF13" s="8"/>
      <c r="BG13" s="8"/>
      <c r="BH13" s="8"/>
      <c r="BI13" s="8"/>
      <c r="BJ13" s="8"/>
      <c r="BK13" s="8"/>
      <c r="BL13" s="8"/>
      <c r="BM13" s="8"/>
      <c r="BN13" s="8"/>
      <c r="BO13" s="8"/>
      <c r="BP13" s="8"/>
      <c r="BQ13" s="8"/>
      <c r="BR13" s="8"/>
      <c r="BS13" s="8"/>
      <c r="BT13" s="8"/>
      <c r="BU13" s="8"/>
      <c r="BV13" s="8"/>
      <c r="BW13" s="8"/>
      <c r="BX13" s="8"/>
      <c r="BY13" s="8"/>
      <c r="BZ13" s="8"/>
      <c r="CA13" s="8"/>
      <c r="CB13" s="8"/>
      <c r="CC13" s="8"/>
      <c r="CD13" s="8"/>
      <c r="CE13" s="8"/>
      <c r="CF13" s="8"/>
      <c r="CG13" s="8"/>
    </row>
    <row r="14" spans="1:85" x14ac:dyDescent="0.25">
      <c r="E14" s="5"/>
      <c r="F14" t="str">
        <f t="shared" si="0"/>
        <v>lu</v>
      </c>
      <c r="G14" s="5">
        <f>IF($L14&lt;&gt;"",EOMONTH(DATE(YEAR($M$11),MONTH($M$11)-IF(DAY($N$6)&lt;$N$7,1,0),DAY($M$11)),($H14*$A$1)+IF(MESADICIONAL=TRUE,1,0)),"")</f>
        <v>44227</v>
      </c>
      <c r="H14" s="22">
        <f t="shared" si="1"/>
        <v>3</v>
      </c>
      <c r="I14" s="22">
        <f t="shared" si="2"/>
        <v>0</v>
      </c>
      <c r="J14" s="22">
        <f t="shared" si="3"/>
        <v>0</v>
      </c>
      <c r="K14" s="22">
        <f t="shared" si="14"/>
        <v>0</v>
      </c>
      <c r="L14">
        <f t="shared" si="4"/>
        <v>3</v>
      </c>
      <c r="M14" s="5">
        <f t="shared" si="15"/>
        <v>44221</v>
      </c>
      <c r="N14" s="9">
        <f t="shared" si="5"/>
        <v>31</v>
      </c>
      <c r="O14" s="3">
        <f t="shared" si="6"/>
        <v>1440.66</v>
      </c>
      <c r="P14" s="3">
        <f t="shared" si="7"/>
        <v>1452.4499999999998</v>
      </c>
      <c r="Q14" s="3">
        <f t="shared" si="8"/>
        <v>1440.6599999999999</v>
      </c>
      <c r="R14" s="3">
        <f t="shared" si="9"/>
        <v>11.790000000000001</v>
      </c>
      <c r="S14" s="3">
        <f>IF($L14&lt;&gt;"",IF($A14="Prepago",0,IF($H14*$U$6&gt;SUM($S$11:$S13)+$U$6,$U$6*2,$U$6)),"")</f>
        <v>0</v>
      </c>
      <c r="T14" s="3">
        <f>IF($L14&lt;&gt;"",IF($A14="Prepago",0,IF($H14*$U$7&gt;SUM($T$11:$T13)+$U$7,$U$7*2,$U$7)),"")</f>
        <v>0</v>
      </c>
      <c r="U14" s="3">
        <f>IF($L14&lt;&gt;"",IF($A14="Prepago",0,IF($H14*$U$8&gt;SUM($U$11:$U13)+$U$8,$U$8*2,$U$8)),"")</f>
        <v>0</v>
      </c>
      <c r="V14" s="3">
        <f t="shared" si="10"/>
        <v>2.2737367544323206E-13</v>
      </c>
      <c r="W14" s="3">
        <f t="shared" si="11"/>
        <v>0</v>
      </c>
      <c r="X14" s="3">
        <f t="shared" si="12"/>
        <v>11.790000000000001</v>
      </c>
      <c r="Y14" s="3">
        <f t="shared" si="13"/>
        <v>11.4</v>
      </c>
      <c r="Z14" s="3">
        <f>IF($L14&lt;&gt;"",IF($N14&gt;Y$11,IF($N14&lt;Z$11,$N14-Y$11,30),0)*ROUND(($O14+$W13+SUM($Y14:Y14))*$V$5/3000,2),"")</f>
        <v>0.39</v>
      </c>
      <c r="AA14" s="3"/>
      <c r="AB14" s="3"/>
      <c r="AC14" s="8"/>
      <c r="AD14" s="8"/>
      <c r="AE14" s="8"/>
      <c r="AF14" s="8"/>
      <c r="AG14" s="8"/>
      <c r="AH14" s="8"/>
      <c r="AI14" s="8"/>
      <c r="AJ14" s="8"/>
      <c r="AK14" s="8"/>
      <c r="AL14" s="8"/>
      <c r="AM14" s="8"/>
      <c r="AN14" s="8"/>
      <c r="AO14" s="8"/>
      <c r="AP14" s="8"/>
      <c r="AQ14" s="8"/>
      <c r="AR14" s="8"/>
      <c r="AS14" s="8"/>
      <c r="AT14" s="8"/>
      <c r="AU14" s="8"/>
      <c r="AV14" s="8"/>
      <c r="AW14" s="8"/>
      <c r="AX14" s="8"/>
      <c r="AY14" s="8"/>
      <c r="AZ14" s="8"/>
      <c r="BA14" s="8"/>
      <c r="BB14" s="8"/>
      <c r="BC14" s="8"/>
      <c r="BD14" s="8"/>
      <c r="BE14" s="8"/>
      <c r="BF14" s="8"/>
      <c r="BG14" s="8"/>
      <c r="BH14" s="8"/>
      <c r="BI14" s="8"/>
      <c r="BJ14" s="8"/>
      <c r="BK14" s="8"/>
      <c r="BL14" s="8"/>
      <c r="BM14" s="8"/>
      <c r="BN14" s="8"/>
      <c r="BO14" s="8"/>
      <c r="BP14" s="8"/>
      <c r="BQ14" s="8"/>
      <c r="BR14" s="8"/>
      <c r="BS14" s="8"/>
      <c r="BT14" s="8"/>
      <c r="BU14" s="8"/>
      <c r="BV14" s="8"/>
      <c r="BW14" s="8"/>
      <c r="BX14" s="8"/>
      <c r="BY14" s="8"/>
      <c r="BZ14" s="8"/>
      <c r="CA14" s="8"/>
      <c r="CB14" s="8"/>
      <c r="CC14" s="8"/>
      <c r="CD14" s="8"/>
      <c r="CE14" s="8"/>
      <c r="CF14" s="8"/>
      <c r="CG14" s="8"/>
    </row>
    <row r="15" spans="1:85" x14ac:dyDescent="0.25">
      <c r="E15" s="5"/>
      <c r="F15" t="str">
        <f t="shared" si="0"/>
        <v/>
      </c>
      <c r="G15" s="5" t="str">
        <f>IF($L15&lt;&gt;"",EOMONTH(DATE(YEAR($M$11),MONTH($M$11)-IF(DAY($N$6)&lt;$N$7,1,0),DAY($M$11)),($H15*$A$1)+IF(MESADICIONAL=TRUE,1,0)),"")</f>
        <v/>
      </c>
      <c r="H15" s="22" t="str">
        <f t="shared" si="1"/>
        <v/>
      </c>
      <c r="I15" s="22" t="str">
        <f t="shared" si="2"/>
        <v/>
      </c>
      <c r="J15" s="22" t="str">
        <f t="shared" si="3"/>
        <v/>
      </c>
      <c r="K15" s="22" t="str">
        <f t="shared" si="14"/>
        <v/>
      </c>
      <c r="L15" t="str">
        <f t="shared" si="4"/>
        <v/>
      </c>
      <c r="M15" s="5" t="str">
        <f t="shared" si="15"/>
        <v/>
      </c>
      <c r="N15" s="9" t="str">
        <f t="shared" si="5"/>
        <v/>
      </c>
      <c r="O15" s="3" t="str">
        <f t="shared" si="6"/>
        <v/>
      </c>
      <c r="P15" s="3" t="str">
        <f t="shared" si="7"/>
        <v/>
      </c>
      <c r="Q15" s="3" t="str">
        <f t="shared" si="8"/>
        <v/>
      </c>
      <c r="R15" s="3" t="str">
        <f t="shared" si="9"/>
        <v/>
      </c>
      <c r="S15" s="3" t="str">
        <f>IF($L15&lt;&gt;"",IF($A15="Prepago",0,IF($H15*$U$6&gt;SUM($S$11:$S14)+$U$6,$U$6*2,$U$6)),"")</f>
        <v/>
      </c>
      <c r="T15" s="3" t="str">
        <f>IF($L15&lt;&gt;"",IF($A15="Prepago",0,IF($H15*$U$7&gt;SUM($T$11:$T14)+$U$7,$U$7*2,$U$7)),"")</f>
        <v/>
      </c>
      <c r="U15" s="3" t="str">
        <f>IF($L15&lt;&gt;"",IF($A15="Prepago",0,IF($H15*$U$8&gt;SUM($U$11:$U14)+$U$8,$U$8*2,$U$8)),"")</f>
        <v/>
      </c>
      <c r="V15" s="3" t="str">
        <f t="shared" si="10"/>
        <v/>
      </c>
      <c r="W15" s="3" t="str">
        <f t="shared" si="11"/>
        <v/>
      </c>
      <c r="X15" s="3" t="str">
        <f t="shared" si="12"/>
        <v/>
      </c>
      <c r="Y15" s="3" t="str">
        <f t="shared" si="13"/>
        <v/>
      </c>
      <c r="Z15" s="3" t="str">
        <f>IF($L15&lt;&gt;"",IF($N15&gt;Y$11,IF($N15&lt;Z$11,$N15-Y$11,30),0)*ROUND(($O15+$W14+SUM($Y15:Y15))*$V$5/3000,2),"")</f>
        <v/>
      </c>
      <c r="AA15" s="3"/>
      <c r="AB15" s="3"/>
      <c r="AC15" s="8"/>
      <c r="AD15" s="8"/>
      <c r="AE15" s="8"/>
      <c r="AF15" s="8"/>
      <c r="AG15" s="8"/>
      <c r="AH15" s="8"/>
      <c r="AI15" s="8"/>
      <c r="AJ15" s="8"/>
      <c r="AK15" s="8"/>
      <c r="AL15" s="8"/>
      <c r="AM15" s="8"/>
      <c r="AN15" s="8"/>
      <c r="AO15" s="8"/>
      <c r="AP15" s="8"/>
      <c r="AQ15" s="8"/>
      <c r="AR15" s="8"/>
      <c r="AS15" s="8"/>
      <c r="AT15" s="8"/>
      <c r="AU15" s="8"/>
      <c r="AV15" s="8"/>
      <c r="AW15" s="8"/>
      <c r="AX15" s="8"/>
      <c r="AY15" s="8"/>
      <c r="AZ15" s="8"/>
      <c r="BA15" s="8"/>
      <c r="BB15" s="8"/>
      <c r="BC15" s="8"/>
      <c r="BD15" s="8"/>
      <c r="BE15" s="8"/>
      <c r="BF15" s="8"/>
      <c r="BG15" s="8"/>
      <c r="BH15" s="8"/>
      <c r="BI15" s="8"/>
      <c r="BJ15" s="8"/>
      <c r="BK15" s="8"/>
      <c r="BL15" s="8"/>
      <c r="BM15" s="8"/>
      <c r="BN15" s="8"/>
      <c r="BO15" s="8"/>
      <c r="BP15" s="8"/>
      <c r="BQ15" s="8"/>
      <c r="BR15" s="8"/>
      <c r="BS15" s="8"/>
      <c r="BT15" s="8"/>
      <c r="BU15" s="8"/>
      <c r="BV15" s="8"/>
      <c r="BW15" s="8"/>
      <c r="BX15" s="8"/>
      <c r="BY15" s="8"/>
      <c r="BZ15" s="8"/>
      <c r="CA15" s="8"/>
      <c r="CB15" s="8"/>
      <c r="CC15" s="8"/>
      <c r="CD15" s="8"/>
      <c r="CE15" s="8"/>
      <c r="CF15" s="8"/>
      <c r="CG15" s="8"/>
    </row>
    <row r="16" spans="1:85" x14ac:dyDescent="0.25">
      <c r="E16" s="5"/>
      <c r="F16" t="str">
        <f t="shared" si="0"/>
        <v/>
      </c>
      <c r="G16" s="5" t="str">
        <f>IF($L16&lt;&gt;"",EOMONTH(DATE(YEAR($M$11),MONTH($M$11)-IF(DAY($N$6)&lt;$N$7,1,0),DAY($M$11)),($H16*$A$1)+IF(MESADICIONAL=TRUE,1,0)),"")</f>
        <v/>
      </c>
      <c r="H16" s="22" t="str">
        <f t="shared" si="1"/>
        <v/>
      </c>
      <c r="I16" s="22" t="str">
        <f t="shared" si="2"/>
        <v/>
      </c>
      <c r="J16" s="22" t="str">
        <f t="shared" si="3"/>
        <v/>
      </c>
      <c r="K16" s="22" t="str">
        <f t="shared" si="14"/>
        <v/>
      </c>
      <c r="L16" t="str">
        <f t="shared" si="4"/>
        <v/>
      </c>
      <c r="M16" s="5" t="str">
        <f t="shared" si="15"/>
        <v/>
      </c>
      <c r="N16" s="9" t="str">
        <f t="shared" si="5"/>
        <v/>
      </c>
      <c r="O16" s="3" t="str">
        <f t="shared" si="6"/>
        <v/>
      </c>
      <c r="P16" s="3" t="str">
        <f t="shared" si="7"/>
        <v/>
      </c>
      <c r="Q16" s="3" t="str">
        <f t="shared" si="8"/>
        <v/>
      </c>
      <c r="R16" s="3" t="str">
        <f t="shared" si="9"/>
        <v/>
      </c>
      <c r="S16" s="3" t="str">
        <f>IF($L16&lt;&gt;"",IF($A16="Prepago",0,IF($H16*$U$6&gt;SUM($S$11:$S15)+$U$6,$U$6*2,$U$6)),"")</f>
        <v/>
      </c>
      <c r="T16" s="3" t="str">
        <f>IF($L16&lt;&gt;"",IF($A16="Prepago",0,IF($H16*$U$7&gt;SUM($T$11:$T15)+$U$7,$U$7*2,$U$7)),"")</f>
        <v/>
      </c>
      <c r="U16" s="3" t="str">
        <f>IF($L16&lt;&gt;"",IF($A16="Prepago",0,IF($H16*$U$8&gt;SUM($U$11:$U15)+$U$8,$U$8*2,$U$8)),"")</f>
        <v/>
      </c>
      <c r="V16" s="3" t="str">
        <f t="shared" si="10"/>
        <v/>
      </c>
      <c r="W16" s="3" t="str">
        <f t="shared" si="11"/>
        <v/>
      </c>
      <c r="X16" s="3" t="str">
        <f t="shared" si="12"/>
        <v/>
      </c>
      <c r="Y16" s="3" t="str">
        <f t="shared" si="13"/>
        <v/>
      </c>
      <c r="Z16" s="3" t="str">
        <f>IF($L16&lt;&gt;"",IF($N16&gt;Y$11,IF($N16&lt;Z$11,$N16-Y$11,30),0)*ROUND(($O16+$W15+SUM($Y16:Y16))*$V$5/3000,2),"")</f>
        <v/>
      </c>
      <c r="AA16" s="3" t="str">
        <f>IF($L16&lt;&gt;"",IF($N16&gt;Z$11,IF($N16&lt;AA$11,$N16-Z$11,30),0)*ROUND(($O16+$W15+SUM($Y16:Z16))*$V$5/3000,2),"")</f>
        <v/>
      </c>
      <c r="AB16" s="3" t="str">
        <f>IF($L16&lt;&gt;"",IF($N16&gt;AA$11,IF($N16&lt;AB$11,$N16-AA$11,30),0)*ROUND(($O16+$W15+SUM($Y16:AA16))*$V$5/3000,2),"")</f>
        <v/>
      </c>
      <c r="AC16" s="3" t="str">
        <f>IF($L16&lt;&gt;"",IF($N16&gt;AB$11,IF($N16&lt;AC$11,$N16-AB$11,30),0)*ROUND(($O16+$W15+SUM($Y16:AB16))*$V$5/3000,2),"")</f>
        <v/>
      </c>
      <c r="AD16" s="8"/>
      <c r="AE16" s="8"/>
      <c r="AF16" s="8"/>
      <c r="AG16" s="8"/>
      <c r="AH16" s="8"/>
      <c r="AI16" s="8"/>
      <c r="AJ16" s="8"/>
      <c r="AK16" s="8"/>
      <c r="AL16" s="8"/>
      <c r="AM16" s="8"/>
      <c r="AN16" s="8"/>
      <c r="AO16" s="8"/>
      <c r="AP16" s="8"/>
      <c r="AQ16" s="8"/>
      <c r="AR16" s="8"/>
      <c r="AS16" s="8"/>
      <c r="AT16" s="8"/>
      <c r="AU16" s="8"/>
      <c r="AV16" s="8"/>
      <c r="AW16" s="8"/>
      <c r="AX16" s="8"/>
      <c r="AY16" s="8"/>
      <c r="AZ16" s="8"/>
      <c r="BA16" s="8"/>
      <c r="BB16" s="8"/>
      <c r="BC16" s="8"/>
      <c r="BD16" s="8"/>
      <c r="BE16" s="8"/>
      <c r="BF16" s="8"/>
      <c r="BG16" s="8"/>
      <c r="BH16" s="8"/>
      <c r="BI16" s="8"/>
      <c r="BJ16" s="8"/>
      <c r="BK16" s="8"/>
      <c r="BL16" s="8"/>
      <c r="BM16" s="8"/>
      <c r="BN16" s="8"/>
      <c r="BO16" s="8"/>
      <c r="BP16" s="8"/>
      <c r="BQ16" s="8"/>
      <c r="BR16" s="8"/>
      <c r="BS16" s="8"/>
      <c r="BT16" s="8"/>
      <c r="BU16" s="8"/>
      <c r="BV16" s="8"/>
      <c r="BW16" s="8"/>
      <c r="BX16" s="8"/>
      <c r="BY16" s="8"/>
      <c r="BZ16" s="8"/>
      <c r="CA16" s="8"/>
      <c r="CB16" s="8"/>
      <c r="CC16" s="8"/>
      <c r="CD16" s="8"/>
      <c r="CE16" s="8"/>
      <c r="CF16" s="8"/>
      <c r="CG16" s="8"/>
    </row>
    <row r="17" spans="1:85" x14ac:dyDescent="0.25">
      <c r="E17" s="5"/>
      <c r="F17" t="str">
        <f t="shared" si="0"/>
        <v/>
      </c>
      <c r="G17" s="5" t="str">
        <f>IF($L17&lt;&gt;"",EOMONTH(DATE(YEAR($M$11),MONTH($M$11)-IF(DAY($N$6)&lt;$N$7,1,0),DAY($M$11)),($H17*$A$1)+IF(MESADICIONAL=TRUE,1,0)),"")</f>
        <v/>
      </c>
      <c r="H17" s="22" t="str">
        <f t="shared" si="1"/>
        <v/>
      </c>
      <c r="I17" s="22" t="str">
        <f t="shared" si="2"/>
        <v/>
      </c>
      <c r="J17" s="22" t="str">
        <f t="shared" si="3"/>
        <v/>
      </c>
      <c r="K17" s="22" t="str">
        <f t="shared" si="14"/>
        <v/>
      </c>
      <c r="L17" t="str">
        <f t="shared" si="4"/>
        <v/>
      </c>
      <c r="M17" s="5" t="str">
        <f t="shared" si="15"/>
        <v/>
      </c>
      <c r="N17" s="9" t="str">
        <f t="shared" si="5"/>
        <v/>
      </c>
      <c r="O17" s="3" t="str">
        <f t="shared" si="6"/>
        <v/>
      </c>
      <c r="P17" s="3" t="str">
        <f t="shared" si="7"/>
        <v/>
      </c>
      <c r="Q17" s="3" t="str">
        <f t="shared" si="8"/>
        <v/>
      </c>
      <c r="R17" s="3" t="str">
        <f t="shared" si="9"/>
        <v/>
      </c>
      <c r="S17" s="3" t="str">
        <f>IF($L17&lt;&gt;"",IF($A17="Prepago",0,IF($H17*$U$6&gt;SUM($S$11:$S16)+$U$6,$U$6*2,$U$6)),"")</f>
        <v/>
      </c>
      <c r="T17" s="3" t="str">
        <f>IF($L17&lt;&gt;"",IF($A17="Prepago",0,IF($H17*$U$7&gt;SUM($T$11:$T16)+$U$7,$U$7*2,$U$7)),"")</f>
        <v/>
      </c>
      <c r="U17" s="3" t="str">
        <f>IF($L17&lt;&gt;"",IF($A17="Prepago",0,IF($H17*$U$8&gt;SUM($U$11:$U16)+$U$8,$U$8*2,$U$8)),"")</f>
        <v/>
      </c>
      <c r="V17" s="3" t="str">
        <f t="shared" si="10"/>
        <v/>
      </c>
      <c r="W17" s="3" t="str">
        <f t="shared" si="11"/>
        <v/>
      </c>
      <c r="X17" s="3" t="str">
        <f t="shared" si="12"/>
        <v/>
      </c>
      <c r="Y17" s="3" t="str">
        <f t="shared" si="13"/>
        <v/>
      </c>
      <c r="Z17" s="3" t="str">
        <f>IF($L17&lt;&gt;"",IF($N17&gt;Y$11,IF($N17&lt;Z$11,$N17-Y$11,30),0)*ROUND(($O17+$W16+SUM($Y17:Y17))*$V$5/3000,2),"")</f>
        <v/>
      </c>
      <c r="AA17" s="3"/>
      <c r="AB17" s="3"/>
      <c r="AC17" s="3"/>
      <c r="AD17" s="3"/>
      <c r="AE17" s="3"/>
      <c r="AF17" s="3"/>
      <c r="AG17" s="3"/>
      <c r="AH17" s="8"/>
      <c r="AI17" s="8"/>
      <c r="AJ17" s="8"/>
      <c r="AK17" s="8"/>
      <c r="AL17" s="8"/>
      <c r="AM17" s="8"/>
      <c r="AN17" s="8"/>
      <c r="AO17" s="8"/>
      <c r="AP17" s="8"/>
      <c r="AQ17" s="8"/>
      <c r="AR17" s="8"/>
      <c r="AS17" s="8"/>
      <c r="AT17" s="8"/>
      <c r="AU17" s="8"/>
      <c r="AV17" s="8"/>
      <c r="AW17" s="8"/>
      <c r="AX17" s="8"/>
      <c r="AY17" s="8"/>
      <c r="AZ17" s="8"/>
      <c r="BA17" s="8"/>
      <c r="BB17" s="8"/>
      <c r="BC17" s="8"/>
      <c r="BD17" s="8"/>
      <c r="BE17" s="8"/>
      <c r="BF17" s="8"/>
      <c r="BG17" s="8"/>
      <c r="BH17" s="8"/>
      <c r="BI17" s="8"/>
      <c r="BJ17" s="8"/>
      <c r="BK17" s="8"/>
      <c r="BL17" s="8"/>
      <c r="BM17" s="8"/>
      <c r="BN17" s="8"/>
      <c r="BO17" s="8"/>
      <c r="BP17" s="8"/>
      <c r="BQ17" s="8"/>
      <c r="BR17" s="8"/>
      <c r="BS17" s="8"/>
      <c r="BT17" s="8"/>
      <c r="BU17" s="8"/>
      <c r="BV17" s="8"/>
      <c r="BW17" s="8"/>
      <c r="BX17" s="8"/>
      <c r="BY17" s="8"/>
      <c r="BZ17" s="8"/>
      <c r="CA17" s="8"/>
      <c r="CB17" s="8"/>
      <c r="CC17" s="8"/>
      <c r="CD17" s="8"/>
      <c r="CE17" s="8"/>
      <c r="CF17" s="8"/>
      <c r="CG17" s="8"/>
    </row>
    <row r="18" spans="1:85" x14ac:dyDescent="0.25">
      <c r="E18" s="5"/>
      <c r="F18" t="str">
        <f t="shared" si="0"/>
        <v/>
      </c>
      <c r="G18" s="5" t="str">
        <f>IF($L18&lt;&gt;"",EOMONTH(DATE(YEAR($M$11),MONTH($M$11)-IF(DAY($N$6)&lt;$N$7,1,0),DAY($M$11)),($H18*$A$1)+IF(MESADICIONAL=TRUE,1,0)),"")</f>
        <v/>
      </c>
      <c r="H18" s="22" t="str">
        <f t="shared" si="1"/>
        <v/>
      </c>
      <c r="I18" s="22" t="str">
        <f t="shared" si="2"/>
        <v/>
      </c>
      <c r="J18" s="22" t="str">
        <f t="shared" si="3"/>
        <v/>
      </c>
      <c r="K18" s="22" t="str">
        <f t="shared" si="14"/>
        <v/>
      </c>
      <c r="L18" t="str">
        <f t="shared" si="4"/>
        <v/>
      </c>
      <c r="M18" s="5" t="str">
        <f t="shared" si="15"/>
        <v/>
      </c>
      <c r="N18" s="9" t="str">
        <f t="shared" si="5"/>
        <v/>
      </c>
      <c r="O18" s="3" t="str">
        <f t="shared" si="6"/>
        <v/>
      </c>
      <c r="P18" s="3" t="str">
        <f t="shared" si="7"/>
        <v/>
      </c>
      <c r="Q18" s="3" t="str">
        <f t="shared" si="8"/>
        <v/>
      </c>
      <c r="R18" s="3" t="str">
        <f t="shared" si="9"/>
        <v/>
      </c>
      <c r="S18" s="3" t="str">
        <f>IF($L18&lt;&gt;"",IF($A18="Prepago",0,IF($H18*$U$6&gt;SUM($S$11:$S17)+$U$6,$U$6*2,$U$6)),"")</f>
        <v/>
      </c>
      <c r="T18" s="3" t="str">
        <f>IF($L18&lt;&gt;"",IF($A18="Prepago",0,IF($H18*$U$7&gt;SUM($T$11:$T17)+$U$7,$U$7*2,$U$7)),"")</f>
        <v/>
      </c>
      <c r="U18" s="3" t="str">
        <f>IF($L18&lt;&gt;"",IF($A18="Prepago",0,IF($H18*$U$8&gt;SUM($U$11:$U17)+$U$8,$U$8*2,$U$8)),"")</f>
        <v/>
      </c>
      <c r="V18" s="3" t="str">
        <f t="shared" si="10"/>
        <v/>
      </c>
      <c r="W18" s="3" t="str">
        <f t="shared" si="11"/>
        <v/>
      </c>
      <c r="X18" s="3" t="str">
        <f t="shared" si="12"/>
        <v/>
      </c>
      <c r="Y18" s="3" t="str">
        <f t="shared" si="13"/>
        <v/>
      </c>
      <c r="Z18" s="3" t="str">
        <f>IF($L18&lt;&gt;"",IF($N18&gt;Y$11,IF($N18&lt;Z$11,$N18-Y$11,30),0)*ROUND(($O18+$W17+SUM($Y18:Y18))*$V$5/3000,2),"")</f>
        <v/>
      </c>
      <c r="AA18" s="3"/>
      <c r="AB18" s="3"/>
      <c r="AC18" s="3"/>
      <c r="AD18" s="3"/>
      <c r="AE18" s="3"/>
      <c r="AF18" s="8"/>
      <c r="AG18" s="8"/>
      <c r="AH18" s="8"/>
      <c r="AI18" s="8"/>
      <c r="AJ18" s="8"/>
      <c r="AK18" s="8"/>
      <c r="AL18" s="8"/>
      <c r="AM18" s="8"/>
      <c r="AN18" s="8"/>
      <c r="AO18" s="8"/>
      <c r="AP18" s="8"/>
      <c r="AQ18" s="8"/>
      <c r="AR18" s="8"/>
      <c r="AS18" s="8"/>
      <c r="AT18" s="8"/>
      <c r="AU18" s="8"/>
      <c r="AV18" s="8"/>
      <c r="AW18" s="8"/>
      <c r="AX18" s="8"/>
      <c r="AY18" s="8"/>
      <c r="AZ18" s="8"/>
      <c r="BA18" s="8"/>
      <c r="BB18" s="8"/>
      <c r="BC18" s="8"/>
      <c r="BD18" s="8"/>
      <c r="BE18" s="8"/>
      <c r="BF18" s="8"/>
      <c r="BG18" s="8"/>
      <c r="BH18" s="8"/>
      <c r="BI18" s="8"/>
      <c r="BJ18" s="8"/>
      <c r="BK18" s="8"/>
      <c r="BL18" s="8"/>
      <c r="BM18" s="8"/>
      <c r="BN18" s="8"/>
      <c r="BO18" s="8"/>
      <c r="BP18" s="8"/>
      <c r="BQ18" s="8"/>
      <c r="BR18" s="8"/>
      <c r="BS18" s="8"/>
      <c r="BT18" s="8"/>
      <c r="BU18" s="8"/>
      <c r="BV18" s="8"/>
      <c r="BW18" s="8"/>
      <c r="BX18" s="8"/>
      <c r="BY18" s="8"/>
      <c r="BZ18" s="8"/>
      <c r="CA18" s="8"/>
      <c r="CB18" s="8"/>
      <c r="CC18" s="8"/>
      <c r="CD18" s="8"/>
      <c r="CE18" s="8"/>
      <c r="CF18" s="8"/>
      <c r="CG18" s="8"/>
    </row>
    <row r="19" spans="1:85" x14ac:dyDescent="0.25">
      <c r="E19" s="5"/>
      <c r="F19" t="str">
        <f t="shared" si="0"/>
        <v/>
      </c>
      <c r="G19" s="5" t="str">
        <f>IF($L19&lt;&gt;"",EOMONTH(DATE(YEAR($M$11),MONTH($M$11)-IF(DAY($N$6)&lt;$N$7,1,0),DAY($M$11)),($H19*$A$1)+IF(MESADICIONAL=TRUE,1,0)),"")</f>
        <v/>
      </c>
      <c r="H19" s="22" t="str">
        <f t="shared" si="1"/>
        <v/>
      </c>
      <c r="I19" s="22" t="str">
        <f t="shared" si="2"/>
        <v/>
      </c>
      <c r="J19" s="22" t="str">
        <f t="shared" si="3"/>
        <v/>
      </c>
      <c r="K19" s="22" t="str">
        <f t="shared" si="14"/>
        <v/>
      </c>
      <c r="L19" t="str">
        <f t="shared" si="4"/>
        <v/>
      </c>
      <c r="M19" s="5" t="str">
        <f t="shared" si="15"/>
        <v/>
      </c>
      <c r="N19" s="9" t="str">
        <f t="shared" si="5"/>
        <v/>
      </c>
      <c r="O19" s="3" t="str">
        <f t="shared" si="6"/>
        <v/>
      </c>
      <c r="P19" s="3" t="str">
        <f t="shared" si="7"/>
        <v/>
      </c>
      <c r="Q19" s="3" t="str">
        <f t="shared" si="8"/>
        <v/>
      </c>
      <c r="R19" s="3" t="str">
        <f t="shared" si="9"/>
        <v/>
      </c>
      <c r="S19" s="3" t="str">
        <f>IF($L19&lt;&gt;"",IF($A19="Prepago",0,IF($H19*$U$6&gt;SUM($S$11:$S18)+$U$6,$U$6*2,$U$6)),"")</f>
        <v/>
      </c>
      <c r="T19" s="3" t="str">
        <f>IF($L19&lt;&gt;"",IF($A19="Prepago",0,IF($H19*$U$7&gt;SUM($T$11:$T18)+$U$7,$U$7*2,$U$7)),"")</f>
        <v/>
      </c>
      <c r="U19" s="3" t="str">
        <f>IF($L19&lt;&gt;"",IF($A19="Prepago",0,IF($H19*$U$8&gt;SUM($U$11:$U18)+$U$8,$U$8*2,$U$8)),"")</f>
        <v/>
      </c>
      <c r="V19" s="3" t="str">
        <f t="shared" si="10"/>
        <v/>
      </c>
      <c r="W19" s="3" t="str">
        <f t="shared" si="11"/>
        <v/>
      </c>
      <c r="X19" s="3" t="str">
        <f t="shared" si="12"/>
        <v/>
      </c>
      <c r="Y19" s="3" t="str">
        <f t="shared" si="13"/>
        <v/>
      </c>
      <c r="Z19" s="3" t="str">
        <f>IF($L19&lt;&gt;"",IF($N19&gt;Y$11,IF($N19&lt;Z$11,$N19-Y$11,30),0)*ROUND(($O19+$W18+SUM($Y19:Y19))*$V$5/3000,2),"")</f>
        <v/>
      </c>
      <c r="AA19" s="3"/>
      <c r="AB19" s="3"/>
      <c r="AC19" s="3"/>
      <c r="AD19" s="3"/>
      <c r="AE19" s="3"/>
      <c r="AF19" s="3"/>
      <c r="AG19" s="3"/>
      <c r="AH19" s="8"/>
      <c r="AI19" s="8"/>
      <c r="AJ19" s="8"/>
      <c r="AK19" s="8"/>
      <c r="AL19" s="8"/>
      <c r="AM19" s="8"/>
      <c r="AN19" s="8"/>
      <c r="AO19" s="8"/>
      <c r="AP19" s="8"/>
      <c r="AQ19" s="8"/>
      <c r="AR19" s="8"/>
      <c r="AS19" s="8"/>
      <c r="AT19" s="8"/>
      <c r="AU19" s="8"/>
      <c r="AV19" s="8"/>
      <c r="AW19" s="8"/>
      <c r="AX19" s="8"/>
      <c r="AY19" s="8"/>
      <c r="AZ19" s="8"/>
      <c r="BA19" s="8"/>
      <c r="BB19" s="8"/>
      <c r="BC19" s="8"/>
      <c r="BD19" s="8"/>
      <c r="BE19" s="8"/>
      <c r="BF19" s="8"/>
      <c r="BG19" s="8"/>
      <c r="BH19" s="8"/>
      <c r="BI19" s="8"/>
      <c r="BJ19" s="8"/>
      <c r="BK19" s="8"/>
      <c r="BL19" s="8"/>
      <c r="BM19" s="8"/>
      <c r="BN19" s="8"/>
      <c r="BO19" s="8"/>
      <c r="BP19" s="8"/>
      <c r="BQ19" s="8"/>
      <c r="BR19" s="8"/>
      <c r="BS19" s="8"/>
      <c r="BT19" s="8"/>
      <c r="BU19" s="8"/>
      <c r="BV19" s="8"/>
      <c r="BW19" s="8"/>
      <c r="BX19" s="8"/>
      <c r="BY19" s="8"/>
      <c r="BZ19" s="8"/>
      <c r="CA19" s="8"/>
      <c r="CB19" s="8"/>
      <c r="CC19" s="8"/>
      <c r="CD19" s="8"/>
      <c r="CE19" s="8"/>
      <c r="CF19" s="8"/>
      <c r="CG19" s="8"/>
    </row>
    <row r="20" spans="1:85" s="10" customFormat="1" x14ac:dyDescent="0.25">
      <c r="A20"/>
      <c r="B20"/>
      <c r="C20" s="20"/>
      <c r="D20" s="20"/>
      <c r="E20" s="5"/>
      <c r="F20" t="str">
        <f t="shared" si="0"/>
        <v/>
      </c>
      <c r="G20" s="5" t="str">
        <f>IF($L20&lt;&gt;"",EOMONTH(DATE(YEAR($M$11),MONTH($M$11)-IF(DAY($N$6)&lt;$N$7,1,0),DAY($M$11)),($H20*$A$1)+IF(MESADICIONAL=TRUE,1,0)),"")</f>
        <v/>
      </c>
      <c r="H20" s="22" t="str">
        <f t="shared" si="1"/>
        <v/>
      </c>
      <c r="I20" s="22" t="str">
        <f t="shared" si="2"/>
        <v/>
      </c>
      <c r="J20" s="22" t="str">
        <f t="shared" si="3"/>
        <v/>
      </c>
      <c r="K20" s="22" t="str">
        <f t="shared" si="14"/>
        <v/>
      </c>
      <c r="L20" t="str">
        <f t="shared" si="4"/>
        <v/>
      </c>
      <c r="M20" s="5" t="str">
        <f t="shared" si="15"/>
        <v/>
      </c>
      <c r="N20" s="9" t="str">
        <f t="shared" si="5"/>
        <v/>
      </c>
      <c r="O20" s="3" t="str">
        <f t="shared" si="6"/>
        <v/>
      </c>
      <c r="P20" s="3" t="str">
        <f t="shared" si="7"/>
        <v/>
      </c>
      <c r="Q20" s="3" t="str">
        <f t="shared" si="8"/>
        <v/>
      </c>
      <c r="R20" s="3" t="str">
        <f t="shared" si="9"/>
        <v/>
      </c>
      <c r="S20" s="3" t="str">
        <f>IF($L20&lt;&gt;"",IF($A20="Prepago",0,IF($H20*$U$6&gt;SUM($S$11:$S19)+$U$6,$U$6*2,$U$6)),"")</f>
        <v/>
      </c>
      <c r="T20" s="3" t="str">
        <f>IF($L20&lt;&gt;"",IF($A20="Prepago",0,IF($H20*$U$7&gt;SUM($T$11:$T19)+$U$7,$U$7*2,$U$7)),"")</f>
        <v/>
      </c>
      <c r="U20" s="3" t="str">
        <f>IF($L20&lt;&gt;"",IF($A20="Prepago",0,IF($H20*$U$8&gt;SUM($U$11:$U19)+$U$8,$U$8*2,$U$8)),"")</f>
        <v/>
      </c>
      <c r="V20" s="3" t="str">
        <f t="shared" si="10"/>
        <v/>
      </c>
      <c r="W20" s="3" t="str">
        <f t="shared" si="11"/>
        <v/>
      </c>
      <c r="X20" s="3" t="str">
        <f t="shared" si="12"/>
        <v/>
      </c>
      <c r="Y20" s="3" t="str">
        <f t="shared" si="13"/>
        <v/>
      </c>
      <c r="Z20" s="3" t="str">
        <f>IF($L20&lt;&gt;"",IF($N20&gt;Y$11,IF($N20&lt;Z$11,$N20-Y$11,30),0)*ROUND(($O20+$W19+SUM($Y20:Y20))*$V$5/3000,2),"")</f>
        <v/>
      </c>
      <c r="AA20" s="3"/>
      <c r="AB20" s="3"/>
      <c r="AC20" s="3"/>
      <c r="AD20" s="3"/>
      <c r="AE20" s="8"/>
      <c r="AF20" s="8"/>
      <c r="AG20" s="8"/>
      <c r="AH20" s="8"/>
      <c r="AI20" s="8"/>
      <c r="AJ20" s="8"/>
      <c r="AK20" s="8"/>
      <c r="AL20" s="8"/>
      <c r="AM20" s="8"/>
      <c r="AN20" s="8"/>
      <c r="AO20" s="8"/>
      <c r="AP20" s="8"/>
      <c r="AQ20" s="8"/>
      <c r="AR20" s="8"/>
      <c r="AS20" s="8"/>
      <c r="AT20" s="8"/>
      <c r="AU20" s="8"/>
      <c r="AV20" s="8"/>
      <c r="AW20" s="8"/>
      <c r="AX20" s="8"/>
      <c r="AY20" s="8"/>
      <c r="AZ20" s="8"/>
      <c r="BA20" s="8"/>
      <c r="BB20" s="8"/>
      <c r="BC20" s="8"/>
      <c r="BD20" s="8"/>
      <c r="BE20" s="8"/>
      <c r="BF20" s="8"/>
      <c r="BG20" s="8"/>
      <c r="BH20" s="8"/>
      <c r="BI20" s="8"/>
      <c r="BJ20" s="8"/>
      <c r="BK20" s="8"/>
      <c r="BL20" s="8"/>
      <c r="BM20" s="8"/>
      <c r="BN20" s="8"/>
      <c r="BO20" s="8"/>
      <c r="BP20" s="8"/>
      <c r="BQ20" s="8"/>
      <c r="BR20" s="8"/>
      <c r="BS20" s="8"/>
      <c r="BT20" s="8"/>
      <c r="BU20" s="8"/>
      <c r="BV20" s="8"/>
      <c r="BW20" s="8"/>
      <c r="BX20" s="8"/>
      <c r="BY20" s="8"/>
      <c r="BZ20" s="8"/>
      <c r="CA20" s="8"/>
      <c r="CB20" s="8"/>
      <c r="CC20" s="8"/>
      <c r="CD20" s="8"/>
      <c r="CE20" s="8"/>
      <c r="CF20" s="8"/>
      <c r="CG20" s="8"/>
    </row>
    <row r="21" spans="1:85" x14ac:dyDescent="0.25">
      <c r="E21" s="5"/>
      <c r="F21" t="str">
        <f t="shared" si="0"/>
        <v/>
      </c>
      <c r="G21" s="5" t="str">
        <f>IF($L21&lt;&gt;"",EOMONTH(DATE(YEAR($M$11),MONTH($M$11)-IF(DAY($N$6)&lt;$N$7,1,0),DAY($M$11)),($H21*$A$1)+IF(MESADICIONAL=TRUE,1,0)),"")</f>
        <v/>
      </c>
      <c r="H21" s="22" t="str">
        <f t="shared" si="1"/>
        <v/>
      </c>
      <c r="I21" s="22" t="str">
        <f t="shared" si="2"/>
        <v/>
      </c>
      <c r="J21" s="22" t="str">
        <f t="shared" si="3"/>
        <v/>
      </c>
      <c r="K21" s="22" t="str">
        <f t="shared" si="14"/>
        <v/>
      </c>
      <c r="L21" t="str">
        <f t="shared" si="4"/>
        <v/>
      </c>
      <c r="M21" s="5" t="str">
        <f t="shared" si="15"/>
        <v/>
      </c>
      <c r="N21" s="9" t="str">
        <f t="shared" si="5"/>
        <v/>
      </c>
      <c r="O21" s="3" t="str">
        <f t="shared" si="6"/>
        <v/>
      </c>
      <c r="P21" s="3" t="str">
        <f t="shared" si="7"/>
        <v/>
      </c>
      <c r="Q21" s="3" t="str">
        <f t="shared" si="8"/>
        <v/>
      </c>
      <c r="R21" s="3" t="str">
        <f t="shared" si="9"/>
        <v/>
      </c>
      <c r="S21" s="3" t="str">
        <f>IF($L21&lt;&gt;"",IF($A21="Prepago",0,IF($H21*$U$6&gt;SUM($S$11:$S20)+$U$6,$U$6*2,$U$6)),"")</f>
        <v/>
      </c>
      <c r="T21" s="3" t="str">
        <f>IF($L21&lt;&gt;"",IF($A21="Prepago",0,IF($H21*$U$7&gt;SUM($T$11:$T20)+$U$7,$U$7*2,$U$7)),"")</f>
        <v/>
      </c>
      <c r="U21" s="3" t="str">
        <f>IF($L21&lt;&gt;"",IF($A21="Prepago",0,IF($H21*$U$8&gt;SUM($U$11:$U20)+$U$8,$U$8*2,$U$8)),"")</f>
        <v/>
      </c>
      <c r="V21" s="3" t="str">
        <f t="shared" si="10"/>
        <v/>
      </c>
      <c r="W21" s="3" t="str">
        <f t="shared" si="11"/>
        <v/>
      </c>
      <c r="X21" s="3" t="str">
        <f t="shared" si="12"/>
        <v/>
      </c>
      <c r="Y21" s="3" t="str">
        <f t="shared" si="13"/>
        <v/>
      </c>
      <c r="Z21" s="3" t="str">
        <f>IF($L21&lt;&gt;"",IF($N21&gt;Y$11,IF($N21&lt;Z$11,$N21-Y$11,30),0)*ROUND(($O21+$W20+SUM($Y21:Y21))*$V$5/3000,2),"")</f>
        <v/>
      </c>
      <c r="AA21" s="3"/>
      <c r="AB21" s="3"/>
      <c r="AC21" s="8"/>
      <c r="AD21" s="8"/>
      <c r="AE21" s="8"/>
      <c r="AF21" s="8"/>
      <c r="AG21" s="8"/>
      <c r="AH21" s="8"/>
      <c r="AI21" s="8"/>
      <c r="AJ21" s="8"/>
      <c r="AK21" s="8"/>
      <c r="AL21" s="8"/>
      <c r="AM21" s="8"/>
      <c r="AN21" s="8"/>
      <c r="AO21" s="8"/>
      <c r="AP21" s="8"/>
      <c r="AQ21" s="8"/>
      <c r="AR21" s="8"/>
      <c r="AS21" s="8"/>
      <c r="AT21" s="8"/>
      <c r="AU21" s="8"/>
      <c r="AV21" s="8"/>
      <c r="AW21" s="8"/>
      <c r="AX21" s="8"/>
      <c r="AY21" s="8"/>
      <c r="AZ21" s="8"/>
      <c r="BA21" s="8"/>
      <c r="BB21" s="8"/>
      <c r="BC21" s="8"/>
      <c r="BD21" s="8"/>
      <c r="BE21" s="8"/>
      <c r="BF21" s="8"/>
      <c r="BG21" s="8"/>
      <c r="BH21" s="8"/>
      <c r="BI21" s="8"/>
      <c r="BJ21" s="8"/>
      <c r="BK21" s="8"/>
      <c r="BL21" s="8"/>
      <c r="BM21" s="8"/>
      <c r="BN21" s="8"/>
      <c r="BO21" s="8"/>
      <c r="BP21" s="8"/>
      <c r="BQ21" s="8"/>
      <c r="BR21" s="8"/>
      <c r="BS21" s="8"/>
      <c r="BT21" s="8"/>
      <c r="BU21" s="8"/>
      <c r="BV21" s="8"/>
      <c r="BW21" s="8"/>
      <c r="BX21" s="8"/>
      <c r="BY21" s="8"/>
      <c r="BZ21" s="8"/>
      <c r="CA21" s="8"/>
      <c r="CB21" s="8"/>
      <c r="CC21" s="8"/>
      <c r="CD21" s="8"/>
      <c r="CE21" s="8"/>
      <c r="CF21" s="8"/>
      <c r="CG21" s="8"/>
    </row>
    <row r="22" spans="1:85" x14ac:dyDescent="0.25">
      <c r="E22" s="5"/>
      <c r="F22" t="str">
        <f t="shared" si="0"/>
        <v/>
      </c>
      <c r="G22" s="5" t="str">
        <f>IF($L22&lt;&gt;"",EOMONTH(DATE(YEAR($M$11),MONTH($M$11)-IF(DAY($N$6)&lt;$N$7,1,0),DAY($M$11)),($H22*$A$1)+IF(MESADICIONAL=TRUE,1,0)),"")</f>
        <v/>
      </c>
      <c r="H22" s="22" t="str">
        <f t="shared" si="1"/>
        <v/>
      </c>
      <c r="I22" s="22" t="str">
        <f t="shared" si="2"/>
        <v/>
      </c>
      <c r="J22" s="22" t="str">
        <f t="shared" si="3"/>
        <v/>
      </c>
      <c r="K22" s="22" t="str">
        <f t="shared" si="14"/>
        <v/>
      </c>
      <c r="L22" t="str">
        <f t="shared" si="4"/>
        <v/>
      </c>
      <c r="M22" s="5" t="str">
        <f t="shared" si="15"/>
        <v/>
      </c>
      <c r="N22" s="9" t="str">
        <f t="shared" si="5"/>
        <v/>
      </c>
      <c r="O22" s="3" t="str">
        <f t="shared" si="6"/>
        <v/>
      </c>
      <c r="P22" s="3" t="str">
        <f t="shared" si="7"/>
        <v/>
      </c>
      <c r="Q22" s="3" t="str">
        <f t="shared" si="8"/>
        <v/>
      </c>
      <c r="R22" s="3" t="str">
        <f t="shared" si="9"/>
        <v/>
      </c>
      <c r="S22" s="3" t="str">
        <f>IF($L22&lt;&gt;"",IF($A22="Prepago",0,IF($H22*$U$6&gt;SUM($S$11:$S21)+$U$6,$U$6*2,$U$6)),"")</f>
        <v/>
      </c>
      <c r="T22" s="3" t="str">
        <f>IF($L22&lt;&gt;"",IF($A22="Prepago",0,IF($H22*$U$7&gt;SUM($T$11:$T21)+$U$7,$U$7*2,$U$7)),"")</f>
        <v/>
      </c>
      <c r="U22" s="3" t="str">
        <f>IF($L22&lt;&gt;"",IF($A22="Prepago",0,IF($H22*$U$8&gt;SUM($U$11:$U21)+$U$8,$U$8*2,$U$8)),"")</f>
        <v/>
      </c>
      <c r="V22" s="3" t="str">
        <f t="shared" si="10"/>
        <v/>
      </c>
      <c r="W22" s="3" t="str">
        <f t="shared" si="11"/>
        <v/>
      </c>
      <c r="X22" s="3" t="str">
        <f t="shared" si="12"/>
        <v/>
      </c>
      <c r="Y22" s="3" t="str">
        <f t="shared" si="13"/>
        <v/>
      </c>
      <c r="Z22" s="3" t="str">
        <f>IF($L22&lt;&gt;"",IF($N22&gt;Y$11,IF($N22&lt;Z$11,$N22-Y$11,30),0)*ROUND(($O22+$W21+SUM($Y22:Y22))*$V$5/3000,2),"")</f>
        <v/>
      </c>
      <c r="AA22" s="3"/>
      <c r="AB22" s="3"/>
      <c r="AC22" s="3"/>
      <c r="AD22" s="3"/>
      <c r="AE22" s="8"/>
      <c r="AF22" s="8"/>
      <c r="AG22" s="8"/>
      <c r="AH22" s="8"/>
      <c r="AI22" s="8"/>
      <c r="AJ22" s="8"/>
      <c r="AK22" s="8"/>
      <c r="AL22" s="8"/>
      <c r="AM22" s="8"/>
      <c r="AN22" s="8"/>
      <c r="AO22" s="8"/>
      <c r="AP22" s="8"/>
      <c r="AQ22" s="8"/>
      <c r="AR22" s="8"/>
      <c r="AS22" s="8"/>
      <c r="AT22" s="8"/>
      <c r="AU22" s="8"/>
      <c r="AV22" s="8"/>
      <c r="AW22" s="8"/>
      <c r="AX22" s="8"/>
      <c r="AY22" s="8"/>
      <c r="AZ22" s="8"/>
      <c r="BA22" s="8"/>
      <c r="BB22" s="8"/>
      <c r="BC22" s="8"/>
      <c r="BD22" s="8"/>
      <c r="BE22" s="8"/>
      <c r="BF22" s="8"/>
      <c r="BG22" s="8"/>
      <c r="BH22" s="8"/>
      <c r="BI22" s="8"/>
      <c r="BJ22" s="8"/>
      <c r="BK22" s="8"/>
      <c r="BL22" s="8"/>
      <c r="BM22" s="8"/>
      <c r="BN22" s="8"/>
      <c r="BO22" s="8"/>
      <c r="BP22" s="8"/>
      <c r="BQ22" s="8"/>
      <c r="BR22" s="8"/>
      <c r="BS22" s="8"/>
      <c r="BT22" s="8"/>
      <c r="BU22" s="8"/>
      <c r="BV22" s="8"/>
      <c r="BW22" s="8"/>
      <c r="BX22" s="8"/>
      <c r="BY22" s="8"/>
      <c r="BZ22" s="8"/>
      <c r="CA22" s="8"/>
      <c r="CB22" s="8"/>
      <c r="CC22" s="8"/>
      <c r="CD22" s="8"/>
      <c r="CE22" s="8"/>
      <c r="CF22" s="8"/>
      <c r="CG22" s="8"/>
    </row>
    <row r="23" spans="1:85" x14ac:dyDescent="0.25">
      <c r="E23" s="5"/>
      <c r="F23" t="str">
        <f t="shared" si="0"/>
        <v/>
      </c>
      <c r="G23" s="5" t="str">
        <f>IF($L23&lt;&gt;"",EOMONTH(DATE(YEAR($M$11),MONTH($M$11)-IF(DAY($N$6)&lt;$N$7,1,0),DAY($M$11)),($H23*$A$1)+IF(MESADICIONAL=TRUE,1,0)),"")</f>
        <v/>
      </c>
      <c r="H23" s="22" t="str">
        <f t="shared" si="1"/>
        <v/>
      </c>
      <c r="I23" s="22" t="str">
        <f t="shared" si="2"/>
        <v/>
      </c>
      <c r="J23" s="22" t="str">
        <f t="shared" si="3"/>
        <v/>
      </c>
      <c r="K23" s="22" t="str">
        <f t="shared" si="14"/>
        <v/>
      </c>
      <c r="L23" t="str">
        <f t="shared" si="4"/>
        <v/>
      </c>
      <c r="M23" s="5" t="str">
        <f t="shared" si="15"/>
        <v/>
      </c>
      <c r="N23" s="9" t="str">
        <f t="shared" si="5"/>
        <v/>
      </c>
      <c r="O23" s="3" t="str">
        <f t="shared" si="6"/>
        <v/>
      </c>
      <c r="P23" s="3" t="str">
        <f t="shared" si="7"/>
        <v/>
      </c>
      <c r="Q23" s="3" t="str">
        <f t="shared" si="8"/>
        <v/>
      </c>
      <c r="R23" s="3" t="str">
        <f t="shared" si="9"/>
        <v/>
      </c>
      <c r="S23" s="3" t="str">
        <f>IF($L23&lt;&gt;"",IF($A23="Prepago",0,IF($H23*$U$6&gt;SUM($S$11:$S22)+$U$6,$U$6*2,$U$6)),"")</f>
        <v/>
      </c>
      <c r="T23" s="3" t="str">
        <f>IF($L23&lt;&gt;"",IF($A23="Prepago",0,IF($H23*$U$7&gt;SUM($T$11:$T22)+$U$7,$U$7*2,$U$7)),"")</f>
        <v/>
      </c>
      <c r="U23" s="3" t="str">
        <f>IF($L23&lt;&gt;"",IF($A23="Prepago",0,IF($H23*$U$8&gt;SUM($U$11:$U22)+$U$8,$U$8*2,$U$8)),"")</f>
        <v/>
      </c>
      <c r="V23" s="3" t="str">
        <f t="shared" si="10"/>
        <v/>
      </c>
      <c r="W23" s="3" t="str">
        <f t="shared" si="11"/>
        <v/>
      </c>
      <c r="X23" s="3" t="str">
        <f t="shared" si="12"/>
        <v/>
      </c>
      <c r="Y23" s="3" t="str">
        <f t="shared" si="13"/>
        <v/>
      </c>
      <c r="Z23" s="3" t="str">
        <f>IF($L23&lt;&gt;"",IF($N23&gt;Y$11,IF($N23&lt;Z$11,$N23-Y$11,30),0)*ROUND(($O23+$W22+SUM($Y23:Y23))*$V$5/3000,2),"")</f>
        <v/>
      </c>
      <c r="AA23" s="3"/>
      <c r="AB23" s="3"/>
      <c r="AC23" s="8"/>
      <c r="AD23" s="8"/>
      <c r="AE23" s="8"/>
      <c r="AF23" s="8"/>
      <c r="AG23" s="8"/>
      <c r="AH23" s="8"/>
      <c r="AI23" s="8"/>
      <c r="AJ23" s="8"/>
      <c r="AK23" s="8"/>
      <c r="AL23" s="8"/>
      <c r="AM23" s="8"/>
      <c r="AN23" s="8"/>
      <c r="AO23" s="8"/>
      <c r="AP23" s="8"/>
      <c r="AQ23" s="8"/>
      <c r="AR23" s="8"/>
      <c r="AS23" s="8"/>
      <c r="AT23" s="8"/>
      <c r="AU23" s="8"/>
      <c r="AV23" s="8"/>
      <c r="AW23" s="8"/>
      <c r="AX23" s="8"/>
      <c r="AY23" s="8"/>
      <c r="AZ23" s="8"/>
      <c r="BA23" s="8"/>
      <c r="BB23" s="8"/>
      <c r="BC23" s="8"/>
      <c r="BD23" s="8"/>
      <c r="BE23" s="8"/>
      <c r="BF23" s="8"/>
      <c r="BG23" s="8"/>
      <c r="BH23" s="8"/>
      <c r="BI23" s="8"/>
      <c r="BJ23" s="8"/>
      <c r="BK23" s="8"/>
      <c r="BL23" s="8"/>
      <c r="BM23" s="8"/>
      <c r="BN23" s="8"/>
      <c r="BO23" s="8"/>
      <c r="BP23" s="8"/>
      <c r="BQ23" s="8"/>
      <c r="BR23" s="8"/>
      <c r="BS23" s="8"/>
      <c r="BT23" s="8"/>
      <c r="BU23" s="8"/>
      <c r="BV23" s="8"/>
      <c r="BW23" s="8"/>
      <c r="BX23" s="8"/>
      <c r="BY23" s="8"/>
      <c r="BZ23" s="8"/>
      <c r="CA23" s="8"/>
      <c r="CB23" s="8"/>
      <c r="CC23" s="8"/>
      <c r="CD23" s="8"/>
      <c r="CE23" s="8"/>
      <c r="CF23" s="8"/>
      <c r="CG23" s="8"/>
    </row>
    <row r="24" spans="1:85" x14ac:dyDescent="0.25">
      <c r="E24" s="5"/>
      <c r="F24" t="str">
        <f t="shared" si="0"/>
        <v/>
      </c>
      <c r="G24" s="5" t="str">
        <f>IF($L24&lt;&gt;"",EOMONTH(DATE(YEAR($M$11),MONTH($M$11)-IF(DAY($N$6)&lt;$N$7,1,0),DAY($M$11)),($H24*$A$1)+IF(MESADICIONAL=TRUE,1,0)),"")</f>
        <v/>
      </c>
      <c r="H24" s="22" t="str">
        <f t="shared" si="1"/>
        <v/>
      </c>
      <c r="I24" s="22" t="str">
        <f t="shared" si="2"/>
        <v/>
      </c>
      <c r="J24" s="22" t="str">
        <f t="shared" si="3"/>
        <v/>
      </c>
      <c r="K24" s="22" t="str">
        <f t="shared" si="14"/>
        <v/>
      </c>
      <c r="L24" t="str">
        <f t="shared" si="4"/>
        <v/>
      </c>
      <c r="M24" s="5" t="str">
        <f t="shared" si="15"/>
        <v/>
      </c>
      <c r="N24" s="9" t="str">
        <f t="shared" si="5"/>
        <v/>
      </c>
      <c r="O24" s="3" t="str">
        <f t="shared" si="6"/>
        <v/>
      </c>
      <c r="P24" s="3" t="str">
        <f t="shared" si="7"/>
        <v/>
      </c>
      <c r="Q24" s="3" t="str">
        <f t="shared" si="8"/>
        <v/>
      </c>
      <c r="R24" s="3" t="str">
        <f t="shared" si="9"/>
        <v/>
      </c>
      <c r="S24" s="3" t="str">
        <f>IF($L24&lt;&gt;"",IF($A24="Prepago",0,IF($H24*$U$6&gt;SUM($S$11:$S23)+$U$6,$U$6*2,$U$6)),"")</f>
        <v/>
      </c>
      <c r="T24" s="3" t="str">
        <f>IF($L24&lt;&gt;"",IF($A24="Prepago",0,IF($H24*$U$7&gt;SUM($T$11:$T23)+$U$7,$U$7*2,$U$7)),"")</f>
        <v/>
      </c>
      <c r="U24" s="3" t="str">
        <f>IF($L24&lt;&gt;"",IF($A24="Prepago",0,IF($H24*$U$8&gt;SUM($U$11:$U23)+$U$8,$U$8*2,$U$8)),"")</f>
        <v/>
      </c>
      <c r="V24" s="3" t="str">
        <f t="shared" si="10"/>
        <v/>
      </c>
      <c r="W24" s="3" t="str">
        <f t="shared" si="11"/>
        <v/>
      </c>
      <c r="X24" s="3" t="str">
        <f t="shared" si="12"/>
        <v/>
      </c>
      <c r="Y24" s="3" t="str">
        <f t="shared" si="13"/>
        <v/>
      </c>
      <c r="Z24" s="3" t="str">
        <f>IF($L24&lt;&gt;"",IF($N24&gt;Y$11,IF($N24&lt;Z$11,$N24-Y$11,30),0)*ROUND(($O24+$W23+SUM($Y24:Y24))*$V$5/3000,2),"")</f>
        <v/>
      </c>
      <c r="AA24" s="3"/>
      <c r="AB24" s="3"/>
      <c r="AC24" s="3"/>
      <c r="AD24" s="3"/>
      <c r="AE24" s="8"/>
      <c r="AF24" s="8"/>
      <c r="AG24" s="8"/>
      <c r="AH24" s="8"/>
      <c r="AI24" s="8"/>
      <c r="AJ24" s="8"/>
      <c r="AK24" s="8"/>
      <c r="AL24" s="8"/>
      <c r="AM24" s="8"/>
      <c r="AN24" s="8"/>
      <c r="AO24" s="8"/>
      <c r="AP24" s="8"/>
      <c r="AQ24" s="8"/>
      <c r="AR24" s="8"/>
      <c r="AS24" s="8"/>
      <c r="AT24" s="8"/>
      <c r="AU24" s="8"/>
      <c r="AV24" s="8"/>
      <c r="AW24" s="8"/>
      <c r="AX24" s="8"/>
      <c r="AY24" s="8"/>
      <c r="AZ24" s="8"/>
      <c r="BA24" s="8"/>
      <c r="BB24" s="8"/>
      <c r="BC24" s="8"/>
      <c r="BD24" s="8"/>
      <c r="BE24" s="8"/>
      <c r="BF24" s="8"/>
      <c r="BG24" s="8"/>
      <c r="BH24" s="8"/>
      <c r="BI24" s="8"/>
      <c r="BJ24" s="8"/>
      <c r="BK24" s="8"/>
      <c r="BL24" s="8"/>
      <c r="BM24" s="8"/>
      <c r="BN24" s="8"/>
      <c r="BO24" s="8"/>
      <c r="BP24" s="8"/>
      <c r="BQ24" s="8"/>
      <c r="BR24" s="8"/>
      <c r="BS24" s="8"/>
      <c r="BT24" s="8"/>
      <c r="BU24" s="8"/>
      <c r="BV24" s="8"/>
      <c r="BW24" s="8"/>
      <c r="BX24" s="8"/>
      <c r="BY24" s="8"/>
      <c r="BZ24" s="8"/>
      <c r="CA24" s="8"/>
      <c r="CB24" s="8"/>
      <c r="CC24" s="8"/>
      <c r="CD24" s="8"/>
      <c r="CE24" s="8"/>
      <c r="CF24" s="8"/>
      <c r="CG24" s="8"/>
    </row>
    <row r="25" spans="1:85" x14ac:dyDescent="0.25">
      <c r="E25" s="5"/>
      <c r="F25" t="str">
        <f t="shared" si="0"/>
        <v/>
      </c>
      <c r="G25" s="5" t="str">
        <f>IF($L25&lt;&gt;"",EOMONTH(DATE(YEAR($M$11),MONTH($M$11)-IF(DAY($N$6)&lt;$N$7,1,0),DAY($M$11)),($H25*$A$1)+IF(MESADICIONAL=TRUE,1,0)),"")</f>
        <v/>
      </c>
      <c r="H25" s="22" t="str">
        <f t="shared" si="1"/>
        <v/>
      </c>
      <c r="I25" s="22" t="str">
        <f t="shared" si="2"/>
        <v/>
      </c>
      <c r="J25" s="22" t="str">
        <f t="shared" si="3"/>
        <v/>
      </c>
      <c r="K25" s="22" t="str">
        <f t="shared" si="14"/>
        <v/>
      </c>
      <c r="L25" t="str">
        <f t="shared" si="4"/>
        <v/>
      </c>
      <c r="M25" s="5" t="str">
        <f t="shared" si="15"/>
        <v/>
      </c>
      <c r="N25" s="9" t="str">
        <f t="shared" si="5"/>
        <v/>
      </c>
      <c r="O25" s="3" t="str">
        <f t="shared" si="6"/>
        <v/>
      </c>
      <c r="P25" s="3" t="str">
        <f t="shared" si="7"/>
        <v/>
      </c>
      <c r="Q25" s="3" t="str">
        <f t="shared" si="8"/>
        <v/>
      </c>
      <c r="R25" s="3" t="str">
        <f t="shared" si="9"/>
        <v/>
      </c>
      <c r="S25" s="3" t="str">
        <f>IF($L25&lt;&gt;"",IF($A25="Prepago",0,IF($H25*$U$6&gt;SUM($S$11:$S24)+$U$6,$U$6*2,$U$6)),"")</f>
        <v/>
      </c>
      <c r="T25" s="3" t="str">
        <f>IF($L25&lt;&gt;"",IF($A25="Prepago",0,IF($H25*$U$7&gt;SUM($T$11:$T24)+$U$7,$U$7*2,$U$7)),"")</f>
        <v/>
      </c>
      <c r="U25" s="3" t="str">
        <f>IF($L25&lt;&gt;"",IF($A25="Prepago",0,IF($H25*$U$8&gt;SUM($U$11:$U24)+$U$8,$U$8*2,$U$8)),"")</f>
        <v/>
      </c>
      <c r="V25" s="3" t="str">
        <f t="shared" si="10"/>
        <v/>
      </c>
      <c r="W25" s="3" t="str">
        <f t="shared" si="11"/>
        <v/>
      </c>
      <c r="X25" s="3" t="str">
        <f t="shared" si="12"/>
        <v/>
      </c>
      <c r="Y25" s="3" t="str">
        <f t="shared" si="13"/>
        <v/>
      </c>
      <c r="Z25" s="3" t="str">
        <f>IF($L25&lt;&gt;"",IF($N25&gt;Y$11,IF($N25&lt;Z$11,$N25-Y$11,30),0)*ROUND(($O25+$W24+SUM($Y25:Y25))*$V$5/3000,2),"")</f>
        <v/>
      </c>
      <c r="AA25" s="3"/>
      <c r="AB25" s="3"/>
      <c r="AC25" s="8"/>
      <c r="AD25" s="8"/>
      <c r="AE25" s="8"/>
      <c r="AF25" s="8"/>
      <c r="AG25" s="8"/>
      <c r="AH25" s="8"/>
      <c r="AI25" s="8"/>
      <c r="AJ25" s="8"/>
      <c r="AK25" s="8"/>
      <c r="AL25" s="8"/>
      <c r="AM25" s="8"/>
      <c r="AN25" s="8"/>
      <c r="AO25" s="8"/>
      <c r="AP25" s="8"/>
      <c r="AQ25" s="8"/>
      <c r="AR25" s="8"/>
      <c r="AS25" s="8"/>
      <c r="AT25" s="8"/>
      <c r="AU25" s="8"/>
      <c r="AV25" s="8"/>
      <c r="AW25" s="8"/>
      <c r="AX25" s="8"/>
      <c r="AY25" s="8"/>
      <c r="AZ25" s="8"/>
      <c r="BA25" s="8"/>
      <c r="BB25" s="8"/>
      <c r="BC25" s="8"/>
      <c r="BD25" s="8"/>
      <c r="BE25" s="8"/>
      <c r="BF25" s="8"/>
      <c r="BG25" s="8"/>
      <c r="BH25" s="8"/>
      <c r="BI25" s="8"/>
      <c r="BJ25" s="8"/>
      <c r="BK25" s="8"/>
      <c r="BL25" s="8"/>
      <c r="BM25" s="8"/>
      <c r="BN25" s="8"/>
      <c r="BO25" s="8"/>
      <c r="BP25" s="8"/>
      <c r="BQ25" s="8"/>
      <c r="BR25" s="8"/>
      <c r="BS25" s="8"/>
      <c r="BT25" s="8"/>
      <c r="BU25" s="8"/>
      <c r="BV25" s="8"/>
      <c r="BW25" s="8"/>
      <c r="BX25" s="8"/>
      <c r="BY25" s="8"/>
      <c r="BZ25" s="8"/>
      <c r="CA25" s="8"/>
      <c r="CB25" s="8"/>
      <c r="CC25" s="8"/>
      <c r="CD25" s="8"/>
      <c r="CE25" s="8"/>
      <c r="CF25" s="8"/>
      <c r="CG25" s="8"/>
    </row>
    <row r="26" spans="1:85" x14ac:dyDescent="0.25">
      <c r="E26" s="5"/>
      <c r="F26" t="str">
        <f t="shared" si="0"/>
        <v/>
      </c>
      <c r="G26" s="5" t="str">
        <f>IF($L26&lt;&gt;"",EOMONTH(DATE(YEAR($M$11),MONTH($M$11)-IF(DAY($N$6)&lt;$N$7,1,0),DAY($M$11)),($H26*$A$1)+IF(MESADICIONAL=TRUE,1,0)),"")</f>
        <v/>
      </c>
      <c r="H26" s="22" t="str">
        <f t="shared" si="1"/>
        <v/>
      </c>
      <c r="I26" s="22" t="str">
        <f t="shared" si="2"/>
        <v/>
      </c>
      <c r="J26" s="22" t="str">
        <f t="shared" si="3"/>
        <v/>
      </c>
      <c r="K26" s="22" t="str">
        <f t="shared" si="14"/>
        <v/>
      </c>
      <c r="L26" t="str">
        <f t="shared" si="4"/>
        <v/>
      </c>
      <c r="M26" s="5" t="str">
        <f t="shared" si="15"/>
        <v/>
      </c>
      <c r="N26" s="9" t="str">
        <f t="shared" si="5"/>
        <v/>
      </c>
      <c r="O26" s="3" t="str">
        <f t="shared" si="6"/>
        <v/>
      </c>
      <c r="P26" s="3" t="str">
        <f t="shared" si="7"/>
        <v/>
      </c>
      <c r="Q26" s="3" t="str">
        <f t="shared" si="8"/>
        <v/>
      </c>
      <c r="R26" s="3" t="str">
        <f t="shared" si="9"/>
        <v/>
      </c>
      <c r="S26" s="3" t="str">
        <f>IF($L26&lt;&gt;"",IF($A26="Prepago",0,IF($H26*$U$6&gt;SUM($S$11:$S25)+$U$6,$U$6*2,$U$6)),"")</f>
        <v/>
      </c>
      <c r="T26" s="3" t="str">
        <f>IF($L26&lt;&gt;"",IF($A26="Prepago",0,IF($H26*$U$7&gt;SUM($T$11:$T25)+$U$7,$U$7*2,$U$7)),"")</f>
        <v/>
      </c>
      <c r="U26" s="3" t="str">
        <f>IF($L26&lt;&gt;"",IF($A26="Prepago",0,IF($H26*$U$8&gt;SUM($U$11:$U25)+$U$8,$U$8*2,$U$8)),"")</f>
        <v/>
      </c>
      <c r="V26" s="3" t="str">
        <f t="shared" si="10"/>
        <v/>
      </c>
      <c r="W26" s="3" t="str">
        <f t="shared" si="11"/>
        <v/>
      </c>
      <c r="X26" s="3" t="str">
        <f t="shared" si="12"/>
        <v/>
      </c>
      <c r="Y26" s="3" t="str">
        <f t="shared" si="13"/>
        <v/>
      </c>
      <c r="Z26" s="3" t="str">
        <f>IF($L26&lt;&gt;"",IF($N26&gt;Y$11,IF($N26&lt;Z$11,$N26-Y$11,30),0)*ROUND(($O26+$W25+SUM($Y26:Y26))*$V$5/3000,2),"")</f>
        <v/>
      </c>
      <c r="AA26" s="3"/>
      <c r="AB26" s="3"/>
      <c r="AC26" s="8"/>
      <c r="AD26" s="8"/>
      <c r="AE26" s="8"/>
      <c r="AF26" s="8"/>
      <c r="AG26" s="8"/>
      <c r="AH26" s="8"/>
      <c r="AI26" s="8"/>
      <c r="AJ26" s="8"/>
      <c r="AK26" s="8"/>
      <c r="AL26" s="8"/>
      <c r="AM26" s="8"/>
      <c r="AN26" s="8"/>
      <c r="AO26" s="8"/>
      <c r="AP26" s="8"/>
      <c r="AQ26" s="8"/>
      <c r="AR26" s="8"/>
      <c r="AS26" s="8"/>
      <c r="AT26" s="8"/>
      <c r="AU26" s="8"/>
      <c r="AV26" s="8"/>
      <c r="AW26" s="8"/>
      <c r="AX26" s="8"/>
      <c r="AY26" s="8"/>
      <c r="AZ26" s="8"/>
      <c r="BA26" s="8"/>
      <c r="BB26" s="8"/>
      <c r="BC26" s="8"/>
      <c r="BD26" s="8"/>
      <c r="BE26" s="8"/>
      <c r="BF26" s="8"/>
      <c r="BG26" s="8"/>
      <c r="BH26" s="8"/>
      <c r="BI26" s="8"/>
      <c r="BJ26" s="8"/>
      <c r="BK26" s="8"/>
      <c r="BL26" s="8"/>
      <c r="BM26" s="8"/>
      <c r="BN26" s="8"/>
      <c r="BO26" s="8"/>
      <c r="BP26" s="8"/>
      <c r="BQ26" s="8"/>
      <c r="BR26" s="8"/>
      <c r="BS26" s="8"/>
      <c r="BT26" s="8"/>
      <c r="BU26" s="8"/>
      <c r="BV26" s="8"/>
      <c r="BW26" s="8"/>
      <c r="BX26" s="8"/>
      <c r="BY26" s="8"/>
      <c r="BZ26" s="8"/>
      <c r="CA26" s="8"/>
      <c r="CB26" s="8"/>
      <c r="CC26" s="8"/>
      <c r="CD26" s="8"/>
      <c r="CE26" s="8"/>
      <c r="CF26" s="8"/>
      <c r="CG26" s="8"/>
    </row>
    <row r="27" spans="1:85" x14ac:dyDescent="0.25">
      <c r="E27" s="5"/>
      <c r="F27" t="str">
        <f t="shared" si="0"/>
        <v/>
      </c>
      <c r="G27" s="5" t="str">
        <f>IF($L27&lt;&gt;"",EOMONTH(DATE(YEAR($M$11),MONTH($M$11)-IF(DAY($N$6)&lt;$N$7,1,0),DAY($M$11)),($H27*$A$1)+IF(MESADICIONAL=TRUE,1,0)),"")</f>
        <v/>
      </c>
      <c r="H27" s="22" t="str">
        <f t="shared" si="1"/>
        <v/>
      </c>
      <c r="I27" s="22" t="str">
        <f t="shared" si="2"/>
        <v/>
      </c>
      <c r="J27" s="22" t="str">
        <f t="shared" si="3"/>
        <v/>
      </c>
      <c r="K27" s="22" t="str">
        <f t="shared" si="14"/>
        <v/>
      </c>
      <c r="L27" t="str">
        <f t="shared" si="4"/>
        <v/>
      </c>
      <c r="M27" s="5" t="str">
        <f t="shared" si="15"/>
        <v/>
      </c>
      <c r="N27" s="9" t="str">
        <f t="shared" si="5"/>
        <v/>
      </c>
      <c r="O27" s="3" t="str">
        <f t="shared" si="6"/>
        <v/>
      </c>
      <c r="P27" s="3" t="str">
        <f t="shared" si="7"/>
        <v/>
      </c>
      <c r="Q27" s="3" t="str">
        <f t="shared" si="8"/>
        <v/>
      </c>
      <c r="R27" s="3" t="str">
        <f t="shared" si="9"/>
        <v/>
      </c>
      <c r="S27" s="3" t="str">
        <f>IF($L27&lt;&gt;"",IF($A27="Prepago",0,IF($H27*$U$6&gt;SUM($S$11:$S26)+$U$6,$U$6*2,$U$6)),"")</f>
        <v/>
      </c>
      <c r="T27" s="3" t="str">
        <f>IF($L27&lt;&gt;"",IF($A27="Prepago",0,IF($H27*$U$7&gt;SUM($T$11:$T26)+$U$7,$U$7*2,$U$7)),"")</f>
        <v/>
      </c>
      <c r="U27" s="3" t="str">
        <f>IF($L27&lt;&gt;"",IF($A27="Prepago",0,IF($H27*$U$8&gt;SUM($U$11:$U26)+$U$8,$U$8*2,$U$8)),"")</f>
        <v/>
      </c>
      <c r="V27" s="3" t="str">
        <f t="shared" si="10"/>
        <v/>
      </c>
      <c r="W27" s="3" t="str">
        <f t="shared" si="11"/>
        <v/>
      </c>
      <c r="X27" s="3" t="str">
        <f t="shared" si="12"/>
        <v/>
      </c>
      <c r="Y27" s="3" t="str">
        <f t="shared" si="13"/>
        <v/>
      </c>
      <c r="Z27" s="3" t="str">
        <f>IF($L27&lt;&gt;"",IF($N27&gt;Y$11,IF($N27&lt;Z$11,$N27-Y$11,30),0)*ROUND(($O27+$W26+SUM($Y27:Y27))*$V$5/3000,2),"")</f>
        <v/>
      </c>
      <c r="AA27" s="3"/>
      <c r="AB27" s="3"/>
      <c r="AC27" s="8"/>
      <c r="AD27" s="8"/>
      <c r="AE27" s="8"/>
      <c r="AF27" s="8"/>
      <c r="AG27" s="8"/>
      <c r="AH27" s="8"/>
      <c r="AI27" s="8"/>
      <c r="AJ27" s="8"/>
      <c r="AK27" s="8"/>
      <c r="AL27" s="8"/>
      <c r="AM27" s="8"/>
      <c r="AN27" s="8"/>
      <c r="AO27" s="8"/>
      <c r="AP27" s="8"/>
      <c r="AQ27" s="8"/>
      <c r="AR27" s="8"/>
      <c r="AS27" s="8"/>
      <c r="AT27" s="8"/>
      <c r="AU27" s="8"/>
      <c r="AV27" s="8"/>
      <c r="AW27" s="8"/>
      <c r="AX27" s="8"/>
      <c r="AY27" s="8"/>
      <c r="AZ27" s="8"/>
      <c r="BA27" s="8"/>
      <c r="BB27" s="8"/>
      <c r="BC27" s="8"/>
      <c r="BD27" s="8"/>
      <c r="BE27" s="8"/>
      <c r="BF27" s="8"/>
      <c r="BG27" s="8"/>
      <c r="BH27" s="8"/>
      <c r="BI27" s="8"/>
      <c r="BJ27" s="8"/>
      <c r="BK27" s="8"/>
      <c r="BL27" s="8"/>
      <c r="BM27" s="8"/>
      <c r="BN27" s="8"/>
      <c r="BO27" s="8"/>
      <c r="BP27" s="8"/>
      <c r="BQ27" s="8"/>
      <c r="BR27" s="8"/>
      <c r="BS27" s="8"/>
      <c r="BT27" s="8"/>
      <c r="BU27" s="8"/>
      <c r="BV27" s="8"/>
      <c r="BW27" s="8"/>
      <c r="BX27" s="8"/>
      <c r="BY27" s="8"/>
      <c r="BZ27" s="8"/>
      <c r="CA27" s="8"/>
      <c r="CB27" s="8"/>
      <c r="CC27" s="8"/>
      <c r="CD27" s="8"/>
      <c r="CE27" s="8"/>
      <c r="CF27" s="8"/>
      <c r="CG27" s="8"/>
    </row>
    <row r="28" spans="1:85" x14ac:dyDescent="0.25">
      <c r="E28" s="5"/>
      <c r="F28" t="str">
        <f t="shared" si="0"/>
        <v/>
      </c>
      <c r="G28" s="5" t="str">
        <f>IF($L28&lt;&gt;"",EOMONTH(DATE(YEAR($M$11),MONTH($M$11)-IF(DAY($N$6)&lt;$N$7,1,0),DAY($M$11)),($H28*$A$1)+IF(MESADICIONAL=TRUE,1,0)),"")</f>
        <v/>
      </c>
      <c r="H28" s="22" t="str">
        <f t="shared" si="1"/>
        <v/>
      </c>
      <c r="I28" s="22" t="str">
        <f t="shared" si="2"/>
        <v/>
      </c>
      <c r="J28" s="22" t="str">
        <f t="shared" si="3"/>
        <v/>
      </c>
      <c r="K28" s="22" t="str">
        <f t="shared" si="14"/>
        <v/>
      </c>
      <c r="L28" t="str">
        <f t="shared" si="4"/>
        <v/>
      </c>
      <c r="M28" s="5" t="str">
        <f t="shared" si="15"/>
        <v/>
      </c>
      <c r="N28" s="9" t="str">
        <f t="shared" si="5"/>
        <v/>
      </c>
      <c r="O28" s="3" t="str">
        <f t="shared" si="6"/>
        <v/>
      </c>
      <c r="P28" s="3" t="str">
        <f t="shared" si="7"/>
        <v/>
      </c>
      <c r="Q28" s="3" t="str">
        <f t="shared" si="8"/>
        <v/>
      </c>
      <c r="R28" s="3" t="str">
        <f t="shared" si="9"/>
        <v/>
      </c>
      <c r="S28" s="3" t="str">
        <f>IF($L28&lt;&gt;"",IF($A28="Prepago",0,IF($H28*$U$6&gt;SUM($S$11:$S27)+$U$6,$U$6*2,$U$6)),"")</f>
        <v/>
      </c>
      <c r="T28" s="3" t="str">
        <f>IF($L28&lt;&gt;"",IF($A28="Prepago",0,IF($H28*$U$7&gt;SUM($T$11:$T27)+$U$7,$U$7*2,$U$7)),"")</f>
        <v/>
      </c>
      <c r="U28" s="3" t="str">
        <f>IF($L28&lt;&gt;"",IF($A28="Prepago",0,IF($H28*$U$8&gt;SUM($U$11:$U27)+$U$8,$U$8*2,$U$8)),"")</f>
        <v/>
      </c>
      <c r="V28" s="3" t="str">
        <f t="shared" si="10"/>
        <v/>
      </c>
      <c r="W28" s="3" t="str">
        <f t="shared" si="11"/>
        <v/>
      </c>
      <c r="X28" s="3" t="str">
        <f t="shared" si="12"/>
        <v/>
      </c>
      <c r="Y28" s="3" t="str">
        <f t="shared" si="13"/>
        <v/>
      </c>
      <c r="Z28" s="3" t="str">
        <f>IF($L28&lt;&gt;"",IF($N28&gt;Y$11,IF($N28&lt;Z$11,$N28-Y$11,30),0)*ROUND(($O28+$W27+SUM($Y28:Y28))*$V$5/3000,2),"")</f>
        <v/>
      </c>
      <c r="AA28" s="3"/>
      <c r="AB28" s="3"/>
      <c r="AC28" s="8"/>
      <c r="AD28" s="8"/>
      <c r="AE28" s="8"/>
      <c r="AF28" s="8"/>
      <c r="AG28" s="8"/>
      <c r="AH28" s="8"/>
      <c r="AI28" s="8"/>
      <c r="AJ28" s="8"/>
      <c r="AK28" s="8"/>
      <c r="AL28" s="8"/>
      <c r="AM28" s="8"/>
      <c r="AN28" s="8"/>
      <c r="AO28" s="8"/>
      <c r="AP28" s="8"/>
      <c r="AQ28" s="8"/>
      <c r="AR28" s="8"/>
      <c r="AS28" s="8"/>
      <c r="AT28" s="8"/>
      <c r="AU28" s="8"/>
      <c r="AV28" s="8"/>
      <c r="AW28" s="8"/>
      <c r="AX28" s="8"/>
      <c r="AY28" s="8"/>
      <c r="AZ28" s="8"/>
      <c r="BA28" s="8"/>
      <c r="BB28" s="8"/>
      <c r="BC28" s="8"/>
      <c r="BD28" s="8"/>
      <c r="BE28" s="8"/>
      <c r="BF28" s="8"/>
      <c r="BG28" s="8"/>
      <c r="BH28" s="8"/>
      <c r="BI28" s="8"/>
      <c r="BJ28" s="8"/>
      <c r="BK28" s="8"/>
      <c r="BL28" s="8"/>
      <c r="BM28" s="8"/>
      <c r="BN28" s="8"/>
      <c r="BO28" s="8"/>
      <c r="BP28" s="8"/>
      <c r="BQ28" s="8"/>
      <c r="BR28" s="8"/>
      <c r="BS28" s="8"/>
      <c r="BT28" s="8"/>
      <c r="BU28" s="8"/>
      <c r="BV28" s="8"/>
      <c r="BW28" s="8"/>
      <c r="BX28" s="8"/>
      <c r="BY28" s="8"/>
      <c r="BZ28" s="8"/>
      <c r="CA28" s="8"/>
      <c r="CB28" s="8"/>
      <c r="CC28" s="8"/>
      <c r="CD28" s="8"/>
      <c r="CE28" s="8"/>
      <c r="CF28" s="8"/>
      <c r="CG28" s="8"/>
    </row>
    <row r="29" spans="1:85" x14ac:dyDescent="0.25">
      <c r="E29" s="5"/>
      <c r="F29" t="str">
        <f t="shared" si="0"/>
        <v/>
      </c>
      <c r="G29" s="5" t="str">
        <f>IF($L29&lt;&gt;"",EOMONTH(DATE(YEAR($M$11),MONTH($M$11)-IF(DAY($N$6)&lt;$N$7,1,0),DAY($M$11)),($H29*$A$1)+IF(MESADICIONAL=TRUE,1,0)),"")</f>
        <v/>
      </c>
      <c r="H29" s="22" t="str">
        <f t="shared" si="1"/>
        <v/>
      </c>
      <c r="I29" s="22" t="str">
        <f t="shared" si="2"/>
        <v/>
      </c>
      <c r="J29" s="22" t="str">
        <f t="shared" si="3"/>
        <v/>
      </c>
      <c r="K29" s="22" t="str">
        <f t="shared" si="14"/>
        <v/>
      </c>
      <c r="L29" t="str">
        <f t="shared" si="4"/>
        <v/>
      </c>
      <c r="M29" s="5" t="str">
        <f t="shared" si="15"/>
        <v/>
      </c>
      <c r="N29" s="9" t="str">
        <f t="shared" si="5"/>
        <v/>
      </c>
      <c r="O29" s="3" t="str">
        <f t="shared" si="6"/>
        <v/>
      </c>
      <c r="P29" s="3" t="str">
        <f t="shared" si="7"/>
        <v/>
      </c>
      <c r="Q29" s="3" t="str">
        <f t="shared" si="8"/>
        <v/>
      </c>
      <c r="R29" s="3" t="str">
        <f t="shared" si="9"/>
        <v/>
      </c>
      <c r="S29" s="3" t="str">
        <f>IF($L29&lt;&gt;"",IF($A29="Prepago",0,IF($H29*$U$6&gt;SUM($S$11:$S28)+$U$6,$U$6*2,$U$6)),"")</f>
        <v/>
      </c>
      <c r="T29" s="3" t="str">
        <f>IF($L29&lt;&gt;"",IF($A29="Prepago",0,IF($H29*$U$7&gt;SUM($T$11:$T28)+$U$7,$U$7*2,$U$7)),"")</f>
        <v/>
      </c>
      <c r="U29" s="3" t="str">
        <f>IF($L29&lt;&gt;"",IF($A29="Prepago",0,IF($H29*$U$8&gt;SUM($U$11:$U28)+$U$8,$U$8*2,$U$8)),"")</f>
        <v/>
      </c>
      <c r="V29" s="3" t="str">
        <f t="shared" si="10"/>
        <v/>
      </c>
      <c r="W29" s="3" t="str">
        <f t="shared" si="11"/>
        <v/>
      </c>
      <c r="X29" s="3" t="str">
        <f t="shared" si="12"/>
        <v/>
      </c>
      <c r="Y29" s="3" t="str">
        <f t="shared" si="13"/>
        <v/>
      </c>
      <c r="Z29" s="3" t="str">
        <f>IF($L29&lt;&gt;"",IF($N29&gt;Y$11,IF($N29&lt;Z$11,$N29-Y$11,30),0)*ROUND(($O29+$W28+SUM($Y29:Y29))*$V$5/3000,2),"")</f>
        <v/>
      </c>
      <c r="AA29" s="3"/>
      <c r="AB29" s="3"/>
      <c r="AC29" s="8"/>
      <c r="AD29" s="8"/>
      <c r="AE29" s="8"/>
      <c r="AF29" s="8"/>
      <c r="AG29" s="8"/>
      <c r="AH29" s="8"/>
      <c r="AI29" s="8"/>
      <c r="AJ29" s="8"/>
      <c r="AK29" s="8"/>
      <c r="AL29" s="8"/>
      <c r="AM29" s="8"/>
      <c r="AN29" s="8"/>
      <c r="AO29" s="8"/>
      <c r="AP29" s="8"/>
      <c r="AQ29" s="8"/>
      <c r="AR29" s="8"/>
      <c r="AS29" s="8"/>
      <c r="AT29" s="8"/>
      <c r="AU29" s="8"/>
      <c r="AV29" s="8"/>
      <c r="AW29" s="8"/>
      <c r="AX29" s="8"/>
      <c r="AY29" s="8"/>
      <c r="AZ29" s="8"/>
      <c r="BA29" s="8"/>
      <c r="BB29" s="8"/>
      <c r="BC29" s="8"/>
      <c r="BD29" s="8"/>
      <c r="BE29" s="8"/>
      <c r="BF29" s="8"/>
      <c r="BG29" s="8"/>
      <c r="BH29" s="8"/>
      <c r="BI29" s="8"/>
      <c r="BJ29" s="8"/>
      <c r="BK29" s="8"/>
      <c r="BL29" s="8"/>
      <c r="BM29" s="8"/>
      <c r="BN29" s="8"/>
      <c r="BO29" s="8"/>
      <c r="BP29" s="8"/>
      <c r="BQ29" s="8"/>
      <c r="BR29" s="8"/>
      <c r="BS29" s="8"/>
      <c r="BT29" s="8"/>
      <c r="BU29" s="8"/>
      <c r="BV29" s="8"/>
      <c r="BW29" s="8"/>
      <c r="BX29" s="8"/>
      <c r="BY29" s="8"/>
      <c r="BZ29" s="8"/>
      <c r="CA29" s="8"/>
      <c r="CB29" s="8"/>
      <c r="CC29" s="8"/>
      <c r="CD29" s="8"/>
      <c r="CE29" s="8"/>
      <c r="CF29" s="8"/>
      <c r="CG29" s="8"/>
    </row>
    <row r="30" spans="1:85" x14ac:dyDescent="0.25">
      <c r="E30" s="5"/>
      <c r="F30" t="str">
        <f t="shared" si="0"/>
        <v/>
      </c>
      <c r="G30" s="5" t="str">
        <f>IF($L30&lt;&gt;"",EOMONTH(DATE(YEAR($M$11),MONTH($M$11)-IF(DAY($N$6)&lt;$N$7,1,0),DAY($M$11)),($H30*$A$1)+IF(MESADICIONAL=TRUE,1,0)),"")</f>
        <v/>
      </c>
      <c r="H30" s="22" t="str">
        <f t="shared" si="1"/>
        <v/>
      </c>
      <c r="I30" s="22" t="str">
        <f t="shared" si="2"/>
        <v/>
      </c>
      <c r="J30" s="22" t="str">
        <f t="shared" si="3"/>
        <v/>
      </c>
      <c r="K30" s="22" t="str">
        <f t="shared" si="14"/>
        <v/>
      </c>
      <c r="L30" t="str">
        <f t="shared" si="4"/>
        <v/>
      </c>
      <c r="M30" s="5" t="str">
        <f t="shared" si="15"/>
        <v/>
      </c>
      <c r="N30" s="9" t="str">
        <f t="shared" si="5"/>
        <v/>
      </c>
      <c r="O30" s="3" t="str">
        <f t="shared" si="6"/>
        <v/>
      </c>
      <c r="P30" s="3" t="str">
        <f t="shared" si="7"/>
        <v/>
      </c>
      <c r="Q30" s="3" t="str">
        <f t="shared" si="8"/>
        <v/>
      </c>
      <c r="R30" s="3" t="str">
        <f t="shared" si="9"/>
        <v/>
      </c>
      <c r="S30" s="3" t="str">
        <f>IF($L30&lt;&gt;"",IF($A30="Prepago",0,IF($H30*$U$6&gt;SUM($S$11:$S29)+$U$6,$U$6*2,$U$6)),"")</f>
        <v/>
      </c>
      <c r="T30" s="3" t="str">
        <f>IF($L30&lt;&gt;"",IF($A30="Prepago",0,IF($H30*$U$7&gt;SUM($T$11:$T29)+$U$7,$U$7*2,$U$7)),"")</f>
        <v/>
      </c>
      <c r="U30" s="3" t="str">
        <f>IF($L30&lt;&gt;"",IF($A30="Prepago",0,IF($H30*$U$8&gt;SUM($U$11:$U29)+$U$8,$U$8*2,$U$8)),"")</f>
        <v/>
      </c>
      <c r="V30" s="3" t="str">
        <f t="shared" si="10"/>
        <v/>
      </c>
      <c r="W30" s="3" t="str">
        <f t="shared" si="11"/>
        <v/>
      </c>
      <c r="X30" s="3" t="str">
        <f t="shared" si="12"/>
        <v/>
      </c>
      <c r="Y30" s="3" t="str">
        <f t="shared" si="13"/>
        <v/>
      </c>
      <c r="Z30" s="3" t="str">
        <f>IF($L30&lt;&gt;"",IF($N30&gt;Y$11,IF($N30&lt;Z$11,$N30-Y$11,30),0)*ROUND(($O30+$W29+SUM($Y30:Y30))*$V$5/3000,2),"")</f>
        <v/>
      </c>
      <c r="AA30" s="3"/>
      <c r="AB30" s="3"/>
      <c r="AC30" s="8"/>
      <c r="AD30" s="8"/>
      <c r="AE30" s="8"/>
      <c r="AF30" s="8"/>
      <c r="AG30" s="8"/>
      <c r="AH30" s="8"/>
      <c r="AI30" s="8"/>
      <c r="AJ30" s="8"/>
      <c r="AK30" s="8"/>
      <c r="AL30" s="8"/>
      <c r="AM30" s="8"/>
      <c r="AN30" s="8"/>
      <c r="AO30" s="8"/>
      <c r="AP30" s="8"/>
      <c r="AQ30" s="8"/>
      <c r="AR30" s="8"/>
      <c r="AS30" s="8"/>
      <c r="AT30" s="8"/>
      <c r="AU30" s="8"/>
      <c r="AV30" s="8"/>
      <c r="AW30" s="8"/>
      <c r="AX30" s="8"/>
      <c r="AY30" s="8"/>
      <c r="AZ30" s="8"/>
      <c r="BA30" s="8"/>
      <c r="BB30" s="8"/>
      <c r="BC30" s="8"/>
      <c r="BD30" s="8"/>
      <c r="BE30" s="8"/>
      <c r="BF30" s="8"/>
      <c r="BG30" s="8"/>
      <c r="BH30" s="8"/>
      <c r="BI30" s="8"/>
      <c r="BJ30" s="8"/>
      <c r="BK30" s="8"/>
      <c r="BL30" s="8"/>
      <c r="BM30" s="8"/>
      <c r="BN30" s="8"/>
      <c r="BO30" s="8"/>
      <c r="BP30" s="8"/>
      <c r="BQ30" s="8"/>
      <c r="BR30" s="8"/>
      <c r="BS30" s="8"/>
      <c r="BT30" s="8"/>
      <c r="BU30" s="8"/>
      <c r="BV30" s="8"/>
      <c r="BW30" s="8"/>
      <c r="BX30" s="8"/>
      <c r="BY30" s="8"/>
      <c r="BZ30" s="8"/>
      <c r="CA30" s="8"/>
      <c r="CB30" s="8"/>
      <c r="CC30" s="8"/>
      <c r="CD30" s="8"/>
      <c r="CE30" s="8"/>
      <c r="CF30" s="8"/>
      <c r="CG30" s="8"/>
    </row>
    <row r="31" spans="1:85" x14ac:dyDescent="0.25">
      <c r="E31" s="5"/>
      <c r="F31" t="str">
        <f t="shared" si="0"/>
        <v/>
      </c>
      <c r="G31" s="5" t="str">
        <f>IF($L31&lt;&gt;"",EOMONTH(DATE(YEAR($M$11),MONTH($M$11)-IF(DAY($N$6)&lt;$N$7,1,0),DAY($M$11)),($H31*$A$1)+IF(MESADICIONAL=TRUE,1,0)),"")</f>
        <v/>
      </c>
      <c r="H31" s="22" t="str">
        <f t="shared" si="1"/>
        <v/>
      </c>
      <c r="I31" s="22" t="str">
        <f t="shared" si="2"/>
        <v/>
      </c>
      <c r="J31" s="22" t="str">
        <f t="shared" si="3"/>
        <v/>
      </c>
      <c r="K31" s="22" t="str">
        <f t="shared" si="14"/>
        <v/>
      </c>
      <c r="L31" t="str">
        <f t="shared" si="4"/>
        <v/>
      </c>
      <c r="M31" s="5" t="str">
        <f t="shared" si="15"/>
        <v/>
      </c>
      <c r="N31" s="9" t="str">
        <f t="shared" si="5"/>
        <v/>
      </c>
      <c r="O31" s="3" t="str">
        <f t="shared" si="6"/>
        <v/>
      </c>
      <c r="P31" s="3" t="str">
        <f t="shared" si="7"/>
        <v/>
      </c>
      <c r="Q31" s="3" t="str">
        <f t="shared" si="8"/>
        <v/>
      </c>
      <c r="R31" s="3" t="str">
        <f t="shared" si="9"/>
        <v/>
      </c>
      <c r="S31" s="3" t="str">
        <f>IF($L31&lt;&gt;"",IF($A31="Prepago",0,IF($H31*$U$6&gt;SUM($S$11:$S30)+$U$6,$U$6*2,$U$6)),"")</f>
        <v/>
      </c>
      <c r="T31" s="3" t="str">
        <f>IF($L31&lt;&gt;"",IF($A31="Prepago",0,IF($H31*$U$7&gt;SUM($T$11:$T30)+$U$7,$U$7*2,$U$7)),"")</f>
        <v/>
      </c>
      <c r="U31" s="3" t="str">
        <f>IF($L31&lt;&gt;"",IF($A31="Prepago",0,IF($H31*$U$8&gt;SUM($U$11:$U30)+$U$8,$U$8*2,$U$8)),"")</f>
        <v/>
      </c>
      <c r="V31" s="3" t="str">
        <f t="shared" si="10"/>
        <v/>
      </c>
      <c r="W31" s="3" t="str">
        <f t="shared" si="11"/>
        <v/>
      </c>
      <c r="X31" s="3" t="str">
        <f t="shared" si="12"/>
        <v/>
      </c>
      <c r="Y31" s="3" t="str">
        <f t="shared" si="13"/>
        <v/>
      </c>
      <c r="Z31" s="3" t="str">
        <f>IF($L31&lt;&gt;"",IF($N31&gt;Y$11,IF($N31&lt;Z$11,$N31-Y$11,30),0)*ROUND(($O31+$W30+SUM($Y31:Y31))*$V$5/3000,2),"")</f>
        <v/>
      </c>
      <c r="AA31" s="3"/>
      <c r="AB31" s="3"/>
      <c r="AC31" s="8"/>
      <c r="AD31" s="8"/>
      <c r="AE31" s="8"/>
      <c r="AF31" s="8"/>
      <c r="AG31" s="8"/>
      <c r="AH31" s="8"/>
      <c r="AI31" s="8"/>
      <c r="AJ31" s="8"/>
      <c r="AK31" s="8"/>
      <c r="AL31" s="8"/>
      <c r="AM31" s="8"/>
      <c r="AN31" s="8"/>
      <c r="AO31" s="8"/>
      <c r="AP31" s="8"/>
      <c r="AQ31" s="8"/>
      <c r="AR31" s="8"/>
      <c r="AS31" s="8"/>
      <c r="AT31" s="8"/>
      <c r="AU31" s="8"/>
      <c r="AV31" s="8"/>
      <c r="AW31" s="8"/>
      <c r="AX31" s="8"/>
      <c r="AY31" s="8"/>
      <c r="AZ31" s="8"/>
      <c r="BA31" s="8"/>
      <c r="BB31" s="8"/>
      <c r="BC31" s="8"/>
      <c r="BD31" s="8"/>
      <c r="BE31" s="8"/>
      <c r="BF31" s="8"/>
      <c r="BG31" s="8"/>
      <c r="BH31" s="8"/>
      <c r="BI31" s="8"/>
      <c r="BJ31" s="8"/>
      <c r="BK31" s="8"/>
      <c r="BL31" s="8"/>
      <c r="BM31" s="8"/>
      <c r="BN31" s="8"/>
      <c r="BO31" s="8"/>
      <c r="BP31" s="8"/>
      <c r="BQ31" s="8"/>
      <c r="BR31" s="8"/>
      <c r="BS31" s="8"/>
      <c r="BT31" s="8"/>
      <c r="BU31" s="8"/>
      <c r="BV31" s="8"/>
      <c r="BW31" s="8"/>
      <c r="BX31" s="8"/>
      <c r="BY31" s="8"/>
      <c r="BZ31" s="8"/>
      <c r="CA31" s="8"/>
      <c r="CB31" s="8"/>
      <c r="CC31" s="8"/>
      <c r="CD31" s="8"/>
      <c r="CE31" s="8"/>
      <c r="CF31" s="8"/>
      <c r="CG31" s="8"/>
    </row>
    <row r="32" spans="1:85" x14ac:dyDescent="0.25">
      <c r="E32" s="5"/>
      <c r="F32" t="str">
        <f t="shared" si="0"/>
        <v/>
      </c>
      <c r="G32" s="5" t="str">
        <f>IF($L32&lt;&gt;"",EOMONTH(DATE(YEAR($M$11),MONTH($M$11)-IF(DAY($N$6)&lt;$N$7,1,0),DAY($M$11)),($H32*$A$1)+IF(MESADICIONAL=TRUE,1,0)),"")</f>
        <v/>
      </c>
      <c r="H32" s="22" t="str">
        <f t="shared" si="1"/>
        <v/>
      </c>
      <c r="I32" s="22" t="str">
        <f t="shared" si="2"/>
        <v/>
      </c>
      <c r="J32" s="22" t="str">
        <f t="shared" si="3"/>
        <v/>
      </c>
      <c r="K32" s="22" t="str">
        <f t="shared" si="14"/>
        <v/>
      </c>
      <c r="L32" t="str">
        <f t="shared" si="4"/>
        <v/>
      </c>
      <c r="M32" s="5" t="str">
        <f t="shared" si="15"/>
        <v/>
      </c>
      <c r="N32" s="9" t="str">
        <f t="shared" si="5"/>
        <v/>
      </c>
      <c r="O32" s="3" t="str">
        <f t="shared" si="6"/>
        <v/>
      </c>
      <c r="P32" s="3" t="str">
        <f t="shared" si="7"/>
        <v/>
      </c>
      <c r="Q32" s="3" t="str">
        <f t="shared" si="8"/>
        <v/>
      </c>
      <c r="R32" s="3" t="str">
        <f t="shared" si="9"/>
        <v/>
      </c>
      <c r="S32" s="3" t="str">
        <f>IF($L32&lt;&gt;"",IF($A32="Prepago",0,IF($H32*$U$6&gt;SUM($S$11:$S31)+$U$6,$U$6*2,$U$6)),"")</f>
        <v/>
      </c>
      <c r="T32" s="3" t="str">
        <f>IF($L32&lt;&gt;"",IF($A32="Prepago",0,IF($H32*$U$7&gt;SUM($T$11:$T31)+$U$7,$U$7*2,$U$7)),"")</f>
        <v/>
      </c>
      <c r="U32" s="3" t="str">
        <f>IF($L32&lt;&gt;"",IF($A32="Prepago",0,IF($H32*$U$8&gt;SUM($U$11:$U31)+$U$8,$U$8*2,$U$8)),"")</f>
        <v/>
      </c>
      <c r="V32" s="3" t="str">
        <f t="shared" si="10"/>
        <v/>
      </c>
      <c r="W32" s="3" t="str">
        <f t="shared" si="11"/>
        <v/>
      </c>
      <c r="X32" s="3" t="str">
        <f t="shared" si="12"/>
        <v/>
      </c>
      <c r="Y32" s="3" t="str">
        <f t="shared" si="13"/>
        <v/>
      </c>
      <c r="Z32" s="3" t="str">
        <f>IF($L32&lt;&gt;"",IF($N32&gt;Y$11,IF($N32&lt;Z$11,$N32-Y$11,30),0)*ROUND(($O32+$W31+SUM($Y32:Y32))*$V$5/3000,2),"")</f>
        <v/>
      </c>
      <c r="AA32" s="3"/>
      <c r="AB32" s="3"/>
      <c r="AC32" s="8"/>
      <c r="AD32" s="8"/>
      <c r="AE32" s="8"/>
      <c r="AF32" s="8"/>
      <c r="AG32" s="8"/>
      <c r="AH32" s="8"/>
      <c r="AI32" s="8"/>
      <c r="AJ32" s="8"/>
      <c r="AK32" s="8"/>
      <c r="AL32" s="8"/>
      <c r="AM32" s="8"/>
      <c r="AN32" s="8"/>
      <c r="AO32" s="8"/>
      <c r="AP32" s="8"/>
      <c r="AQ32" s="8"/>
      <c r="AR32" s="8"/>
      <c r="AS32" s="8"/>
      <c r="AT32" s="8"/>
      <c r="AU32" s="8"/>
      <c r="AV32" s="8"/>
      <c r="AW32" s="8"/>
      <c r="AX32" s="8"/>
      <c r="AY32" s="8"/>
      <c r="AZ32" s="8"/>
      <c r="BA32" s="8"/>
      <c r="BB32" s="8"/>
      <c r="BC32" s="8"/>
      <c r="BD32" s="8"/>
      <c r="BE32" s="8"/>
      <c r="BF32" s="8"/>
      <c r="BG32" s="8"/>
      <c r="BH32" s="8"/>
      <c r="BI32" s="8"/>
      <c r="BJ32" s="8"/>
      <c r="BK32" s="8"/>
      <c r="BL32" s="8"/>
      <c r="BM32" s="8"/>
      <c r="BN32" s="8"/>
      <c r="BO32" s="8"/>
      <c r="BP32" s="8"/>
      <c r="BQ32" s="8"/>
      <c r="BR32" s="8"/>
      <c r="BS32" s="8"/>
      <c r="BT32" s="8"/>
      <c r="BU32" s="8"/>
      <c r="BV32" s="8"/>
      <c r="BW32" s="8"/>
      <c r="BX32" s="8"/>
      <c r="BY32" s="8"/>
      <c r="BZ32" s="8"/>
      <c r="CA32" s="8"/>
      <c r="CB32" s="8"/>
      <c r="CC32" s="8"/>
      <c r="CD32" s="8"/>
      <c r="CE32" s="8"/>
      <c r="CF32" s="8"/>
      <c r="CG32" s="8"/>
    </row>
    <row r="33" spans="5:85" x14ac:dyDescent="0.25">
      <c r="E33" s="5"/>
      <c r="F33" t="str">
        <f t="shared" si="0"/>
        <v/>
      </c>
      <c r="G33" s="5" t="str">
        <f>IF($L33&lt;&gt;"",EOMONTH(DATE(YEAR($M$11),MONTH($M$11)-IF(DAY($N$6)&lt;$N$7,1,0),DAY($M$11)),($H33*$A$1)+IF(MESADICIONAL=TRUE,1,0)),"")</f>
        <v/>
      </c>
      <c r="H33" s="22" t="str">
        <f t="shared" si="1"/>
        <v/>
      </c>
      <c r="I33" s="22" t="str">
        <f t="shared" si="2"/>
        <v/>
      </c>
      <c r="J33" s="22" t="str">
        <f t="shared" si="3"/>
        <v/>
      </c>
      <c r="K33" s="22" t="str">
        <f t="shared" si="14"/>
        <v/>
      </c>
      <c r="L33" t="str">
        <f t="shared" si="4"/>
        <v/>
      </c>
      <c r="M33" s="5" t="str">
        <f t="shared" si="15"/>
        <v/>
      </c>
      <c r="N33" s="9" t="str">
        <f t="shared" si="5"/>
        <v/>
      </c>
      <c r="O33" s="3" t="str">
        <f t="shared" si="6"/>
        <v/>
      </c>
      <c r="P33" s="3" t="str">
        <f t="shared" si="7"/>
        <v/>
      </c>
      <c r="Q33" s="3" t="str">
        <f t="shared" si="8"/>
        <v/>
      </c>
      <c r="R33" s="3" t="str">
        <f t="shared" si="9"/>
        <v/>
      </c>
      <c r="S33" s="3" t="str">
        <f>IF($L33&lt;&gt;"",IF($A33="Prepago",0,IF($H33*$U$6&gt;SUM($S$11:$S32)+$U$6,$U$6*2,$U$6)),"")</f>
        <v/>
      </c>
      <c r="T33" s="3" t="str">
        <f>IF($L33&lt;&gt;"",IF($A33="Prepago",0,IF($H33*$U$7&gt;SUM($T$11:$T32)+$U$7,$U$7*2,$U$7)),"")</f>
        <v/>
      </c>
      <c r="U33" s="3" t="str">
        <f>IF($L33&lt;&gt;"",IF($A33="Prepago",0,IF($H33*$U$8&gt;SUM($U$11:$U32)+$U$8,$U$8*2,$U$8)),"")</f>
        <v/>
      </c>
      <c r="V33" s="3" t="str">
        <f t="shared" si="10"/>
        <v/>
      </c>
      <c r="W33" s="3" t="str">
        <f t="shared" si="11"/>
        <v/>
      </c>
      <c r="X33" s="3" t="str">
        <f t="shared" si="12"/>
        <v/>
      </c>
      <c r="Y33" s="3" t="str">
        <f t="shared" si="13"/>
        <v/>
      </c>
      <c r="Z33" s="3" t="str">
        <f>IF($L33&lt;&gt;"",IF($N33&gt;Y$11,IF($N33&lt;Z$11,$N33-Y$11,30),0)*ROUND(($O33+$W32+SUM($Y33:Y33))*$V$5/3000,2),"")</f>
        <v/>
      </c>
      <c r="AA33" s="3"/>
      <c r="AB33" s="3"/>
      <c r="AC33" s="8"/>
      <c r="AD33" s="8"/>
      <c r="AE33" s="8"/>
      <c r="AF33" s="8"/>
      <c r="AG33" s="8"/>
      <c r="AH33" s="8"/>
      <c r="AI33" s="8"/>
      <c r="AJ33" s="8"/>
      <c r="AK33" s="8"/>
      <c r="AL33" s="8"/>
      <c r="AM33" s="8"/>
      <c r="AN33" s="8"/>
      <c r="AO33" s="8"/>
      <c r="AP33" s="8"/>
      <c r="AQ33" s="8"/>
      <c r="AR33" s="8"/>
      <c r="AS33" s="8"/>
      <c r="AT33" s="8"/>
      <c r="AU33" s="8"/>
      <c r="AV33" s="8"/>
      <c r="AW33" s="8"/>
      <c r="AX33" s="8"/>
      <c r="AY33" s="8"/>
      <c r="AZ33" s="8"/>
      <c r="BA33" s="8"/>
      <c r="BB33" s="8"/>
      <c r="BC33" s="8"/>
      <c r="BD33" s="8"/>
      <c r="BE33" s="8"/>
      <c r="BF33" s="8"/>
      <c r="BG33" s="8"/>
      <c r="BH33" s="8"/>
      <c r="BI33" s="8"/>
      <c r="BJ33" s="8"/>
      <c r="BK33" s="8"/>
      <c r="BL33" s="8"/>
      <c r="BM33" s="8"/>
      <c r="BN33" s="8"/>
      <c r="BO33" s="8"/>
      <c r="BP33" s="8"/>
      <c r="BQ33" s="8"/>
      <c r="BR33" s="8"/>
      <c r="BS33" s="8"/>
      <c r="BT33" s="8"/>
      <c r="BU33" s="8"/>
      <c r="BV33" s="8"/>
      <c r="BW33" s="8"/>
      <c r="BX33" s="8"/>
      <c r="BY33" s="8"/>
      <c r="BZ33" s="8"/>
      <c r="CA33" s="8"/>
      <c r="CB33" s="8"/>
      <c r="CC33" s="8"/>
      <c r="CD33" s="8"/>
      <c r="CE33" s="8"/>
      <c r="CF33" s="8"/>
      <c r="CG33" s="8"/>
    </row>
    <row r="34" spans="5:85" x14ac:dyDescent="0.25">
      <c r="E34" s="5"/>
      <c r="F34" t="str">
        <f t="shared" si="0"/>
        <v/>
      </c>
      <c r="G34" s="5" t="str">
        <f>IF($L34&lt;&gt;"",EOMONTH(DATE(YEAR($M$11),MONTH($M$11)-IF(DAY($N$6)&lt;$N$7,1,0),DAY($M$11)),($H34*$A$1)+IF(MESADICIONAL=TRUE,1,0)),"")</f>
        <v/>
      </c>
      <c r="H34" s="22" t="str">
        <f t="shared" si="1"/>
        <v/>
      </c>
      <c r="I34" s="22" t="str">
        <f t="shared" si="2"/>
        <v/>
      </c>
      <c r="J34" s="22" t="str">
        <f t="shared" si="3"/>
        <v/>
      </c>
      <c r="K34" s="22" t="str">
        <f t="shared" si="14"/>
        <v/>
      </c>
      <c r="L34" t="str">
        <f t="shared" si="4"/>
        <v/>
      </c>
      <c r="M34" s="5" t="str">
        <f t="shared" si="15"/>
        <v/>
      </c>
      <c r="N34" s="9" t="str">
        <f t="shared" si="5"/>
        <v/>
      </c>
      <c r="O34" s="3" t="str">
        <f t="shared" si="6"/>
        <v/>
      </c>
      <c r="P34" s="3" t="str">
        <f t="shared" si="7"/>
        <v/>
      </c>
      <c r="Q34" s="3" t="str">
        <f t="shared" si="8"/>
        <v/>
      </c>
      <c r="R34" s="3" t="str">
        <f t="shared" si="9"/>
        <v/>
      </c>
      <c r="S34" s="3" t="str">
        <f>IF($L34&lt;&gt;"",IF($A34="Prepago",0,IF($H34*$U$6&gt;SUM($S$11:$S33)+$U$6,$U$6*2,$U$6)),"")</f>
        <v/>
      </c>
      <c r="T34" s="3" t="str">
        <f>IF($L34&lt;&gt;"",IF($A34="Prepago",0,IF($H34*$U$7&gt;SUM($T$11:$T33)+$U$7,$U$7*2,$U$7)),"")</f>
        <v/>
      </c>
      <c r="U34" s="3" t="str">
        <f>IF($L34&lt;&gt;"",IF($A34="Prepago",0,IF($H34*$U$8&gt;SUM($U$11:$U33)+$U$8,$U$8*2,$U$8)),"")</f>
        <v/>
      </c>
      <c r="V34" s="3" t="str">
        <f t="shared" si="10"/>
        <v/>
      </c>
      <c r="W34" s="3" t="str">
        <f t="shared" si="11"/>
        <v/>
      </c>
      <c r="X34" s="3" t="str">
        <f t="shared" si="12"/>
        <v/>
      </c>
      <c r="Y34" s="3" t="str">
        <f t="shared" si="13"/>
        <v/>
      </c>
      <c r="Z34" s="3" t="str">
        <f>IF($L34&lt;&gt;"",IF($N34&gt;Y$11,IF($N34&lt;Z$11,$N34-Y$11,30),0)*ROUND(($O34+$W33+SUM($Y34:Y34))*$V$5/3000,2),"")</f>
        <v/>
      </c>
      <c r="AA34" s="3"/>
      <c r="AB34" s="3"/>
      <c r="AC34" s="8"/>
      <c r="AD34" s="8"/>
      <c r="AE34" s="8"/>
      <c r="AF34" s="8"/>
      <c r="AG34" s="8"/>
      <c r="AH34" s="8"/>
      <c r="AI34" s="8"/>
      <c r="AJ34" s="8"/>
      <c r="AK34" s="8"/>
      <c r="AL34" s="8"/>
      <c r="AM34" s="8"/>
      <c r="AN34" s="8"/>
      <c r="AO34" s="8"/>
      <c r="AP34" s="8"/>
      <c r="AQ34" s="8"/>
      <c r="AR34" s="8"/>
      <c r="AS34" s="8"/>
      <c r="AT34" s="8"/>
      <c r="AU34" s="8"/>
      <c r="AV34" s="8"/>
      <c r="AW34" s="8"/>
      <c r="AX34" s="8"/>
      <c r="AY34" s="8"/>
      <c r="AZ34" s="8"/>
      <c r="BA34" s="8"/>
      <c r="BB34" s="8"/>
      <c r="BC34" s="8"/>
      <c r="BD34" s="8"/>
      <c r="BE34" s="8"/>
      <c r="BF34" s="8"/>
      <c r="BG34" s="8"/>
      <c r="BH34" s="8"/>
      <c r="BI34" s="8"/>
      <c r="BJ34" s="8"/>
      <c r="BK34" s="8"/>
      <c r="BL34" s="8"/>
      <c r="BM34" s="8"/>
      <c r="BN34" s="8"/>
      <c r="BO34" s="8"/>
      <c r="BP34" s="8"/>
      <c r="BQ34" s="8"/>
      <c r="BR34" s="8"/>
      <c r="BS34" s="8"/>
      <c r="BT34" s="8"/>
      <c r="BU34" s="8"/>
      <c r="BV34" s="8"/>
      <c r="BW34" s="8"/>
      <c r="BX34" s="8"/>
      <c r="BY34" s="8"/>
      <c r="BZ34" s="8"/>
      <c r="CA34" s="8"/>
      <c r="CB34" s="8"/>
      <c r="CC34" s="8"/>
      <c r="CD34" s="8"/>
      <c r="CE34" s="8"/>
      <c r="CF34" s="8"/>
      <c r="CG34" s="8"/>
    </row>
    <row r="35" spans="5:85" x14ac:dyDescent="0.25">
      <c r="E35" s="5"/>
      <c r="F35" t="str">
        <f t="shared" si="0"/>
        <v/>
      </c>
      <c r="G35" s="5" t="str">
        <f>IF($L35&lt;&gt;"",EOMONTH(DATE(YEAR($M$11),MONTH($M$11)-IF(DAY($N$6)&lt;$N$7,1,0),DAY($M$11)),($H35*$A$1)+IF(MESADICIONAL=TRUE,1,0)),"")</f>
        <v/>
      </c>
      <c r="H35" s="22" t="str">
        <f t="shared" si="1"/>
        <v/>
      </c>
      <c r="I35" s="22" t="str">
        <f t="shared" si="2"/>
        <v/>
      </c>
      <c r="J35" s="22" t="str">
        <f t="shared" si="3"/>
        <v/>
      </c>
      <c r="K35" s="22" t="str">
        <f t="shared" si="14"/>
        <v/>
      </c>
      <c r="L35" t="str">
        <f t="shared" si="4"/>
        <v/>
      </c>
      <c r="M35" s="5" t="str">
        <f t="shared" si="15"/>
        <v/>
      </c>
      <c r="N35" s="9" t="str">
        <f t="shared" si="5"/>
        <v/>
      </c>
      <c r="O35" s="3" t="str">
        <f t="shared" si="6"/>
        <v/>
      </c>
      <c r="P35" s="3" t="str">
        <f t="shared" si="7"/>
        <v/>
      </c>
      <c r="Q35" s="3" t="str">
        <f t="shared" si="8"/>
        <v/>
      </c>
      <c r="R35" s="3" t="str">
        <f t="shared" si="9"/>
        <v/>
      </c>
      <c r="S35" s="3" t="str">
        <f>IF($L35&lt;&gt;"",IF($A35="Prepago",0,IF($H35*$U$6&gt;SUM($S$11:$S34)+$U$6,$U$6*2,$U$6)),"")</f>
        <v/>
      </c>
      <c r="T35" s="3" t="str">
        <f>IF($L35&lt;&gt;"",IF($A35="Prepago",0,IF($H35*$U$7&gt;SUM($T$11:$T34)+$U$7,$U$7*2,$U$7)),"")</f>
        <v/>
      </c>
      <c r="U35" s="3" t="str">
        <f>IF($L35&lt;&gt;"",IF($A35="Prepago",0,IF($H35*$U$8&gt;SUM($U$11:$U34)+$U$8,$U$8*2,$U$8)),"")</f>
        <v/>
      </c>
      <c r="V35" s="3" t="str">
        <f t="shared" si="10"/>
        <v/>
      </c>
      <c r="W35" s="3" t="str">
        <f t="shared" si="11"/>
        <v/>
      </c>
      <c r="X35" s="3" t="str">
        <f t="shared" si="12"/>
        <v/>
      </c>
      <c r="Y35" s="3" t="str">
        <f t="shared" si="13"/>
        <v/>
      </c>
      <c r="Z35" s="3" t="str">
        <f>IF($L35&lt;&gt;"",IF($N35&gt;Y$11,IF($N35&lt;Z$11,$N35-Y$11,30),0)*ROUND(($O35+$W34+SUM($Y35:Y35))*$V$5/3000,2),"")</f>
        <v/>
      </c>
      <c r="AA35" s="3"/>
      <c r="AB35" s="3"/>
      <c r="AC35" s="8"/>
      <c r="AD35" s="8"/>
      <c r="AE35" s="8"/>
      <c r="AF35" s="8"/>
      <c r="AG35" s="8"/>
      <c r="AH35" s="8"/>
      <c r="AI35" s="8"/>
      <c r="AJ35" s="8"/>
      <c r="AK35" s="8"/>
      <c r="AL35" s="8"/>
      <c r="AM35" s="8"/>
      <c r="AN35" s="8"/>
      <c r="AO35" s="8"/>
      <c r="AP35" s="8"/>
      <c r="AQ35" s="8"/>
      <c r="AR35" s="8"/>
      <c r="AS35" s="8"/>
      <c r="AT35" s="8"/>
      <c r="AU35" s="8"/>
      <c r="AV35" s="8"/>
      <c r="AW35" s="8"/>
      <c r="AX35" s="8"/>
      <c r="AY35" s="8"/>
      <c r="AZ35" s="8"/>
      <c r="BA35" s="8"/>
      <c r="BB35" s="8"/>
      <c r="BC35" s="8"/>
      <c r="BD35" s="8"/>
      <c r="BE35" s="8"/>
      <c r="BF35" s="8"/>
      <c r="BG35" s="8"/>
      <c r="BH35" s="8"/>
      <c r="BI35" s="8"/>
      <c r="BJ35" s="8"/>
      <c r="BK35" s="8"/>
      <c r="BL35" s="8"/>
      <c r="BM35" s="8"/>
      <c r="BN35" s="8"/>
      <c r="BO35" s="8"/>
      <c r="BP35" s="8"/>
      <c r="BQ35" s="8"/>
      <c r="BR35" s="8"/>
      <c r="BS35" s="8"/>
      <c r="BT35" s="8"/>
      <c r="BU35" s="8"/>
      <c r="BV35" s="8"/>
      <c r="BW35" s="8"/>
      <c r="BX35" s="8"/>
      <c r="BY35" s="8"/>
      <c r="BZ35" s="8"/>
      <c r="CA35" s="8"/>
      <c r="CB35" s="8"/>
      <c r="CC35" s="8"/>
      <c r="CD35" s="8"/>
      <c r="CE35" s="8"/>
      <c r="CF35" s="8"/>
      <c r="CG35" s="8"/>
    </row>
    <row r="36" spans="5:85" x14ac:dyDescent="0.25">
      <c r="E36" s="5"/>
      <c r="F36" t="str">
        <f t="shared" si="0"/>
        <v/>
      </c>
      <c r="G36" s="5" t="str">
        <f>IF($L36&lt;&gt;"",EOMONTH(DATE(YEAR($M$11),MONTH($M$11)-IF(DAY($N$6)&lt;$N$7,1,0),DAY($M$11)),($H36*$A$1)+IF(MESADICIONAL=TRUE,1,0)),"")</f>
        <v/>
      </c>
      <c r="H36" s="22" t="str">
        <f t="shared" si="1"/>
        <v/>
      </c>
      <c r="I36" s="22" t="str">
        <f t="shared" si="2"/>
        <v/>
      </c>
      <c r="J36" s="22" t="str">
        <f t="shared" si="3"/>
        <v/>
      </c>
      <c r="K36" s="22" t="str">
        <f t="shared" si="14"/>
        <v/>
      </c>
      <c r="L36" t="str">
        <f t="shared" si="4"/>
        <v/>
      </c>
      <c r="M36" s="5" t="str">
        <f t="shared" si="15"/>
        <v/>
      </c>
      <c r="N36" s="9" t="str">
        <f t="shared" si="5"/>
        <v/>
      </c>
      <c r="O36" s="3" t="str">
        <f t="shared" si="6"/>
        <v/>
      </c>
      <c r="P36" s="3" t="str">
        <f t="shared" si="7"/>
        <v/>
      </c>
      <c r="Q36" s="3" t="str">
        <f t="shared" si="8"/>
        <v/>
      </c>
      <c r="R36" s="3" t="str">
        <f t="shared" si="9"/>
        <v/>
      </c>
      <c r="S36" s="3" t="str">
        <f>IF($L36&lt;&gt;"",IF($A36="Prepago",0,IF($H36*$U$6&gt;SUM($S$11:$S35)+$U$6,$U$6*2,$U$6)),"")</f>
        <v/>
      </c>
      <c r="T36" s="3" t="str">
        <f>IF($L36&lt;&gt;"",IF($A36="Prepago",0,IF($H36*$U$7&gt;SUM($T$11:$T35)+$U$7,$U$7*2,$U$7)),"")</f>
        <v/>
      </c>
      <c r="U36" s="3" t="str">
        <f>IF($L36&lt;&gt;"",IF($A36="Prepago",0,IF($H36*$U$8&gt;SUM($U$11:$U35)+$U$8,$U$8*2,$U$8)),"")</f>
        <v/>
      </c>
      <c r="V36" s="3" t="str">
        <f t="shared" si="10"/>
        <v/>
      </c>
      <c r="W36" s="3" t="str">
        <f t="shared" si="11"/>
        <v/>
      </c>
      <c r="X36" s="3" t="str">
        <f t="shared" si="12"/>
        <v/>
      </c>
      <c r="Y36" s="3" t="str">
        <f t="shared" si="13"/>
        <v/>
      </c>
      <c r="Z36" s="3" t="str">
        <f>IF($L36&lt;&gt;"",IF($N36&gt;Y$11,IF($N36&lt;Z$11,$N36-Y$11,30),0)*ROUND(($O36+$W35+SUM($Y36:Y36))*$V$5/3000,2),"")</f>
        <v/>
      </c>
      <c r="AA36" s="3"/>
      <c r="AB36" s="3"/>
      <c r="AC36" s="8"/>
      <c r="AD36" s="8"/>
      <c r="AE36" s="8"/>
      <c r="AF36" s="8"/>
      <c r="AG36" s="8"/>
      <c r="AH36" s="8"/>
      <c r="AI36" s="8"/>
      <c r="AJ36" s="8"/>
      <c r="AK36" s="8"/>
      <c r="AL36" s="8"/>
      <c r="AM36" s="8"/>
      <c r="AN36" s="8"/>
      <c r="AO36" s="8"/>
      <c r="AP36" s="8"/>
      <c r="AQ36" s="8"/>
      <c r="AR36" s="8"/>
      <c r="AS36" s="8"/>
      <c r="AT36" s="8"/>
      <c r="AU36" s="8"/>
      <c r="AV36" s="8"/>
      <c r="AW36" s="8"/>
      <c r="AX36" s="8"/>
      <c r="AY36" s="8"/>
      <c r="AZ36" s="8"/>
      <c r="BA36" s="8"/>
      <c r="BB36" s="8"/>
      <c r="BC36" s="8"/>
      <c r="BD36" s="8"/>
      <c r="BE36" s="8"/>
      <c r="BF36" s="8"/>
      <c r="BG36" s="8"/>
      <c r="BH36" s="8"/>
      <c r="BI36" s="8"/>
      <c r="BJ36" s="8"/>
      <c r="BK36" s="8"/>
      <c r="BL36" s="8"/>
      <c r="BM36" s="8"/>
      <c r="BN36" s="8"/>
      <c r="BO36" s="8"/>
      <c r="BP36" s="8"/>
      <c r="BQ36" s="8"/>
      <c r="BR36" s="8"/>
      <c r="BS36" s="8"/>
      <c r="BT36" s="8"/>
      <c r="BU36" s="8"/>
      <c r="BV36" s="8"/>
      <c r="BW36" s="8"/>
      <c r="BX36" s="8"/>
      <c r="BY36" s="8"/>
      <c r="BZ36" s="8"/>
      <c r="CA36" s="8"/>
      <c r="CB36" s="8"/>
      <c r="CC36" s="8"/>
      <c r="CD36" s="8"/>
      <c r="CE36" s="8"/>
      <c r="CF36" s="8"/>
      <c r="CG36" s="8"/>
    </row>
    <row r="37" spans="5:85" x14ac:dyDescent="0.25">
      <c r="E37" s="5"/>
      <c r="F37" t="str">
        <f t="shared" si="0"/>
        <v/>
      </c>
      <c r="G37" s="5" t="str">
        <f>IF($L37&lt;&gt;"",EOMONTH(DATE(YEAR($M$11),MONTH($M$11)-IF(DAY($N$6)&lt;$N$7,1,0),DAY($M$11)),($H37*$A$1)+IF(MESADICIONAL=TRUE,1,0)),"")</f>
        <v/>
      </c>
      <c r="H37" s="22" t="str">
        <f t="shared" si="1"/>
        <v/>
      </c>
      <c r="I37" s="22" t="str">
        <f t="shared" si="2"/>
        <v/>
      </c>
      <c r="J37" s="22" t="str">
        <f t="shared" si="3"/>
        <v/>
      </c>
      <c r="K37" s="22" t="str">
        <f t="shared" si="14"/>
        <v/>
      </c>
      <c r="L37" t="str">
        <f t="shared" si="4"/>
        <v/>
      </c>
      <c r="M37" s="5" t="str">
        <f t="shared" si="15"/>
        <v/>
      </c>
      <c r="N37" s="9" t="str">
        <f t="shared" si="5"/>
        <v/>
      </c>
      <c r="O37" s="3" t="str">
        <f t="shared" si="6"/>
        <v/>
      </c>
      <c r="P37" s="3" t="str">
        <f>IF($L37&lt;&gt;"",IF($A37="Gracia Parcial",IF(AND($C37&lt;$X37+$S37+$T37+$U37+$W36,$C37&gt;0),$C37,$X37+$S37+$T37+$U37+$W36),IF($A37="Gracia Total",0,IF($A37="Prepago",$C37,IF(ISNUMBER($C37),$C37*VALUE(MID($C$1,MONTH($M37),1)),$Q$5*VALUE(MID($C$1,MONTH($M37),1))))))-IF($L38="",ARREGLO,0),"")</f>
        <v/>
      </c>
      <c r="Q37" s="3" t="str">
        <f>IF($L37&lt;&gt;"",IF($P37-$R37&gt;0,IF($P37&gt;=$R37+$S37+$T37+$U37,$P37-$R37-$S37-$T37-$U37,P37),0),"")</f>
        <v/>
      </c>
      <c r="R37" s="3" t="str">
        <f>IF($L37&lt;&gt;"",IF($P37&gt;IF($D37="",$X37,$D37)+$W36+$S37+$T37+$U37,IF($D37="",$X37,$D37)+$W36,IF($P37&gt;=$S37+$T37+$U37,$P37-$S37-$T37-$U37,IF($D37="",$X37,$D37)+$W36)),"")</f>
        <v/>
      </c>
      <c r="S37" s="3" t="str">
        <f>IF($L37&lt;&gt;"",IF($A37="Prepago",0,IF($H37*$U$6&gt;SUM($S$11:$S36)+$U$6,$U$6*2,$U$6)),"")</f>
        <v/>
      </c>
      <c r="T37" s="3" t="str">
        <f>IF($L37&lt;&gt;"",IF($A37="Prepago",0,IF($H37*$U$7&gt;SUM($T$11:$T36)+$U$7,$U$7*2,$U$7)),"")</f>
        <v/>
      </c>
      <c r="U37" s="3" t="str">
        <f>IF($L37&lt;&gt;"",IF($A37="Prepago",0,IF($H37*$U$8&gt;SUM($U$11:$U36)+$U$8,$U$8*2,$U$8)),"")</f>
        <v/>
      </c>
      <c r="V37" s="3" t="str">
        <f>IF($L37&lt;&gt;"",$O37-$Q37,"")</f>
        <v/>
      </c>
      <c r="W37" s="3" t="str">
        <f t="shared" si="11"/>
        <v/>
      </c>
      <c r="X37" s="3" t="str">
        <f t="shared" si="12"/>
        <v/>
      </c>
      <c r="Y37" s="3" t="str">
        <f t="shared" si="13"/>
        <v/>
      </c>
      <c r="Z37" s="3" t="str">
        <f>IF($L37&lt;&gt;"",IF($N37&gt;Y$11,IF($N37&lt;Z$11,$N37-Y$11,30),0)*ROUND(($O37+$W36+SUM($Y37:Y37))*$V$5/3000,2),"")</f>
        <v/>
      </c>
      <c r="AA37" s="3"/>
      <c r="AB37" s="3"/>
      <c r="AC37" s="8"/>
      <c r="AD37" s="8"/>
      <c r="AE37" s="8"/>
      <c r="AF37" s="8"/>
      <c r="AG37" s="8"/>
      <c r="AH37" s="8"/>
      <c r="AI37" s="8"/>
      <c r="AJ37" s="8"/>
      <c r="AK37" s="8"/>
      <c r="AL37" s="8"/>
      <c r="AM37" s="8"/>
      <c r="AN37" s="8"/>
      <c r="AO37" s="8"/>
      <c r="AP37" s="8"/>
      <c r="AQ37" s="8"/>
      <c r="AR37" s="8"/>
      <c r="AS37" s="8"/>
      <c r="AT37" s="8"/>
      <c r="AU37" s="8"/>
      <c r="AV37" s="8"/>
      <c r="AW37" s="8"/>
      <c r="AX37" s="8"/>
      <c r="AY37" s="8"/>
      <c r="AZ37" s="8"/>
      <c r="BA37" s="8"/>
      <c r="BB37" s="8"/>
      <c r="BC37" s="8"/>
      <c r="BD37" s="8"/>
      <c r="BE37" s="8"/>
      <c r="BF37" s="8"/>
      <c r="BG37" s="8"/>
      <c r="BH37" s="8"/>
      <c r="BI37" s="8"/>
      <c r="BJ37" s="8"/>
      <c r="BK37" s="8"/>
      <c r="BL37" s="8"/>
      <c r="BM37" s="8"/>
      <c r="BN37" s="8"/>
      <c r="BO37" s="8"/>
      <c r="BP37" s="8"/>
      <c r="BQ37" s="8"/>
      <c r="BR37" s="8"/>
      <c r="BS37" s="8"/>
      <c r="BT37" s="8"/>
      <c r="BU37" s="8"/>
      <c r="BV37" s="8"/>
      <c r="BW37" s="8"/>
      <c r="BX37" s="8"/>
      <c r="BY37" s="8"/>
      <c r="BZ37" s="8"/>
      <c r="CA37" s="8"/>
      <c r="CB37" s="8"/>
      <c r="CC37" s="8"/>
      <c r="CD37" s="8"/>
      <c r="CE37" s="8"/>
      <c r="CF37" s="8"/>
      <c r="CG37" s="8"/>
    </row>
    <row r="38" spans="5:85" x14ac:dyDescent="0.25">
      <c r="E38" s="5"/>
      <c r="F38" t="str">
        <f t="shared" si="0"/>
        <v/>
      </c>
      <c r="G38" s="5" t="str">
        <f>IF($L38&lt;&gt;"",EOMONTH(DATE(YEAR($M$11),MONTH($M$11)-IF(DAY($N$6)&lt;$N$7,1,0),DAY($M$11)),($H38*$A$1)+IF(MESADICIONAL=TRUE,1,0)),"")</f>
        <v/>
      </c>
      <c r="H38" s="22" t="str">
        <f t="shared" si="1"/>
        <v/>
      </c>
      <c r="I38" s="22" t="str">
        <f t="shared" si="2"/>
        <v/>
      </c>
      <c r="J38" s="22" t="str">
        <f t="shared" si="3"/>
        <v/>
      </c>
      <c r="K38" s="22" t="str">
        <f t="shared" si="14"/>
        <v/>
      </c>
      <c r="L38" t="str">
        <f t="shared" si="4"/>
        <v/>
      </c>
      <c r="M38" s="5" t="str">
        <f t="shared" si="15"/>
        <v/>
      </c>
      <c r="N38" s="9" t="str">
        <f t="shared" si="5"/>
        <v/>
      </c>
      <c r="O38" s="3" t="str">
        <f t="shared" si="6"/>
        <v/>
      </c>
      <c r="P38" s="3" t="str">
        <f t="shared" si="7"/>
        <v/>
      </c>
      <c r="Q38" s="3" t="str">
        <f t="shared" ref="Q38:Q96" si="16">IF($L38&lt;&gt;"",IF($P38-$R38&gt;0,IF($P38&gt;=$R38+$S38+$T38+$U38,$P38-$R38-$S38-$T38-$U38,P38),0),"")</f>
        <v/>
      </c>
      <c r="R38" s="3" t="str">
        <f t="shared" ref="R38:R96" si="17">IF($L38&lt;&gt;"",IF($P38&gt;IF($D38="",$X38,$D38)+$W37+$S38+$T38+$U38,IF($D38="",$X38,$D38)+$W37,IF($P38&gt;=$S38+$T38+$U38,$P38-$S38-$T38-$U38,IF($D38="",$X38,$D38)+$W37)),"")</f>
        <v/>
      </c>
      <c r="S38" s="3" t="str">
        <f>IF($L38&lt;&gt;"",IF($A38="Prepago",0,IF($H38*$U$6&gt;SUM($S$11:$S37)+$U$6,$U$6*2,$U$6)),"")</f>
        <v/>
      </c>
      <c r="T38" s="3" t="str">
        <f>IF($L38&lt;&gt;"",IF($A38="Prepago",0,IF($H38*$U$7&gt;SUM($T$11:$T37)+$U$7,$U$7*2,$U$7)),"")</f>
        <v/>
      </c>
      <c r="U38" s="3" t="str">
        <f>IF($L38&lt;&gt;"",IF($A38="Prepago",0,IF($H38*$U$8&gt;SUM($U$11:$U37)+$U$8,$U$8*2,$U$8)),"")</f>
        <v/>
      </c>
      <c r="V38" s="3" t="str">
        <f t="shared" si="10"/>
        <v/>
      </c>
      <c r="W38" s="3" t="str">
        <f t="shared" si="11"/>
        <v/>
      </c>
      <c r="X38" s="3" t="str">
        <f t="shared" si="12"/>
        <v/>
      </c>
      <c r="Y38" s="3" t="str">
        <f t="shared" si="13"/>
        <v/>
      </c>
      <c r="Z38" s="3" t="str">
        <f>IF($L38&lt;&gt;"",IF($N38&gt;Y$11,IF($N38&lt;Z$11,$N38-Y$11,30),0)*ROUND(($O38+$W37+SUM($Y38:Y38))*$V$5/3000,2),"")</f>
        <v/>
      </c>
      <c r="AA38" s="3"/>
      <c r="AB38" s="3"/>
      <c r="AC38" s="8"/>
      <c r="AD38" s="8"/>
      <c r="AE38" s="8"/>
      <c r="AF38" s="8"/>
      <c r="AG38" s="8"/>
      <c r="AH38" s="8"/>
      <c r="AI38" s="8"/>
      <c r="AJ38" s="8"/>
      <c r="AK38" s="8"/>
      <c r="AL38" s="8"/>
      <c r="AM38" s="8"/>
      <c r="AN38" s="8"/>
      <c r="AO38" s="8"/>
      <c r="AP38" s="8"/>
      <c r="AQ38" s="8"/>
      <c r="AR38" s="8"/>
      <c r="AS38" s="8"/>
      <c r="AT38" s="8"/>
      <c r="AU38" s="8"/>
      <c r="AV38" s="8"/>
      <c r="AW38" s="8"/>
      <c r="AX38" s="8"/>
      <c r="AY38" s="8"/>
      <c r="AZ38" s="8"/>
      <c r="BA38" s="8"/>
      <c r="BB38" s="8"/>
      <c r="BC38" s="8"/>
      <c r="BD38" s="8"/>
      <c r="BE38" s="8"/>
      <c r="BF38" s="8"/>
      <c r="BG38" s="8"/>
      <c r="BH38" s="8"/>
      <c r="BI38" s="8"/>
      <c r="BJ38" s="8"/>
      <c r="BK38" s="8"/>
      <c r="BL38" s="8"/>
      <c r="BM38" s="8"/>
      <c r="BN38" s="8"/>
      <c r="BO38" s="8"/>
      <c r="BP38" s="8"/>
      <c r="BQ38" s="8"/>
      <c r="BR38" s="8"/>
      <c r="BS38" s="8"/>
      <c r="BT38" s="8"/>
      <c r="BU38" s="8"/>
      <c r="BV38" s="8"/>
      <c r="BW38" s="8"/>
      <c r="BX38" s="8"/>
      <c r="BY38" s="8"/>
      <c r="BZ38" s="8"/>
      <c r="CA38" s="8"/>
      <c r="CB38" s="8"/>
      <c r="CC38" s="8"/>
      <c r="CD38" s="8"/>
      <c r="CE38" s="8"/>
      <c r="CF38" s="8"/>
      <c r="CG38" s="8"/>
    </row>
    <row r="39" spans="5:85" x14ac:dyDescent="0.25">
      <c r="E39" s="5"/>
      <c r="F39" t="str">
        <f t="shared" si="0"/>
        <v/>
      </c>
      <c r="G39" s="5" t="str">
        <f>IF($L39&lt;&gt;"",EOMONTH(DATE(YEAR($M$11),MONTH($M$11)-IF(DAY($N$6)&lt;$N$7,1,0),DAY($M$11)),($H39*$A$1)+IF(MESADICIONAL=TRUE,1,0)),"")</f>
        <v/>
      </c>
      <c r="H39" s="22" t="str">
        <f t="shared" si="1"/>
        <v/>
      </c>
      <c r="I39" s="22" t="str">
        <f t="shared" si="2"/>
        <v/>
      </c>
      <c r="J39" s="22" t="str">
        <f t="shared" si="3"/>
        <v/>
      </c>
      <c r="K39" s="22" t="str">
        <f t="shared" si="14"/>
        <v/>
      </c>
      <c r="L39" t="str">
        <f t="shared" si="4"/>
        <v/>
      </c>
      <c r="M39" s="5" t="str">
        <f t="shared" si="15"/>
        <v/>
      </c>
      <c r="N39" s="9" t="str">
        <f t="shared" si="5"/>
        <v/>
      </c>
      <c r="O39" s="3" t="str">
        <f t="shared" si="6"/>
        <v/>
      </c>
      <c r="P39" s="3" t="str">
        <f t="shared" si="7"/>
        <v/>
      </c>
      <c r="Q39" s="3" t="str">
        <f t="shared" si="16"/>
        <v/>
      </c>
      <c r="R39" s="3" t="str">
        <f t="shared" si="17"/>
        <v/>
      </c>
      <c r="S39" s="3" t="str">
        <f>IF($L39&lt;&gt;"",IF($A39="Prepago",0,IF($H39*$U$6&gt;SUM($S$11:$S38)+$U$6,$U$6*2,$U$6)),"")</f>
        <v/>
      </c>
      <c r="T39" s="3" t="str">
        <f>IF($L39&lt;&gt;"",IF($A39="Prepago",0,IF($H39*$U$7&gt;SUM($T$11:$T38)+$U$7,$U$7*2,$U$7)),"")</f>
        <v/>
      </c>
      <c r="U39" s="3" t="str">
        <f>IF($L39&lt;&gt;"",IF($A39="Prepago",0,IF($H39*$U$8&gt;SUM($U$11:$U38)+$U$8,$U$8*2,$U$8)),"")</f>
        <v/>
      </c>
      <c r="V39" s="3" t="str">
        <f t="shared" si="10"/>
        <v/>
      </c>
      <c r="W39" s="3" t="str">
        <f t="shared" si="11"/>
        <v/>
      </c>
      <c r="X39" s="3" t="str">
        <f t="shared" si="12"/>
        <v/>
      </c>
      <c r="Y39" s="3" t="str">
        <f t="shared" si="13"/>
        <v/>
      </c>
      <c r="Z39" s="3" t="str">
        <f>IF($L39&lt;&gt;"",IF($N39&gt;Y$11,IF($N39&lt;Z$11,$N39-Y$11,30),0)*ROUND(($O39+$W38+SUM($Y39:Y39))*$V$5/3000,2),"")</f>
        <v/>
      </c>
      <c r="AA39" s="3"/>
      <c r="AB39" s="3"/>
      <c r="AC39" s="8"/>
      <c r="AD39" s="8"/>
      <c r="AE39" s="8"/>
      <c r="AF39" s="8"/>
      <c r="AG39" s="8"/>
      <c r="AH39" s="8"/>
      <c r="AI39" s="8"/>
      <c r="AJ39" s="8"/>
      <c r="AK39" s="8"/>
      <c r="AL39" s="8"/>
      <c r="AM39" s="8"/>
      <c r="AN39" s="8"/>
      <c r="AO39" s="8"/>
      <c r="AP39" s="8"/>
      <c r="AQ39" s="8"/>
      <c r="AR39" s="8"/>
      <c r="AS39" s="8"/>
      <c r="AT39" s="8"/>
      <c r="AU39" s="8"/>
      <c r="AV39" s="8"/>
      <c r="AW39" s="8"/>
      <c r="AX39" s="8"/>
      <c r="AY39" s="8"/>
      <c r="AZ39" s="8"/>
      <c r="BA39" s="8"/>
      <c r="BB39" s="8"/>
      <c r="BC39" s="8"/>
      <c r="BD39" s="8"/>
      <c r="BE39" s="8"/>
      <c r="BF39" s="8"/>
      <c r="BG39" s="8"/>
      <c r="BH39" s="8"/>
      <c r="BI39" s="8"/>
      <c r="BJ39" s="8"/>
      <c r="BK39" s="8"/>
      <c r="BL39" s="8"/>
      <c r="BM39" s="8"/>
      <c r="BN39" s="8"/>
      <c r="BO39" s="8"/>
      <c r="BP39" s="8"/>
      <c r="BQ39" s="8"/>
      <c r="BR39" s="8"/>
      <c r="BS39" s="8"/>
      <c r="BT39" s="8"/>
      <c r="BU39" s="8"/>
      <c r="BV39" s="8"/>
      <c r="BW39" s="8"/>
      <c r="BX39" s="8"/>
      <c r="BY39" s="8"/>
      <c r="BZ39" s="8"/>
      <c r="CA39" s="8"/>
      <c r="CB39" s="8"/>
      <c r="CC39" s="8"/>
      <c r="CD39" s="8"/>
      <c r="CE39" s="8"/>
      <c r="CF39" s="8"/>
      <c r="CG39" s="8"/>
    </row>
    <row r="40" spans="5:85" x14ac:dyDescent="0.25">
      <c r="E40" s="5"/>
      <c r="F40" t="str">
        <f t="shared" si="0"/>
        <v/>
      </c>
      <c r="G40" s="5" t="str">
        <f>IF($L40&lt;&gt;"",EOMONTH(DATE(YEAR($M$11),MONTH($M$11)-IF(DAY($N$6)&lt;$N$7,1,0),DAY($M$11)),($H40*$A$1)+IF(MESADICIONAL=TRUE,1,0)),"")</f>
        <v/>
      </c>
      <c r="H40" s="22" t="str">
        <f t="shared" si="1"/>
        <v/>
      </c>
      <c r="I40" s="22" t="str">
        <f t="shared" si="2"/>
        <v/>
      </c>
      <c r="J40" s="22" t="str">
        <f t="shared" si="3"/>
        <v/>
      </c>
      <c r="K40" s="22" t="str">
        <f t="shared" si="14"/>
        <v/>
      </c>
      <c r="L40" t="str">
        <f t="shared" si="4"/>
        <v/>
      </c>
      <c r="M40" s="5" t="str">
        <f t="shared" si="15"/>
        <v/>
      </c>
      <c r="N40" s="9" t="str">
        <f t="shared" si="5"/>
        <v/>
      </c>
      <c r="O40" s="3" t="str">
        <f t="shared" si="6"/>
        <v/>
      </c>
      <c r="P40" s="3" t="str">
        <f t="shared" si="7"/>
        <v/>
      </c>
      <c r="Q40" s="3" t="str">
        <f t="shared" si="16"/>
        <v/>
      </c>
      <c r="R40" s="3" t="str">
        <f t="shared" si="17"/>
        <v/>
      </c>
      <c r="S40" s="3" t="str">
        <f>IF($L40&lt;&gt;"",IF($A40="Prepago",0,IF($H40*$U$6&gt;SUM($S$11:$S39)+$U$6,$U$6*2,$U$6)),"")</f>
        <v/>
      </c>
      <c r="T40" s="3" t="str">
        <f>IF($L40&lt;&gt;"",IF($A40="Prepago",0,IF($H40*$U$7&gt;SUM($T$11:$T39)+$U$7,$U$7*2,$U$7)),"")</f>
        <v/>
      </c>
      <c r="U40" s="3" t="str">
        <f>IF($L40&lt;&gt;"",IF($A40="Prepago",0,IF($H40*$U$8&gt;SUM($U$11:$U39)+$U$8,$U$8*2,$U$8)),"")</f>
        <v/>
      </c>
      <c r="V40" s="3" t="str">
        <f t="shared" si="10"/>
        <v/>
      </c>
      <c r="W40" s="3" t="str">
        <f t="shared" si="11"/>
        <v/>
      </c>
      <c r="X40" s="3" t="str">
        <f t="shared" si="12"/>
        <v/>
      </c>
      <c r="Y40" s="3" t="str">
        <f t="shared" si="13"/>
        <v/>
      </c>
      <c r="Z40" s="3" t="str">
        <f>IF($L40&lt;&gt;"",IF($N40&gt;Y$11,IF($N40&lt;Z$11,$N40-Y$11,30),0)*ROUND(($O40+$W39+SUM($Y40:Y40))*$V$5/3000,2),"")</f>
        <v/>
      </c>
      <c r="AA40" s="3"/>
      <c r="AB40" s="3"/>
      <c r="AC40" s="8"/>
      <c r="AD40" s="8"/>
      <c r="AE40" s="8"/>
      <c r="AF40" s="8"/>
      <c r="AG40" s="8"/>
      <c r="AH40" s="8"/>
      <c r="AI40" s="8"/>
      <c r="AJ40" s="8"/>
      <c r="AK40" s="8"/>
      <c r="AL40" s="8"/>
      <c r="AM40" s="8"/>
      <c r="AN40" s="8"/>
      <c r="AO40" s="8"/>
      <c r="AP40" s="8"/>
      <c r="AQ40" s="8"/>
      <c r="AR40" s="8"/>
      <c r="AS40" s="8"/>
      <c r="AT40" s="8"/>
      <c r="AU40" s="8"/>
      <c r="AV40" s="8"/>
      <c r="AW40" s="8"/>
      <c r="AX40" s="8"/>
      <c r="AY40" s="8"/>
      <c r="AZ40" s="8"/>
      <c r="BA40" s="8"/>
      <c r="BB40" s="8"/>
      <c r="BC40" s="8"/>
      <c r="BD40" s="8"/>
      <c r="BE40" s="8"/>
      <c r="BF40" s="8"/>
      <c r="BG40" s="8"/>
      <c r="BH40" s="8"/>
      <c r="BI40" s="8"/>
      <c r="BJ40" s="8"/>
      <c r="BK40" s="8"/>
      <c r="BL40" s="8"/>
      <c r="BM40" s="8"/>
      <c r="BN40" s="8"/>
      <c r="BO40" s="8"/>
      <c r="BP40" s="8"/>
      <c r="BQ40" s="8"/>
      <c r="BR40" s="8"/>
      <c r="BS40" s="8"/>
      <c r="BT40" s="8"/>
      <c r="BU40" s="8"/>
      <c r="BV40" s="8"/>
      <c r="BW40" s="8"/>
      <c r="BX40" s="8"/>
      <c r="BY40" s="8"/>
      <c r="BZ40" s="8"/>
      <c r="CA40" s="8"/>
      <c r="CB40" s="8"/>
      <c r="CC40" s="8"/>
      <c r="CD40" s="8"/>
      <c r="CE40" s="8"/>
      <c r="CF40" s="8"/>
      <c r="CG40" s="8"/>
    </row>
    <row r="41" spans="5:85" x14ac:dyDescent="0.25">
      <c r="E41" s="5"/>
      <c r="F41" t="str">
        <f t="shared" si="0"/>
        <v/>
      </c>
      <c r="G41" s="5" t="str">
        <f>IF($L41&lt;&gt;"",EOMONTH(DATE(YEAR($M$11),MONTH($M$11)-IF(DAY($N$6)&lt;$N$7,1,0),DAY($M$11)),($H41*$A$1)+IF(MESADICIONAL=TRUE,1,0)),"")</f>
        <v/>
      </c>
      <c r="H41" s="22" t="str">
        <f t="shared" si="1"/>
        <v/>
      </c>
      <c r="I41" s="22" t="str">
        <f t="shared" si="2"/>
        <v/>
      </c>
      <c r="J41" s="22" t="str">
        <f t="shared" si="3"/>
        <v/>
      </c>
      <c r="K41" s="22" t="str">
        <f t="shared" si="14"/>
        <v/>
      </c>
      <c r="L41" t="str">
        <f t="shared" si="4"/>
        <v/>
      </c>
      <c r="M41" s="5" t="str">
        <f t="shared" si="15"/>
        <v/>
      </c>
      <c r="N41" s="9" t="str">
        <f t="shared" si="5"/>
        <v/>
      </c>
      <c r="O41" s="3" t="str">
        <f t="shared" si="6"/>
        <v/>
      </c>
      <c r="P41" s="3" t="str">
        <f t="shared" si="7"/>
        <v/>
      </c>
      <c r="Q41" s="3" t="str">
        <f t="shared" si="16"/>
        <v/>
      </c>
      <c r="R41" s="3" t="str">
        <f t="shared" si="17"/>
        <v/>
      </c>
      <c r="S41" s="3" t="str">
        <f>IF($L41&lt;&gt;"",IF($A41="Prepago",0,IF($H41*$U$6&gt;SUM($S$11:$S40)+$U$6,$U$6*2,$U$6)),"")</f>
        <v/>
      </c>
      <c r="T41" s="3" t="str">
        <f>IF($L41&lt;&gt;"",IF($A41="Prepago",0,IF($H41*$U$7&gt;SUM($T$11:$T40)+$U$7,$U$7*2,$U$7)),"")</f>
        <v/>
      </c>
      <c r="U41" s="3" t="str">
        <f>IF($L41&lt;&gt;"",IF($A41="Prepago",0,IF($H41*$U$8&gt;SUM($U$11:$U40)+$U$8,$U$8*2,$U$8)),"")</f>
        <v/>
      </c>
      <c r="V41" s="3" t="str">
        <f t="shared" si="10"/>
        <v/>
      </c>
      <c r="W41" s="3" t="str">
        <f t="shared" si="11"/>
        <v/>
      </c>
      <c r="X41" s="3" t="str">
        <f t="shared" si="12"/>
        <v/>
      </c>
      <c r="Y41" s="3" t="str">
        <f t="shared" si="13"/>
        <v/>
      </c>
      <c r="Z41" s="3" t="str">
        <f>IF($L41&lt;&gt;"",IF($N41&gt;Y$11,IF($N41&lt;Z$11,$N41-Y$11,30),0)*ROUND(($O41+$W40+SUM($Y41:Y41))*$V$5/3000,2),"")</f>
        <v/>
      </c>
      <c r="AA41" s="3"/>
      <c r="AB41" s="3"/>
      <c r="AC41" s="8"/>
      <c r="AD41" s="8"/>
      <c r="AE41" s="8"/>
      <c r="AF41" s="8"/>
      <c r="AG41" s="8"/>
      <c r="AH41" s="8"/>
      <c r="AI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  <c r="AY41" s="8"/>
      <c r="AZ41" s="8"/>
      <c r="BA41" s="8"/>
      <c r="BB41" s="8"/>
      <c r="BC41" s="8"/>
      <c r="BD41" s="8"/>
      <c r="BE41" s="8"/>
      <c r="BF41" s="8"/>
      <c r="BG41" s="8"/>
      <c r="BH41" s="8"/>
      <c r="BI41" s="8"/>
      <c r="BJ41" s="8"/>
      <c r="BK41" s="8"/>
      <c r="BL41" s="8"/>
      <c r="BM41" s="8"/>
      <c r="BN41" s="8"/>
      <c r="BO41" s="8"/>
      <c r="BP41" s="8"/>
      <c r="BQ41" s="8"/>
      <c r="BR41" s="8"/>
      <c r="BS41" s="8"/>
      <c r="BT41" s="8"/>
      <c r="BU41" s="8"/>
      <c r="BV41" s="8"/>
      <c r="BW41" s="8"/>
      <c r="BX41" s="8"/>
      <c r="BY41" s="8"/>
      <c r="BZ41" s="8"/>
      <c r="CA41" s="8"/>
      <c r="CB41" s="8"/>
      <c r="CC41" s="8"/>
      <c r="CD41" s="8"/>
      <c r="CE41" s="8"/>
      <c r="CF41" s="8"/>
      <c r="CG41" s="8"/>
    </row>
    <row r="42" spans="5:85" x14ac:dyDescent="0.25">
      <c r="E42" s="5"/>
      <c r="F42" t="str">
        <f t="shared" si="0"/>
        <v/>
      </c>
      <c r="G42" s="5" t="str">
        <f>IF($L42&lt;&gt;"",EOMONTH(DATE(YEAR($M$11),MONTH($M$11)-IF(DAY($N$6)&lt;$N$7,1,0),DAY($M$11)),($H42*$A$1)+IF(MESADICIONAL=TRUE,1,0)),"")</f>
        <v/>
      </c>
      <c r="H42" s="22" t="str">
        <f t="shared" si="1"/>
        <v/>
      </c>
      <c r="I42" s="22" t="str">
        <f t="shared" si="2"/>
        <v/>
      </c>
      <c r="J42" s="22" t="str">
        <f t="shared" si="3"/>
        <v/>
      </c>
      <c r="K42" s="22" t="str">
        <f t="shared" si="14"/>
        <v/>
      </c>
      <c r="L42" t="str">
        <f t="shared" si="4"/>
        <v/>
      </c>
      <c r="M42" s="5" t="str">
        <f t="shared" si="15"/>
        <v/>
      </c>
      <c r="N42" s="9" t="str">
        <f t="shared" si="5"/>
        <v/>
      </c>
      <c r="O42" s="3" t="str">
        <f t="shared" si="6"/>
        <v/>
      </c>
      <c r="P42" s="3" t="str">
        <f t="shared" si="7"/>
        <v/>
      </c>
      <c r="Q42" s="3" t="str">
        <f t="shared" si="16"/>
        <v/>
      </c>
      <c r="R42" s="3" t="str">
        <f t="shared" si="17"/>
        <v/>
      </c>
      <c r="S42" s="3" t="str">
        <f>IF($L42&lt;&gt;"",IF($A42="Prepago",0,IF($H42*$U$6&gt;SUM($S$11:$S41)+$U$6,$U$6*2,$U$6)),"")</f>
        <v/>
      </c>
      <c r="T42" s="3" t="str">
        <f>IF($L42&lt;&gt;"",IF($A42="Prepago",0,IF($H42*$U$7&gt;SUM($T$11:$T41)+$U$7,$U$7*2,$U$7)),"")</f>
        <v/>
      </c>
      <c r="U42" s="3" t="str">
        <f>IF($L42&lt;&gt;"",IF($A42="Prepago",0,IF($H42*$U$8&gt;SUM($U$11:$U41)+$U$8,$U$8*2,$U$8)),"")</f>
        <v/>
      </c>
      <c r="V42" s="3" t="str">
        <f t="shared" si="10"/>
        <v/>
      </c>
      <c r="W42" s="3" t="str">
        <f t="shared" si="11"/>
        <v/>
      </c>
      <c r="X42" s="3" t="str">
        <f t="shared" si="12"/>
        <v/>
      </c>
      <c r="Y42" s="3" t="str">
        <f t="shared" si="13"/>
        <v/>
      </c>
      <c r="Z42" s="3" t="str">
        <f>IF($L42&lt;&gt;"",IF($N42&gt;Y$11,IF($N42&lt;Z$11,$N42-Y$11,30),0)*ROUND(($O42+$W41+SUM($Y42:Y42))*$V$5/3000,2),"")</f>
        <v/>
      </c>
      <c r="AA42" s="3"/>
      <c r="AB42" s="3"/>
      <c r="AC42" s="8"/>
      <c r="AD42" s="8"/>
      <c r="AE42" s="8"/>
      <c r="AF42" s="8"/>
      <c r="AG42" s="8"/>
      <c r="AH42" s="8"/>
      <c r="AI42" s="8"/>
      <c r="AJ42" s="8"/>
      <c r="AK42" s="8"/>
      <c r="AL42" s="8"/>
      <c r="AM42" s="8"/>
      <c r="AN42" s="8"/>
      <c r="AO42" s="8"/>
      <c r="AP42" s="8"/>
      <c r="AQ42" s="8"/>
      <c r="AR42" s="8"/>
      <c r="AS42" s="8"/>
      <c r="AT42" s="8"/>
      <c r="AU42" s="8"/>
      <c r="AV42" s="8"/>
      <c r="AW42" s="8"/>
      <c r="AX42" s="8"/>
      <c r="AY42" s="8"/>
      <c r="AZ42" s="8"/>
      <c r="BA42" s="8"/>
      <c r="BB42" s="8"/>
      <c r="BC42" s="8"/>
      <c r="BD42" s="8"/>
      <c r="BE42" s="8"/>
      <c r="BF42" s="8"/>
      <c r="BG42" s="8"/>
      <c r="BH42" s="8"/>
      <c r="BI42" s="8"/>
      <c r="BJ42" s="8"/>
      <c r="BK42" s="8"/>
      <c r="BL42" s="8"/>
      <c r="BM42" s="8"/>
      <c r="BN42" s="8"/>
      <c r="BO42" s="8"/>
      <c r="BP42" s="8"/>
      <c r="BQ42" s="8"/>
      <c r="BR42" s="8"/>
      <c r="BS42" s="8"/>
      <c r="BT42" s="8"/>
      <c r="BU42" s="8"/>
      <c r="BV42" s="8"/>
      <c r="BW42" s="8"/>
      <c r="BX42" s="8"/>
      <c r="BY42" s="8"/>
      <c r="BZ42" s="8"/>
      <c r="CA42" s="8"/>
      <c r="CB42" s="8"/>
      <c r="CC42" s="8"/>
      <c r="CD42" s="8"/>
      <c r="CE42" s="8"/>
      <c r="CF42" s="8"/>
      <c r="CG42" s="8"/>
    </row>
    <row r="43" spans="5:85" x14ac:dyDescent="0.25">
      <c r="E43" s="5"/>
      <c r="F43" t="str">
        <f t="shared" si="0"/>
        <v/>
      </c>
      <c r="G43" s="5" t="str">
        <f>IF($L43&lt;&gt;"",EOMONTH(DATE(YEAR($M$11),MONTH($M$11)-IF(DAY($N$6)&lt;$N$7,1,0),DAY($M$11)),($H43*$A$1)+IF(MESADICIONAL=TRUE,1,0)),"")</f>
        <v/>
      </c>
      <c r="H43" s="22" t="str">
        <f t="shared" si="1"/>
        <v/>
      </c>
      <c r="I43" s="22" t="str">
        <f t="shared" si="2"/>
        <v/>
      </c>
      <c r="J43" s="22" t="str">
        <f t="shared" si="3"/>
        <v/>
      </c>
      <c r="K43" s="22" t="str">
        <f t="shared" si="14"/>
        <v/>
      </c>
      <c r="L43" t="str">
        <f t="shared" si="4"/>
        <v/>
      </c>
      <c r="M43" s="5" t="str">
        <f t="shared" si="15"/>
        <v/>
      </c>
      <c r="N43" s="9" t="str">
        <f t="shared" si="5"/>
        <v/>
      </c>
      <c r="O43" s="3" t="str">
        <f t="shared" si="6"/>
        <v/>
      </c>
      <c r="P43" s="3" t="str">
        <f t="shared" si="7"/>
        <v/>
      </c>
      <c r="Q43" s="3" t="str">
        <f t="shared" si="16"/>
        <v/>
      </c>
      <c r="R43" s="3" t="str">
        <f t="shared" si="17"/>
        <v/>
      </c>
      <c r="S43" s="3" t="str">
        <f>IF($L43&lt;&gt;"",IF($A43="Prepago",0,IF($H43*$U$6&gt;SUM($S$11:$S42)+$U$6,$U$6*2,$U$6)),"")</f>
        <v/>
      </c>
      <c r="T43" s="3" t="str">
        <f>IF($L43&lt;&gt;"",IF($A43="Prepago",0,IF($H43*$U$7&gt;SUM($T$11:$T42)+$U$7,$U$7*2,$U$7)),"")</f>
        <v/>
      </c>
      <c r="U43" s="3" t="str">
        <f>IF($L43&lt;&gt;"",IF($A43="Prepago",0,IF($H43*$U$8&gt;SUM($U$11:$U42)+$U$8,$U$8*2,$U$8)),"")</f>
        <v/>
      </c>
      <c r="V43" s="3" t="str">
        <f t="shared" si="10"/>
        <v/>
      </c>
      <c r="W43" s="3" t="str">
        <f t="shared" si="11"/>
        <v/>
      </c>
      <c r="X43" s="3" t="str">
        <f t="shared" si="12"/>
        <v/>
      </c>
      <c r="Y43" s="3" t="str">
        <f t="shared" si="13"/>
        <v/>
      </c>
      <c r="Z43" s="3" t="str">
        <f>IF($L43&lt;&gt;"",IF($N43&gt;Y$11,IF($N43&lt;Z$11,$N43-Y$11,30),0)*ROUND(($O43+$W42+SUM($Y43:Y43))*$V$5/3000,2),"")</f>
        <v/>
      </c>
      <c r="AA43" s="3"/>
      <c r="AB43" s="3"/>
      <c r="AC43" s="8"/>
      <c r="AD43" s="8"/>
      <c r="AE43" s="8"/>
      <c r="AF43" s="8"/>
      <c r="AG43" s="8"/>
      <c r="AH43" s="8"/>
      <c r="AI43" s="8"/>
      <c r="AJ43" s="8"/>
      <c r="AK43" s="8"/>
      <c r="AL43" s="8"/>
      <c r="AM43" s="8"/>
      <c r="AN43" s="8"/>
      <c r="AO43" s="8"/>
      <c r="AP43" s="8"/>
      <c r="AQ43" s="8"/>
      <c r="AR43" s="8"/>
      <c r="AS43" s="8"/>
      <c r="AT43" s="8"/>
      <c r="AU43" s="8"/>
      <c r="AV43" s="8"/>
      <c r="AW43" s="8"/>
      <c r="AX43" s="8"/>
      <c r="AY43" s="8"/>
      <c r="AZ43" s="8"/>
      <c r="BA43" s="8"/>
      <c r="BB43" s="8"/>
      <c r="BC43" s="8"/>
      <c r="BD43" s="8"/>
      <c r="BE43" s="8"/>
      <c r="BF43" s="8"/>
      <c r="BG43" s="8"/>
      <c r="BH43" s="8"/>
      <c r="BI43" s="8"/>
      <c r="BJ43" s="8"/>
      <c r="BK43" s="8"/>
      <c r="BL43" s="8"/>
      <c r="BM43" s="8"/>
      <c r="BN43" s="8"/>
      <c r="BO43" s="8"/>
      <c r="BP43" s="8"/>
      <c r="BQ43" s="8"/>
      <c r="BR43" s="8"/>
      <c r="BS43" s="8"/>
      <c r="BT43" s="8"/>
      <c r="BU43" s="8"/>
      <c r="BV43" s="8"/>
      <c r="BW43" s="8"/>
      <c r="BX43" s="8"/>
      <c r="BY43" s="8"/>
      <c r="BZ43" s="8"/>
      <c r="CA43" s="8"/>
      <c r="CB43" s="8"/>
      <c r="CC43" s="8"/>
      <c r="CD43" s="8"/>
      <c r="CE43" s="8"/>
      <c r="CF43" s="8"/>
      <c r="CG43" s="8"/>
    </row>
    <row r="44" spans="5:85" x14ac:dyDescent="0.25">
      <c r="E44" s="5"/>
      <c r="F44" t="str">
        <f t="shared" ref="F44:F75" si="18">IF($L44&lt;&gt;"",TEXT(M44,"DDD"),"")</f>
        <v/>
      </c>
      <c r="G44" s="5" t="str">
        <f>IF($L44&lt;&gt;"",EOMONTH(DATE(YEAR($M$11),MONTH($M$11)-IF(DAY($N$6)&lt;$N$7,1,0),DAY($M$11)),($H44*$A$1)+IF(MESADICIONAL=TRUE,1,0)),"")</f>
        <v/>
      </c>
      <c r="H44" s="22" t="str">
        <f t="shared" ref="H44:H75" si="19">IF($L44&lt;&gt;"",IF($A44="Prepago",$H43,$H43+1)+B44,"")</f>
        <v/>
      </c>
      <c r="I44" s="22" t="str">
        <f t="shared" ref="I44:I75" si="20">IF(L44&lt;&gt;"",IF(COUNTA($Y44:$XFD44)*30&lt;$N44,1,0),"")</f>
        <v/>
      </c>
      <c r="J44" s="22" t="str">
        <f t="shared" ref="J44:J76" si="21">IF($L44&lt;&gt;"",IF(OR(A44&lt;&gt;"",C44&lt;&gt;""),1,0),"")</f>
        <v/>
      </c>
      <c r="K44" s="22" t="str">
        <f t="shared" si="14"/>
        <v/>
      </c>
      <c r="L44" t="str">
        <f t="shared" ref="L44:L75" si="22">IF($L43&lt;NCUOTAS+CUOTAADICIONAL+NPREPAGO,$L43+1,"")</f>
        <v/>
      </c>
      <c r="M44" s="5" t="str">
        <f t="shared" si="15"/>
        <v/>
      </c>
      <c r="N44" s="9" t="str">
        <f t="shared" ref="N44:N75" si="23">IF($L44&lt;&gt;"",$M44-$M43,"")</f>
        <v/>
      </c>
      <c r="O44" s="3" t="str">
        <f t="shared" ref="O44:O75" si="24">IF($L44&lt;&gt;"",$V43,"")</f>
        <v/>
      </c>
      <c r="P44" s="3" t="str">
        <f t="shared" ref="P44:P75" si="25">IF($L44&lt;&gt;"",IF($A44="Gracia Parcial",IF(AND($C44&lt;$X44+$S44+$T44+$U44+$W43,$C44&gt;0),$C44,$X44+$S44+$T44+$U44+$W43),IF($A44="Gracia Total",0,IF($A44="Prepago",$C44,IF(ISNUMBER($C44),$C44*VALUE(MID($C$1,MONTH($M44),1)),$Q$5*VALUE(MID($C$1,MONTH($M44),1))))))-IF($L45="",ARREGLO,0),"")</f>
        <v/>
      </c>
      <c r="Q44" s="3" t="str">
        <f t="shared" si="16"/>
        <v/>
      </c>
      <c r="R44" s="3" t="str">
        <f t="shared" si="17"/>
        <v/>
      </c>
      <c r="S44" s="3" t="str">
        <f>IF($L44&lt;&gt;"",IF($A44="Prepago",0,IF($H44*$U$6&gt;SUM($S$11:$S43)+$U$6,$U$6*2,$U$6)),"")</f>
        <v/>
      </c>
      <c r="T44" s="3" t="str">
        <f>IF($L44&lt;&gt;"",IF($A44="Prepago",0,IF($H44*$U$7&gt;SUM($T$11:$T43)+$U$7,$U$7*2,$U$7)),"")</f>
        <v/>
      </c>
      <c r="U44" s="3" t="str">
        <f>IF($L44&lt;&gt;"",IF($A44="Prepago",0,IF($H44*$U$8&gt;SUM($U$11:$U43)+$U$8,$U$8*2,$U$8)),"")</f>
        <v/>
      </c>
      <c r="V44" s="3" t="str">
        <f t="shared" ref="V44:V75" si="26">IF($L44&lt;&gt;"",$O44-$Q44,"")</f>
        <v/>
      </c>
      <c r="W44" s="3" t="str">
        <f t="shared" ref="W44:W75" si="27">IF($L44&lt;&gt;"",+$W43+IF($D44="",$X44,$D44)-$R44,"")</f>
        <v/>
      </c>
      <c r="X44" s="3" t="str">
        <f t="shared" ref="X44:X75" si="28">IF($L44&lt;&gt;"",SUM($Y44:$XFD44),"")</f>
        <v/>
      </c>
      <c r="Y44" s="3" t="str">
        <f t="shared" ref="Y44:Y75" si="29">IF($L44&lt;&gt;"",IF($N44&gt;Y$11,30,$N44)*ROUND(($O44+$W43)*$V$5/3000,2),"")</f>
        <v/>
      </c>
      <c r="Z44" s="3" t="str">
        <f>IF($L44&lt;&gt;"",IF($N44&gt;Y$11,IF($N44&lt;Z$11,$N44-Y$11,30),0)*ROUND(($O44+$W43+SUM($Y44:Y44))*$V$5/3000,2),"")</f>
        <v/>
      </c>
      <c r="AA44" s="3"/>
      <c r="AB44" s="3"/>
      <c r="AC44" s="8"/>
      <c r="AD44" s="8"/>
      <c r="AE44" s="8"/>
      <c r="AF44" s="8"/>
      <c r="AG44" s="8"/>
      <c r="AH44" s="8"/>
      <c r="AI44" s="8"/>
      <c r="AJ44" s="8"/>
      <c r="AK44" s="8"/>
      <c r="AL44" s="8"/>
      <c r="AM44" s="8"/>
      <c r="AN44" s="8"/>
      <c r="AO44" s="8"/>
      <c r="AP44" s="8"/>
      <c r="AQ44" s="8"/>
      <c r="AR44" s="8"/>
      <c r="AS44" s="8"/>
      <c r="AT44" s="8"/>
      <c r="AU44" s="8"/>
      <c r="AV44" s="8"/>
      <c r="AW44" s="8"/>
      <c r="AX44" s="8"/>
      <c r="AY44" s="8"/>
      <c r="AZ44" s="8"/>
      <c r="BA44" s="8"/>
      <c r="BB44" s="8"/>
      <c r="BC44" s="8"/>
      <c r="BD44" s="8"/>
      <c r="BE44" s="8"/>
      <c r="BF44" s="8"/>
      <c r="BG44" s="8"/>
      <c r="BH44" s="8"/>
      <c r="BI44" s="8"/>
      <c r="BJ44" s="8"/>
      <c r="BK44" s="8"/>
      <c r="BL44" s="8"/>
      <c r="BM44" s="8"/>
      <c r="BN44" s="8"/>
      <c r="BO44" s="8"/>
      <c r="BP44" s="8"/>
      <c r="BQ44" s="8"/>
      <c r="BR44" s="8"/>
      <c r="BS44" s="8"/>
      <c r="BT44" s="8"/>
      <c r="BU44" s="8"/>
      <c r="BV44" s="8"/>
      <c r="BW44" s="8"/>
      <c r="BX44" s="8"/>
      <c r="BY44" s="8"/>
      <c r="BZ44" s="8"/>
      <c r="CA44" s="8"/>
      <c r="CB44" s="8"/>
      <c r="CC44" s="8"/>
      <c r="CD44" s="8"/>
      <c r="CE44" s="8"/>
      <c r="CF44" s="8"/>
      <c r="CG44" s="8"/>
    </row>
    <row r="45" spans="5:85" x14ac:dyDescent="0.25">
      <c r="E45" s="5"/>
      <c r="F45" t="str">
        <f t="shared" si="18"/>
        <v/>
      </c>
      <c r="G45" s="5" t="str">
        <f>IF($L45&lt;&gt;"",EOMONTH(DATE(YEAR($M$11),MONTH($M$11)-IF(DAY($N$6)&lt;$N$7,1,0),DAY($M$11)),($H45*$A$1)+IF(MESADICIONAL=TRUE,1,0)),"")</f>
        <v/>
      </c>
      <c r="H45" s="22" t="str">
        <f t="shared" si="19"/>
        <v/>
      </c>
      <c r="I45" s="22" t="str">
        <f t="shared" si="20"/>
        <v/>
      </c>
      <c r="J45" s="22" t="str">
        <f t="shared" si="21"/>
        <v/>
      </c>
      <c r="K45" s="22" t="str">
        <f t="shared" si="14"/>
        <v/>
      </c>
      <c r="L45" t="str">
        <f t="shared" si="22"/>
        <v/>
      </c>
      <c r="M45" s="5" t="str">
        <f t="shared" si="15"/>
        <v/>
      </c>
      <c r="N45" s="9" t="str">
        <f t="shared" si="23"/>
        <v/>
      </c>
      <c r="O45" s="3" t="str">
        <f t="shared" si="24"/>
        <v/>
      </c>
      <c r="P45" s="3" t="str">
        <f t="shared" si="25"/>
        <v/>
      </c>
      <c r="Q45" s="3" t="str">
        <f t="shared" si="16"/>
        <v/>
      </c>
      <c r="R45" s="3" t="str">
        <f t="shared" si="17"/>
        <v/>
      </c>
      <c r="S45" s="3" t="str">
        <f>IF($L45&lt;&gt;"",IF($A45="Prepago",0,IF($H45*$U$6&gt;SUM($S$11:$S44)+$U$6,$U$6*2,$U$6)),"")</f>
        <v/>
      </c>
      <c r="T45" s="3" t="str">
        <f>IF($L45&lt;&gt;"",IF($A45="Prepago",0,IF($H45*$U$7&gt;SUM($T$11:$T44)+$U$7,$U$7*2,$U$7)),"")</f>
        <v/>
      </c>
      <c r="U45" s="3" t="str">
        <f>IF($L45&lt;&gt;"",IF($A45="Prepago",0,IF($H45*$U$8&gt;SUM($U$11:$U44)+$U$8,$U$8*2,$U$8)),"")</f>
        <v/>
      </c>
      <c r="V45" s="3" t="str">
        <f t="shared" si="26"/>
        <v/>
      </c>
      <c r="W45" s="3" t="str">
        <f t="shared" si="27"/>
        <v/>
      </c>
      <c r="X45" s="3" t="str">
        <f t="shared" si="28"/>
        <v/>
      </c>
      <c r="Y45" s="3" t="str">
        <f t="shared" si="29"/>
        <v/>
      </c>
      <c r="Z45" s="3" t="str">
        <f>IF($L45&lt;&gt;"",IF($N45&gt;Y$11,IF($N45&lt;Z$11,$N45-Y$11,30),0)*ROUND(($O45+$W44+SUM($Y45:Y45))*$V$5/3000,2),"")</f>
        <v/>
      </c>
      <c r="AA45" s="3"/>
      <c r="AB45" s="3"/>
      <c r="AC45" s="8"/>
      <c r="AD45" s="8"/>
      <c r="AE45" s="8"/>
      <c r="AF45" s="8"/>
      <c r="AG45" s="8"/>
      <c r="AH45" s="8"/>
      <c r="AI45" s="8"/>
      <c r="AJ45" s="8"/>
      <c r="AK45" s="8"/>
      <c r="AL45" s="8"/>
      <c r="AM45" s="8"/>
      <c r="AN45" s="8"/>
      <c r="AO45" s="8"/>
      <c r="AP45" s="8"/>
      <c r="AQ45" s="8"/>
      <c r="AR45" s="8"/>
      <c r="AS45" s="8"/>
      <c r="AT45" s="8"/>
      <c r="AU45" s="8"/>
      <c r="AV45" s="8"/>
      <c r="AW45" s="8"/>
      <c r="AX45" s="8"/>
      <c r="AY45" s="8"/>
      <c r="AZ45" s="8"/>
      <c r="BA45" s="8"/>
      <c r="BB45" s="8"/>
      <c r="BC45" s="8"/>
      <c r="BD45" s="8"/>
      <c r="BE45" s="8"/>
      <c r="BF45" s="8"/>
      <c r="BG45" s="8"/>
      <c r="BH45" s="8"/>
      <c r="BI45" s="8"/>
      <c r="BJ45" s="8"/>
      <c r="BK45" s="8"/>
      <c r="BL45" s="8"/>
      <c r="BM45" s="8"/>
      <c r="BN45" s="8"/>
      <c r="BO45" s="8"/>
      <c r="BP45" s="8"/>
      <c r="BQ45" s="8"/>
      <c r="BR45" s="8"/>
      <c r="BS45" s="8"/>
      <c r="BT45" s="8"/>
      <c r="BU45" s="8"/>
      <c r="BV45" s="8"/>
      <c r="BW45" s="8"/>
      <c r="BX45" s="8"/>
      <c r="BY45" s="8"/>
      <c r="BZ45" s="8"/>
      <c r="CA45" s="8"/>
      <c r="CB45" s="8"/>
      <c r="CC45" s="8"/>
      <c r="CD45" s="8"/>
      <c r="CE45" s="8"/>
      <c r="CF45" s="8"/>
      <c r="CG45" s="8"/>
    </row>
    <row r="46" spans="5:85" x14ac:dyDescent="0.25">
      <c r="E46" s="5"/>
      <c r="F46" t="str">
        <f t="shared" si="18"/>
        <v/>
      </c>
      <c r="G46" s="5" t="str">
        <f>IF($L46&lt;&gt;"",EOMONTH(DATE(YEAR($M$11),MONTH($M$11)-IF(DAY($N$6)&lt;$N$7,1,0),DAY($M$11)),($H46*$A$1)+IF(MESADICIONAL=TRUE,1,0)),"")</f>
        <v/>
      </c>
      <c r="H46" s="22" t="str">
        <f t="shared" si="19"/>
        <v/>
      </c>
      <c r="I46" s="22" t="str">
        <f t="shared" si="20"/>
        <v/>
      </c>
      <c r="J46" s="22" t="str">
        <f t="shared" si="21"/>
        <v/>
      </c>
      <c r="K46" s="22" t="str">
        <f t="shared" si="14"/>
        <v/>
      </c>
      <c r="L46" t="str">
        <f t="shared" si="22"/>
        <v/>
      </c>
      <c r="M46" s="5" t="str">
        <f t="shared" si="15"/>
        <v/>
      </c>
      <c r="N46" s="9" t="str">
        <f t="shared" si="23"/>
        <v/>
      </c>
      <c r="O46" s="3" t="str">
        <f t="shared" si="24"/>
        <v/>
      </c>
      <c r="P46" s="3" t="str">
        <f t="shared" si="25"/>
        <v/>
      </c>
      <c r="Q46" s="3" t="str">
        <f t="shared" si="16"/>
        <v/>
      </c>
      <c r="R46" s="3" t="str">
        <f t="shared" si="17"/>
        <v/>
      </c>
      <c r="S46" s="3" t="str">
        <f>IF($L46&lt;&gt;"",IF($A46="Prepago",0,IF($H46*$U$6&gt;SUM($S$11:$S45)+$U$6,$U$6*2,$U$6)),"")</f>
        <v/>
      </c>
      <c r="T46" s="3" t="str">
        <f>IF($L46&lt;&gt;"",IF($A46="Prepago",0,IF($H46*$U$7&gt;SUM($T$11:$T45)+$U$7,$U$7*2,$U$7)),"")</f>
        <v/>
      </c>
      <c r="U46" s="3" t="str">
        <f>IF($L46&lt;&gt;"",IF($A46="Prepago",0,IF($H46*$U$8&gt;SUM($U$11:$U45)+$U$8,$U$8*2,$U$8)),"")</f>
        <v/>
      </c>
      <c r="V46" s="3" t="str">
        <f t="shared" si="26"/>
        <v/>
      </c>
      <c r="W46" s="3" t="str">
        <f t="shared" si="27"/>
        <v/>
      </c>
      <c r="X46" s="3" t="str">
        <f t="shared" si="28"/>
        <v/>
      </c>
      <c r="Y46" s="3" t="str">
        <f t="shared" si="29"/>
        <v/>
      </c>
      <c r="Z46" s="3" t="str">
        <f>IF($L46&lt;&gt;"",IF($N46&gt;Y$11,IF($N46&lt;Z$11,$N46-Y$11,30),0)*ROUND(($O46+$W45+SUM($Y46:Y46))*$V$5/3000,2),"")</f>
        <v/>
      </c>
      <c r="AA46" s="3"/>
      <c r="AB46" s="3"/>
      <c r="AC46" s="8"/>
      <c r="AD46" s="8"/>
      <c r="AE46" s="8"/>
      <c r="AF46" s="8"/>
      <c r="AG46" s="8"/>
      <c r="AH46" s="8"/>
      <c r="AI46" s="8"/>
      <c r="AJ46" s="8"/>
      <c r="AK46" s="8"/>
      <c r="AL46" s="8"/>
      <c r="AM46" s="8"/>
      <c r="AN46" s="8"/>
      <c r="AO46" s="8"/>
      <c r="AP46" s="8"/>
      <c r="AQ46" s="8"/>
      <c r="AR46" s="8"/>
      <c r="AS46" s="8"/>
      <c r="AT46" s="8"/>
      <c r="AU46" s="8"/>
      <c r="AV46" s="8"/>
      <c r="AW46" s="8"/>
      <c r="AX46" s="8"/>
      <c r="AY46" s="8"/>
      <c r="AZ46" s="8"/>
      <c r="BA46" s="8"/>
      <c r="BB46" s="8"/>
      <c r="BC46" s="8"/>
      <c r="BD46" s="8"/>
      <c r="BE46" s="8"/>
      <c r="BF46" s="8"/>
      <c r="BG46" s="8"/>
      <c r="BH46" s="8"/>
      <c r="BI46" s="8"/>
      <c r="BJ46" s="8"/>
      <c r="BK46" s="8"/>
      <c r="BL46" s="8"/>
      <c r="BM46" s="8"/>
      <c r="BN46" s="8"/>
      <c r="BO46" s="8"/>
      <c r="BP46" s="8"/>
      <c r="BQ46" s="8"/>
      <c r="BR46" s="8"/>
      <c r="BS46" s="8"/>
      <c r="BT46" s="8"/>
      <c r="BU46" s="8"/>
      <c r="BV46" s="8"/>
      <c r="BW46" s="8"/>
      <c r="BX46" s="8"/>
      <c r="BY46" s="8"/>
      <c r="BZ46" s="8"/>
      <c r="CA46" s="8"/>
      <c r="CB46" s="8"/>
      <c r="CC46" s="8"/>
      <c r="CD46" s="8"/>
      <c r="CE46" s="8"/>
      <c r="CF46" s="8"/>
      <c r="CG46" s="8"/>
    </row>
    <row r="47" spans="5:85" x14ac:dyDescent="0.25">
      <c r="E47" s="5"/>
      <c r="F47" t="str">
        <f t="shared" si="18"/>
        <v/>
      </c>
      <c r="G47" s="5" t="str">
        <f>IF($L47&lt;&gt;"",EOMONTH(DATE(YEAR($M$11),MONTH($M$11)-IF(DAY($N$6)&lt;$N$7,1,0),DAY($M$11)),($H47*$A$1)+IF(MESADICIONAL=TRUE,1,0)),"")</f>
        <v/>
      </c>
      <c r="H47" s="22" t="str">
        <f t="shared" si="19"/>
        <v/>
      </c>
      <c r="I47" s="22" t="str">
        <f t="shared" si="20"/>
        <v/>
      </c>
      <c r="J47" s="22" t="str">
        <f t="shared" si="21"/>
        <v/>
      </c>
      <c r="K47" s="22" t="str">
        <f t="shared" si="14"/>
        <v/>
      </c>
      <c r="L47" t="str">
        <f t="shared" si="22"/>
        <v/>
      </c>
      <c r="M47" s="5" t="str">
        <f t="shared" si="15"/>
        <v/>
      </c>
      <c r="N47" s="9" t="str">
        <f t="shared" si="23"/>
        <v/>
      </c>
      <c r="O47" s="3" t="str">
        <f t="shared" si="24"/>
        <v/>
      </c>
      <c r="P47" s="3" t="str">
        <f t="shared" si="25"/>
        <v/>
      </c>
      <c r="Q47" s="3" t="str">
        <f t="shared" si="16"/>
        <v/>
      </c>
      <c r="R47" s="3" t="str">
        <f t="shared" si="17"/>
        <v/>
      </c>
      <c r="S47" s="3" t="str">
        <f>IF($L47&lt;&gt;"",IF($A47="Prepago",0,IF($H47*$U$6&gt;SUM($S$11:$S46)+$U$6,$U$6*2,$U$6)),"")</f>
        <v/>
      </c>
      <c r="T47" s="3" t="str">
        <f>IF($L47&lt;&gt;"",IF($A47="Prepago",0,IF($H47*$U$7&gt;SUM($T$11:$T46)+$U$7,$U$7*2,$U$7)),"")</f>
        <v/>
      </c>
      <c r="U47" s="3" t="str">
        <f>IF($L47&lt;&gt;"",IF($A47="Prepago",0,IF($H47*$U$8&gt;SUM($U$11:$U46)+$U$8,$U$8*2,$U$8)),"")</f>
        <v/>
      </c>
      <c r="V47" s="3" t="str">
        <f>IF($L47&lt;&gt;"",$O47-$Q47,"")</f>
        <v/>
      </c>
      <c r="W47" s="3" t="str">
        <f t="shared" si="27"/>
        <v/>
      </c>
      <c r="X47" s="3" t="str">
        <f t="shared" si="28"/>
        <v/>
      </c>
      <c r="Y47" s="3" t="str">
        <f t="shared" si="29"/>
        <v/>
      </c>
      <c r="Z47" s="3" t="str">
        <f>IF($L47&lt;&gt;"",IF($N47&gt;Y$11,IF($N47&lt;Z$11,$N47-Y$11,30),0)*ROUND(($O47+$W46+SUM($Y47:Y47))*$V$5/3000,2),"")</f>
        <v/>
      </c>
      <c r="AA47" s="3"/>
      <c r="AB47" s="3"/>
      <c r="AC47" s="8"/>
      <c r="AD47" s="8"/>
      <c r="AE47" s="8"/>
      <c r="AF47" s="8"/>
      <c r="AG47" s="8"/>
      <c r="AH47" s="8"/>
      <c r="AI47" s="8"/>
      <c r="AJ47" s="8"/>
      <c r="AK47" s="8"/>
      <c r="AL47" s="8"/>
      <c r="AM47" s="8"/>
      <c r="AN47" s="8"/>
      <c r="AO47" s="8"/>
      <c r="AP47" s="8"/>
      <c r="AQ47" s="8"/>
      <c r="AR47" s="8"/>
      <c r="AS47" s="8"/>
      <c r="AT47" s="8"/>
      <c r="AU47" s="8"/>
      <c r="AV47" s="8"/>
      <c r="AW47" s="8"/>
      <c r="AX47" s="8"/>
      <c r="AY47" s="8"/>
      <c r="AZ47" s="8"/>
      <c r="BA47" s="8"/>
      <c r="BB47" s="8"/>
      <c r="BC47" s="8"/>
      <c r="BD47" s="8"/>
      <c r="BE47" s="8"/>
      <c r="BF47" s="8"/>
      <c r="BG47" s="8"/>
      <c r="BH47" s="8"/>
      <c r="BI47" s="8"/>
      <c r="BJ47" s="8"/>
      <c r="BK47" s="8"/>
      <c r="BL47" s="8"/>
      <c r="BM47" s="8"/>
      <c r="BN47" s="8"/>
      <c r="BO47" s="8"/>
      <c r="BP47" s="8"/>
      <c r="BQ47" s="8"/>
      <c r="BR47" s="8"/>
      <c r="BS47" s="8"/>
      <c r="BT47" s="8"/>
      <c r="BU47" s="8"/>
      <c r="BV47" s="8"/>
      <c r="BW47" s="8"/>
      <c r="BX47" s="8"/>
      <c r="BY47" s="8"/>
      <c r="BZ47" s="8"/>
      <c r="CA47" s="8"/>
      <c r="CB47" s="8"/>
      <c r="CC47" s="8"/>
      <c r="CD47" s="8"/>
      <c r="CE47" s="8"/>
      <c r="CF47" s="8"/>
      <c r="CG47" s="8"/>
    </row>
    <row r="48" spans="5:85" x14ac:dyDescent="0.25">
      <c r="E48" s="5"/>
      <c r="F48" t="str">
        <f t="shared" si="18"/>
        <v/>
      </c>
      <c r="G48" s="5" t="str">
        <f>IF($L48&lt;&gt;"",EOMONTH(DATE(YEAR($M$11),MONTH($M$11)-IF(DAY($N$6)&lt;$N$7,1,0),DAY($M$11)),($H48*$A$1)+IF(MESADICIONAL=TRUE,1,0)),"")</f>
        <v/>
      </c>
      <c r="H48" s="22" t="str">
        <f t="shared" si="19"/>
        <v/>
      </c>
      <c r="I48" s="22" t="str">
        <f t="shared" si="20"/>
        <v/>
      </c>
      <c r="J48" s="22" t="str">
        <f t="shared" si="21"/>
        <v/>
      </c>
      <c r="K48" s="22" t="str">
        <f t="shared" si="14"/>
        <v/>
      </c>
      <c r="L48" t="str">
        <f t="shared" si="22"/>
        <v/>
      </c>
      <c r="M48" s="5" t="str">
        <f t="shared" si="15"/>
        <v/>
      </c>
      <c r="N48" s="9" t="str">
        <f t="shared" si="23"/>
        <v/>
      </c>
      <c r="O48" s="3" t="str">
        <f t="shared" si="24"/>
        <v/>
      </c>
      <c r="P48" s="3" t="str">
        <f t="shared" si="25"/>
        <v/>
      </c>
      <c r="Q48" s="3" t="str">
        <f t="shared" si="16"/>
        <v/>
      </c>
      <c r="R48" s="3" t="str">
        <f t="shared" si="17"/>
        <v/>
      </c>
      <c r="S48" s="3" t="str">
        <f>IF($L48&lt;&gt;"",IF($A48="Prepago",0,IF($H48*$U$6&gt;SUM($S$11:$S47)+$U$6,$U$6*2,$U$6)),"")</f>
        <v/>
      </c>
      <c r="T48" s="3" t="str">
        <f>IF($L48&lt;&gt;"",IF($A48="Prepago",0,IF($H48*$U$7&gt;SUM($T$11:$T47)+$U$7,$U$7*2,$U$7)),"")</f>
        <v/>
      </c>
      <c r="U48" s="3" t="str">
        <f>IF($L48&lt;&gt;"",IF($A48="Prepago",0,IF($H48*$U$8&gt;SUM($U$11:$U47)+$U$8,$U$8*2,$U$8)),"")</f>
        <v/>
      </c>
      <c r="V48" s="3" t="str">
        <f t="shared" si="26"/>
        <v/>
      </c>
      <c r="W48" s="3" t="str">
        <f t="shared" si="27"/>
        <v/>
      </c>
      <c r="X48" s="3" t="str">
        <f t="shared" si="28"/>
        <v/>
      </c>
      <c r="Y48" s="3" t="str">
        <f t="shared" si="29"/>
        <v/>
      </c>
      <c r="Z48" s="3" t="str">
        <f>IF($L48&lt;&gt;"",IF($N48&gt;Y$11,IF($N48&lt;Z$11,$N48-Y$11,30),0)*ROUND(($O48+$W47+SUM($Y48:Y48))*$V$5/3000,2),"")</f>
        <v/>
      </c>
      <c r="AA48" s="3"/>
      <c r="AB48" s="3"/>
      <c r="AC48" s="8"/>
      <c r="AD48" s="8"/>
      <c r="AE48" s="8"/>
      <c r="AF48" s="8"/>
      <c r="AG48" s="8"/>
      <c r="AH48" s="8"/>
      <c r="AI48" s="8"/>
      <c r="AJ48" s="8"/>
      <c r="AK48" s="8"/>
      <c r="AL48" s="8"/>
      <c r="AM48" s="8"/>
      <c r="AN48" s="8"/>
      <c r="AO48" s="8"/>
      <c r="AP48" s="8"/>
      <c r="AQ48" s="8"/>
      <c r="AR48" s="8"/>
      <c r="AS48" s="8"/>
      <c r="AT48" s="8"/>
      <c r="AU48" s="8"/>
      <c r="AV48" s="8"/>
      <c r="AW48" s="8"/>
      <c r="AX48" s="8"/>
      <c r="AY48" s="8"/>
      <c r="AZ48" s="8"/>
      <c r="BA48" s="8"/>
      <c r="BB48" s="8"/>
      <c r="BC48" s="8"/>
      <c r="BD48" s="8"/>
      <c r="BE48" s="8"/>
      <c r="BF48" s="8"/>
      <c r="BG48" s="8"/>
      <c r="BH48" s="8"/>
      <c r="BI48" s="8"/>
      <c r="BJ48" s="8"/>
      <c r="BK48" s="8"/>
      <c r="BL48" s="8"/>
      <c r="BM48" s="8"/>
      <c r="BN48" s="8"/>
      <c r="BO48" s="8"/>
      <c r="BP48" s="8"/>
      <c r="BQ48" s="8"/>
      <c r="BR48" s="8"/>
      <c r="BS48" s="8"/>
      <c r="BT48" s="8"/>
      <c r="BU48" s="8"/>
      <c r="BV48" s="8"/>
      <c r="BW48" s="8"/>
      <c r="BX48" s="8"/>
      <c r="BY48" s="8"/>
      <c r="BZ48" s="8"/>
      <c r="CA48" s="8"/>
      <c r="CB48" s="8"/>
      <c r="CC48" s="8"/>
      <c r="CD48" s="8"/>
      <c r="CE48" s="8"/>
      <c r="CF48" s="8"/>
      <c r="CG48" s="8"/>
    </row>
    <row r="49" spans="5:85" x14ac:dyDescent="0.25">
      <c r="E49" s="5"/>
      <c r="F49" t="str">
        <f t="shared" si="18"/>
        <v/>
      </c>
      <c r="G49" s="5" t="str">
        <f>IF($L49&lt;&gt;"",EOMONTH(DATE(YEAR($M$11),MONTH($M$11)-IF(DAY($N$6)&lt;$N$7,1,0),DAY($M$11)),($H49*$A$1)+IF(MESADICIONAL=TRUE,1,0)),"")</f>
        <v/>
      </c>
      <c r="H49" s="22" t="str">
        <f t="shared" si="19"/>
        <v/>
      </c>
      <c r="I49" s="22" t="str">
        <f t="shared" si="20"/>
        <v/>
      </c>
      <c r="J49" s="22" t="str">
        <f t="shared" si="21"/>
        <v/>
      </c>
      <c r="K49" s="22" t="str">
        <f t="shared" si="14"/>
        <v/>
      </c>
      <c r="L49" t="str">
        <f t="shared" si="22"/>
        <v/>
      </c>
      <c r="M49" s="5" t="str">
        <f t="shared" si="15"/>
        <v/>
      </c>
      <c r="N49" s="9" t="str">
        <f t="shared" si="23"/>
        <v/>
      </c>
      <c r="O49" s="3" t="str">
        <f t="shared" si="24"/>
        <v/>
      </c>
      <c r="P49" s="3" t="str">
        <f t="shared" si="25"/>
        <v/>
      </c>
      <c r="Q49" s="3" t="str">
        <f t="shared" si="16"/>
        <v/>
      </c>
      <c r="R49" s="3" t="str">
        <f t="shared" si="17"/>
        <v/>
      </c>
      <c r="S49" s="3" t="str">
        <f>IF($L49&lt;&gt;"",IF($A49="Prepago",0,IF($H49*$U$6&gt;SUM($S$11:$S48)+$U$6,$U$6*2,$U$6)),"")</f>
        <v/>
      </c>
      <c r="T49" s="3" t="str">
        <f>IF($L49&lt;&gt;"",IF($A49="Prepago",0,IF($H49*$U$7&gt;SUM($T$11:$T48)+$U$7,$U$7*2,$U$7)),"")</f>
        <v/>
      </c>
      <c r="U49" s="3" t="str">
        <f>IF($L49&lt;&gt;"",IF($A49="Prepago",0,IF($H49*$U$8&gt;SUM($U$11:$U48)+$U$8,$U$8*2,$U$8)),"")</f>
        <v/>
      </c>
      <c r="V49" s="3" t="str">
        <f t="shared" si="26"/>
        <v/>
      </c>
      <c r="W49" s="3" t="str">
        <f t="shared" si="27"/>
        <v/>
      </c>
      <c r="X49" s="3" t="str">
        <f t="shared" si="28"/>
        <v/>
      </c>
      <c r="Y49" s="3" t="str">
        <f t="shared" si="29"/>
        <v/>
      </c>
      <c r="Z49" s="3" t="str">
        <f>IF($L49&lt;&gt;"",IF($N49&gt;Y$11,IF($N49&lt;Z$11,$N49-Y$11,30),0)*ROUND(($O49+$W48+SUM($Y49:Y49))*$V$5/3000,2),"")</f>
        <v/>
      </c>
      <c r="AA49" s="3"/>
      <c r="AB49" s="3"/>
      <c r="AC49" s="8"/>
      <c r="AD49" s="8"/>
      <c r="AE49" s="8"/>
      <c r="AF49" s="8"/>
      <c r="AG49" s="8"/>
      <c r="AH49" s="8"/>
      <c r="AI49" s="8"/>
      <c r="AJ49" s="8"/>
      <c r="AK49" s="8"/>
      <c r="AL49" s="8"/>
      <c r="AM49" s="8"/>
      <c r="AN49" s="8"/>
      <c r="AO49" s="8"/>
      <c r="AP49" s="8"/>
      <c r="AQ49" s="8"/>
      <c r="AR49" s="8"/>
      <c r="AS49" s="8"/>
      <c r="AT49" s="8"/>
      <c r="AU49" s="8"/>
      <c r="AV49" s="8"/>
      <c r="AW49" s="8"/>
      <c r="AX49" s="8"/>
      <c r="AY49" s="8"/>
      <c r="AZ49" s="8"/>
      <c r="BA49" s="8"/>
      <c r="BB49" s="8"/>
      <c r="BC49" s="8"/>
      <c r="BD49" s="8"/>
      <c r="BE49" s="8"/>
      <c r="BF49" s="8"/>
      <c r="BG49" s="8"/>
      <c r="BH49" s="8"/>
      <c r="BI49" s="8"/>
      <c r="BJ49" s="8"/>
      <c r="BK49" s="8"/>
      <c r="BL49" s="8"/>
      <c r="BM49" s="8"/>
      <c r="BN49" s="8"/>
      <c r="BO49" s="8"/>
      <c r="BP49" s="8"/>
      <c r="BQ49" s="8"/>
      <c r="BR49" s="8"/>
      <c r="BS49" s="8"/>
      <c r="BT49" s="8"/>
      <c r="BU49" s="8"/>
      <c r="BV49" s="8"/>
      <c r="BW49" s="8"/>
      <c r="BX49" s="8"/>
      <c r="BY49" s="8"/>
      <c r="BZ49" s="8"/>
      <c r="CA49" s="8"/>
      <c r="CB49" s="8"/>
      <c r="CC49" s="8"/>
      <c r="CD49" s="8"/>
      <c r="CE49" s="8"/>
      <c r="CF49" s="8"/>
      <c r="CG49" s="8"/>
    </row>
    <row r="50" spans="5:85" x14ac:dyDescent="0.25">
      <c r="E50" s="5"/>
      <c r="F50" t="str">
        <f t="shared" si="18"/>
        <v/>
      </c>
      <c r="G50" s="5" t="str">
        <f>IF($L50&lt;&gt;"",EOMONTH(DATE(YEAR($M$11),MONTH($M$11)-IF(DAY($N$6)&lt;$N$7,1,0),DAY($M$11)),($H50*$A$1)+IF(MESADICIONAL=TRUE,1,0)),"")</f>
        <v/>
      </c>
      <c r="H50" s="22" t="str">
        <f t="shared" si="19"/>
        <v/>
      </c>
      <c r="I50" s="22" t="str">
        <f t="shared" si="20"/>
        <v/>
      </c>
      <c r="J50" s="22" t="str">
        <f t="shared" si="21"/>
        <v/>
      </c>
      <c r="K50" s="22" t="str">
        <f t="shared" si="14"/>
        <v/>
      </c>
      <c r="L50" t="str">
        <f t="shared" si="22"/>
        <v/>
      </c>
      <c r="M50" s="5" t="str">
        <f t="shared" si="15"/>
        <v/>
      </c>
      <c r="N50" s="9" t="str">
        <f t="shared" si="23"/>
        <v/>
      </c>
      <c r="O50" s="3" t="str">
        <f t="shared" si="24"/>
        <v/>
      </c>
      <c r="P50" s="3" t="str">
        <f t="shared" si="25"/>
        <v/>
      </c>
      <c r="Q50" s="3" t="str">
        <f t="shared" si="16"/>
        <v/>
      </c>
      <c r="R50" s="3" t="str">
        <f t="shared" si="17"/>
        <v/>
      </c>
      <c r="S50" s="3" t="str">
        <f>IF($L50&lt;&gt;"",IF($A50="Prepago",0,IF($H50*$U$6&gt;SUM($S$11:$S49)+$U$6,$U$6*2,$U$6)),"")</f>
        <v/>
      </c>
      <c r="T50" s="3" t="str">
        <f>IF($L50&lt;&gt;"",IF($A50="Prepago",0,IF($H50*$U$7&gt;SUM($T$11:$T49)+$U$7,$U$7*2,$U$7)),"")</f>
        <v/>
      </c>
      <c r="U50" s="3" t="str">
        <f>IF($L50&lt;&gt;"",IF($A50="Prepago",0,IF($H50*$U$8&gt;SUM($U$11:$U49)+$U$8,$U$8*2,$U$8)),"")</f>
        <v/>
      </c>
      <c r="V50" s="3" t="str">
        <f t="shared" si="26"/>
        <v/>
      </c>
      <c r="W50" s="3" t="str">
        <f t="shared" si="27"/>
        <v/>
      </c>
      <c r="X50" s="3" t="str">
        <f t="shared" si="28"/>
        <v/>
      </c>
      <c r="Y50" s="3" t="str">
        <f t="shared" si="29"/>
        <v/>
      </c>
      <c r="Z50" s="3" t="str">
        <f>IF($L50&lt;&gt;"",IF($N50&gt;Y$11,IF($N50&lt;Z$11,$N50-Y$11,30),0)*ROUND(($O50+$W49+SUM($Y50:Y50))*$V$5/3000,2),"")</f>
        <v/>
      </c>
      <c r="AA50" s="3"/>
      <c r="AB50" s="3"/>
      <c r="AC50" s="8"/>
      <c r="AD50" s="8"/>
      <c r="AE50" s="8"/>
      <c r="AF50" s="8"/>
      <c r="AG50" s="8"/>
      <c r="AH50" s="8"/>
      <c r="AI50" s="8"/>
      <c r="AJ50" s="8"/>
      <c r="AK50" s="8"/>
      <c r="AL50" s="8"/>
      <c r="AM50" s="8"/>
      <c r="AN50" s="8"/>
      <c r="AO50" s="8"/>
      <c r="AP50" s="8"/>
      <c r="AQ50" s="8"/>
      <c r="AR50" s="8"/>
      <c r="AS50" s="8"/>
      <c r="AT50" s="8"/>
      <c r="AU50" s="8"/>
      <c r="AV50" s="8"/>
      <c r="AW50" s="8"/>
      <c r="AX50" s="8"/>
      <c r="AY50" s="8"/>
      <c r="AZ50" s="8"/>
      <c r="BA50" s="8"/>
      <c r="BB50" s="8"/>
      <c r="BC50" s="8"/>
      <c r="BD50" s="8"/>
      <c r="BE50" s="8"/>
      <c r="BF50" s="8"/>
      <c r="BG50" s="8"/>
      <c r="BH50" s="8"/>
      <c r="BI50" s="8"/>
      <c r="BJ50" s="8"/>
      <c r="BK50" s="8"/>
      <c r="BL50" s="8"/>
      <c r="BM50" s="8"/>
      <c r="BN50" s="8"/>
      <c r="BO50" s="8"/>
      <c r="BP50" s="8"/>
      <c r="BQ50" s="8"/>
      <c r="BR50" s="8"/>
      <c r="BS50" s="8"/>
      <c r="BT50" s="8"/>
      <c r="BU50" s="8"/>
      <c r="BV50" s="8"/>
      <c r="BW50" s="8"/>
      <c r="BX50" s="8"/>
      <c r="BY50" s="8"/>
      <c r="BZ50" s="8"/>
      <c r="CA50" s="8"/>
      <c r="CB50" s="8"/>
      <c r="CC50" s="8"/>
      <c r="CD50" s="8"/>
      <c r="CE50" s="8"/>
      <c r="CF50" s="8"/>
      <c r="CG50" s="8"/>
    </row>
    <row r="51" spans="5:85" x14ac:dyDescent="0.25">
      <c r="E51" s="5"/>
      <c r="F51" t="str">
        <f t="shared" si="18"/>
        <v/>
      </c>
      <c r="G51" s="5" t="str">
        <f>IF($L51&lt;&gt;"",EOMONTH(DATE(YEAR($M$11),MONTH($M$11)-IF(DAY($N$6)&lt;$N$7,1,0),DAY($M$11)),($H51*$A$1)+IF(MESADICIONAL=TRUE,1,0)),"")</f>
        <v/>
      </c>
      <c r="H51" s="22" t="str">
        <f t="shared" si="19"/>
        <v/>
      </c>
      <c r="I51" s="22" t="str">
        <f t="shared" si="20"/>
        <v/>
      </c>
      <c r="J51" s="22" t="str">
        <f t="shared" si="21"/>
        <v/>
      </c>
      <c r="K51" s="22" t="str">
        <f t="shared" si="14"/>
        <v/>
      </c>
      <c r="L51" t="str">
        <f t="shared" si="22"/>
        <v/>
      </c>
      <c r="M51" s="5" t="str">
        <f t="shared" si="15"/>
        <v/>
      </c>
      <c r="N51" s="9" t="str">
        <f t="shared" si="23"/>
        <v/>
      </c>
      <c r="O51" s="3" t="str">
        <f t="shared" si="24"/>
        <v/>
      </c>
      <c r="P51" s="3" t="str">
        <f t="shared" si="25"/>
        <v/>
      </c>
      <c r="Q51" s="3" t="str">
        <f t="shared" si="16"/>
        <v/>
      </c>
      <c r="R51" s="3" t="str">
        <f t="shared" si="17"/>
        <v/>
      </c>
      <c r="S51" s="3" t="str">
        <f>IF($L51&lt;&gt;"",IF($A51="Prepago",0,IF($H51*$U$6&gt;SUM($S$11:$S50)+$U$6,$U$6*2,$U$6)),"")</f>
        <v/>
      </c>
      <c r="T51" s="3" t="str">
        <f>IF($L51&lt;&gt;"",IF($A51="Prepago",0,IF($H51*$U$7&gt;SUM($T$11:$T50)+$U$7,$U$7*2,$U$7)),"")</f>
        <v/>
      </c>
      <c r="U51" s="3" t="str">
        <f>IF($L51&lt;&gt;"",IF($A51="Prepago",0,IF($H51*$U$8&gt;SUM($U$11:$U50)+$U$8,$U$8*2,$U$8)),"")</f>
        <v/>
      </c>
      <c r="V51" s="3" t="str">
        <f t="shared" si="26"/>
        <v/>
      </c>
      <c r="W51" s="3" t="str">
        <f t="shared" si="27"/>
        <v/>
      </c>
      <c r="X51" s="3" t="str">
        <f t="shared" si="28"/>
        <v/>
      </c>
      <c r="Y51" s="3" t="str">
        <f t="shared" si="29"/>
        <v/>
      </c>
      <c r="Z51" s="3" t="str">
        <f>IF($L51&lt;&gt;"",IF($N51&gt;Y$11,IF($N51&lt;Z$11,$N51-Y$11,30),0)*ROUND(($O51+$W50+SUM($Y51:Y51))*$V$5/3000,2),"")</f>
        <v/>
      </c>
      <c r="AA51" s="3"/>
      <c r="AB51" s="3"/>
      <c r="AC51" s="8"/>
      <c r="AD51" s="8"/>
      <c r="AE51" s="8"/>
      <c r="AF51" s="8"/>
      <c r="AG51" s="8"/>
      <c r="AH51" s="8"/>
      <c r="AI51" s="8"/>
      <c r="AJ51" s="8"/>
      <c r="AK51" s="8"/>
      <c r="AL51" s="8"/>
      <c r="AM51" s="8"/>
      <c r="AN51" s="8"/>
      <c r="AO51" s="8"/>
      <c r="AP51" s="8"/>
      <c r="AQ51" s="8"/>
      <c r="AR51" s="8"/>
      <c r="AS51" s="8"/>
      <c r="AT51" s="8"/>
      <c r="AU51" s="8"/>
      <c r="AV51" s="8"/>
      <c r="AW51" s="8"/>
      <c r="AX51" s="8"/>
      <c r="AY51" s="8"/>
      <c r="AZ51" s="8"/>
      <c r="BA51" s="8"/>
      <c r="BB51" s="8"/>
      <c r="BC51" s="8"/>
      <c r="BD51" s="8"/>
      <c r="BE51" s="8"/>
      <c r="BF51" s="8"/>
      <c r="BG51" s="8"/>
      <c r="BH51" s="8"/>
      <c r="BI51" s="8"/>
      <c r="BJ51" s="8"/>
      <c r="BK51" s="8"/>
      <c r="BL51" s="8"/>
      <c r="BM51" s="8"/>
      <c r="BN51" s="8"/>
      <c r="BO51" s="8"/>
      <c r="BP51" s="8"/>
      <c r="BQ51" s="8"/>
      <c r="BR51" s="8"/>
      <c r="BS51" s="8"/>
      <c r="BT51" s="8"/>
      <c r="BU51" s="8"/>
      <c r="BV51" s="8"/>
      <c r="BW51" s="8"/>
      <c r="BX51" s="8"/>
      <c r="BY51" s="8"/>
      <c r="BZ51" s="8"/>
      <c r="CA51" s="8"/>
      <c r="CB51" s="8"/>
      <c r="CC51" s="8"/>
      <c r="CD51" s="8"/>
      <c r="CE51" s="8"/>
      <c r="CF51" s="8"/>
      <c r="CG51" s="8"/>
    </row>
    <row r="52" spans="5:85" x14ac:dyDescent="0.25">
      <c r="E52" s="5"/>
      <c r="F52" t="str">
        <f t="shared" si="18"/>
        <v/>
      </c>
      <c r="G52" s="5" t="str">
        <f>IF($L52&lt;&gt;"",EOMONTH(DATE(YEAR($M$11),MONTH($M$11)-IF(DAY($N$6)&lt;$N$7,1,0),DAY($M$11)),($H52*$A$1)+IF(MESADICIONAL=TRUE,1,0)),"")</f>
        <v/>
      </c>
      <c r="H52" s="22" t="str">
        <f t="shared" si="19"/>
        <v/>
      </c>
      <c r="I52" s="22" t="str">
        <f t="shared" si="20"/>
        <v/>
      </c>
      <c r="J52" s="22" t="str">
        <f t="shared" si="21"/>
        <v/>
      </c>
      <c r="K52" s="22" t="str">
        <f t="shared" si="14"/>
        <v/>
      </c>
      <c r="L52" t="str">
        <f t="shared" si="22"/>
        <v/>
      </c>
      <c r="M52" s="5" t="str">
        <f t="shared" si="15"/>
        <v/>
      </c>
      <c r="N52" s="9" t="str">
        <f t="shared" si="23"/>
        <v/>
      </c>
      <c r="O52" s="3" t="str">
        <f t="shared" si="24"/>
        <v/>
      </c>
      <c r="P52" s="3" t="str">
        <f t="shared" si="25"/>
        <v/>
      </c>
      <c r="Q52" s="3" t="str">
        <f t="shared" si="16"/>
        <v/>
      </c>
      <c r="R52" s="3" t="str">
        <f t="shared" si="17"/>
        <v/>
      </c>
      <c r="S52" s="3" t="str">
        <f>IF($L52&lt;&gt;"",IF($A52="Prepago",0,IF($H52*$U$6&gt;SUM($S$11:$S51)+$U$6,$U$6*2,$U$6)),"")</f>
        <v/>
      </c>
      <c r="T52" s="3" t="str">
        <f>IF($L52&lt;&gt;"",IF($A52="Prepago",0,IF($H52*$U$7&gt;SUM($T$11:$T51)+$U$7,$U$7*2,$U$7)),"")</f>
        <v/>
      </c>
      <c r="U52" s="3" t="str">
        <f>IF($L52&lt;&gt;"",IF($A52="Prepago",0,IF($H52*$U$8&gt;SUM($U$11:$U51)+$U$8,$U$8*2,$U$8)),"")</f>
        <v/>
      </c>
      <c r="V52" s="3" t="str">
        <f t="shared" si="26"/>
        <v/>
      </c>
      <c r="W52" s="3" t="str">
        <f t="shared" si="27"/>
        <v/>
      </c>
      <c r="X52" s="3" t="str">
        <f t="shared" si="28"/>
        <v/>
      </c>
      <c r="Y52" s="3" t="str">
        <f t="shared" si="29"/>
        <v/>
      </c>
      <c r="Z52" s="3" t="str">
        <f>IF($L52&lt;&gt;"",IF($N52&gt;Y$11,IF($N52&lt;Z$11,$N52-Y$11,30),0)*ROUND(($O52+$W51+SUM($Y52:Y52))*$V$5/3000,2),"")</f>
        <v/>
      </c>
      <c r="AA52" s="3"/>
      <c r="AB52" s="3"/>
      <c r="AC52" s="8"/>
      <c r="AD52" s="8"/>
      <c r="AE52" s="8"/>
      <c r="AF52" s="8"/>
      <c r="AG52" s="8"/>
      <c r="AH52" s="8"/>
      <c r="AI52" s="8"/>
      <c r="AJ52" s="8"/>
      <c r="AK52" s="8"/>
      <c r="AL52" s="8"/>
      <c r="AM52" s="8"/>
      <c r="AN52" s="8"/>
      <c r="AO52" s="8"/>
      <c r="AP52" s="8"/>
      <c r="AQ52" s="8"/>
      <c r="AR52" s="8"/>
      <c r="AS52" s="8"/>
      <c r="AT52" s="8"/>
      <c r="AU52" s="8"/>
      <c r="AV52" s="8"/>
      <c r="AW52" s="8"/>
      <c r="AX52" s="8"/>
      <c r="AY52" s="8"/>
      <c r="AZ52" s="8"/>
      <c r="BA52" s="8"/>
      <c r="BB52" s="8"/>
      <c r="BC52" s="8"/>
      <c r="BD52" s="8"/>
      <c r="BE52" s="8"/>
      <c r="BF52" s="8"/>
      <c r="BG52" s="8"/>
      <c r="BH52" s="8"/>
      <c r="BI52" s="8"/>
      <c r="BJ52" s="8"/>
      <c r="BK52" s="8"/>
      <c r="BL52" s="8"/>
      <c r="BM52" s="8"/>
      <c r="BN52" s="8"/>
      <c r="BO52" s="8"/>
      <c r="BP52" s="8"/>
      <c r="BQ52" s="8"/>
      <c r="BR52" s="8"/>
      <c r="BS52" s="8"/>
      <c r="BT52" s="8"/>
      <c r="BU52" s="8"/>
      <c r="BV52" s="8"/>
      <c r="BW52" s="8"/>
      <c r="BX52" s="8"/>
      <c r="BY52" s="8"/>
      <c r="BZ52" s="8"/>
      <c r="CA52" s="8"/>
      <c r="CB52" s="8"/>
      <c r="CC52" s="8"/>
      <c r="CD52" s="8"/>
      <c r="CE52" s="8"/>
      <c r="CF52" s="8"/>
      <c r="CG52" s="8"/>
    </row>
    <row r="53" spans="5:85" x14ac:dyDescent="0.25">
      <c r="E53" s="5"/>
      <c r="F53" t="str">
        <f t="shared" si="18"/>
        <v/>
      </c>
      <c r="G53" s="5" t="str">
        <f>IF($L53&lt;&gt;"",EOMONTH(DATE(YEAR($M$11),MONTH($M$11)-IF(DAY($N$6)&lt;$N$7,1,0),DAY($M$11)),($H53*$A$1)+IF(MESADICIONAL=TRUE,1,0)),"")</f>
        <v/>
      </c>
      <c r="H53" s="22" t="str">
        <f t="shared" si="19"/>
        <v/>
      </c>
      <c r="I53" s="22" t="str">
        <f t="shared" si="20"/>
        <v/>
      </c>
      <c r="J53" s="22" t="str">
        <f t="shared" si="21"/>
        <v/>
      </c>
      <c r="K53" s="22" t="str">
        <f t="shared" si="14"/>
        <v/>
      </c>
      <c r="L53" t="str">
        <f t="shared" si="22"/>
        <v/>
      </c>
      <c r="M53" s="5" t="str">
        <f t="shared" si="15"/>
        <v/>
      </c>
      <c r="N53" s="9" t="str">
        <f t="shared" si="23"/>
        <v/>
      </c>
      <c r="O53" s="3" t="str">
        <f t="shared" si="24"/>
        <v/>
      </c>
      <c r="P53" s="3" t="str">
        <f t="shared" si="25"/>
        <v/>
      </c>
      <c r="Q53" s="3" t="str">
        <f t="shared" si="16"/>
        <v/>
      </c>
      <c r="R53" s="3" t="str">
        <f t="shared" si="17"/>
        <v/>
      </c>
      <c r="S53" s="3" t="str">
        <f>IF($L53&lt;&gt;"",IF($A53="Prepago",0,IF($H53*$U$6&gt;SUM($S$11:$S52)+$U$6,$U$6*2,$U$6)),"")</f>
        <v/>
      </c>
      <c r="T53" s="3" t="str">
        <f>IF($L53&lt;&gt;"",IF($A53="Prepago",0,IF($H53*$U$7&gt;SUM($T$11:$T52)+$U$7,$U$7*2,$U$7)),"")</f>
        <v/>
      </c>
      <c r="U53" s="3" t="str">
        <f>IF($L53&lt;&gt;"",IF($A53="Prepago",0,IF($H53*$U$8&gt;SUM($U$11:$U52)+$U$8,$U$8*2,$U$8)),"")</f>
        <v/>
      </c>
      <c r="V53" s="3" t="str">
        <f t="shared" si="26"/>
        <v/>
      </c>
      <c r="W53" s="3" t="str">
        <f t="shared" si="27"/>
        <v/>
      </c>
      <c r="X53" s="3" t="str">
        <f t="shared" si="28"/>
        <v/>
      </c>
      <c r="Y53" s="3" t="str">
        <f t="shared" si="29"/>
        <v/>
      </c>
      <c r="Z53" s="3" t="str">
        <f>IF($L53&lt;&gt;"",IF($N53&gt;Y$11,IF($N53&lt;Z$11,$N53-Y$11,30),0)*ROUND(($O53+$W52+SUM($Y53:Y53))*$V$5/3000,2),"")</f>
        <v/>
      </c>
      <c r="AA53" s="3"/>
      <c r="AB53" s="3"/>
      <c r="AC53" s="8"/>
      <c r="AD53" s="8"/>
      <c r="AE53" s="8"/>
      <c r="AF53" s="8"/>
      <c r="AG53" s="8"/>
      <c r="AH53" s="8"/>
      <c r="AI53" s="8"/>
      <c r="AJ53" s="8"/>
      <c r="AK53" s="8"/>
      <c r="AL53" s="8"/>
      <c r="AM53" s="8"/>
      <c r="AN53" s="8"/>
      <c r="AO53" s="8"/>
      <c r="AP53" s="8"/>
      <c r="AQ53" s="8"/>
      <c r="AR53" s="8"/>
      <c r="AS53" s="8"/>
      <c r="AT53" s="8"/>
      <c r="AU53" s="8"/>
      <c r="AV53" s="8"/>
      <c r="AW53" s="8"/>
      <c r="AX53" s="8"/>
      <c r="AY53" s="8"/>
      <c r="AZ53" s="8"/>
      <c r="BA53" s="8"/>
      <c r="BB53" s="8"/>
      <c r="BC53" s="8"/>
      <c r="BD53" s="8"/>
      <c r="BE53" s="8"/>
      <c r="BF53" s="8"/>
      <c r="BG53" s="8"/>
      <c r="BH53" s="8"/>
      <c r="BI53" s="8"/>
      <c r="BJ53" s="8"/>
      <c r="BK53" s="8"/>
      <c r="BL53" s="8"/>
      <c r="BM53" s="8"/>
      <c r="BN53" s="8"/>
      <c r="BO53" s="8"/>
      <c r="BP53" s="8"/>
      <c r="BQ53" s="8"/>
      <c r="BR53" s="8"/>
      <c r="BS53" s="8"/>
      <c r="BT53" s="8"/>
      <c r="BU53" s="8"/>
      <c r="BV53" s="8"/>
      <c r="BW53" s="8"/>
      <c r="BX53" s="8"/>
      <c r="BY53" s="8"/>
      <c r="BZ53" s="8"/>
      <c r="CA53" s="8"/>
      <c r="CB53" s="8"/>
      <c r="CC53" s="8"/>
      <c r="CD53" s="8"/>
      <c r="CE53" s="8"/>
      <c r="CF53" s="8"/>
      <c r="CG53" s="8"/>
    </row>
    <row r="54" spans="5:85" x14ac:dyDescent="0.25">
      <c r="E54" s="5"/>
      <c r="F54" t="str">
        <f t="shared" si="18"/>
        <v/>
      </c>
      <c r="G54" s="5" t="str">
        <f>IF($L54&lt;&gt;"",EOMONTH(DATE(YEAR($M$11),MONTH($M$11)-IF(DAY($N$6)&lt;$N$7,1,0),DAY($M$11)),($H54*$A$1)+IF(MESADICIONAL=TRUE,1,0)),"")</f>
        <v/>
      </c>
      <c r="H54" s="22" t="str">
        <f t="shared" si="19"/>
        <v/>
      </c>
      <c r="I54" s="22" t="str">
        <f t="shared" si="20"/>
        <v/>
      </c>
      <c r="J54" s="22" t="str">
        <f t="shared" si="21"/>
        <v/>
      </c>
      <c r="K54" s="22" t="str">
        <f t="shared" si="14"/>
        <v/>
      </c>
      <c r="L54" t="str">
        <f t="shared" si="22"/>
        <v/>
      </c>
      <c r="M54" s="5" t="str">
        <f t="shared" si="15"/>
        <v/>
      </c>
      <c r="N54" s="9" t="str">
        <f t="shared" si="23"/>
        <v/>
      </c>
      <c r="O54" s="3" t="str">
        <f t="shared" si="24"/>
        <v/>
      </c>
      <c r="P54" s="3" t="str">
        <f t="shared" si="25"/>
        <v/>
      </c>
      <c r="Q54" s="3" t="str">
        <f t="shared" si="16"/>
        <v/>
      </c>
      <c r="R54" s="3" t="str">
        <f t="shared" si="17"/>
        <v/>
      </c>
      <c r="S54" s="3" t="str">
        <f>IF($L54&lt;&gt;"",IF($A54="Prepago",0,IF($H54*$U$6&gt;SUM($S$11:$S53)+$U$6,$U$6*2,$U$6)),"")</f>
        <v/>
      </c>
      <c r="T54" s="3" t="str">
        <f>IF($L54&lt;&gt;"",IF($A54="Prepago",0,IF($H54*$U$7&gt;SUM($T$11:$T53)+$U$7,$U$7*2,$U$7)),"")</f>
        <v/>
      </c>
      <c r="U54" s="3" t="str">
        <f>IF($L54&lt;&gt;"",IF($A54="Prepago",0,IF($H54*$U$8&gt;SUM($U$11:$U53)+$U$8,$U$8*2,$U$8)),"")</f>
        <v/>
      </c>
      <c r="V54" s="3" t="str">
        <f t="shared" si="26"/>
        <v/>
      </c>
      <c r="W54" s="3" t="str">
        <f t="shared" si="27"/>
        <v/>
      </c>
      <c r="X54" s="3" t="str">
        <f t="shared" si="28"/>
        <v/>
      </c>
      <c r="Y54" s="3" t="str">
        <f t="shared" si="29"/>
        <v/>
      </c>
      <c r="Z54" s="3" t="str">
        <f>IF($L54&lt;&gt;"",IF($N54&gt;Y$11,IF($N54&lt;Z$11,$N54-Y$11,30),0)*ROUND(($O54+$W53+SUM($Y54:Y54))*$V$5/3000,2),"")</f>
        <v/>
      </c>
      <c r="AA54" s="3"/>
      <c r="AB54" s="3"/>
      <c r="AC54" s="8"/>
      <c r="AD54" s="8"/>
      <c r="AE54" s="8"/>
      <c r="AF54" s="8"/>
      <c r="AG54" s="8"/>
      <c r="AH54" s="8"/>
      <c r="AI54" s="8"/>
      <c r="AJ54" s="8"/>
      <c r="AK54" s="8"/>
      <c r="AL54" s="8"/>
      <c r="AM54" s="8"/>
      <c r="AN54" s="8"/>
      <c r="AO54" s="8"/>
      <c r="AP54" s="8"/>
      <c r="AQ54" s="8"/>
      <c r="AR54" s="8"/>
      <c r="AS54" s="8"/>
      <c r="AT54" s="8"/>
      <c r="AU54" s="8"/>
      <c r="AV54" s="8"/>
      <c r="AW54" s="8"/>
      <c r="AX54" s="8"/>
      <c r="AY54" s="8"/>
      <c r="AZ54" s="8"/>
      <c r="BA54" s="8"/>
      <c r="BB54" s="8"/>
      <c r="BC54" s="8"/>
      <c r="BD54" s="8"/>
      <c r="BE54" s="8"/>
      <c r="BF54" s="8"/>
      <c r="BG54" s="8"/>
      <c r="BH54" s="8"/>
      <c r="BI54" s="8"/>
      <c r="BJ54" s="8"/>
      <c r="BK54" s="8"/>
      <c r="BL54" s="8"/>
      <c r="BM54" s="8"/>
      <c r="BN54" s="8"/>
      <c r="BO54" s="8"/>
      <c r="BP54" s="8"/>
      <c r="BQ54" s="8"/>
      <c r="BR54" s="8"/>
      <c r="BS54" s="8"/>
      <c r="BT54" s="8"/>
      <c r="BU54" s="8"/>
      <c r="BV54" s="8"/>
      <c r="BW54" s="8"/>
      <c r="BX54" s="8"/>
      <c r="BY54" s="8"/>
      <c r="BZ54" s="8"/>
      <c r="CA54" s="8"/>
      <c r="CB54" s="8"/>
      <c r="CC54" s="8"/>
      <c r="CD54" s="8"/>
      <c r="CE54" s="8"/>
      <c r="CF54" s="8"/>
      <c r="CG54" s="8"/>
    </row>
    <row r="55" spans="5:85" x14ac:dyDescent="0.25">
      <c r="E55" s="5"/>
      <c r="F55" t="str">
        <f t="shared" si="18"/>
        <v/>
      </c>
      <c r="G55" s="5" t="str">
        <f>IF($L55&lt;&gt;"",EOMONTH(DATE(YEAR($M$11),MONTH($M$11)-IF(DAY($N$6)&lt;$N$7,1,0),DAY($M$11)),($H55*$A$1)+IF(MESADICIONAL=TRUE,1,0)),"")</f>
        <v/>
      </c>
      <c r="H55" s="22" t="str">
        <f t="shared" si="19"/>
        <v/>
      </c>
      <c r="I55" s="22" t="str">
        <f t="shared" si="20"/>
        <v/>
      </c>
      <c r="J55" s="22" t="str">
        <f t="shared" si="21"/>
        <v/>
      </c>
      <c r="K55" s="22" t="str">
        <f t="shared" si="14"/>
        <v/>
      </c>
      <c r="L55" t="str">
        <f t="shared" si="22"/>
        <v/>
      </c>
      <c r="M55" s="5" t="str">
        <f t="shared" si="15"/>
        <v/>
      </c>
      <c r="N55" s="9" t="str">
        <f t="shared" si="23"/>
        <v/>
      </c>
      <c r="O55" s="3" t="str">
        <f t="shared" si="24"/>
        <v/>
      </c>
      <c r="P55" s="3" t="str">
        <f t="shared" si="25"/>
        <v/>
      </c>
      <c r="Q55" s="3" t="str">
        <f t="shared" si="16"/>
        <v/>
      </c>
      <c r="R55" s="3" t="str">
        <f t="shared" si="17"/>
        <v/>
      </c>
      <c r="S55" s="3" t="str">
        <f>IF($L55&lt;&gt;"",IF($A55="Prepago",0,IF($H55*$U$6&gt;SUM($S$11:$S54)+$U$6,$U$6*2,$U$6)),"")</f>
        <v/>
      </c>
      <c r="T55" s="3" t="str">
        <f>IF($L55&lt;&gt;"",IF($A55="Prepago",0,IF($H55*$U$7&gt;SUM($T$11:$T54)+$U$7,$U$7*2,$U$7)),"")</f>
        <v/>
      </c>
      <c r="U55" s="3" t="str">
        <f>IF($L55&lt;&gt;"",IF($A55="Prepago",0,IF($H55*$U$8&gt;SUM($U$11:$U54)+$U$8,$U$8*2,$U$8)),"")</f>
        <v/>
      </c>
      <c r="V55" s="3" t="str">
        <f t="shared" si="26"/>
        <v/>
      </c>
      <c r="W55" s="3" t="str">
        <f t="shared" si="27"/>
        <v/>
      </c>
      <c r="X55" s="3" t="str">
        <f t="shared" si="28"/>
        <v/>
      </c>
      <c r="Y55" s="3" t="str">
        <f t="shared" si="29"/>
        <v/>
      </c>
      <c r="Z55" s="3" t="str">
        <f>IF($L55&lt;&gt;"",IF($N55&gt;Y$11,IF($N55&lt;Z$11,$N55-Y$11,30),0)*ROUND(($O55+$W54+SUM($Y55:Y55))*$V$5/3000,2),"")</f>
        <v/>
      </c>
      <c r="AA55" s="3"/>
      <c r="AB55" s="3"/>
      <c r="AC55" s="8"/>
      <c r="AD55" s="8"/>
      <c r="AE55" s="8"/>
      <c r="AF55" s="8"/>
      <c r="AG55" s="8"/>
      <c r="AH55" s="8"/>
      <c r="AI55" s="8"/>
      <c r="AJ55" s="8"/>
      <c r="AK55" s="8"/>
      <c r="AL55" s="8"/>
      <c r="AM55" s="8"/>
      <c r="AN55" s="8"/>
      <c r="AO55" s="8"/>
      <c r="AP55" s="8"/>
      <c r="AQ55" s="8"/>
      <c r="AR55" s="8"/>
      <c r="AS55" s="8"/>
      <c r="AT55" s="8"/>
      <c r="AU55" s="8"/>
      <c r="AV55" s="8"/>
      <c r="AW55" s="8"/>
      <c r="AX55" s="8"/>
      <c r="AY55" s="8"/>
      <c r="AZ55" s="8"/>
      <c r="BA55" s="8"/>
      <c r="BB55" s="8"/>
      <c r="BC55" s="8"/>
      <c r="BD55" s="8"/>
      <c r="BE55" s="8"/>
      <c r="BF55" s="8"/>
      <c r="BG55" s="8"/>
      <c r="BH55" s="8"/>
      <c r="BI55" s="8"/>
      <c r="BJ55" s="8"/>
      <c r="BK55" s="8"/>
      <c r="BL55" s="8"/>
      <c r="BM55" s="8"/>
      <c r="BN55" s="8"/>
      <c r="BO55" s="8"/>
      <c r="BP55" s="8"/>
      <c r="BQ55" s="8"/>
      <c r="BR55" s="8"/>
      <c r="BS55" s="8"/>
      <c r="BT55" s="8"/>
      <c r="BU55" s="8"/>
      <c r="BV55" s="8"/>
      <c r="BW55" s="8"/>
      <c r="BX55" s="8"/>
      <c r="BY55" s="8"/>
      <c r="BZ55" s="8"/>
      <c r="CA55" s="8"/>
      <c r="CB55" s="8"/>
      <c r="CC55" s="8"/>
      <c r="CD55" s="8"/>
      <c r="CE55" s="8"/>
      <c r="CF55" s="8"/>
      <c r="CG55" s="8"/>
    </row>
    <row r="56" spans="5:85" x14ac:dyDescent="0.25">
      <c r="E56" s="5"/>
      <c r="F56" t="str">
        <f t="shared" si="18"/>
        <v/>
      </c>
      <c r="G56" s="5" t="str">
        <f>IF($L56&lt;&gt;"",EOMONTH(DATE(YEAR($M$11),MONTH($M$11)-IF(DAY($N$6)&lt;$N$7,1,0),DAY($M$11)),($H56*$A$1)+IF(MESADICIONAL=TRUE,1,0)),"")</f>
        <v/>
      </c>
      <c r="H56" s="22" t="str">
        <f t="shared" si="19"/>
        <v/>
      </c>
      <c r="I56" s="22" t="str">
        <f t="shared" si="20"/>
        <v/>
      </c>
      <c r="J56" s="22" t="str">
        <f t="shared" si="21"/>
        <v/>
      </c>
      <c r="K56" s="22" t="str">
        <f t="shared" si="14"/>
        <v/>
      </c>
      <c r="L56" t="str">
        <f t="shared" si="22"/>
        <v/>
      </c>
      <c r="M56" s="5" t="str">
        <f t="shared" si="15"/>
        <v/>
      </c>
      <c r="N56" s="9" t="str">
        <f t="shared" si="23"/>
        <v/>
      </c>
      <c r="O56" s="3" t="str">
        <f t="shared" si="24"/>
        <v/>
      </c>
      <c r="P56" s="3" t="str">
        <f t="shared" si="25"/>
        <v/>
      </c>
      <c r="Q56" s="3" t="str">
        <f t="shared" si="16"/>
        <v/>
      </c>
      <c r="R56" s="3" t="str">
        <f t="shared" si="17"/>
        <v/>
      </c>
      <c r="S56" s="3" t="str">
        <f>IF($L56&lt;&gt;"",IF($A56="Prepago",0,IF($H56*$U$6&gt;SUM($S$11:$S55)+$U$6,$U$6*2,$U$6)),"")</f>
        <v/>
      </c>
      <c r="T56" s="3" t="str">
        <f>IF($L56&lt;&gt;"",IF($A56="Prepago",0,IF($H56*$U$7&gt;SUM($T$11:$T55)+$U$7,$U$7*2,$U$7)),"")</f>
        <v/>
      </c>
      <c r="U56" s="3" t="str">
        <f>IF($L56&lt;&gt;"",IF($A56="Prepago",0,IF($H56*$U$8&gt;SUM($U$11:$U55)+$U$8,$U$8*2,$U$8)),"")</f>
        <v/>
      </c>
      <c r="V56" s="3" t="str">
        <f t="shared" si="26"/>
        <v/>
      </c>
      <c r="W56" s="3" t="str">
        <f t="shared" si="27"/>
        <v/>
      </c>
      <c r="X56" s="3" t="str">
        <f t="shared" si="28"/>
        <v/>
      </c>
      <c r="Y56" s="3" t="str">
        <f t="shared" si="29"/>
        <v/>
      </c>
      <c r="Z56" s="3" t="str">
        <f>IF($L56&lt;&gt;"",IF($N56&gt;Y$11,IF($N56&lt;Z$11,$N56-Y$11,30),0)*ROUND(($O56+$W55+SUM($Y56:Y56))*$V$5/3000,2),"")</f>
        <v/>
      </c>
      <c r="AA56" s="3"/>
      <c r="AB56" s="3"/>
      <c r="AC56" s="8"/>
      <c r="AD56" s="8"/>
      <c r="AE56" s="8"/>
      <c r="AF56" s="8"/>
      <c r="AG56" s="8"/>
      <c r="AH56" s="8"/>
      <c r="AI56" s="8"/>
      <c r="AJ56" s="8"/>
      <c r="AK56" s="8"/>
      <c r="AL56" s="8"/>
      <c r="AM56" s="8"/>
      <c r="AN56" s="8"/>
      <c r="AO56" s="8"/>
      <c r="AP56" s="8"/>
      <c r="AQ56" s="8"/>
      <c r="AR56" s="8"/>
      <c r="AS56" s="8"/>
      <c r="AT56" s="8"/>
      <c r="AU56" s="8"/>
      <c r="AV56" s="8"/>
      <c r="AW56" s="8"/>
      <c r="AX56" s="8"/>
      <c r="AY56" s="8"/>
      <c r="AZ56" s="8"/>
      <c r="BA56" s="8"/>
      <c r="BB56" s="8"/>
      <c r="BC56" s="8"/>
      <c r="BD56" s="8"/>
      <c r="BE56" s="8"/>
      <c r="BF56" s="8"/>
      <c r="BG56" s="8"/>
      <c r="BH56" s="8"/>
      <c r="BI56" s="8"/>
      <c r="BJ56" s="8"/>
      <c r="BK56" s="8"/>
      <c r="BL56" s="8"/>
      <c r="BM56" s="8"/>
      <c r="BN56" s="8"/>
      <c r="BO56" s="8"/>
      <c r="BP56" s="8"/>
      <c r="BQ56" s="8"/>
      <c r="BR56" s="8"/>
      <c r="BS56" s="8"/>
      <c r="BT56" s="8"/>
      <c r="BU56" s="8"/>
      <c r="BV56" s="8"/>
      <c r="BW56" s="8"/>
      <c r="BX56" s="8"/>
      <c r="BY56" s="8"/>
      <c r="BZ56" s="8"/>
      <c r="CA56" s="8"/>
      <c r="CB56" s="8"/>
      <c r="CC56" s="8"/>
      <c r="CD56" s="8"/>
      <c r="CE56" s="8"/>
      <c r="CF56" s="8"/>
      <c r="CG56" s="8"/>
    </row>
    <row r="57" spans="5:85" x14ac:dyDescent="0.25">
      <c r="E57" s="5"/>
      <c r="F57" t="str">
        <f t="shared" si="18"/>
        <v/>
      </c>
      <c r="G57" s="5" t="str">
        <f>IF($L57&lt;&gt;"",EOMONTH(DATE(YEAR($M$11),MONTH($M$11)-IF(DAY($N$6)&lt;$N$7,1,0),DAY($M$11)),($H57*$A$1)+IF(MESADICIONAL=TRUE,1,0)),"")</f>
        <v/>
      </c>
      <c r="H57" s="22" t="str">
        <f t="shared" si="19"/>
        <v/>
      </c>
      <c r="I57" s="22" t="str">
        <f t="shared" si="20"/>
        <v/>
      </c>
      <c r="J57" s="22" t="str">
        <f t="shared" si="21"/>
        <v/>
      </c>
      <c r="K57" s="22" t="str">
        <f t="shared" si="14"/>
        <v/>
      </c>
      <c r="L57" t="str">
        <f t="shared" si="22"/>
        <v/>
      </c>
      <c r="M57" s="5" t="str">
        <f t="shared" si="15"/>
        <v/>
      </c>
      <c r="N57" s="9" t="str">
        <f t="shared" si="23"/>
        <v/>
      </c>
      <c r="O57" s="3" t="str">
        <f t="shared" si="24"/>
        <v/>
      </c>
      <c r="P57" s="3" t="str">
        <f t="shared" si="25"/>
        <v/>
      </c>
      <c r="Q57" s="3" t="str">
        <f t="shared" si="16"/>
        <v/>
      </c>
      <c r="R57" s="3" t="str">
        <f t="shared" si="17"/>
        <v/>
      </c>
      <c r="S57" s="3" t="str">
        <f>IF($L57&lt;&gt;"",IF($A57="Prepago",0,IF($H57*$U$6&gt;SUM($S$11:$S56)+$U$6,$U$6*2,$U$6)),"")</f>
        <v/>
      </c>
      <c r="T57" s="3" t="str">
        <f>IF($L57&lt;&gt;"",IF($A57="Prepago",0,IF($H57*$U$7&gt;SUM($T$11:$T56)+$U$7,$U$7*2,$U$7)),"")</f>
        <v/>
      </c>
      <c r="U57" s="3" t="str">
        <f>IF($L57&lt;&gt;"",IF($A57="Prepago",0,IF($H57*$U$8&gt;SUM($U$11:$U56)+$U$8,$U$8*2,$U$8)),"")</f>
        <v/>
      </c>
      <c r="V57" s="3" t="str">
        <f t="shared" si="26"/>
        <v/>
      </c>
      <c r="W57" s="3" t="str">
        <f t="shared" si="27"/>
        <v/>
      </c>
      <c r="X57" s="3" t="str">
        <f t="shared" si="28"/>
        <v/>
      </c>
      <c r="Y57" s="3" t="str">
        <f t="shared" si="29"/>
        <v/>
      </c>
      <c r="Z57" s="3" t="str">
        <f>IF($L57&lt;&gt;"",IF($N57&gt;Y$11,IF($N57&lt;Z$11,$N57-Y$11,30),0)*ROUND(($O57+$W56+SUM($Y57:Y57))*$V$5/3000,2),"")</f>
        <v/>
      </c>
      <c r="AA57" s="3"/>
      <c r="AB57" s="3"/>
      <c r="AC57" s="8"/>
      <c r="AD57" s="8"/>
      <c r="AE57" s="8"/>
      <c r="AF57" s="8"/>
      <c r="AG57" s="8"/>
      <c r="AH57" s="8"/>
      <c r="AI57" s="8"/>
      <c r="AJ57" s="8"/>
      <c r="AK57" s="8"/>
      <c r="AL57" s="8"/>
      <c r="AM57" s="8"/>
      <c r="AN57" s="8"/>
      <c r="AO57" s="8"/>
      <c r="AP57" s="8"/>
      <c r="AQ57" s="8"/>
      <c r="AR57" s="8"/>
      <c r="AS57" s="8"/>
      <c r="AT57" s="8"/>
      <c r="AU57" s="8"/>
      <c r="AV57" s="8"/>
      <c r="AW57" s="8"/>
      <c r="AX57" s="8"/>
      <c r="AY57" s="8"/>
      <c r="AZ57" s="8"/>
      <c r="BA57" s="8"/>
      <c r="BB57" s="8"/>
      <c r="BC57" s="8"/>
      <c r="BD57" s="8"/>
      <c r="BE57" s="8"/>
      <c r="BF57" s="8"/>
      <c r="BG57" s="8"/>
      <c r="BH57" s="8"/>
      <c r="BI57" s="8"/>
      <c r="BJ57" s="8"/>
      <c r="BK57" s="8"/>
      <c r="BL57" s="8"/>
      <c r="BM57" s="8"/>
      <c r="BN57" s="8"/>
      <c r="BO57" s="8"/>
      <c r="BP57" s="8"/>
      <c r="BQ57" s="8"/>
      <c r="BR57" s="8"/>
      <c r="BS57" s="8"/>
      <c r="BT57" s="8"/>
      <c r="BU57" s="8"/>
      <c r="BV57" s="8"/>
      <c r="BW57" s="8"/>
      <c r="BX57" s="8"/>
      <c r="BY57" s="8"/>
      <c r="BZ57" s="8"/>
      <c r="CA57" s="8"/>
      <c r="CB57" s="8"/>
      <c r="CC57" s="8"/>
      <c r="CD57" s="8"/>
      <c r="CE57" s="8"/>
      <c r="CF57" s="8"/>
      <c r="CG57" s="8"/>
    </row>
    <row r="58" spans="5:85" x14ac:dyDescent="0.25">
      <c r="E58" s="5"/>
      <c r="F58" t="str">
        <f t="shared" si="18"/>
        <v/>
      </c>
      <c r="G58" s="5" t="str">
        <f>IF($L58&lt;&gt;"",EOMONTH(DATE(YEAR($M$11),MONTH($M$11)-IF(DAY($N$6)&lt;$N$7,1,0),DAY($M$11)),($H58*$A$1)+IF(MESADICIONAL=TRUE,1,0)),"")</f>
        <v/>
      </c>
      <c r="H58" s="22" t="str">
        <f t="shared" si="19"/>
        <v/>
      </c>
      <c r="I58" s="22" t="str">
        <f t="shared" si="20"/>
        <v/>
      </c>
      <c r="J58" s="22" t="str">
        <f t="shared" si="21"/>
        <v/>
      </c>
      <c r="K58" s="22" t="str">
        <f t="shared" si="14"/>
        <v/>
      </c>
      <c r="L58" t="str">
        <f t="shared" si="22"/>
        <v/>
      </c>
      <c r="M58" s="5" t="str">
        <f t="shared" si="15"/>
        <v/>
      </c>
      <c r="N58" s="9" t="str">
        <f t="shared" si="23"/>
        <v/>
      </c>
      <c r="O58" s="3" t="str">
        <f t="shared" si="24"/>
        <v/>
      </c>
      <c r="P58" s="3" t="str">
        <f t="shared" si="25"/>
        <v/>
      </c>
      <c r="Q58" s="3" t="str">
        <f t="shared" si="16"/>
        <v/>
      </c>
      <c r="R58" s="3" t="str">
        <f t="shared" si="17"/>
        <v/>
      </c>
      <c r="S58" s="3" t="str">
        <f>IF($L58&lt;&gt;"",IF($A58="Prepago",0,IF($H58*$U$6&gt;SUM($S$11:$S57)+$U$6,$U$6*2,$U$6)),"")</f>
        <v/>
      </c>
      <c r="T58" s="3" t="str">
        <f>IF($L58&lt;&gt;"",IF($A58="Prepago",0,IF($H58*$U$7&gt;SUM($T$11:$T57)+$U$7,$U$7*2,$U$7)),"")</f>
        <v/>
      </c>
      <c r="U58" s="3" t="str">
        <f>IF($L58&lt;&gt;"",IF($A58="Prepago",0,IF($H58*$U$8&gt;SUM($U$11:$U57)+$U$8,$U$8*2,$U$8)),"")</f>
        <v/>
      </c>
      <c r="V58" s="3" t="str">
        <f t="shared" si="26"/>
        <v/>
      </c>
      <c r="W58" s="3" t="str">
        <f t="shared" si="27"/>
        <v/>
      </c>
      <c r="X58" s="3" t="str">
        <f t="shared" si="28"/>
        <v/>
      </c>
      <c r="Y58" s="3" t="str">
        <f t="shared" si="29"/>
        <v/>
      </c>
      <c r="Z58" s="3" t="str">
        <f>IF($L58&lt;&gt;"",IF($N58&gt;Y$11,IF($N58&lt;Z$11,$N58-Y$11,30),0)*ROUND(($O58+$W57+SUM($Y58:Y58))*$V$5/3000,2),"")</f>
        <v/>
      </c>
      <c r="AA58" s="3"/>
      <c r="AB58" s="3"/>
      <c r="AC58" s="8"/>
      <c r="AD58" s="8"/>
      <c r="AE58" s="8"/>
      <c r="AF58" s="8"/>
      <c r="AG58" s="8"/>
      <c r="AH58" s="8"/>
      <c r="AI58" s="8"/>
      <c r="AJ58" s="8"/>
      <c r="AK58" s="8"/>
      <c r="AL58" s="8"/>
      <c r="AM58" s="8"/>
      <c r="AN58" s="8"/>
      <c r="AO58" s="8"/>
      <c r="AP58" s="8"/>
      <c r="AQ58" s="8"/>
      <c r="AR58" s="8"/>
      <c r="AS58" s="8"/>
      <c r="AT58" s="8"/>
      <c r="AU58" s="8"/>
      <c r="AV58" s="8"/>
      <c r="AW58" s="8"/>
      <c r="AX58" s="8"/>
      <c r="AY58" s="8"/>
      <c r="AZ58" s="8"/>
      <c r="BA58" s="8"/>
      <c r="BB58" s="8"/>
      <c r="BC58" s="8"/>
      <c r="BD58" s="8"/>
      <c r="BE58" s="8"/>
      <c r="BF58" s="8"/>
      <c r="BG58" s="8"/>
      <c r="BH58" s="8"/>
      <c r="BI58" s="8"/>
      <c r="BJ58" s="8"/>
      <c r="BK58" s="8"/>
      <c r="BL58" s="8"/>
      <c r="BM58" s="8"/>
      <c r="BN58" s="8"/>
      <c r="BO58" s="8"/>
      <c r="BP58" s="8"/>
      <c r="BQ58" s="8"/>
      <c r="BR58" s="8"/>
      <c r="BS58" s="8"/>
      <c r="BT58" s="8"/>
      <c r="BU58" s="8"/>
      <c r="BV58" s="8"/>
      <c r="BW58" s="8"/>
      <c r="BX58" s="8"/>
      <c r="BY58" s="8"/>
      <c r="BZ58" s="8"/>
      <c r="CA58" s="8"/>
      <c r="CB58" s="8"/>
      <c r="CC58" s="8"/>
      <c r="CD58" s="8"/>
      <c r="CE58" s="8"/>
      <c r="CF58" s="8"/>
      <c r="CG58" s="8"/>
    </row>
    <row r="59" spans="5:85" x14ac:dyDescent="0.25">
      <c r="E59" s="5"/>
      <c r="F59" t="str">
        <f t="shared" si="18"/>
        <v/>
      </c>
      <c r="G59" s="5" t="str">
        <f>IF($L59&lt;&gt;"",EOMONTH(DATE(YEAR($M$11),MONTH($M$11)-IF(DAY($N$6)&lt;$N$7,1,0),DAY($M$11)),($H59*$A$1)+IF(MESADICIONAL=TRUE,1,0)),"")</f>
        <v/>
      </c>
      <c r="H59" s="22" t="str">
        <f t="shared" si="19"/>
        <v/>
      </c>
      <c r="I59" s="22" t="str">
        <f t="shared" si="20"/>
        <v/>
      </c>
      <c r="J59" s="22" t="str">
        <f t="shared" si="21"/>
        <v/>
      </c>
      <c r="K59" s="22" t="str">
        <f t="shared" si="14"/>
        <v/>
      </c>
      <c r="L59" t="str">
        <f t="shared" si="22"/>
        <v/>
      </c>
      <c r="M59" s="5" t="str">
        <f t="shared" si="15"/>
        <v/>
      </c>
      <c r="N59" s="9" t="str">
        <f t="shared" si="23"/>
        <v/>
      </c>
      <c r="O59" s="3" t="str">
        <f t="shared" si="24"/>
        <v/>
      </c>
      <c r="P59" s="3" t="str">
        <f t="shared" si="25"/>
        <v/>
      </c>
      <c r="Q59" s="3" t="str">
        <f t="shared" si="16"/>
        <v/>
      </c>
      <c r="R59" s="3" t="str">
        <f t="shared" si="17"/>
        <v/>
      </c>
      <c r="S59" s="3" t="str">
        <f>IF($L59&lt;&gt;"",IF($A59="Prepago",0,IF($H59*$U$6&gt;SUM($S$11:$S58)+$U$6,$U$6*2,$U$6)),"")</f>
        <v/>
      </c>
      <c r="T59" s="3" t="str">
        <f>IF($L59&lt;&gt;"",IF($A59="Prepago",0,IF($H59*$U$7&gt;SUM($T$11:$T58)+$U$7,$U$7*2,$U$7)),"")</f>
        <v/>
      </c>
      <c r="U59" s="3" t="str">
        <f>IF($L59&lt;&gt;"",IF($A59="Prepago",0,IF($H59*$U$8&gt;SUM($U$11:$U58)+$U$8,$U$8*2,$U$8)),"")</f>
        <v/>
      </c>
      <c r="V59" s="3" t="str">
        <f t="shared" si="26"/>
        <v/>
      </c>
      <c r="W59" s="3" t="str">
        <f t="shared" si="27"/>
        <v/>
      </c>
      <c r="X59" s="3" t="str">
        <f t="shared" si="28"/>
        <v/>
      </c>
      <c r="Y59" s="3" t="str">
        <f t="shared" si="29"/>
        <v/>
      </c>
      <c r="Z59" s="3" t="str">
        <f>IF($L59&lt;&gt;"",IF($N59&gt;Y$11,IF($N59&lt;Z$11,$N59-Y$11,30),0)*ROUND(($O59+$W58+SUM($Y59:Y59))*$V$5/3000,2),"")</f>
        <v/>
      </c>
      <c r="AA59" s="3"/>
      <c r="AB59" s="3"/>
      <c r="AC59" s="8"/>
      <c r="AD59" s="8"/>
      <c r="AE59" s="8"/>
      <c r="AF59" s="8"/>
      <c r="AG59" s="8"/>
      <c r="AH59" s="8"/>
      <c r="AI59" s="8"/>
      <c r="AJ59" s="8"/>
      <c r="AK59" s="8"/>
      <c r="AL59" s="8"/>
      <c r="AM59" s="8"/>
      <c r="AN59" s="8"/>
      <c r="AO59" s="8"/>
      <c r="AP59" s="8"/>
      <c r="AQ59" s="8"/>
      <c r="AR59" s="8"/>
      <c r="AS59" s="8"/>
      <c r="AT59" s="8"/>
      <c r="AU59" s="8"/>
      <c r="AV59" s="8"/>
      <c r="AW59" s="8"/>
      <c r="AX59" s="8"/>
      <c r="AY59" s="8"/>
      <c r="AZ59" s="8"/>
      <c r="BA59" s="8"/>
      <c r="BB59" s="8"/>
      <c r="BC59" s="8"/>
      <c r="BD59" s="8"/>
      <c r="BE59" s="8"/>
      <c r="BF59" s="8"/>
      <c r="BG59" s="8"/>
      <c r="BH59" s="8"/>
      <c r="BI59" s="8"/>
      <c r="BJ59" s="8"/>
      <c r="BK59" s="8"/>
      <c r="BL59" s="8"/>
      <c r="BM59" s="8"/>
      <c r="BN59" s="8"/>
      <c r="BO59" s="8"/>
      <c r="BP59" s="8"/>
      <c r="BQ59" s="8"/>
      <c r="BR59" s="8"/>
      <c r="BS59" s="8"/>
      <c r="BT59" s="8"/>
      <c r="BU59" s="8"/>
      <c r="BV59" s="8"/>
      <c r="BW59" s="8"/>
      <c r="BX59" s="8"/>
      <c r="BY59" s="8"/>
      <c r="BZ59" s="8"/>
      <c r="CA59" s="8"/>
      <c r="CB59" s="8"/>
      <c r="CC59" s="8"/>
      <c r="CD59" s="8"/>
      <c r="CE59" s="8"/>
      <c r="CF59" s="8"/>
      <c r="CG59" s="8"/>
    </row>
    <row r="60" spans="5:85" x14ac:dyDescent="0.25">
      <c r="E60" s="5"/>
      <c r="F60" t="str">
        <f t="shared" si="18"/>
        <v/>
      </c>
      <c r="G60" s="5" t="str">
        <f>IF($L60&lt;&gt;"",EOMONTH(DATE(YEAR($M$11),MONTH($M$11)-IF(DAY($N$6)&lt;$N$7,1,0),DAY($M$11)),($H60*$A$1)+IF(MESADICIONAL=TRUE,1,0)),"")</f>
        <v/>
      </c>
      <c r="H60" s="22" t="str">
        <f t="shared" si="19"/>
        <v/>
      </c>
      <c r="I60" s="22" t="str">
        <f t="shared" si="20"/>
        <v/>
      </c>
      <c r="J60" s="22" t="str">
        <f t="shared" si="21"/>
        <v/>
      </c>
      <c r="K60" s="22" t="str">
        <f t="shared" si="14"/>
        <v/>
      </c>
      <c r="L60" t="str">
        <f t="shared" si="22"/>
        <v/>
      </c>
      <c r="M60" s="5" t="str">
        <f t="shared" si="15"/>
        <v/>
      </c>
      <c r="N60" s="9" t="str">
        <f t="shared" si="23"/>
        <v/>
      </c>
      <c r="O60" s="3" t="str">
        <f t="shared" si="24"/>
        <v/>
      </c>
      <c r="P60" s="3" t="str">
        <f t="shared" si="25"/>
        <v/>
      </c>
      <c r="Q60" s="3" t="str">
        <f t="shared" si="16"/>
        <v/>
      </c>
      <c r="R60" s="3" t="str">
        <f t="shared" si="17"/>
        <v/>
      </c>
      <c r="S60" s="3" t="str">
        <f>IF($L60&lt;&gt;"",IF($A60="Prepago",0,IF($H60*$U$6&gt;SUM($S$11:$S59)+$U$6,$U$6*2,$U$6)),"")</f>
        <v/>
      </c>
      <c r="T60" s="3" t="str">
        <f>IF($L60&lt;&gt;"",IF($A60="Prepago",0,IF($H60*$U$7&gt;SUM($T$11:$T59)+$U$7,$U$7*2,$U$7)),"")</f>
        <v/>
      </c>
      <c r="U60" s="3" t="str">
        <f>IF($L60&lt;&gt;"",IF($A60="Prepago",0,IF($H60*$U$8&gt;SUM($U$11:$U59)+$U$8,$U$8*2,$U$8)),"")</f>
        <v/>
      </c>
      <c r="V60" s="3" t="str">
        <f t="shared" si="26"/>
        <v/>
      </c>
      <c r="W60" s="3" t="str">
        <f t="shared" si="27"/>
        <v/>
      </c>
      <c r="X60" s="3" t="str">
        <f t="shared" si="28"/>
        <v/>
      </c>
      <c r="Y60" s="3" t="str">
        <f t="shared" si="29"/>
        <v/>
      </c>
      <c r="Z60" s="3" t="str">
        <f>IF($L60&lt;&gt;"",IF($N60&gt;Y$11,IF($N60&lt;Z$11,$N60-Y$11,30),0)*ROUND(($O60+$W59+SUM($Y60:Y60))*$V$5/3000,2),"")</f>
        <v/>
      </c>
      <c r="AA60" s="3"/>
      <c r="AB60" s="3"/>
      <c r="AC60" s="8"/>
      <c r="AD60" s="8"/>
      <c r="AE60" s="8"/>
      <c r="AF60" s="8"/>
      <c r="AG60" s="8"/>
      <c r="AH60" s="8"/>
      <c r="AI60" s="8"/>
      <c r="AJ60" s="8"/>
      <c r="AK60" s="8"/>
      <c r="AL60" s="8"/>
      <c r="AM60" s="8"/>
      <c r="AN60" s="8"/>
      <c r="AO60" s="8"/>
      <c r="AP60" s="8"/>
      <c r="AQ60" s="8"/>
      <c r="AR60" s="8"/>
      <c r="AS60" s="8"/>
      <c r="AT60" s="8"/>
      <c r="AU60" s="8"/>
      <c r="AV60" s="8"/>
      <c r="AW60" s="8"/>
      <c r="AX60" s="8"/>
      <c r="AY60" s="8"/>
      <c r="AZ60" s="8"/>
      <c r="BA60" s="8"/>
      <c r="BB60" s="8"/>
      <c r="BC60" s="8"/>
      <c r="BD60" s="8"/>
      <c r="BE60" s="8"/>
      <c r="BF60" s="8"/>
      <c r="BG60" s="8"/>
      <c r="BH60" s="8"/>
      <c r="BI60" s="8"/>
      <c r="BJ60" s="8"/>
      <c r="BK60" s="8"/>
      <c r="BL60" s="8"/>
      <c r="BM60" s="8"/>
      <c r="BN60" s="8"/>
      <c r="BO60" s="8"/>
      <c r="BP60" s="8"/>
      <c r="BQ60" s="8"/>
      <c r="BR60" s="8"/>
      <c r="BS60" s="8"/>
      <c r="BT60" s="8"/>
      <c r="BU60" s="8"/>
      <c r="BV60" s="8"/>
      <c r="BW60" s="8"/>
      <c r="BX60" s="8"/>
      <c r="BY60" s="8"/>
      <c r="BZ60" s="8"/>
      <c r="CA60" s="8"/>
      <c r="CB60" s="8"/>
      <c r="CC60" s="8"/>
      <c r="CD60" s="8"/>
      <c r="CE60" s="8"/>
      <c r="CF60" s="8"/>
      <c r="CG60" s="8"/>
    </row>
    <row r="61" spans="5:85" x14ac:dyDescent="0.25">
      <c r="E61" s="5"/>
      <c r="F61" t="str">
        <f t="shared" si="18"/>
        <v/>
      </c>
      <c r="G61" s="5" t="str">
        <f>IF($L61&lt;&gt;"",EOMONTH(DATE(YEAR($M$11),MONTH($M$11)-IF(DAY($N$6)&lt;$N$7,1,0),DAY($M$11)),($H61*$A$1)+IF(MESADICIONAL=TRUE,1,0)),"")</f>
        <v/>
      </c>
      <c r="H61" s="22" t="str">
        <f t="shared" si="19"/>
        <v/>
      </c>
      <c r="I61" s="22" t="str">
        <f t="shared" si="20"/>
        <v/>
      </c>
      <c r="J61" s="22" t="str">
        <f t="shared" si="21"/>
        <v/>
      </c>
      <c r="K61" s="22" t="str">
        <f t="shared" si="14"/>
        <v/>
      </c>
      <c r="L61" t="str">
        <f t="shared" si="22"/>
        <v/>
      </c>
      <c r="M61" s="5" t="str">
        <f t="shared" si="15"/>
        <v/>
      </c>
      <c r="N61" s="9" t="str">
        <f t="shared" si="23"/>
        <v/>
      </c>
      <c r="O61" s="3" t="str">
        <f t="shared" si="24"/>
        <v/>
      </c>
      <c r="P61" s="3" t="str">
        <f t="shared" si="25"/>
        <v/>
      </c>
      <c r="Q61" s="3" t="str">
        <f t="shared" si="16"/>
        <v/>
      </c>
      <c r="R61" s="3" t="str">
        <f t="shared" si="17"/>
        <v/>
      </c>
      <c r="S61" s="3" t="str">
        <f>IF($L61&lt;&gt;"",IF($A61="Prepago",0,IF($H61*$U$6&gt;SUM($S$11:$S60)+$U$6,$U$6*2,$U$6)),"")</f>
        <v/>
      </c>
      <c r="T61" s="3" t="str">
        <f>IF($L61&lt;&gt;"",IF($A61="Prepago",0,IF($H61*$U$7&gt;SUM($T$11:$T60)+$U$7,$U$7*2,$U$7)),"")</f>
        <v/>
      </c>
      <c r="U61" s="3" t="str">
        <f>IF($L61&lt;&gt;"",IF($A61="Prepago",0,IF($H61*$U$8&gt;SUM($U$11:$U60)+$U$8,$U$8*2,$U$8)),"")</f>
        <v/>
      </c>
      <c r="V61" s="3" t="str">
        <f t="shared" si="26"/>
        <v/>
      </c>
      <c r="W61" s="3" t="str">
        <f t="shared" si="27"/>
        <v/>
      </c>
      <c r="X61" s="3" t="str">
        <f t="shared" si="28"/>
        <v/>
      </c>
      <c r="Y61" s="3" t="str">
        <f t="shared" si="29"/>
        <v/>
      </c>
      <c r="Z61" s="3" t="str">
        <f>IF($L61&lt;&gt;"",IF($N61&gt;Y$11,IF($N61&lt;Z$11,$N61-Y$11,30),0)*ROUND(($O61+$W60+SUM($Y61:Y61))*$V$5/3000,2),"")</f>
        <v/>
      </c>
      <c r="AA61" s="3"/>
      <c r="AB61" s="3"/>
    </row>
    <row r="62" spans="5:85" x14ac:dyDescent="0.25">
      <c r="E62" s="5"/>
      <c r="F62" t="str">
        <f t="shared" si="18"/>
        <v/>
      </c>
      <c r="G62" s="5" t="str">
        <f>IF($L62&lt;&gt;"",EOMONTH(DATE(YEAR($M$11),MONTH($M$11)-IF(DAY($N$6)&lt;$N$7,1,0),DAY($M$11)),($H62*$A$1)+IF(MESADICIONAL=TRUE,1,0)),"")</f>
        <v/>
      </c>
      <c r="H62" s="22" t="str">
        <f t="shared" si="19"/>
        <v/>
      </c>
      <c r="I62" s="22" t="str">
        <f t="shared" si="20"/>
        <v/>
      </c>
      <c r="J62" s="22" t="str">
        <f t="shared" si="21"/>
        <v/>
      </c>
      <c r="K62" s="22" t="str">
        <f t="shared" si="14"/>
        <v/>
      </c>
      <c r="L62" t="str">
        <f t="shared" si="22"/>
        <v/>
      </c>
      <c r="M62" s="5" t="str">
        <f t="shared" si="15"/>
        <v/>
      </c>
      <c r="N62" s="9" t="str">
        <f t="shared" si="23"/>
        <v/>
      </c>
      <c r="O62" s="3" t="str">
        <f t="shared" si="24"/>
        <v/>
      </c>
      <c r="P62" s="3" t="str">
        <f t="shared" si="25"/>
        <v/>
      </c>
      <c r="Q62" s="3" t="str">
        <f t="shared" si="16"/>
        <v/>
      </c>
      <c r="R62" s="3" t="str">
        <f t="shared" si="17"/>
        <v/>
      </c>
      <c r="S62" s="3" t="str">
        <f>IF($L62&lt;&gt;"",IF($A62="Prepago",0,IF($H62*$U$6&gt;SUM($S$11:$S61)+$U$6,$U$6*2,$U$6)),"")</f>
        <v/>
      </c>
      <c r="T62" s="3" t="str">
        <f>IF($L62&lt;&gt;"",IF($A62="Prepago",0,IF($H62*$U$7&gt;SUM($T$11:$T61)+$U$7,$U$7*2,$U$7)),"")</f>
        <v/>
      </c>
      <c r="U62" s="3" t="str">
        <f>IF($L62&lt;&gt;"",IF($A62="Prepago",0,IF($H62*$U$8&gt;SUM($U$11:$U61)+$U$8,$U$8*2,$U$8)),"")</f>
        <v/>
      </c>
      <c r="V62" s="3" t="str">
        <f t="shared" si="26"/>
        <v/>
      </c>
      <c r="W62" s="3" t="str">
        <f t="shared" si="27"/>
        <v/>
      </c>
      <c r="X62" s="3" t="str">
        <f t="shared" si="28"/>
        <v/>
      </c>
      <c r="Y62" s="3" t="str">
        <f t="shared" si="29"/>
        <v/>
      </c>
      <c r="Z62" s="3" t="str">
        <f>IF($L62&lt;&gt;"",IF($N62&gt;Y$11,IF($N62&lt;Z$11,$N62-Y$11,30),0)*ROUND(($O62+$W61+SUM($Y62:Y62))*$V$5/3000,2),"")</f>
        <v/>
      </c>
      <c r="AA62" s="3"/>
      <c r="AB62" s="3"/>
    </row>
    <row r="63" spans="5:85" x14ac:dyDescent="0.25">
      <c r="E63" s="5"/>
      <c r="F63" t="str">
        <f t="shared" si="18"/>
        <v/>
      </c>
      <c r="G63" s="5" t="str">
        <f>IF($L63&lt;&gt;"",EOMONTH(DATE(YEAR($M$11),MONTH($M$11)-IF(DAY($N$6)&lt;$N$7,1,0),DAY($M$11)),($H63*$A$1)+IF(MESADICIONAL=TRUE,1,0)),"")</f>
        <v/>
      </c>
      <c r="H63" s="22" t="str">
        <f t="shared" si="19"/>
        <v/>
      </c>
      <c r="I63" s="22" t="str">
        <f t="shared" si="20"/>
        <v/>
      </c>
      <c r="J63" s="22" t="str">
        <f t="shared" si="21"/>
        <v/>
      </c>
      <c r="K63" s="22" t="str">
        <f t="shared" si="14"/>
        <v/>
      </c>
      <c r="L63" t="str">
        <f t="shared" si="22"/>
        <v/>
      </c>
      <c r="M63" s="5" t="str">
        <f t="shared" si="15"/>
        <v/>
      </c>
      <c r="N63" s="9" t="str">
        <f t="shared" si="23"/>
        <v/>
      </c>
      <c r="O63" s="3" t="str">
        <f t="shared" si="24"/>
        <v/>
      </c>
      <c r="P63" s="3" t="str">
        <f t="shared" si="25"/>
        <v/>
      </c>
      <c r="Q63" s="3" t="str">
        <f t="shared" si="16"/>
        <v/>
      </c>
      <c r="R63" s="3" t="str">
        <f t="shared" si="17"/>
        <v/>
      </c>
      <c r="S63" s="3" t="str">
        <f>IF($L63&lt;&gt;"",IF($A63="Prepago",0,IF($H63*$U$6&gt;SUM($S$11:$S62)+$U$6,$U$6*2,$U$6)),"")</f>
        <v/>
      </c>
      <c r="T63" s="3" t="str">
        <f>IF($L63&lt;&gt;"",IF($A63="Prepago",0,IF($H63*$U$7&gt;SUM($T$11:$T62)+$U$7,$U$7*2,$U$7)),"")</f>
        <v/>
      </c>
      <c r="U63" s="3" t="str">
        <f>IF($L63&lt;&gt;"",IF($A63="Prepago",0,IF($H63*$U$8&gt;SUM($U$11:$U62)+$U$8,$U$8*2,$U$8)),"")</f>
        <v/>
      </c>
      <c r="V63" s="3" t="str">
        <f t="shared" si="26"/>
        <v/>
      </c>
      <c r="W63" s="3" t="str">
        <f t="shared" si="27"/>
        <v/>
      </c>
      <c r="X63" s="3" t="str">
        <f t="shared" si="28"/>
        <v/>
      </c>
      <c r="Y63" s="3" t="str">
        <f t="shared" si="29"/>
        <v/>
      </c>
      <c r="Z63" s="3" t="str">
        <f>IF($L63&lt;&gt;"",IF($N63&gt;Y$11,IF($N63&lt;Z$11,$N63-Y$11,30),0)*ROUND(($O63+$W62+SUM($Y63:Y63))*$V$5/3000,2),"")</f>
        <v/>
      </c>
      <c r="AA63" s="3"/>
      <c r="AB63" s="3"/>
    </row>
    <row r="64" spans="5:85" x14ac:dyDescent="0.25">
      <c r="E64" s="5"/>
      <c r="F64" t="str">
        <f t="shared" si="18"/>
        <v/>
      </c>
      <c r="G64" s="5" t="str">
        <f>IF($L64&lt;&gt;"",EOMONTH(DATE(YEAR($M$11),MONTH($M$11)-IF(DAY($N$6)&lt;$N$7,1,0),DAY($M$11)),($H64*$A$1)+IF(MESADICIONAL=TRUE,1,0)),"")</f>
        <v/>
      </c>
      <c r="H64" s="22" t="str">
        <f t="shared" si="19"/>
        <v/>
      </c>
      <c r="I64" s="22" t="str">
        <f t="shared" si="20"/>
        <v/>
      </c>
      <c r="J64" s="22" t="str">
        <f t="shared" si="21"/>
        <v/>
      </c>
      <c r="K64" s="22" t="str">
        <f t="shared" si="14"/>
        <v/>
      </c>
      <c r="L64" t="str">
        <f t="shared" si="22"/>
        <v/>
      </c>
      <c r="M64" s="5" t="str">
        <f t="shared" si="15"/>
        <v/>
      </c>
      <c r="N64" s="9" t="str">
        <f t="shared" si="23"/>
        <v/>
      </c>
      <c r="O64" s="3" t="str">
        <f t="shared" si="24"/>
        <v/>
      </c>
      <c r="P64" s="3" t="str">
        <f t="shared" si="25"/>
        <v/>
      </c>
      <c r="Q64" s="3" t="str">
        <f t="shared" si="16"/>
        <v/>
      </c>
      <c r="R64" s="3" t="str">
        <f t="shared" si="17"/>
        <v/>
      </c>
      <c r="S64" s="3" t="str">
        <f>IF($L64&lt;&gt;"",IF($A64="Prepago",0,IF($H64*$U$6&gt;SUM($S$11:$S63)+$U$6,$U$6*2,$U$6)),"")</f>
        <v/>
      </c>
      <c r="T64" s="3" t="str">
        <f>IF($L64&lt;&gt;"",IF($A64="Prepago",0,IF($H64*$U$7&gt;SUM($T$11:$T63)+$U$7,$U$7*2,$U$7)),"")</f>
        <v/>
      </c>
      <c r="U64" s="3" t="str">
        <f>IF($L64&lt;&gt;"",IF($A64="Prepago",0,IF($H64*$U$8&gt;SUM($U$11:$U63)+$U$8,$U$8*2,$U$8)),"")</f>
        <v/>
      </c>
      <c r="V64" s="3" t="str">
        <f t="shared" si="26"/>
        <v/>
      </c>
      <c r="W64" s="3" t="str">
        <f t="shared" si="27"/>
        <v/>
      </c>
      <c r="X64" s="3" t="str">
        <f t="shared" si="28"/>
        <v/>
      </c>
      <c r="Y64" s="3" t="str">
        <f t="shared" si="29"/>
        <v/>
      </c>
      <c r="Z64" s="3" t="str">
        <f>IF($L64&lt;&gt;"",IF($N64&gt;Y$11,IF($N64&lt;Z$11,$N64-Y$11,30),0)*ROUND(($O64+$W63+SUM($Y64:Y64))*$V$5/3000,2),"")</f>
        <v/>
      </c>
      <c r="AA64" s="3"/>
      <c r="AB64" s="3"/>
    </row>
    <row r="65" spans="5:28" x14ac:dyDescent="0.25">
      <c r="E65" s="5"/>
      <c r="F65" t="str">
        <f t="shared" si="18"/>
        <v/>
      </c>
      <c r="G65" s="5" t="str">
        <f>IF($L65&lt;&gt;"",EOMONTH(DATE(YEAR($M$11),MONTH($M$11)-IF(DAY($N$6)&lt;$N$7,1,0),DAY($M$11)),($H65*$A$1)+IF(MESADICIONAL=TRUE,1,0)),"")</f>
        <v/>
      </c>
      <c r="H65" s="22" t="str">
        <f t="shared" si="19"/>
        <v/>
      </c>
      <c r="I65" s="22" t="str">
        <f t="shared" si="20"/>
        <v/>
      </c>
      <c r="J65" s="22" t="str">
        <f t="shared" si="21"/>
        <v/>
      </c>
      <c r="K65" s="22" t="str">
        <f t="shared" si="14"/>
        <v/>
      </c>
      <c r="L65" t="str">
        <f t="shared" si="22"/>
        <v/>
      </c>
      <c r="M65" s="5" t="str">
        <f t="shared" si="15"/>
        <v/>
      </c>
      <c r="N65" s="9" t="str">
        <f t="shared" si="23"/>
        <v/>
      </c>
      <c r="O65" s="3" t="str">
        <f t="shared" si="24"/>
        <v/>
      </c>
      <c r="P65" s="3" t="str">
        <f t="shared" si="25"/>
        <v/>
      </c>
      <c r="Q65" s="3" t="str">
        <f t="shared" si="16"/>
        <v/>
      </c>
      <c r="R65" s="3" t="str">
        <f t="shared" si="17"/>
        <v/>
      </c>
      <c r="S65" s="3" t="str">
        <f>IF($L65&lt;&gt;"",IF($A65="Prepago",0,IF($H65*$U$6&gt;SUM($S$11:$S64)+$U$6,$U$6*2,$U$6)),"")</f>
        <v/>
      </c>
      <c r="T65" s="3" t="str">
        <f>IF($L65&lt;&gt;"",IF($A65="Prepago",0,IF($H65*$U$7&gt;SUM($T$11:$T64)+$U$7,$U$7*2,$U$7)),"")</f>
        <v/>
      </c>
      <c r="U65" s="3" t="str">
        <f>IF($L65&lt;&gt;"",IF($A65="Prepago",0,IF($H65*$U$8&gt;SUM($U$11:$U64)+$U$8,$U$8*2,$U$8)),"")</f>
        <v/>
      </c>
      <c r="V65" s="3" t="str">
        <f t="shared" si="26"/>
        <v/>
      </c>
      <c r="W65" s="3" t="str">
        <f t="shared" si="27"/>
        <v/>
      </c>
      <c r="X65" s="3" t="str">
        <f t="shared" si="28"/>
        <v/>
      </c>
      <c r="Y65" s="3" t="str">
        <f t="shared" si="29"/>
        <v/>
      </c>
      <c r="Z65" s="3" t="str">
        <f>IF($L65&lt;&gt;"",IF($N65&gt;Y$11,IF($N65&lt;Z$11,$N65-Y$11,30),0)*ROUND(($O65+$W64+SUM($Y65:Y65))*$V$5/3000,2),"")</f>
        <v/>
      </c>
      <c r="AA65" s="3"/>
      <c r="AB65" s="3"/>
    </row>
    <row r="66" spans="5:28" x14ac:dyDescent="0.25">
      <c r="E66" s="5"/>
      <c r="F66" t="str">
        <f t="shared" si="18"/>
        <v/>
      </c>
      <c r="G66" s="5" t="str">
        <f>IF($L66&lt;&gt;"",EOMONTH(DATE(YEAR($M$11),MONTH($M$11)-IF(DAY($N$6)&lt;$N$7,1,0),DAY($M$11)),($H66*$A$1)+IF(MESADICIONAL=TRUE,1,0)),"")</f>
        <v/>
      </c>
      <c r="H66" s="22" t="str">
        <f t="shared" si="19"/>
        <v/>
      </c>
      <c r="I66" s="22" t="str">
        <f t="shared" si="20"/>
        <v/>
      </c>
      <c r="J66" s="22" t="str">
        <f t="shared" si="21"/>
        <v/>
      </c>
      <c r="K66" s="22" t="str">
        <f t="shared" si="14"/>
        <v/>
      </c>
      <c r="L66" t="str">
        <f t="shared" si="22"/>
        <v/>
      </c>
      <c r="M66" s="5" t="str">
        <f t="shared" si="15"/>
        <v/>
      </c>
      <c r="N66" s="9" t="str">
        <f t="shared" si="23"/>
        <v/>
      </c>
      <c r="O66" s="3" t="str">
        <f t="shared" si="24"/>
        <v/>
      </c>
      <c r="P66" s="3" t="str">
        <f t="shared" si="25"/>
        <v/>
      </c>
      <c r="Q66" s="3" t="str">
        <f t="shared" si="16"/>
        <v/>
      </c>
      <c r="R66" s="3" t="str">
        <f t="shared" si="17"/>
        <v/>
      </c>
      <c r="S66" s="3" t="str">
        <f>IF($L66&lt;&gt;"",IF($A66="Prepago",0,IF($H66*$U$6&gt;SUM($S$11:$S65)+$U$6,$U$6*2,$U$6)),"")</f>
        <v/>
      </c>
      <c r="T66" s="3" t="str">
        <f>IF($L66&lt;&gt;"",IF($A66="Prepago",0,IF($H66*$U$7&gt;SUM($T$11:$T65)+$U$7,$U$7*2,$U$7)),"")</f>
        <v/>
      </c>
      <c r="U66" s="3" t="str">
        <f>IF($L66&lt;&gt;"",IF($A66="Prepago",0,IF($H66*$U$8&gt;SUM($U$11:$U65)+$U$8,$U$8*2,$U$8)),"")</f>
        <v/>
      </c>
      <c r="V66" s="3" t="str">
        <f t="shared" si="26"/>
        <v/>
      </c>
      <c r="W66" s="3" t="str">
        <f t="shared" si="27"/>
        <v/>
      </c>
      <c r="X66" s="3" t="str">
        <f t="shared" si="28"/>
        <v/>
      </c>
      <c r="Y66" s="3" t="str">
        <f t="shared" si="29"/>
        <v/>
      </c>
      <c r="Z66" s="3" t="str">
        <f>IF($L66&lt;&gt;"",IF($N66&gt;Y$11,IF($N66&lt;Z$11,$N66-Y$11,30),0)*ROUND(($O66+$W65+SUM($Y66:Y66))*$V$5/3000,2),"")</f>
        <v/>
      </c>
      <c r="AA66" s="3"/>
      <c r="AB66" s="3"/>
    </row>
    <row r="67" spans="5:28" x14ac:dyDescent="0.25">
      <c r="E67" s="5"/>
      <c r="F67" t="str">
        <f t="shared" si="18"/>
        <v/>
      </c>
      <c r="G67" s="5" t="str">
        <f>IF($L67&lt;&gt;"",EOMONTH(DATE(YEAR($M$11),MONTH($M$11)-IF(DAY($N$6)&lt;$N$7,1,0),DAY($M$11)),($H67*$A$1)+IF(MESADICIONAL=TRUE,1,0)),"")</f>
        <v/>
      </c>
      <c r="H67" s="22" t="str">
        <f t="shared" si="19"/>
        <v/>
      </c>
      <c r="I67" s="22" t="str">
        <f t="shared" si="20"/>
        <v/>
      </c>
      <c r="J67" s="22" t="str">
        <f t="shared" si="21"/>
        <v/>
      </c>
      <c r="K67" s="22" t="str">
        <f t="shared" si="14"/>
        <v/>
      </c>
      <c r="L67" t="str">
        <f t="shared" si="22"/>
        <v/>
      </c>
      <c r="M67" s="5" t="str">
        <f t="shared" si="15"/>
        <v/>
      </c>
      <c r="N67" s="9" t="str">
        <f t="shared" si="23"/>
        <v/>
      </c>
      <c r="O67" s="3" t="str">
        <f t="shared" si="24"/>
        <v/>
      </c>
      <c r="P67" s="3" t="str">
        <f t="shared" si="25"/>
        <v/>
      </c>
      <c r="Q67" s="3" t="str">
        <f t="shared" si="16"/>
        <v/>
      </c>
      <c r="R67" s="3" t="str">
        <f t="shared" si="17"/>
        <v/>
      </c>
      <c r="S67" s="3" t="str">
        <f>IF($L67&lt;&gt;"",IF($A67="Prepago",0,IF($H67*$U$6&gt;SUM($S$11:$S66)+$U$6,$U$6*2,$U$6)),"")</f>
        <v/>
      </c>
      <c r="T67" s="3" t="str">
        <f>IF($L67&lt;&gt;"",IF($A67="Prepago",0,IF($H67*$U$7&gt;SUM($T$11:$T66)+$U$7,$U$7*2,$U$7)),"")</f>
        <v/>
      </c>
      <c r="U67" s="3" t="str">
        <f>IF($L67&lt;&gt;"",IF($A67="Prepago",0,IF($H67*$U$8&gt;SUM($U$11:$U66)+$U$8,$U$8*2,$U$8)),"")</f>
        <v/>
      </c>
      <c r="V67" s="3" t="str">
        <f t="shared" si="26"/>
        <v/>
      </c>
      <c r="W67" s="3" t="str">
        <f t="shared" si="27"/>
        <v/>
      </c>
      <c r="X67" s="3" t="str">
        <f t="shared" si="28"/>
        <v/>
      </c>
      <c r="Y67" s="3" t="str">
        <f t="shared" si="29"/>
        <v/>
      </c>
      <c r="Z67" s="3" t="str">
        <f>IF($L67&lt;&gt;"",IF($N67&gt;Y$11,IF($N67&lt;Z$11,$N67-Y$11,30),0)*ROUND(($O67+$W66+SUM($Y67:Y67))*$V$5/3000,2),"")</f>
        <v/>
      </c>
      <c r="AA67" s="3"/>
      <c r="AB67" s="3"/>
    </row>
    <row r="68" spans="5:28" x14ac:dyDescent="0.25">
      <c r="E68" s="5"/>
      <c r="F68" t="str">
        <f t="shared" si="18"/>
        <v/>
      </c>
      <c r="G68" s="5" t="str">
        <f>IF($L68&lt;&gt;"",EOMONTH(DATE(YEAR($M$11),MONTH($M$11)-IF(DAY($N$6)&lt;$N$7,1,0),DAY($M$11)),($H68*$A$1)+IF(MESADICIONAL=TRUE,1,0)),"")</f>
        <v/>
      </c>
      <c r="H68" s="22" t="str">
        <f t="shared" si="19"/>
        <v/>
      </c>
      <c r="I68" s="22" t="str">
        <f t="shared" si="20"/>
        <v/>
      </c>
      <c r="J68" s="22" t="str">
        <f t="shared" si="21"/>
        <v/>
      </c>
      <c r="K68" s="22" t="str">
        <f t="shared" si="14"/>
        <v/>
      </c>
      <c r="L68" t="str">
        <f t="shared" si="22"/>
        <v/>
      </c>
      <c r="M68" s="5" t="str">
        <f t="shared" si="15"/>
        <v/>
      </c>
      <c r="N68" s="9" t="str">
        <f t="shared" si="23"/>
        <v/>
      </c>
      <c r="O68" s="3" t="str">
        <f t="shared" si="24"/>
        <v/>
      </c>
      <c r="P68" s="3" t="str">
        <f t="shared" si="25"/>
        <v/>
      </c>
      <c r="Q68" s="3" t="str">
        <f t="shared" si="16"/>
        <v/>
      </c>
      <c r="R68" s="3" t="str">
        <f t="shared" si="17"/>
        <v/>
      </c>
      <c r="S68" s="3" t="str">
        <f>IF($L68&lt;&gt;"",IF($A68="Prepago",0,IF($H68*$U$6&gt;SUM($S$11:$S67)+$U$6,$U$6*2,$U$6)),"")</f>
        <v/>
      </c>
      <c r="T68" s="3" t="str">
        <f>IF($L68&lt;&gt;"",IF($A68="Prepago",0,IF($H68*$U$7&gt;SUM($T$11:$T67)+$U$7,$U$7*2,$U$7)),"")</f>
        <v/>
      </c>
      <c r="U68" s="3" t="str">
        <f>IF($L68&lt;&gt;"",IF($A68="Prepago",0,IF($H68*$U$8&gt;SUM($U$11:$U67)+$U$8,$U$8*2,$U$8)),"")</f>
        <v/>
      </c>
      <c r="V68" s="3" t="str">
        <f t="shared" si="26"/>
        <v/>
      </c>
      <c r="W68" s="3" t="str">
        <f t="shared" si="27"/>
        <v/>
      </c>
      <c r="X68" s="3" t="str">
        <f t="shared" si="28"/>
        <v/>
      </c>
      <c r="Y68" s="3" t="str">
        <f t="shared" si="29"/>
        <v/>
      </c>
      <c r="Z68" s="3" t="str">
        <f>IF($L68&lt;&gt;"",IF($N68&gt;Y$11,IF($N68&lt;Z$11,$N68-Y$11,30),0)*ROUND(($O68+$W67+SUM($Y68:Y68))*$V$5/3000,2),"")</f>
        <v/>
      </c>
      <c r="AA68" s="3"/>
      <c r="AB68" s="3"/>
    </row>
    <row r="69" spans="5:28" x14ac:dyDescent="0.25">
      <c r="E69" s="5"/>
      <c r="F69" t="str">
        <f t="shared" si="18"/>
        <v/>
      </c>
      <c r="G69" s="5" t="str">
        <f>IF($L69&lt;&gt;"",EOMONTH(DATE(YEAR($M$11),MONTH($M$11)-IF(DAY($N$6)&lt;$N$7,1,0),DAY($M$11)),($H69*$A$1)+IF(MESADICIONAL=TRUE,1,0)),"")</f>
        <v/>
      </c>
      <c r="H69" s="22" t="str">
        <f t="shared" si="19"/>
        <v/>
      </c>
      <c r="I69" s="22" t="str">
        <f t="shared" si="20"/>
        <v/>
      </c>
      <c r="J69" s="22" t="str">
        <f t="shared" si="21"/>
        <v/>
      </c>
      <c r="K69" s="22" t="str">
        <f t="shared" si="14"/>
        <v/>
      </c>
      <c r="L69" t="str">
        <f t="shared" si="22"/>
        <v/>
      </c>
      <c r="M69" s="5" t="str">
        <f t="shared" si="15"/>
        <v/>
      </c>
      <c r="N69" s="9" t="str">
        <f t="shared" si="23"/>
        <v/>
      </c>
      <c r="O69" s="3" t="str">
        <f t="shared" si="24"/>
        <v/>
      </c>
      <c r="P69" s="3" t="str">
        <f t="shared" si="25"/>
        <v/>
      </c>
      <c r="Q69" s="3" t="str">
        <f t="shared" si="16"/>
        <v/>
      </c>
      <c r="R69" s="3" t="str">
        <f t="shared" si="17"/>
        <v/>
      </c>
      <c r="S69" s="3" t="str">
        <f>IF($L69&lt;&gt;"",IF($A69="Prepago",0,IF($H69*$U$6&gt;SUM($S$11:$S68)+$U$6,$U$6*2,$U$6)),"")</f>
        <v/>
      </c>
      <c r="T69" s="3" t="str">
        <f>IF($L69&lt;&gt;"",IF($A69="Prepago",0,IF($H69*$U$7&gt;SUM($T$11:$T68)+$U$7,$U$7*2,$U$7)),"")</f>
        <v/>
      </c>
      <c r="U69" s="3" t="str">
        <f>IF($L69&lt;&gt;"",IF($A69="Prepago",0,IF($H69*$U$8&gt;SUM($U$11:$U68)+$U$8,$U$8*2,$U$8)),"")</f>
        <v/>
      </c>
      <c r="V69" s="3" t="str">
        <f t="shared" si="26"/>
        <v/>
      </c>
      <c r="W69" s="3" t="str">
        <f t="shared" si="27"/>
        <v/>
      </c>
      <c r="X69" s="3" t="str">
        <f t="shared" si="28"/>
        <v/>
      </c>
      <c r="Y69" s="3" t="str">
        <f t="shared" si="29"/>
        <v/>
      </c>
      <c r="Z69" s="3" t="str">
        <f>IF($L69&lt;&gt;"",IF($N69&gt;Y$11,IF($N69&lt;Z$11,$N69-Y$11,30),0)*ROUND(($O69+$W68+SUM($Y69:Y69))*$V$5/3000,2),"")</f>
        <v/>
      </c>
      <c r="AA69" s="3"/>
      <c r="AB69" s="3"/>
    </row>
    <row r="70" spans="5:28" x14ac:dyDescent="0.25">
      <c r="E70" s="5"/>
      <c r="F70" t="str">
        <f t="shared" si="18"/>
        <v/>
      </c>
      <c r="G70" s="5" t="str">
        <f>IF($L70&lt;&gt;"",EOMONTH(DATE(YEAR($M$11),MONTH($M$11)-IF(DAY($N$6)&lt;$N$7,1,0),DAY($M$11)),($H70*$A$1)+IF(MESADICIONAL=TRUE,1,0)),"")</f>
        <v/>
      </c>
      <c r="H70" s="22" t="str">
        <f t="shared" si="19"/>
        <v/>
      </c>
      <c r="I70" s="22" t="str">
        <f t="shared" si="20"/>
        <v/>
      </c>
      <c r="J70" s="22" t="str">
        <f t="shared" si="21"/>
        <v/>
      </c>
      <c r="K70" s="22" t="str">
        <f t="shared" si="14"/>
        <v/>
      </c>
      <c r="L70" t="str">
        <f t="shared" si="22"/>
        <v/>
      </c>
      <c r="M70" s="5" t="str">
        <f t="shared" si="15"/>
        <v/>
      </c>
      <c r="N70" s="9" t="str">
        <f t="shared" si="23"/>
        <v/>
      </c>
      <c r="O70" s="3" t="str">
        <f t="shared" si="24"/>
        <v/>
      </c>
      <c r="P70" s="3" t="str">
        <f t="shared" si="25"/>
        <v/>
      </c>
      <c r="Q70" s="3" t="str">
        <f t="shared" si="16"/>
        <v/>
      </c>
      <c r="R70" s="3" t="str">
        <f t="shared" si="17"/>
        <v/>
      </c>
      <c r="S70" s="3" t="str">
        <f>IF($L70&lt;&gt;"",IF($A70="Prepago",0,IF($H70*$U$6&gt;SUM($S$11:$S69)+$U$6,$U$6*2,$U$6)),"")</f>
        <v/>
      </c>
      <c r="T70" s="3" t="str">
        <f>IF($L70&lt;&gt;"",IF($A70="Prepago",0,IF($H70*$U$7&gt;SUM($T$11:$T69)+$U$7,$U$7*2,$U$7)),"")</f>
        <v/>
      </c>
      <c r="U70" s="3" t="str">
        <f>IF($L70&lt;&gt;"",IF($A70="Prepago",0,IF($H70*$U$8&gt;SUM($U$11:$U69)+$U$8,$U$8*2,$U$8)),"")</f>
        <v/>
      </c>
      <c r="V70" s="3" t="str">
        <f t="shared" si="26"/>
        <v/>
      </c>
      <c r="W70" s="3" t="str">
        <f t="shared" si="27"/>
        <v/>
      </c>
      <c r="X70" s="3" t="str">
        <f t="shared" si="28"/>
        <v/>
      </c>
      <c r="Y70" s="3" t="str">
        <f t="shared" si="29"/>
        <v/>
      </c>
      <c r="Z70" s="3" t="str">
        <f>IF($L70&lt;&gt;"",IF($N70&gt;Y$11,IF($N70&lt;Z$11,$N70-Y$11,30),0)*ROUND(($O70+$W69+SUM($Y70:Y70))*$V$5/3000,2),"")</f>
        <v/>
      </c>
      <c r="AA70" s="3"/>
      <c r="AB70" s="3"/>
    </row>
    <row r="71" spans="5:28" x14ac:dyDescent="0.25">
      <c r="E71" s="5"/>
      <c r="F71" t="str">
        <f t="shared" si="18"/>
        <v/>
      </c>
      <c r="G71" s="5" t="str">
        <f>IF($L71&lt;&gt;"",EOMONTH(DATE(YEAR($M$11),MONTH($M$11)-IF(DAY($N$6)&lt;$N$7,1,0),DAY($M$11)),($H71*$A$1)+IF(MESADICIONAL=TRUE,1,0)),"")</f>
        <v/>
      </c>
      <c r="H71" s="22" t="str">
        <f t="shared" si="19"/>
        <v/>
      </c>
      <c r="I71" s="22" t="str">
        <f t="shared" si="20"/>
        <v/>
      </c>
      <c r="J71" s="22" t="str">
        <f t="shared" si="21"/>
        <v/>
      </c>
      <c r="K71" s="22" t="str">
        <f t="shared" si="14"/>
        <v/>
      </c>
      <c r="L71" t="str">
        <f t="shared" si="22"/>
        <v/>
      </c>
      <c r="M71" s="5" t="str">
        <f t="shared" si="15"/>
        <v/>
      </c>
      <c r="N71" s="9" t="str">
        <f t="shared" si="23"/>
        <v/>
      </c>
      <c r="O71" s="3" t="str">
        <f t="shared" si="24"/>
        <v/>
      </c>
      <c r="P71" s="3" t="str">
        <f t="shared" si="25"/>
        <v/>
      </c>
      <c r="Q71" s="3" t="str">
        <f t="shared" si="16"/>
        <v/>
      </c>
      <c r="R71" s="3" t="str">
        <f t="shared" si="17"/>
        <v/>
      </c>
      <c r="S71" s="3" t="str">
        <f>IF($L71&lt;&gt;"",IF($A71="Prepago",0,IF($H71*$U$6&gt;SUM($S$11:$S70)+$U$6,$U$6*2,$U$6)),"")</f>
        <v/>
      </c>
      <c r="T71" s="3" t="str">
        <f>IF($L71&lt;&gt;"",IF($A71="Prepago",0,IF($H71*$U$7&gt;SUM($T$11:$T70)+$U$7,$U$7*2,$U$7)),"")</f>
        <v/>
      </c>
      <c r="U71" s="3" t="str">
        <f>IF($L71&lt;&gt;"",IF($A71="Prepago",0,IF($H71*$U$8&gt;SUM($U$11:$U70)+$U$8,$U$8*2,$U$8)),"")</f>
        <v/>
      </c>
      <c r="V71" s="3" t="str">
        <f t="shared" si="26"/>
        <v/>
      </c>
      <c r="W71" s="3" t="str">
        <f t="shared" si="27"/>
        <v/>
      </c>
      <c r="X71" s="3" t="str">
        <f t="shared" si="28"/>
        <v/>
      </c>
      <c r="Y71" s="3" t="str">
        <f t="shared" si="29"/>
        <v/>
      </c>
      <c r="Z71" s="3" t="str">
        <f>IF($L71&lt;&gt;"",IF($N71&gt;Y$11,IF($N71&lt;Z$11,$N71-Y$11,30),0)*ROUND(($O71+$W70+SUM($Y71:Y71))*$V$5/3000,2),"")</f>
        <v/>
      </c>
      <c r="AA71" s="3"/>
      <c r="AB71" s="3"/>
    </row>
    <row r="72" spans="5:28" x14ac:dyDescent="0.25">
      <c r="E72" s="5"/>
      <c r="F72" t="str">
        <f t="shared" si="18"/>
        <v/>
      </c>
      <c r="G72" s="5" t="str">
        <f>IF($L72&lt;&gt;"",EOMONTH(DATE(YEAR($M$11),MONTH($M$11)-IF(DAY($N$6)&lt;$N$7,1,0),DAY($M$11)),($H72*$A$1)+IF(MESADICIONAL=TRUE,1,0)),"")</f>
        <v/>
      </c>
      <c r="H72" s="22" t="str">
        <f t="shared" si="19"/>
        <v/>
      </c>
      <c r="I72" s="22" t="str">
        <f t="shared" si="20"/>
        <v/>
      </c>
      <c r="J72" s="22" t="str">
        <f t="shared" si="21"/>
        <v/>
      </c>
      <c r="K72" s="22" t="str">
        <f t="shared" si="14"/>
        <v/>
      </c>
      <c r="L72" t="str">
        <f t="shared" si="22"/>
        <v/>
      </c>
      <c r="M72" s="5" t="str">
        <f t="shared" si="15"/>
        <v/>
      </c>
      <c r="N72" s="9" t="str">
        <f t="shared" si="23"/>
        <v/>
      </c>
      <c r="O72" s="3" t="str">
        <f t="shared" si="24"/>
        <v/>
      </c>
      <c r="P72" s="3" t="str">
        <f t="shared" si="25"/>
        <v/>
      </c>
      <c r="Q72" s="3" t="str">
        <f t="shared" si="16"/>
        <v/>
      </c>
      <c r="R72" s="3" t="str">
        <f t="shared" si="17"/>
        <v/>
      </c>
      <c r="S72" s="3" t="str">
        <f>IF($L72&lt;&gt;"",IF($A72="Prepago",0,IF($H72*$U$6&gt;SUM($S$11:$S71)+$U$6,$U$6*2,$U$6)),"")</f>
        <v/>
      </c>
      <c r="T72" s="3" t="str">
        <f>IF($L72&lt;&gt;"",IF($A72="Prepago",0,IF($H72*$U$7&gt;SUM($T$11:$T71)+$U$7,$U$7*2,$U$7)),"")</f>
        <v/>
      </c>
      <c r="U72" s="3" t="str">
        <f>IF($L72&lt;&gt;"",IF($A72="Prepago",0,IF($H72*$U$8&gt;SUM($U$11:$U71)+$U$8,$U$8*2,$U$8)),"")</f>
        <v/>
      </c>
      <c r="V72" s="3" t="str">
        <f t="shared" si="26"/>
        <v/>
      </c>
      <c r="W72" s="3" t="str">
        <f t="shared" si="27"/>
        <v/>
      </c>
      <c r="X72" s="3" t="str">
        <f t="shared" si="28"/>
        <v/>
      </c>
      <c r="Y72" s="3" t="str">
        <f t="shared" si="29"/>
        <v/>
      </c>
      <c r="Z72" s="3" t="str">
        <f>IF($L72&lt;&gt;"",IF($N72&gt;Y$11,IF($N72&lt;Z$11,$N72-Y$11,30),0)*ROUND(($O72+$W71+SUM($Y72:Y72))*$V$5/3000,2),"")</f>
        <v/>
      </c>
      <c r="AA72" s="3"/>
      <c r="AB72" s="3"/>
    </row>
    <row r="73" spans="5:28" x14ac:dyDescent="0.25">
      <c r="E73" s="5"/>
      <c r="F73" t="str">
        <f t="shared" si="18"/>
        <v/>
      </c>
      <c r="G73" s="5" t="str">
        <f>IF($L73&lt;&gt;"",EOMONTH(DATE(YEAR($M$11),MONTH($M$11)-IF(DAY($N$6)&lt;$N$7,1,0),DAY($M$11)),($H73*$A$1)+IF(MESADICIONAL=TRUE,1,0)),"")</f>
        <v/>
      </c>
      <c r="H73" s="22" t="str">
        <f t="shared" si="19"/>
        <v/>
      </c>
      <c r="I73" s="22" t="str">
        <f t="shared" si="20"/>
        <v/>
      </c>
      <c r="J73" s="22" t="str">
        <f t="shared" si="21"/>
        <v/>
      </c>
      <c r="K73" s="22" t="str">
        <f t="shared" si="14"/>
        <v/>
      </c>
      <c r="L73" t="str">
        <f t="shared" si="22"/>
        <v/>
      </c>
      <c r="M73" s="5" t="str">
        <f t="shared" si="15"/>
        <v/>
      </c>
      <c r="N73" s="9" t="str">
        <f t="shared" si="23"/>
        <v/>
      </c>
      <c r="O73" s="3" t="str">
        <f t="shared" si="24"/>
        <v/>
      </c>
      <c r="P73" s="3" t="str">
        <f t="shared" si="25"/>
        <v/>
      </c>
      <c r="Q73" s="3" t="str">
        <f t="shared" si="16"/>
        <v/>
      </c>
      <c r="R73" s="3" t="str">
        <f t="shared" si="17"/>
        <v/>
      </c>
      <c r="S73" s="3" t="str">
        <f>IF($L73&lt;&gt;"",IF($A73="Prepago",0,IF($H73*$U$6&gt;SUM($S$11:$S72)+$U$6,$U$6*2,$U$6)),"")</f>
        <v/>
      </c>
      <c r="T73" s="3" t="str">
        <f>IF($L73&lt;&gt;"",IF($A73="Prepago",0,IF($H73*$U$7&gt;SUM($T$11:$T72)+$U$7,$U$7*2,$U$7)),"")</f>
        <v/>
      </c>
      <c r="U73" s="3" t="str">
        <f>IF($L73&lt;&gt;"",IF($A73="Prepago",0,IF($H73*$U$8&gt;SUM($U$11:$U72)+$U$8,$U$8*2,$U$8)),"")</f>
        <v/>
      </c>
      <c r="V73" s="3" t="str">
        <f t="shared" si="26"/>
        <v/>
      </c>
      <c r="W73" s="3" t="str">
        <f t="shared" si="27"/>
        <v/>
      </c>
      <c r="X73" s="3" t="str">
        <f t="shared" si="28"/>
        <v/>
      </c>
      <c r="Y73" s="3" t="str">
        <f t="shared" si="29"/>
        <v/>
      </c>
      <c r="Z73" s="3" t="str">
        <f>IF($L73&lt;&gt;"",IF($N73&gt;Y$11,IF($N73&lt;Z$11,$N73-Y$11,30),0)*ROUND(($O73+$W72+SUM($Y73:Y73))*$V$5/3000,2),"")</f>
        <v/>
      </c>
      <c r="AA73" s="3"/>
      <c r="AB73" s="3"/>
    </row>
    <row r="74" spans="5:28" x14ac:dyDescent="0.25">
      <c r="E74" s="5"/>
      <c r="F74" t="str">
        <f t="shared" si="18"/>
        <v/>
      </c>
      <c r="G74" s="5" t="str">
        <f>IF($L74&lt;&gt;"",EOMONTH(DATE(YEAR($M$11),MONTH($M$11)-IF(DAY($N$6)&lt;$N$7,1,0),DAY($M$11)),($H74*$A$1)+IF(MESADICIONAL=TRUE,1,0)),"")</f>
        <v/>
      </c>
      <c r="H74" s="22" t="str">
        <f t="shared" si="19"/>
        <v/>
      </c>
      <c r="I74" s="22" t="str">
        <f t="shared" si="20"/>
        <v/>
      </c>
      <c r="J74" s="22" t="str">
        <f t="shared" si="21"/>
        <v/>
      </c>
      <c r="K74" s="22" t="str">
        <f t="shared" si="14"/>
        <v/>
      </c>
      <c r="L74" t="str">
        <f t="shared" si="22"/>
        <v/>
      </c>
      <c r="M74" s="5" t="str">
        <f t="shared" si="15"/>
        <v/>
      </c>
      <c r="N74" s="9" t="str">
        <f t="shared" si="23"/>
        <v/>
      </c>
      <c r="O74" s="3" t="str">
        <f t="shared" si="24"/>
        <v/>
      </c>
      <c r="P74" s="3" t="str">
        <f t="shared" si="25"/>
        <v/>
      </c>
      <c r="Q74" s="3" t="str">
        <f t="shared" si="16"/>
        <v/>
      </c>
      <c r="R74" s="3" t="str">
        <f t="shared" si="17"/>
        <v/>
      </c>
      <c r="S74" s="3" t="str">
        <f>IF($L74&lt;&gt;"",IF($A74="Prepago",0,IF($H74*$U$6&gt;SUM($S$11:$S73)+$U$6,$U$6*2,$U$6)),"")</f>
        <v/>
      </c>
      <c r="T74" s="3" t="str">
        <f>IF($L74&lt;&gt;"",IF($A74="Prepago",0,IF($H74*$U$7&gt;SUM($T$11:$T73)+$U$7,$U$7*2,$U$7)),"")</f>
        <v/>
      </c>
      <c r="U74" s="3" t="str">
        <f>IF($L74&lt;&gt;"",IF($A74="Prepago",0,IF($H74*$U$8&gt;SUM($U$11:$U73)+$U$8,$U$8*2,$U$8)),"")</f>
        <v/>
      </c>
      <c r="V74" s="3" t="str">
        <f t="shared" si="26"/>
        <v/>
      </c>
      <c r="W74" s="3" t="str">
        <f t="shared" si="27"/>
        <v/>
      </c>
      <c r="X74" s="3" t="str">
        <f t="shared" si="28"/>
        <v/>
      </c>
      <c r="Y74" s="3" t="str">
        <f t="shared" si="29"/>
        <v/>
      </c>
      <c r="Z74" s="3" t="str">
        <f>IF($L74&lt;&gt;"",IF($N74&gt;Y$11,IF($N74&lt;Z$11,$N74-Y$11,30),0)*ROUND(($O74+$W73+SUM($Y74:Y74))*$V$5/3000,2),"")</f>
        <v/>
      </c>
      <c r="AA74" s="3"/>
      <c r="AB74" s="3"/>
    </row>
    <row r="75" spans="5:28" x14ac:dyDescent="0.25">
      <c r="E75" s="5"/>
      <c r="F75" t="str">
        <f t="shared" si="18"/>
        <v/>
      </c>
      <c r="G75" s="5" t="str">
        <f>IF($L75&lt;&gt;"",EOMONTH(DATE(YEAR($M$11),MONTH($M$11)-IF(DAY($N$6)&lt;$N$7,1,0),DAY($M$11)),($H75*$A$1)+IF(MESADICIONAL=TRUE,1,0)),"")</f>
        <v/>
      </c>
      <c r="H75" s="22" t="str">
        <f t="shared" si="19"/>
        <v/>
      </c>
      <c r="I75" s="22" t="str">
        <f t="shared" si="20"/>
        <v/>
      </c>
      <c r="J75" s="22" t="str">
        <f t="shared" si="21"/>
        <v/>
      </c>
      <c r="K75" s="22" t="str">
        <f t="shared" si="14"/>
        <v/>
      </c>
      <c r="L75" t="str">
        <f t="shared" si="22"/>
        <v/>
      </c>
      <c r="M75" s="5" t="str">
        <f t="shared" si="15"/>
        <v/>
      </c>
      <c r="N75" s="9" t="str">
        <f t="shared" si="23"/>
        <v/>
      </c>
      <c r="O75" s="3" t="str">
        <f t="shared" si="24"/>
        <v/>
      </c>
      <c r="P75" s="3" t="str">
        <f t="shared" si="25"/>
        <v/>
      </c>
      <c r="Q75" s="3" t="str">
        <f t="shared" si="16"/>
        <v/>
      </c>
      <c r="R75" s="3" t="str">
        <f t="shared" si="17"/>
        <v/>
      </c>
      <c r="S75" s="3" t="str">
        <f>IF($L75&lt;&gt;"",IF($A75="Prepago",0,IF($H75*$U$6&gt;SUM($S$11:$S74)+$U$6,$U$6*2,$U$6)),"")</f>
        <v/>
      </c>
      <c r="T75" s="3" t="str">
        <f>IF($L75&lt;&gt;"",IF($A75="Prepago",0,IF($H75*$U$7&gt;SUM($T$11:$T74)+$U$7,$U$7*2,$U$7)),"")</f>
        <v/>
      </c>
      <c r="U75" s="3" t="str">
        <f>IF($L75&lt;&gt;"",IF($A75="Prepago",0,IF($H75*$U$8&gt;SUM($U$11:$U74)+$U$8,$U$8*2,$U$8)),"")</f>
        <v/>
      </c>
      <c r="V75" s="3" t="str">
        <f t="shared" si="26"/>
        <v/>
      </c>
      <c r="W75" s="3" t="str">
        <f t="shared" si="27"/>
        <v/>
      </c>
      <c r="X75" s="3" t="str">
        <f t="shared" si="28"/>
        <v/>
      </c>
      <c r="Y75" s="3" t="str">
        <f t="shared" si="29"/>
        <v/>
      </c>
      <c r="Z75" s="3" t="str">
        <f>IF($L75&lt;&gt;"",IF($N75&gt;Y$11,IF($N75&lt;Z$11,$N75-Y$11,30),0)*ROUND(($O75+$W74+SUM($Y75:Y75))*$V$5/3000,2),"")</f>
        <v/>
      </c>
      <c r="AA75" s="3"/>
      <c r="AB75" s="3"/>
    </row>
    <row r="76" spans="5:28" x14ac:dyDescent="0.25">
      <c r="E76" s="5"/>
      <c r="F76" t="str">
        <f t="shared" ref="F76:F97" si="30">IF($L76&lt;&gt;"",TEXT(M76,"DDD"),"")</f>
        <v/>
      </c>
      <c r="G76" s="5" t="str">
        <f>IF($L76&lt;&gt;"",EOMONTH(DATE(YEAR($M$11),MONTH($M$11)-IF(DAY($N$6)&lt;$N$7,1,0),DAY($M$11)),($H76*$A$1)+IF(MESADICIONAL=TRUE,1,0)),"")</f>
        <v/>
      </c>
      <c r="H76" s="22" t="str">
        <f t="shared" ref="H76:H97" si="31">IF($L76&lt;&gt;"",IF($A76="Prepago",$H75,$H75+1)+B76,"")</f>
        <v/>
      </c>
      <c r="I76" s="22" t="str">
        <f t="shared" ref="I76:I97" si="32">IF(L76&lt;&gt;"",IF(COUNTA($Y76:$XFD76)*30&lt;$N76,1,0),"")</f>
        <v/>
      </c>
      <c r="J76" s="22" t="str">
        <f t="shared" si="21"/>
        <v/>
      </c>
      <c r="K76" s="22" t="str">
        <f t="shared" si="14"/>
        <v/>
      </c>
      <c r="L76" t="str">
        <f t="shared" ref="L76:L97" si="33">IF($L75&lt;NCUOTAS+CUOTAADICIONAL+NPREPAGO,$L75+1,"")</f>
        <v/>
      </c>
      <c r="M76" s="5" t="str">
        <f t="shared" si="15"/>
        <v/>
      </c>
      <c r="N76" s="9" t="str">
        <f t="shared" ref="N76:N97" si="34">IF($L76&lt;&gt;"",$M76-$M75,"")</f>
        <v/>
      </c>
      <c r="O76" s="3" t="str">
        <f t="shared" ref="O76:O97" si="35">IF($L76&lt;&gt;"",$V75,"")</f>
        <v/>
      </c>
      <c r="P76" s="3" t="str">
        <f t="shared" ref="P76:P96" si="36">IF($L76&lt;&gt;"",IF($A76="Gracia Parcial",IF(AND($C76&lt;$X76+$S76+$T76+$U76+$W75,$C76&gt;0),$C76,$X76+$S76+$T76+$U76+$W75),IF($A76="Gracia Total",0,IF($A76="Prepago",$C76,IF(ISNUMBER($C76),$C76*VALUE(MID($C$1,MONTH($M76),1)),$Q$5*VALUE(MID($C$1,MONTH($M76),1))))))-IF($L77="",ARREGLO,0),"")</f>
        <v/>
      </c>
      <c r="Q76" s="3" t="str">
        <f t="shared" si="16"/>
        <v/>
      </c>
      <c r="R76" s="3" t="str">
        <f t="shared" si="17"/>
        <v/>
      </c>
      <c r="S76" s="3" t="str">
        <f>IF($L76&lt;&gt;"",IF($A76="Prepago",0,IF($H76*$U$6&gt;SUM($S$11:$S75)+$U$6,$U$6*2,$U$6)),"")</f>
        <v/>
      </c>
      <c r="T76" s="3" t="str">
        <f>IF($L76&lt;&gt;"",IF($A76="Prepago",0,IF($H76*$U$7&gt;SUM($T$11:$T75)+$U$7,$U$7*2,$U$7)),"")</f>
        <v/>
      </c>
      <c r="U76" s="3" t="str">
        <f>IF($L76&lt;&gt;"",IF($A76="Prepago",0,IF($H76*$U$8&gt;SUM($U$11:$U75)+$U$8,$U$8*2,$U$8)),"")</f>
        <v/>
      </c>
      <c r="V76" s="3" t="str">
        <f t="shared" ref="V76:V97" si="37">IF($L76&lt;&gt;"",$O76-$Q76,"")</f>
        <v/>
      </c>
      <c r="W76" s="3" t="str">
        <f t="shared" ref="W76:W97" si="38">IF($L76&lt;&gt;"",+$W75+IF($D76="",$X76,$D76)-$R76,"")</f>
        <v/>
      </c>
      <c r="X76" s="3" t="str">
        <f t="shared" ref="X76:X97" si="39">IF($L76&lt;&gt;"",SUM($Y76:$XFD76),"")</f>
        <v/>
      </c>
      <c r="Y76" s="3" t="str">
        <f t="shared" ref="Y76:Y97" si="40">IF($L76&lt;&gt;"",IF($N76&gt;Y$11,30,$N76)*ROUND(($O76+$W75)*$V$5/3000,2),"")</f>
        <v/>
      </c>
      <c r="Z76" s="3" t="str">
        <f>IF($L76&lt;&gt;"",IF($N76&gt;Y$11,IF($N76&lt;Z$11,$N76-Y$11,30),0)*ROUND(($O76+$W75+SUM($Y76:Y76))*$V$5/3000,2),"")</f>
        <v/>
      </c>
      <c r="AA76" s="3"/>
      <c r="AB76" s="3"/>
    </row>
    <row r="77" spans="5:28" x14ac:dyDescent="0.25">
      <c r="E77" s="5"/>
      <c r="F77" t="str">
        <f t="shared" si="30"/>
        <v/>
      </c>
      <c r="G77" s="5" t="str">
        <f>IF($L77&lt;&gt;"",EOMONTH(DATE(YEAR($M$11),MONTH($M$11)-IF(DAY($N$6)&lt;$N$7,1,0),DAY($M$11)),($H77*$A$1)+IF(MESADICIONAL=TRUE,1,0)),"")</f>
        <v/>
      </c>
      <c r="H77" s="22" t="str">
        <f t="shared" si="31"/>
        <v/>
      </c>
      <c r="I77" s="22" t="str">
        <f t="shared" si="32"/>
        <v/>
      </c>
      <c r="J77" s="22" t="str">
        <f t="shared" ref="J77:J97" si="41">IF($L77&lt;&gt;"",IF(OR(A77&lt;&gt;"",C77&lt;&gt;""),1,0),"")</f>
        <v/>
      </c>
      <c r="K77" s="22" t="str">
        <f t="shared" ref="K77:K96" si="42">IF($L77&lt;&gt;"",IF(J77=1,Q77,0),"")</f>
        <v/>
      </c>
      <c r="L77" t="str">
        <f t="shared" si="33"/>
        <v/>
      </c>
      <c r="M77" s="5" t="str">
        <f t="shared" ref="M77:M96" si="43">IF($L77&lt;&gt;"",IF($E77="",IF(DAY($G77)&lt;$N$7,$G77,DATE(YEAR($G77),MONTH($G77),$N$7)),$E77),"")</f>
        <v/>
      </c>
      <c r="N77" s="9" t="str">
        <f t="shared" si="34"/>
        <v/>
      </c>
      <c r="O77" s="3" t="str">
        <f t="shared" si="35"/>
        <v/>
      </c>
      <c r="P77" s="3" t="str">
        <f t="shared" si="36"/>
        <v/>
      </c>
      <c r="Q77" s="3" t="str">
        <f t="shared" si="16"/>
        <v/>
      </c>
      <c r="R77" s="3" t="str">
        <f t="shared" si="17"/>
        <v/>
      </c>
      <c r="S77" s="3" t="str">
        <f>IF($L77&lt;&gt;"",IF($A77="Prepago",0,IF($H77*$U$6&gt;SUM($S$11:$S76)+$U$6,$U$6*2,$U$6)),"")</f>
        <v/>
      </c>
      <c r="T77" s="3" t="str">
        <f>IF($L77&lt;&gt;"",IF($A77="Prepago",0,IF($H77*$U$7&gt;SUM($T$11:$T76)+$U$7,$U$7*2,$U$7)),"")</f>
        <v/>
      </c>
      <c r="U77" s="3" t="str">
        <f>IF($L77&lt;&gt;"",IF($A77="Prepago",0,IF($H77*$U$8&gt;SUM($U$11:$U76)+$U$8,$U$8*2,$U$8)),"")</f>
        <v/>
      </c>
      <c r="V77" s="3" t="str">
        <f t="shared" si="37"/>
        <v/>
      </c>
      <c r="W77" s="3" t="str">
        <f t="shared" si="38"/>
        <v/>
      </c>
      <c r="X77" s="3" t="str">
        <f t="shared" si="39"/>
        <v/>
      </c>
      <c r="Y77" s="3" t="str">
        <f t="shared" si="40"/>
        <v/>
      </c>
      <c r="Z77" s="3" t="str">
        <f>IF($L77&lt;&gt;"",IF($N77&gt;Y$11,IF($N77&lt;Z$11,$N77-Y$11,30),0)*ROUND(($O77+$W76+SUM($Y77:Y77))*$V$5/3000,2),"")</f>
        <v/>
      </c>
      <c r="AA77" s="3"/>
      <c r="AB77" s="3"/>
    </row>
    <row r="78" spans="5:28" x14ac:dyDescent="0.25">
      <c r="E78" s="5"/>
      <c r="F78" t="str">
        <f t="shared" si="30"/>
        <v/>
      </c>
      <c r="G78" s="5" t="str">
        <f>IF($L78&lt;&gt;"",EOMONTH(DATE(YEAR($M$11),MONTH($M$11)-IF(DAY($N$6)&lt;$N$7,1,0),DAY($M$11)),($H78*$A$1)+IF(MESADICIONAL=TRUE,1,0)),"")</f>
        <v/>
      </c>
      <c r="H78" s="22" t="str">
        <f t="shared" si="31"/>
        <v/>
      </c>
      <c r="I78" s="22" t="str">
        <f t="shared" si="32"/>
        <v/>
      </c>
      <c r="J78" s="22" t="str">
        <f t="shared" si="41"/>
        <v/>
      </c>
      <c r="K78" s="22" t="str">
        <f t="shared" si="42"/>
        <v/>
      </c>
      <c r="L78" t="str">
        <f t="shared" si="33"/>
        <v/>
      </c>
      <c r="M78" s="5" t="str">
        <f t="shared" si="43"/>
        <v/>
      </c>
      <c r="N78" s="9" t="str">
        <f t="shared" si="34"/>
        <v/>
      </c>
      <c r="O78" s="3" t="str">
        <f t="shared" si="35"/>
        <v/>
      </c>
      <c r="P78" s="3" t="str">
        <f t="shared" si="36"/>
        <v/>
      </c>
      <c r="Q78" s="3" t="str">
        <f t="shared" si="16"/>
        <v/>
      </c>
      <c r="R78" s="3" t="str">
        <f t="shared" si="17"/>
        <v/>
      </c>
      <c r="S78" s="3" t="str">
        <f>IF($L78&lt;&gt;"",IF($A78="Prepago",0,IF($H78*$U$6&gt;SUM($S$11:$S77)+$U$6,$U$6*2,$U$6)),"")</f>
        <v/>
      </c>
      <c r="T78" s="3" t="str">
        <f>IF($L78&lt;&gt;"",IF($A78="Prepago",0,IF($H78*$U$7&gt;SUM($T$11:$T77)+$U$7,$U$7*2,$U$7)),"")</f>
        <v/>
      </c>
      <c r="U78" s="3" t="str">
        <f>IF($L78&lt;&gt;"",IF($A78="Prepago",0,IF($H78*$U$8&gt;SUM($U$11:$U77)+$U$8,$U$8*2,$U$8)),"")</f>
        <v/>
      </c>
      <c r="V78" s="3" t="str">
        <f t="shared" si="37"/>
        <v/>
      </c>
      <c r="W78" s="3" t="str">
        <f t="shared" si="38"/>
        <v/>
      </c>
      <c r="X78" s="3" t="str">
        <f t="shared" si="39"/>
        <v/>
      </c>
      <c r="Y78" s="3" t="str">
        <f t="shared" si="40"/>
        <v/>
      </c>
      <c r="Z78" s="3" t="str">
        <f>IF($L78&lt;&gt;"",IF($N78&gt;Y$11,IF($N78&lt;Z$11,$N78-Y$11,30),0)*ROUND(($O78+$W77+SUM($Y78:Y78))*$V$5/3000,2),"")</f>
        <v/>
      </c>
      <c r="AA78" s="3"/>
      <c r="AB78" s="3"/>
    </row>
    <row r="79" spans="5:28" x14ac:dyDescent="0.25">
      <c r="E79" s="5"/>
      <c r="F79" t="str">
        <f t="shared" si="30"/>
        <v/>
      </c>
      <c r="G79" s="5" t="str">
        <f>IF($L79&lt;&gt;"",EOMONTH(DATE(YEAR($M$11),MONTH($M$11)-IF(DAY($N$6)&lt;$N$7,1,0),DAY($M$11)),($H79*$A$1)+IF(MESADICIONAL=TRUE,1,0)),"")</f>
        <v/>
      </c>
      <c r="H79" s="22" t="str">
        <f t="shared" si="31"/>
        <v/>
      </c>
      <c r="I79" s="22" t="str">
        <f t="shared" si="32"/>
        <v/>
      </c>
      <c r="J79" s="22" t="str">
        <f t="shared" si="41"/>
        <v/>
      </c>
      <c r="K79" s="22" t="str">
        <f t="shared" si="42"/>
        <v/>
      </c>
      <c r="L79" t="str">
        <f t="shared" si="33"/>
        <v/>
      </c>
      <c r="M79" s="5" t="str">
        <f t="shared" si="43"/>
        <v/>
      </c>
      <c r="N79" s="9" t="str">
        <f t="shared" si="34"/>
        <v/>
      </c>
      <c r="O79" s="3" t="str">
        <f t="shared" si="35"/>
        <v/>
      </c>
      <c r="P79" s="3" t="str">
        <f t="shared" si="36"/>
        <v/>
      </c>
      <c r="Q79" s="3" t="str">
        <f t="shared" si="16"/>
        <v/>
      </c>
      <c r="R79" s="3" t="str">
        <f t="shared" si="17"/>
        <v/>
      </c>
      <c r="S79" s="3" t="str">
        <f>IF($L79&lt;&gt;"",IF($A79="Prepago",0,IF($H79*$U$6&gt;SUM($S$11:$S78)+$U$6,$U$6*2,$U$6)),"")</f>
        <v/>
      </c>
      <c r="T79" s="3" t="str">
        <f>IF($L79&lt;&gt;"",IF($A79="Prepago",0,IF($H79*$U$7&gt;SUM($T$11:$T78)+$U$7,$U$7*2,$U$7)),"")</f>
        <v/>
      </c>
      <c r="U79" s="3" t="str">
        <f>IF($L79&lt;&gt;"",IF($A79="Prepago",0,IF($H79*$U$8&gt;SUM($U$11:$U78)+$U$8,$U$8*2,$U$8)),"")</f>
        <v/>
      </c>
      <c r="V79" s="3" t="str">
        <f t="shared" si="37"/>
        <v/>
      </c>
      <c r="W79" s="3" t="str">
        <f t="shared" si="38"/>
        <v/>
      </c>
      <c r="X79" s="3" t="str">
        <f t="shared" si="39"/>
        <v/>
      </c>
      <c r="Y79" s="3" t="str">
        <f t="shared" si="40"/>
        <v/>
      </c>
      <c r="Z79" s="3" t="str">
        <f>IF($L79&lt;&gt;"",IF($N79&gt;Y$11,IF($N79&lt;Z$11,$N79-Y$11,30),0)*ROUND(($O79+$W78+SUM($Y79:Y79))*$V$5/3000,2),"")</f>
        <v/>
      </c>
      <c r="AA79" s="3"/>
      <c r="AB79" s="3"/>
    </row>
    <row r="80" spans="5:28" x14ac:dyDescent="0.25">
      <c r="E80" s="5"/>
      <c r="F80" t="str">
        <f t="shared" si="30"/>
        <v/>
      </c>
      <c r="G80" s="5" t="str">
        <f>IF($L80&lt;&gt;"",EOMONTH(DATE(YEAR($M$11),MONTH($M$11)-IF(DAY($N$6)&lt;$N$7,1,0),DAY($M$11)),($H80*$A$1)+IF(MESADICIONAL=TRUE,1,0)),"")</f>
        <v/>
      </c>
      <c r="H80" s="22" t="str">
        <f t="shared" si="31"/>
        <v/>
      </c>
      <c r="I80" s="22" t="str">
        <f t="shared" si="32"/>
        <v/>
      </c>
      <c r="J80" s="22" t="str">
        <f t="shared" si="41"/>
        <v/>
      </c>
      <c r="K80" s="22" t="str">
        <f t="shared" si="42"/>
        <v/>
      </c>
      <c r="L80" t="str">
        <f t="shared" si="33"/>
        <v/>
      </c>
      <c r="M80" s="5" t="str">
        <f t="shared" si="43"/>
        <v/>
      </c>
      <c r="N80" s="9" t="str">
        <f t="shared" si="34"/>
        <v/>
      </c>
      <c r="O80" s="3" t="str">
        <f t="shared" si="35"/>
        <v/>
      </c>
      <c r="P80" s="3" t="str">
        <f t="shared" si="36"/>
        <v/>
      </c>
      <c r="Q80" s="3" t="str">
        <f t="shared" si="16"/>
        <v/>
      </c>
      <c r="R80" s="3" t="str">
        <f t="shared" si="17"/>
        <v/>
      </c>
      <c r="S80" s="3" t="str">
        <f>IF($L80&lt;&gt;"",IF($A80="Prepago",0,IF($H80*$U$6&gt;SUM($S$11:$S79)+$U$6,$U$6*2,$U$6)),"")</f>
        <v/>
      </c>
      <c r="T80" s="3" t="str">
        <f>IF($L80&lt;&gt;"",IF($A80="Prepago",0,IF($H80*$U$7&gt;SUM($T$11:$T79)+$U$7,$U$7*2,$U$7)),"")</f>
        <v/>
      </c>
      <c r="U80" s="3" t="str">
        <f>IF($L80&lt;&gt;"",IF($A80="Prepago",0,IF($H80*$U$8&gt;SUM($U$11:$U79)+$U$8,$U$8*2,$U$8)),"")</f>
        <v/>
      </c>
      <c r="V80" s="3" t="str">
        <f t="shared" si="37"/>
        <v/>
      </c>
      <c r="W80" s="3" t="str">
        <f t="shared" si="38"/>
        <v/>
      </c>
      <c r="X80" s="3" t="str">
        <f t="shared" si="39"/>
        <v/>
      </c>
      <c r="Y80" s="3" t="str">
        <f t="shared" si="40"/>
        <v/>
      </c>
      <c r="Z80" s="3" t="str">
        <f>IF($L80&lt;&gt;"",IF($N80&gt;Y$11,IF($N80&lt;Z$11,$N80-Y$11,30),0)*ROUND(($O80+$W79+SUM($Y80:Y80))*$V$5/3000,2),"")</f>
        <v/>
      </c>
      <c r="AA80" s="3"/>
      <c r="AB80" s="3"/>
    </row>
    <row r="81" spans="5:28" x14ac:dyDescent="0.25">
      <c r="E81" s="5"/>
      <c r="F81" t="str">
        <f t="shared" si="30"/>
        <v/>
      </c>
      <c r="G81" s="5" t="str">
        <f>IF($L81&lt;&gt;"",EOMONTH(DATE(YEAR($M$11),MONTH($M$11)-IF(DAY($N$6)&lt;$N$7,1,0),DAY($M$11)),($H81*$A$1)+IF(MESADICIONAL=TRUE,1,0)),"")</f>
        <v/>
      </c>
      <c r="H81" s="22" t="str">
        <f t="shared" si="31"/>
        <v/>
      </c>
      <c r="I81" s="22" t="str">
        <f t="shared" si="32"/>
        <v/>
      </c>
      <c r="J81" s="22" t="str">
        <f t="shared" si="41"/>
        <v/>
      </c>
      <c r="K81" s="22" t="str">
        <f t="shared" si="42"/>
        <v/>
      </c>
      <c r="L81" t="str">
        <f t="shared" si="33"/>
        <v/>
      </c>
      <c r="M81" s="5" t="str">
        <f t="shared" si="43"/>
        <v/>
      </c>
      <c r="N81" s="9" t="str">
        <f t="shared" si="34"/>
        <v/>
      </c>
      <c r="O81" s="3" t="str">
        <f t="shared" si="35"/>
        <v/>
      </c>
      <c r="P81" s="3" t="str">
        <f t="shared" si="36"/>
        <v/>
      </c>
      <c r="Q81" s="3" t="str">
        <f t="shared" si="16"/>
        <v/>
      </c>
      <c r="R81" s="3" t="str">
        <f t="shared" si="17"/>
        <v/>
      </c>
      <c r="S81" s="3" t="str">
        <f>IF($L81&lt;&gt;"",IF($A81="Prepago",0,IF($H81*$U$6&gt;SUM($S$11:$S80)+$U$6,$U$6*2,$U$6)),"")</f>
        <v/>
      </c>
      <c r="T81" s="3" t="str">
        <f>IF($L81&lt;&gt;"",IF($A81="Prepago",0,IF($H81*$U$7&gt;SUM($T$11:$T80)+$U$7,$U$7*2,$U$7)),"")</f>
        <v/>
      </c>
      <c r="U81" s="3" t="str">
        <f>IF($L81&lt;&gt;"",IF($A81="Prepago",0,IF($H81*$U$8&gt;SUM($U$11:$U80)+$U$8,$U$8*2,$U$8)),"")</f>
        <v/>
      </c>
      <c r="V81" s="3" t="str">
        <f t="shared" si="37"/>
        <v/>
      </c>
      <c r="W81" s="3" t="str">
        <f t="shared" si="38"/>
        <v/>
      </c>
      <c r="X81" s="3" t="str">
        <f t="shared" si="39"/>
        <v/>
      </c>
      <c r="Y81" s="3" t="str">
        <f t="shared" si="40"/>
        <v/>
      </c>
      <c r="Z81" s="3" t="str">
        <f>IF($L81&lt;&gt;"",IF($N81&gt;Y$11,IF($N81&lt;Z$11,$N81-Y$11,30),0)*ROUND(($O81+$W80+SUM($Y81:Y81))*$V$5/3000,2),"")</f>
        <v/>
      </c>
      <c r="AA81" s="3"/>
      <c r="AB81" s="3"/>
    </row>
    <row r="82" spans="5:28" x14ac:dyDescent="0.25">
      <c r="E82" s="5"/>
      <c r="F82" t="str">
        <f t="shared" si="30"/>
        <v/>
      </c>
      <c r="G82" s="5" t="str">
        <f>IF($L82&lt;&gt;"",EOMONTH(DATE(YEAR($M$11),MONTH($M$11)-IF(DAY($N$6)&lt;$N$7,1,0),DAY($M$11)),($H82*$A$1)+IF(MESADICIONAL=TRUE,1,0)),"")</f>
        <v/>
      </c>
      <c r="H82" s="22" t="str">
        <f t="shared" si="31"/>
        <v/>
      </c>
      <c r="I82" s="22" t="str">
        <f t="shared" si="32"/>
        <v/>
      </c>
      <c r="J82" s="22" t="str">
        <f t="shared" si="41"/>
        <v/>
      </c>
      <c r="K82" s="22" t="str">
        <f t="shared" si="42"/>
        <v/>
      </c>
      <c r="L82" t="str">
        <f t="shared" si="33"/>
        <v/>
      </c>
      <c r="M82" s="5" t="str">
        <f t="shared" si="43"/>
        <v/>
      </c>
      <c r="N82" s="9" t="str">
        <f t="shared" si="34"/>
        <v/>
      </c>
      <c r="O82" s="3" t="str">
        <f t="shared" si="35"/>
        <v/>
      </c>
      <c r="P82" s="3" t="str">
        <f t="shared" si="36"/>
        <v/>
      </c>
      <c r="Q82" s="3" t="str">
        <f t="shared" si="16"/>
        <v/>
      </c>
      <c r="R82" s="3" t="str">
        <f t="shared" si="17"/>
        <v/>
      </c>
      <c r="S82" s="3" t="str">
        <f>IF($L82&lt;&gt;"",IF($A82="Prepago",0,IF($H82*$U$6&gt;SUM($S$11:$S81)+$U$6,$U$6*2,$U$6)),"")</f>
        <v/>
      </c>
      <c r="T82" s="3" t="str">
        <f>IF($L82&lt;&gt;"",IF($A82="Prepago",0,IF($H82*$U$7&gt;SUM($T$11:$T81)+$U$7,$U$7*2,$U$7)),"")</f>
        <v/>
      </c>
      <c r="U82" s="3" t="str">
        <f>IF($L82&lt;&gt;"",IF($A82="Prepago",0,IF($H82*$U$8&gt;SUM($U$11:$U81)+$U$8,$U$8*2,$U$8)),"")</f>
        <v/>
      </c>
      <c r="V82" s="3" t="str">
        <f t="shared" si="37"/>
        <v/>
      </c>
      <c r="W82" s="3" t="str">
        <f t="shared" si="38"/>
        <v/>
      </c>
      <c r="X82" s="3" t="str">
        <f t="shared" si="39"/>
        <v/>
      </c>
      <c r="Y82" s="3" t="str">
        <f t="shared" si="40"/>
        <v/>
      </c>
      <c r="Z82" s="3" t="str">
        <f>IF($L82&lt;&gt;"",IF($N82&gt;Y$11,IF($N82&lt;Z$11,$N82-Y$11,30),0)*ROUND(($O82+$W81+SUM($Y82:Y82))*$V$5/3000,2),"")</f>
        <v/>
      </c>
      <c r="AA82" s="3"/>
      <c r="AB82" s="3"/>
    </row>
    <row r="83" spans="5:28" x14ac:dyDescent="0.25">
      <c r="E83" s="5"/>
      <c r="F83" t="str">
        <f t="shared" si="30"/>
        <v/>
      </c>
      <c r="G83" s="5" t="str">
        <f>IF($L83&lt;&gt;"",EOMONTH(DATE(YEAR($M$11),MONTH($M$11)-IF(DAY($N$6)&lt;$N$7,1,0),DAY($M$11)),($H83*$A$1)+IF(MESADICIONAL=TRUE,1,0)),"")</f>
        <v/>
      </c>
      <c r="H83" s="22" t="str">
        <f t="shared" si="31"/>
        <v/>
      </c>
      <c r="I83" s="22" t="str">
        <f t="shared" si="32"/>
        <v/>
      </c>
      <c r="J83" s="22" t="str">
        <f t="shared" si="41"/>
        <v/>
      </c>
      <c r="K83" s="22" t="str">
        <f t="shared" si="42"/>
        <v/>
      </c>
      <c r="L83" t="str">
        <f t="shared" si="33"/>
        <v/>
      </c>
      <c r="M83" s="5" t="str">
        <f t="shared" si="43"/>
        <v/>
      </c>
      <c r="N83" s="9" t="str">
        <f t="shared" si="34"/>
        <v/>
      </c>
      <c r="O83" s="3" t="str">
        <f t="shared" si="35"/>
        <v/>
      </c>
      <c r="P83" s="3" t="str">
        <f t="shared" si="36"/>
        <v/>
      </c>
      <c r="Q83" s="3" t="str">
        <f t="shared" si="16"/>
        <v/>
      </c>
      <c r="R83" s="3" t="str">
        <f t="shared" si="17"/>
        <v/>
      </c>
      <c r="S83" s="3" t="str">
        <f>IF($L83&lt;&gt;"",IF($A83="Prepago",0,IF($H83*$U$6&gt;SUM($S$11:$S82)+$U$6,$U$6*2,$U$6)),"")</f>
        <v/>
      </c>
      <c r="T83" s="3" t="str">
        <f>IF($L83&lt;&gt;"",IF($A83="Prepago",0,IF($H83*$U$7&gt;SUM($T$11:$T82)+$U$7,$U$7*2,$U$7)),"")</f>
        <v/>
      </c>
      <c r="U83" s="3" t="str">
        <f>IF($L83&lt;&gt;"",IF($A83="Prepago",0,IF($H83*$U$8&gt;SUM($U$11:$U82)+$U$8,$U$8*2,$U$8)),"")</f>
        <v/>
      </c>
      <c r="V83" s="3" t="str">
        <f t="shared" si="37"/>
        <v/>
      </c>
      <c r="W83" s="3" t="str">
        <f t="shared" si="38"/>
        <v/>
      </c>
      <c r="X83" s="3" t="str">
        <f t="shared" si="39"/>
        <v/>
      </c>
      <c r="Y83" s="3" t="str">
        <f t="shared" si="40"/>
        <v/>
      </c>
      <c r="Z83" s="3" t="str">
        <f>IF($L83&lt;&gt;"",IF($N83&gt;Y$11,IF($N83&lt;Z$11,$N83-Y$11,30),0)*ROUND(($O83+$W82+SUM($Y83:Y83))*$V$5/3000,2),"")</f>
        <v/>
      </c>
      <c r="AA83" s="3"/>
      <c r="AB83" s="3"/>
    </row>
    <row r="84" spans="5:28" x14ac:dyDescent="0.25">
      <c r="E84" s="5"/>
      <c r="F84" t="str">
        <f t="shared" si="30"/>
        <v/>
      </c>
      <c r="G84" s="5" t="str">
        <f>IF($L84&lt;&gt;"",EOMONTH(DATE(YEAR($M$11),MONTH($M$11)-IF(DAY($N$6)&lt;$N$7,1,0),DAY($M$11)),($H84*$A$1)+IF(MESADICIONAL=TRUE,1,0)),"")</f>
        <v/>
      </c>
      <c r="H84" s="22" t="str">
        <f t="shared" si="31"/>
        <v/>
      </c>
      <c r="I84" s="22" t="str">
        <f t="shared" si="32"/>
        <v/>
      </c>
      <c r="J84" s="22" t="str">
        <f t="shared" si="41"/>
        <v/>
      </c>
      <c r="K84" s="22" t="str">
        <f t="shared" si="42"/>
        <v/>
      </c>
      <c r="L84" t="str">
        <f t="shared" si="33"/>
        <v/>
      </c>
      <c r="M84" s="5" t="str">
        <f t="shared" si="43"/>
        <v/>
      </c>
      <c r="N84" s="9" t="str">
        <f t="shared" si="34"/>
        <v/>
      </c>
      <c r="O84" s="3" t="str">
        <f t="shared" si="35"/>
        <v/>
      </c>
      <c r="P84" s="3" t="str">
        <f t="shared" si="36"/>
        <v/>
      </c>
      <c r="Q84" s="3" t="str">
        <f t="shared" si="16"/>
        <v/>
      </c>
      <c r="R84" s="3" t="str">
        <f t="shared" si="17"/>
        <v/>
      </c>
      <c r="S84" s="3" t="str">
        <f>IF($L84&lt;&gt;"",IF($A84="Prepago",0,IF($H84*$U$6&gt;SUM($S$11:$S83)+$U$6,$U$6*2,$U$6)),"")</f>
        <v/>
      </c>
      <c r="T84" s="3" t="str">
        <f>IF($L84&lt;&gt;"",IF($A84="Prepago",0,IF($H84*$U$7&gt;SUM($T$11:$T83)+$U$7,$U$7*2,$U$7)),"")</f>
        <v/>
      </c>
      <c r="U84" s="3" t="str">
        <f>IF($L84&lt;&gt;"",IF($A84="Prepago",0,IF($H84*$U$8&gt;SUM($U$11:$U83)+$U$8,$U$8*2,$U$8)),"")</f>
        <v/>
      </c>
      <c r="V84" s="3" t="str">
        <f t="shared" si="37"/>
        <v/>
      </c>
      <c r="W84" s="3" t="str">
        <f t="shared" si="38"/>
        <v/>
      </c>
      <c r="X84" s="3" t="str">
        <f t="shared" si="39"/>
        <v/>
      </c>
      <c r="Y84" s="3" t="str">
        <f t="shared" si="40"/>
        <v/>
      </c>
      <c r="Z84" s="3" t="str">
        <f>IF($L84&lt;&gt;"",IF($N84&gt;Y$11,IF($N84&lt;Z$11,$N84-Y$11,30),0)*ROUND(($O84+$W83+SUM($Y84:Y84))*$V$5/3000,2),"")</f>
        <v/>
      </c>
      <c r="AA84" s="3"/>
      <c r="AB84" s="3"/>
    </row>
    <row r="85" spans="5:28" x14ac:dyDescent="0.25">
      <c r="E85" s="5"/>
      <c r="F85" t="str">
        <f t="shared" si="30"/>
        <v/>
      </c>
      <c r="G85" s="5" t="str">
        <f>IF($L85&lt;&gt;"",EOMONTH(DATE(YEAR($M$11),MONTH($M$11)-IF(DAY($N$6)&lt;$N$7,1,0),DAY($M$11)),($H85*$A$1)+IF(MESADICIONAL=TRUE,1,0)),"")</f>
        <v/>
      </c>
      <c r="H85" s="22" t="str">
        <f t="shared" si="31"/>
        <v/>
      </c>
      <c r="I85" s="22" t="str">
        <f t="shared" si="32"/>
        <v/>
      </c>
      <c r="J85" s="22" t="str">
        <f t="shared" si="41"/>
        <v/>
      </c>
      <c r="K85" s="22" t="str">
        <f t="shared" si="42"/>
        <v/>
      </c>
      <c r="L85" t="str">
        <f t="shared" si="33"/>
        <v/>
      </c>
      <c r="M85" s="5" t="str">
        <f t="shared" si="43"/>
        <v/>
      </c>
      <c r="N85" s="9" t="str">
        <f t="shared" si="34"/>
        <v/>
      </c>
      <c r="O85" s="3" t="str">
        <f t="shared" si="35"/>
        <v/>
      </c>
      <c r="P85" s="3" t="str">
        <f t="shared" si="36"/>
        <v/>
      </c>
      <c r="Q85" s="3" t="str">
        <f t="shared" si="16"/>
        <v/>
      </c>
      <c r="R85" s="3" t="str">
        <f t="shared" si="17"/>
        <v/>
      </c>
      <c r="S85" s="3" t="str">
        <f>IF($L85&lt;&gt;"",IF($A85="Prepago",0,IF($H85*$U$6&gt;SUM($S$11:$S84)+$U$6,$U$6*2,$U$6)),"")</f>
        <v/>
      </c>
      <c r="T85" s="3" t="str">
        <f>IF($L85&lt;&gt;"",IF($A85="Prepago",0,IF($H85*$U$7&gt;SUM($T$11:$T84)+$U$7,$U$7*2,$U$7)),"")</f>
        <v/>
      </c>
      <c r="U85" s="3" t="str">
        <f>IF($L85&lt;&gt;"",IF($A85="Prepago",0,IF($H85*$U$8&gt;SUM($U$11:$U84)+$U$8,$U$8*2,$U$8)),"")</f>
        <v/>
      </c>
      <c r="V85" s="3" t="str">
        <f t="shared" si="37"/>
        <v/>
      </c>
      <c r="W85" s="3" t="str">
        <f t="shared" si="38"/>
        <v/>
      </c>
      <c r="X85" s="3" t="str">
        <f t="shared" si="39"/>
        <v/>
      </c>
      <c r="Y85" s="3" t="str">
        <f t="shared" si="40"/>
        <v/>
      </c>
      <c r="Z85" s="3" t="str">
        <f>IF($L85&lt;&gt;"",IF($N85&gt;Y$11,IF($N85&lt;Z$11,$N85-Y$11,30),0)*ROUND(($O85+$W84+SUM($Y85:Y85))*$V$5/3000,2),"")</f>
        <v/>
      </c>
      <c r="AA85" s="3"/>
      <c r="AB85" s="3"/>
    </row>
    <row r="86" spans="5:28" x14ac:dyDescent="0.25">
      <c r="E86" s="5"/>
      <c r="F86" t="str">
        <f t="shared" si="30"/>
        <v/>
      </c>
      <c r="G86" s="5" t="str">
        <f>IF($L86&lt;&gt;"",EOMONTH(DATE(YEAR($M$11),MONTH($M$11)-IF(DAY($N$6)&lt;$N$7,1,0),DAY($M$11)),($H86*$A$1)+IF(MESADICIONAL=TRUE,1,0)),"")</f>
        <v/>
      </c>
      <c r="H86" s="22" t="str">
        <f t="shared" si="31"/>
        <v/>
      </c>
      <c r="I86" s="22" t="str">
        <f t="shared" si="32"/>
        <v/>
      </c>
      <c r="J86" s="22" t="str">
        <f t="shared" si="41"/>
        <v/>
      </c>
      <c r="K86" s="22" t="str">
        <f t="shared" si="42"/>
        <v/>
      </c>
      <c r="L86" t="str">
        <f t="shared" si="33"/>
        <v/>
      </c>
      <c r="M86" s="5" t="str">
        <f t="shared" si="43"/>
        <v/>
      </c>
      <c r="N86" s="9" t="str">
        <f t="shared" si="34"/>
        <v/>
      </c>
      <c r="O86" s="3" t="str">
        <f t="shared" si="35"/>
        <v/>
      </c>
      <c r="P86" s="3" t="str">
        <f t="shared" si="36"/>
        <v/>
      </c>
      <c r="Q86" s="3" t="str">
        <f t="shared" si="16"/>
        <v/>
      </c>
      <c r="R86" s="3" t="str">
        <f t="shared" si="17"/>
        <v/>
      </c>
      <c r="S86" s="3" t="str">
        <f>IF($L86&lt;&gt;"",IF($A86="Prepago",0,IF($H86*$U$6&gt;SUM($S$11:$S85)+$U$6,$U$6*2,$U$6)),"")</f>
        <v/>
      </c>
      <c r="T86" s="3" t="str">
        <f>IF($L86&lt;&gt;"",IF($A86="Prepago",0,IF($H86*$U$7&gt;SUM($T$11:$T85)+$U$7,$U$7*2,$U$7)),"")</f>
        <v/>
      </c>
      <c r="U86" s="3" t="str">
        <f>IF($L86&lt;&gt;"",IF($A86="Prepago",0,IF($H86*$U$8&gt;SUM($U$11:$U85)+$U$8,$U$8*2,$U$8)),"")</f>
        <v/>
      </c>
      <c r="V86" s="3" t="str">
        <f t="shared" si="37"/>
        <v/>
      </c>
      <c r="W86" s="3" t="str">
        <f t="shared" si="38"/>
        <v/>
      </c>
      <c r="X86" s="3" t="str">
        <f t="shared" si="39"/>
        <v/>
      </c>
      <c r="Y86" s="3" t="str">
        <f t="shared" si="40"/>
        <v/>
      </c>
      <c r="Z86" s="3" t="str">
        <f>IF($L86&lt;&gt;"",IF($N86&gt;Y$11,IF($N86&lt;Z$11,$N86-Y$11,30),0)*ROUND(($O86+$W85+SUM($Y86:Y86))*$V$5/3000,2),"")</f>
        <v/>
      </c>
      <c r="AA86" s="3"/>
      <c r="AB86" s="3"/>
    </row>
    <row r="87" spans="5:28" x14ac:dyDescent="0.25">
      <c r="E87" s="5"/>
      <c r="F87" t="str">
        <f t="shared" si="30"/>
        <v/>
      </c>
      <c r="G87" s="5" t="str">
        <f>IF($L87&lt;&gt;"",EOMONTH(DATE(YEAR($M$11),MONTH($M$11)-IF(DAY($N$6)&lt;$N$7,1,0),DAY($M$11)),($H87*$A$1)+IF(MESADICIONAL=TRUE,1,0)),"")</f>
        <v/>
      </c>
      <c r="H87" s="22" t="str">
        <f t="shared" si="31"/>
        <v/>
      </c>
      <c r="I87" s="22" t="str">
        <f t="shared" si="32"/>
        <v/>
      </c>
      <c r="J87" s="22" t="str">
        <f t="shared" si="41"/>
        <v/>
      </c>
      <c r="K87" s="22" t="str">
        <f t="shared" si="42"/>
        <v/>
      </c>
      <c r="L87" t="str">
        <f t="shared" si="33"/>
        <v/>
      </c>
      <c r="M87" s="5" t="str">
        <f t="shared" si="43"/>
        <v/>
      </c>
      <c r="N87" s="9" t="str">
        <f t="shared" si="34"/>
        <v/>
      </c>
      <c r="O87" s="3" t="str">
        <f t="shared" si="35"/>
        <v/>
      </c>
      <c r="P87" s="3" t="str">
        <f t="shared" si="36"/>
        <v/>
      </c>
      <c r="Q87" s="3" t="str">
        <f t="shared" si="16"/>
        <v/>
      </c>
      <c r="R87" s="3" t="str">
        <f t="shared" si="17"/>
        <v/>
      </c>
      <c r="S87" s="3" t="str">
        <f>IF($L87&lt;&gt;"",IF($A87="Prepago",0,IF($H87*$U$6&gt;SUM($S$11:$S86)+$U$6,$U$6*2,$U$6)),"")</f>
        <v/>
      </c>
      <c r="T87" s="3" t="str">
        <f>IF($L87&lt;&gt;"",IF($A87="Prepago",0,IF($H87*$U$7&gt;SUM($T$11:$T86)+$U$7,$U$7*2,$U$7)),"")</f>
        <v/>
      </c>
      <c r="U87" s="3" t="str">
        <f>IF($L87&lt;&gt;"",IF($A87="Prepago",0,IF($H87*$U$8&gt;SUM($U$11:$U86)+$U$8,$U$8*2,$U$8)),"")</f>
        <v/>
      </c>
      <c r="V87" s="3" t="str">
        <f t="shared" si="37"/>
        <v/>
      </c>
      <c r="W87" s="3" t="str">
        <f t="shared" si="38"/>
        <v/>
      </c>
      <c r="X87" s="3" t="str">
        <f t="shared" si="39"/>
        <v/>
      </c>
      <c r="Y87" s="3" t="str">
        <f t="shared" si="40"/>
        <v/>
      </c>
      <c r="Z87" s="3" t="str">
        <f>IF($L87&lt;&gt;"",IF($N87&gt;Y$11,IF($N87&lt;Z$11,$N87-Y$11,30),0)*ROUND(($O87+$W86+SUM($Y87:Y87))*$V$5/3000,2),"")</f>
        <v/>
      </c>
      <c r="AA87" s="3"/>
      <c r="AB87" s="3"/>
    </row>
    <row r="88" spans="5:28" x14ac:dyDescent="0.25">
      <c r="E88" s="5"/>
      <c r="F88" t="str">
        <f t="shared" si="30"/>
        <v/>
      </c>
      <c r="G88" s="5" t="str">
        <f>IF($L88&lt;&gt;"",EOMONTH(DATE(YEAR($M$11),MONTH($M$11)-IF(DAY($N$6)&lt;$N$7,1,0),DAY($M$11)),($H88*$A$1)+IF(MESADICIONAL=TRUE,1,0)),"")</f>
        <v/>
      </c>
      <c r="H88" s="22" t="str">
        <f t="shared" si="31"/>
        <v/>
      </c>
      <c r="I88" s="22" t="str">
        <f t="shared" si="32"/>
        <v/>
      </c>
      <c r="J88" s="22" t="str">
        <f t="shared" si="41"/>
        <v/>
      </c>
      <c r="K88" s="22" t="str">
        <f t="shared" si="42"/>
        <v/>
      </c>
      <c r="L88" t="str">
        <f t="shared" si="33"/>
        <v/>
      </c>
      <c r="M88" s="5" t="str">
        <f t="shared" si="43"/>
        <v/>
      </c>
      <c r="N88" s="9" t="str">
        <f t="shared" si="34"/>
        <v/>
      </c>
      <c r="O88" s="3" t="str">
        <f t="shared" si="35"/>
        <v/>
      </c>
      <c r="P88" s="3" t="str">
        <f t="shared" si="36"/>
        <v/>
      </c>
      <c r="Q88" s="3" t="str">
        <f t="shared" si="16"/>
        <v/>
      </c>
      <c r="R88" s="3" t="str">
        <f t="shared" si="17"/>
        <v/>
      </c>
      <c r="S88" s="3" t="str">
        <f>IF($L88&lt;&gt;"",IF($A88="Prepago",0,IF($H88*$U$6&gt;SUM($S$11:$S87)+$U$6,$U$6*2,$U$6)),"")</f>
        <v/>
      </c>
      <c r="T88" s="3" t="str">
        <f>IF($L88&lt;&gt;"",IF($A88="Prepago",0,IF($H88*$U$7&gt;SUM($T$11:$T87)+$U$7,$U$7*2,$U$7)),"")</f>
        <v/>
      </c>
      <c r="U88" s="3" t="str">
        <f>IF($L88&lt;&gt;"",IF($A88="Prepago",0,IF($H88*$U$8&gt;SUM($U$11:$U87)+$U$8,$U$8*2,$U$8)),"")</f>
        <v/>
      </c>
      <c r="V88" s="3" t="str">
        <f t="shared" si="37"/>
        <v/>
      </c>
      <c r="W88" s="3" t="str">
        <f t="shared" si="38"/>
        <v/>
      </c>
      <c r="X88" s="3" t="str">
        <f t="shared" si="39"/>
        <v/>
      </c>
      <c r="Y88" s="3" t="str">
        <f t="shared" si="40"/>
        <v/>
      </c>
      <c r="Z88" s="3" t="str">
        <f>IF($L88&lt;&gt;"",IF($N88&gt;Y$11,IF($N88&lt;Z$11,$N88-Y$11,30),0)*ROUND(($O88+$W87+SUM($Y88:Y88))*$V$5/3000,2),"")</f>
        <v/>
      </c>
      <c r="AA88" s="3"/>
      <c r="AB88" s="3"/>
    </row>
    <row r="89" spans="5:28" x14ac:dyDescent="0.25">
      <c r="E89" s="5"/>
      <c r="F89" t="str">
        <f t="shared" si="30"/>
        <v/>
      </c>
      <c r="G89" s="5" t="str">
        <f>IF($L89&lt;&gt;"",EOMONTH(DATE(YEAR($M$11),MONTH($M$11)-IF(DAY($N$6)&lt;$N$7,1,0),DAY($M$11)),($H89*$A$1)+IF(MESADICIONAL=TRUE,1,0)),"")</f>
        <v/>
      </c>
      <c r="H89" s="22" t="str">
        <f t="shared" si="31"/>
        <v/>
      </c>
      <c r="I89" s="22" t="str">
        <f t="shared" si="32"/>
        <v/>
      </c>
      <c r="J89" s="22" t="str">
        <f t="shared" si="41"/>
        <v/>
      </c>
      <c r="K89" s="22" t="str">
        <f t="shared" si="42"/>
        <v/>
      </c>
      <c r="L89" t="str">
        <f t="shared" si="33"/>
        <v/>
      </c>
      <c r="M89" s="5" t="str">
        <f t="shared" si="43"/>
        <v/>
      </c>
      <c r="N89" s="9" t="str">
        <f t="shared" si="34"/>
        <v/>
      </c>
      <c r="O89" s="3" t="str">
        <f t="shared" si="35"/>
        <v/>
      </c>
      <c r="P89" s="3" t="str">
        <f t="shared" si="36"/>
        <v/>
      </c>
      <c r="Q89" s="3" t="str">
        <f t="shared" si="16"/>
        <v/>
      </c>
      <c r="R89" s="3" t="str">
        <f t="shared" si="17"/>
        <v/>
      </c>
      <c r="S89" s="3" t="str">
        <f>IF($L89&lt;&gt;"",IF($A89="Prepago",0,IF($H89*$U$6&gt;SUM($S$11:$S88)+$U$6,$U$6*2,$U$6)),"")</f>
        <v/>
      </c>
      <c r="T89" s="3" t="str">
        <f>IF($L89&lt;&gt;"",IF($A89="Prepago",0,IF($H89*$U$7&gt;SUM($T$11:$T88)+$U$7,$U$7*2,$U$7)),"")</f>
        <v/>
      </c>
      <c r="U89" s="3" t="str">
        <f>IF($L89&lt;&gt;"",IF($A89="Prepago",0,IF($H89*$U$8&gt;SUM($U$11:$U88)+$U$8,$U$8*2,$U$8)),"")</f>
        <v/>
      </c>
      <c r="V89" s="3" t="str">
        <f t="shared" si="37"/>
        <v/>
      </c>
      <c r="W89" s="3" t="str">
        <f t="shared" si="38"/>
        <v/>
      </c>
      <c r="X89" s="3" t="str">
        <f t="shared" si="39"/>
        <v/>
      </c>
      <c r="Y89" s="3" t="str">
        <f t="shared" si="40"/>
        <v/>
      </c>
      <c r="Z89" s="3" t="str">
        <f>IF($L89&lt;&gt;"",IF($N89&gt;Y$11,IF($N89&lt;Z$11,$N89-Y$11,30),0)*ROUND(($O89+$W88+SUM($Y89:Y89))*$V$5/3000,2),"")</f>
        <v/>
      </c>
      <c r="AA89" s="3"/>
      <c r="AB89" s="3"/>
    </row>
    <row r="90" spans="5:28" x14ac:dyDescent="0.25">
      <c r="E90" s="5"/>
      <c r="F90" t="str">
        <f t="shared" si="30"/>
        <v/>
      </c>
      <c r="G90" s="5" t="str">
        <f>IF($L90&lt;&gt;"",EOMONTH(DATE(YEAR($M$11),MONTH($M$11)-IF(DAY($N$6)&lt;$N$7,1,0),DAY($M$11)),($H90*$A$1)+IF(MESADICIONAL=TRUE,1,0)),"")</f>
        <v/>
      </c>
      <c r="H90" s="22" t="str">
        <f t="shared" si="31"/>
        <v/>
      </c>
      <c r="I90" s="22" t="str">
        <f t="shared" si="32"/>
        <v/>
      </c>
      <c r="J90" s="22" t="str">
        <f t="shared" si="41"/>
        <v/>
      </c>
      <c r="K90" s="22" t="str">
        <f t="shared" si="42"/>
        <v/>
      </c>
      <c r="L90" t="str">
        <f t="shared" si="33"/>
        <v/>
      </c>
      <c r="M90" s="5" t="str">
        <f t="shared" si="43"/>
        <v/>
      </c>
      <c r="N90" s="9" t="str">
        <f t="shared" si="34"/>
        <v/>
      </c>
      <c r="O90" s="3" t="str">
        <f t="shared" si="35"/>
        <v/>
      </c>
      <c r="P90" s="3" t="str">
        <f t="shared" si="36"/>
        <v/>
      </c>
      <c r="Q90" s="3" t="str">
        <f t="shared" si="16"/>
        <v/>
      </c>
      <c r="R90" s="3" t="str">
        <f t="shared" si="17"/>
        <v/>
      </c>
      <c r="S90" s="3" t="str">
        <f>IF($L90&lt;&gt;"",IF($A90="Prepago",0,IF($H90*$U$6&gt;SUM($S$11:$S89)+$U$6,$U$6*2,$U$6)),"")</f>
        <v/>
      </c>
      <c r="T90" s="3" t="str">
        <f>IF($L90&lt;&gt;"",IF($A90="Prepago",0,IF($H90*$U$7&gt;SUM($T$11:$T89)+$U$7,$U$7*2,$U$7)),"")</f>
        <v/>
      </c>
      <c r="U90" s="3" t="str">
        <f>IF($L90&lt;&gt;"",IF($A90="Prepago",0,IF($H90*$U$8&gt;SUM($U$11:$U89)+$U$8,$U$8*2,$U$8)),"")</f>
        <v/>
      </c>
      <c r="V90" s="3" t="str">
        <f t="shared" si="37"/>
        <v/>
      </c>
      <c r="W90" s="3" t="str">
        <f t="shared" si="38"/>
        <v/>
      </c>
      <c r="X90" s="3" t="str">
        <f t="shared" si="39"/>
        <v/>
      </c>
      <c r="Y90" s="3" t="str">
        <f t="shared" si="40"/>
        <v/>
      </c>
      <c r="Z90" s="3" t="str">
        <f>IF($L90&lt;&gt;"",IF($N90&gt;Y$11,IF($N90&lt;Z$11,$N90-Y$11,30),0)*ROUND(($O90+$W89+SUM($Y90:Y90))*$V$5/3000,2),"")</f>
        <v/>
      </c>
      <c r="AA90" s="3"/>
      <c r="AB90" s="3"/>
    </row>
    <row r="91" spans="5:28" x14ac:dyDescent="0.25">
      <c r="E91" s="5"/>
      <c r="F91" t="str">
        <f t="shared" si="30"/>
        <v/>
      </c>
      <c r="G91" s="5" t="str">
        <f>IF($L91&lt;&gt;"",EOMONTH(DATE(YEAR($M$11),MONTH($M$11)-IF(DAY($N$6)&lt;$N$7,1,0),DAY($M$11)),($H91*$A$1)+IF(MESADICIONAL=TRUE,1,0)),"")</f>
        <v/>
      </c>
      <c r="H91" s="22" t="str">
        <f t="shared" si="31"/>
        <v/>
      </c>
      <c r="I91" s="22" t="str">
        <f t="shared" si="32"/>
        <v/>
      </c>
      <c r="J91" s="22" t="str">
        <f t="shared" si="41"/>
        <v/>
      </c>
      <c r="K91" s="22" t="str">
        <f t="shared" si="42"/>
        <v/>
      </c>
      <c r="L91" t="str">
        <f t="shared" si="33"/>
        <v/>
      </c>
      <c r="M91" s="5" t="str">
        <f t="shared" si="43"/>
        <v/>
      </c>
      <c r="N91" s="9" t="str">
        <f t="shared" si="34"/>
        <v/>
      </c>
      <c r="O91" s="3" t="str">
        <f t="shared" si="35"/>
        <v/>
      </c>
      <c r="P91" s="3" t="str">
        <f t="shared" si="36"/>
        <v/>
      </c>
      <c r="Q91" s="3" t="str">
        <f t="shared" si="16"/>
        <v/>
      </c>
      <c r="R91" s="3" t="str">
        <f t="shared" si="17"/>
        <v/>
      </c>
      <c r="S91" s="3" t="str">
        <f>IF($L91&lt;&gt;"",IF($A91="Prepago",0,IF($H91*$U$6&gt;SUM($S$11:$S90)+$U$6,$U$6*2,$U$6)),"")</f>
        <v/>
      </c>
      <c r="T91" s="3" t="str">
        <f>IF($L91&lt;&gt;"",IF($A91="Prepago",0,IF($H91*$U$7&gt;SUM($T$11:$T90)+$U$7,$U$7*2,$U$7)),"")</f>
        <v/>
      </c>
      <c r="U91" s="3" t="str">
        <f>IF($L91&lt;&gt;"",IF($A91="Prepago",0,IF($H91*$U$8&gt;SUM($U$11:$U90)+$U$8,$U$8*2,$U$8)),"")</f>
        <v/>
      </c>
      <c r="V91" s="3" t="str">
        <f t="shared" si="37"/>
        <v/>
      </c>
      <c r="W91" s="3" t="str">
        <f t="shared" si="38"/>
        <v/>
      </c>
      <c r="X91" s="3" t="str">
        <f t="shared" si="39"/>
        <v/>
      </c>
      <c r="Y91" s="3" t="str">
        <f t="shared" si="40"/>
        <v/>
      </c>
      <c r="Z91" s="3" t="str">
        <f>IF($L91&lt;&gt;"",IF($N91&gt;Y$11,IF($N91&lt;Z$11,$N91-Y$11,30),0)*ROUND(($O91+$W90+SUM($Y91:Y91))*$V$5/3000,2),"")</f>
        <v/>
      </c>
      <c r="AA91" s="3"/>
      <c r="AB91" s="3"/>
    </row>
    <row r="92" spans="5:28" x14ac:dyDescent="0.25">
      <c r="E92" s="5"/>
      <c r="F92" t="str">
        <f t="shared" si="30"/>
        <v/>
      </c>
      <c r="G92" s="5" t="str">
        <f>IF($L92&lt;&gt;"",EOMONTH(DATE(YEAR($M$11),MONTH($M$11)-IF(DAY($N$6)&lt;$N$7,1,0),DAY($M$11)),($H92*$A$1)+IF(MESADICIONAL=TRUE,1,0)),"")</f>
        <v/>
      </c>
      <c r="H92" s="22" t="str">
        <f t="shared" si="31"/>
        <v/>
      </c>
      <c r="I92" s="22" t="str">
        <f t="shared" si="32"/>
        <v/>
      </c>
      <c r="J92" s="22" t="str">
        <f t="shared" si="41"/>
        <v/>
      </c>
      <c r="K92" s="22" t="str">
        <f t="shared" si="42"/>
        <v/>
      </c>
      <c r="L92" t="str">
        <f t="shared" si="33"/>
        <v/>
      </c>
      <c r="M92" s="5" t="str">
        <f t="shared" si="43"/>
        <v/>
      </c>
      <c r="N92" s="9" t="str">
        <f t="shared" si="34"/>
        <v/>
      </c>
      <c r="O92" s="3" t="str">
        <f t="shared" si="35"/>
        <v/>
      </c>
      <c r="P92" s="3" t="str">
        <f t="shared" si="36"/>
        <v/>
      </c>
      <c r="Q92" s="3" t="str">
        <f t="shared" si="16"/>
        <v/>
      </c>
      <c r="R92" s="3" t="str">
        <f t="shared" si="17"/>
        <v/>
      </c>
      <c r="S92" s="3" t="str">
        <f>IF($L92&lt;&gt;"",IF($A92="Prepago",0,IF($H92*$U$6&gt;SUM($S$11:$S91)+$U$6,$U$6*2,$U$6)),"")</f>
        <v/>
      </c>
      <c r="T92" s="3" t="str">
        <f>IF($L92&lt;&gt;"",IF($A92="Prepago",0,IF($H92*$U$7&gt;SUM($T$11:$T91)+$U$7,$U$7*2,$U$7)),"")</f>
        <v/>
      </c>
      <c r="U92" s="3" t="str">
        <f>IF($L92&lt;&gt;"",IF($A92="Prepago",0,IF($H92*$U$8&gt;SUM($U$11:$U91)+$U$8,$U$8*2,$U$8)),"")</f>
        <v/>
      </c>
      <c r="V92" s="3" t="str">
        <f t="shared" si="37"/>
        <v/>
      </c>
      <c r="W92" s="3" t="str">
        <f t="shared" si="38"/>
        <v/>
      </c>
      <c r="X92" s="3" t="str">
        <f t="shared" si="39"/>
        <v/>
      </c>
      <c r="Y92" s="3" t="str">
        <f t="shared" si="40"/>
        <v/>
      </c>
      <c r="Z92" s="3" t="str">
        <f>IF($L92&lt;&gt;"",IF($N92&gt;Y$11,IF($N92&lt;Z$11,$N92-Y$11,30),0)*ROUND(($O92+$W91+SUM($Y92:Y92))*$V$5/3000,2),"")</f>
        <v/>
      </c>
      <c r="AA92" s="3"/>
      <c r="AB92" s="3"/>
    </row>
    <row r="93" spans="5:28" x14ac:dyDescent="0.25">
      <c r="E93" s="5"/>
      <c r="F93" t="str">
        <f t="shared" si="30"/>
        <v/>
      </c>
      <c r="G93" s="5" t="str">
        <f>IF($L93&lt;&gt;"",EOMONTH(DATE(YEAR($M$11),MONTH($M$11)-IF(DAY($N$6)&lt;$N$7,1,0),DAY($M$11)),($H93*$A$1)+IF(MESADICIONAL=TRUE,1,0)),"")</f>
        <v/>
      </c>
      <c r="H93" s="22" t="str">
        <f t="shared" si="31"/>
        <v/>
      </c>
      <c r="I93" s="22" t="str">
        <f t="shared" si="32"/>
        <v/>
      </c>
      <c r="J93" s="22" t="str">
        <f t="shared" si="41"/>
        <v/>
      </c>
      <c r="K93" s="22" t="str">
        <f t="shared" si="42"/>
        <v/>
      </c>
      <c r="L93" t="str">
        <f t="shared" si="33"/>
        <v/>
      </c>
      <c r="M93" s="5" t="str">
        <f t="shared" si="43"/>
        <v/>
      </c>
      <c r="N93" s="9" t="str">
        <f t="shared" si="34"/>
        <v/>
      </c>
      <c r="O93" s="3" t="str">
        <f t="shared" si="35"/>
        <v/>
      </c>
      <c r="P93" s="3" t="str">
        <f t="shared" si="36"/>
        <v/>
      </c>
      <c r="Q93" s="3" t="str">
        <f t="shared" si="16"/>
        <v/>
      </c>
      <c r="R93" s="3" t="str">
        <f t="shared" si="17"/>
        <v/>
      </c>
      <c r="S93" s="3" t="str">
        <f>IF($L93&lt;&gt;"",IF($A93="Prepago",0,IF($H93*$U$6&gt;SUM($S$11:$S92)+$U$6,$U$6*2,$U$6)),"")</f>
        <v/>
      </c>
      <c r="T93" s="3" t="str">
        <f>IF($L93&lt;&gt;"",IF($A93="Prepago",0,IF($H93*$U$7&gt;SUM($T$11:$T92)+$U$7,$U$7*2,$U$7)),"")</f>
        <v/>
      </c>
      <c r="U93" s="3" t="str">
        <f>IF($L93&lt;&gt;"",IF($A93="Prepago",0,IF($H93*$U$8&gt;SUM($U$11:$U92)+$U$8,$U$8*2,$U$8)),"")</f>
        <v/>
      </c>
      <c r="V93" s="3" t="str">
        <f t="shared" si="37"/>
        <v/>
      </c>
      <c r="W93" s="3" t="str">
        <f t="shared" si="38"/>
        <v/>
      </c>
      <c r="X93" s="3" t="str">
        <f t="shared" si="39"/>
        <v/>
      </c>
      <c r="Y93" s="3" t="str">
        <f t="shared" si="40"/>
        <v/>
      </c>
      <c r="Z93" s="3" t="str">
        <f>IF($L93&lt;&gt;"",IF($N93&gt;Y$11,IF($N93&lt;Z$11,$N93-Y$11,30),0)*ROUND(($O93+$W92+SUM($Y93:Y93))*$V$5/3000,2),"")</f>
        <v/>
      </c>
      <c r="AA93" s="3"/>
      <c r="AB93" s="3"/>
    </row>
    <row r="94" spans="5:28" x14ac:dyDescent="0.25">
      <c r="E94" s="5"/>
      <c r="F94" t="str">
        <f t="shared" si="30"/>
        <v/>
      </c>
      <c r="G94" s="5" t="str">
        <f>IF($L94&lt;&gt;"",EOMONTH(DATE(YEAR($M$11),MONTH($M$11)-IF(DAY($N$6)&lt;$N$7,1,0),DAY($M$11)),($H94*$A$1)+IF(MESADICIONAL=TRUE,1,0)),"")</f>
        <v/>
      </c>
      <c r="H94" s="22" t="str">
        <f t="shared" si="31"/>
        <v/>
      </c>
      <c r="I94" s="22" t="str">
        <f t="shared" si="32"/>
        <v/>
      </c>
      <c r="J94" s="22" t="str">
        <f t="shared" si="41"/>
        <v/>
      </c>
      <c r="K94" s="22" t="str">
        <f t="shared" si="42"/>
        <v/>
      </c>
      <c r="L94" t="str">
        <f t="shared" si="33"/>
        <v/>
      </c>
      <c r="M94" s="5" t="str">
        <f t="shared" si="43"/>
        <v/>
      </c>
      <c r="N94" s="9" t="str">
        <f t="shared" si="34"/>
        <v/>
      </c>
      <c r="O94" s="3" t="str">
        <f t="shared" si="35"/>
        <v/>
      </c>
      <c r="P94" s="3" t="str">
        <f t="shared" si="36"/>
        <v/>
      </c>
      <c r="Q94" s="3" t="str">
        <f t="shared" si="16"/>
        <v/>
      </c>
      <c r="R94" s="3" t="str">
        <f t="shared" si="17"/>
        <v/>
      </c>
      <c r="S94" s="3" t="str">
        <f>IF($L94&lt;&gt;"",IF($A94="Prepago",0,IF($H94*$U$6&gt;SUM($S$11:$S93)+$U$6,$U$6*2,$U$6)),"")</f>
        <v/>
      </c>
      <c r="T94" s="3" t="str">
        <f>IF($L94&lt;&gt;"",IF($A94="Prepago",0,IF($H94*$U$7&gt;SUM($T$11:$T93)+$U$7,$U$7*2,$U$7)),"")</f>
        <v/>
      </c>
      <c r="U94" s="3" t="str">
        <f>IF($L94&lt;&gt;"",IF($A94="Prepago",0,IF($H94*$U$8&gt;SUM($U$11:$U93)+$U$8,$U$8*2,$U$8)),"")</f>
        <v/>
      </c>
      <c r="V94" s="3" t="str">
        <f t="shared" si="37"/>
        <v/>
      </c>
      <c r="W94" s="3" t="str">
        <f t="shared" si="38"/>
        <v/>
      </c>
      <c r="X94" s="3" t="str">
        <f t="shared" si="39"/>
        <v/>
      </c>
      <c r="Y94" s="3" t="str">
        <f t="shared" si="40"/>
        <v/>
      </c>
      <c r="Z94" s="3" t="str">
        <f>IF($L94&lt;&gt;"",IF($N94&gt;Y$11,IF($N94&lt;Z$11,$N94-Y$11,30),0)*ROUND(($O94+$W93+SUM($Y94:Y94))*$V$5/3000,2),"")</f>
        <v/>
      </c>
      <c r="AA94" s="3"/>
      <c r="AB94" s="3"/>
    </row>
    <row r="95" spans="5:28" x14ac:dyDescent="0.25">
      <c r="E95" s="5"/>
      <c r="F95" t="str">
        <f t="shared" si="30"/>
        <v/>
      </c>
      <c r="G95" s="5" t="str">
        <f>IF($L95&lt;&gt;"",EOMONTH(DATE(YEAR($M$11),MONTH($M$11)-IF(DAY($N$6)&lt;$N$7,1,0),DAY($M$11)),($H95*$A$1)+IF(MESADICIONAL=TRUE,1,0)),"")</f>
        <v/>
      </c>
      <c r="H95" s="22" t="str">
        <f t="shared" si="31"/>
        <v/>
      </c>
      <c r="I95" s="22" t="str">
        <f t="shared" si="32"/>
        <v/>
      </c>
      <c r="J95" s="22" t="str">
        <f t="shared" si="41"/>
        <v/>
      </c>
      <c r="K95" s="22" t="str">
        <f t="shared" si="42"/>
        <v/>
      </c>
      <c r="L95" t="str">
        <f t="shared" si="33"/>
        <v/>
      </c>
      <c r="M95" s="5" t="str">
        <f t="shared" si="43"/>
        <v/>
      </c>
      <c r="N95" s="9" t="str">
        <f t="shared" si="34"/>
        <v/>
      </c>
      <c r="O95" s="3" t="str">
        <f t="shared" si="35"/>
        <v/>
      </c>
      <c r="P95" s="3" t="str">
        <f t="shared" si="36"/>
        <v/>
      </c>
      <c r="Q95" s="3" t="str">
        <f t="shared" si="16"/>
        <v/>
      </c>
      <c r="R95" s="3" t="str">
        <f t="shared" si="17"/>
        <v/>
      </c>
      <c r="S95" s="3" t="str">
        <f>IF($L95&lt;&gt;"",IF($A95="Prepago",0,IF($H95*$U$6&gt;SUM($S$11:$S94)+$U$6,$U$6*2,$U$6)),"")</f>
        <v/>
      </c>
      <c r="T95" s="3" t="str">
        <f>IF($L95&lt;&gt;"",IF($A95="Prepago",0,IF($H95*$U$7&gt;SUM($T$11:$T94)+$U$7,$U$7*2,$U$7)),"")</f>
        <v/>
      </c>
      <c r="U95" s="3" t="str">
        <f>IF($L95&lt;&gt;"",IF($A95="Prepago",0,IF($H95*$U$8&gt;SUM($U$11:$U94)+$U$8,$U$8*2,$U$8)),"")</f>
        <v/>
      </c>
      <c r="V95" s="3" t="str">
        <f t="shared" si="37"/>
        <v/>
      </c>
      <c r="W95" s="3" t="str">
        <f t="shared" si="38"/>
        <v/>
      </c>
      <c r="X95" s="3" t="str">
        <f t="shared" si="39"/>
        <v/>
      </c>
      <c r="Y95" s="3" t="str">
        <f t="shared" si="40"/>
        <v/>
      </c>
      <c r="Z95" s="3" t="str">
        <f>IF($L95&lt;&gt;"",IF($N95&gt;Y$11,IF($N95&lt;Z$11,$N95-Y$11,30),0)*ROUND(($O95+$W94+SUM($Y95:Y95))*$V$5/3000,2),"")</f>
        <v/>
      </c>
      <c r="AA95" s="3"/>
      <c r="AB95" s="3"/>
    </row>
    <row r="96" spans="5:28" x14ac:dyDescent="0.25">
      <c r="E96" s="5"/>
      <c r="F96" t="str">
        <f t="shared" si="30"/>
        <v/>
      </c>
      <c r="G96" s="5" t="str">
        <f>IF($L96&lt;&gt;"",EOMONTH(DATE(YEAR($M$11),MONTH($M$11)-IF(DAY($N$6)&lt;$N$7,1,0),DAY($M$11)),($H96*$A$1)+IF(MESADICIONAL=TRUE,1,0)),"")</f>
        <v/>
      </c>
      <c r="H96" s="22" t="str">
        <f t="shared" si="31"/>
        <v/>
      </c>
      <c r="I96" s="22" t="str">
        <f t="shared" si="32"/>
        <v/>
      </c>
      <c r="J96" s="22" t="str">
        <f t="shared" si="41"/>
        <v/>
      </c>
      <c r="K96" s="22" t="str">
        <f t="shared" si="42"/>
        <v/>
      </c>
      <c r="L96" t="str">
        <f t="shared" si="33"/>
        <v/>
      </c>
      <c r="M96" s="5" t="str">
        <f t="shared" si="43"/>
        <v/>
      </c>
      <c r="N96" s="9" t="str">
        <f t="shared" si="34"/>
        <v/>
      </c>
      <c r="O96" s="3" t="str">
        <f t="shared" si="35"/>
        <v/>
      </c>
      <c r="P96" s="3" t="str">
        <f t="shared" si="36"/>
        <v/>
      </c>
      <c r="Q96" s="3" t="str">
        <f t="shared" si="16"/>
        <v/>
      </c>
      <c r="R96" s="3" t="str">
        <f t="shared" si="17"/>
        <v/>
      </c>
      <c r="S96" s="3" t="str">
        <f>IF($L96&lt;&gt;"",IF($A96="Prepago",0,IF($H96*$U$6&gt;SUM($S$11:$S95)+$U$6,$U$6*2,$U$6)),"")</f>
        <v/>
      </c>
      <c r="T96" s="3" t="str">
        <f>IF($L96&lt;&gt;"",IF($A96="Prepago",0,IF($H96*$U$7&gt;SUM($T$11:$T95)+$U$7,$U$7*2,$U$7)),"")</f>
        <v/>
      </c>
      <c r="U96" s="3" t="str">
        <f>IF($L96&lt;&gt;"",IF($A96="Prepago",0,IF($H96*$U$8&gt;SUM($U$11:$U95)+$U$8,$U$8*2,$U$8)),"")</f>
        <v/>
      </c>
      <c r="V96" s="3" t="str">
        <f t="shared" si="37"/>
        <v/>
      </c>
      <c r="W96" s="3" t="str">
        <f t="shared" si="38"/>
        <v/>
      </c>
      <c r="X96" s="3" t="str">
        <f t="shared" si="39"/>
        <v/>
      </c>
      <c r="Y96" s="3" t="str">
        <f t="shared" si="40"/>
        <v/>
      </c>
      <c r="Z96" s="3" t="str">
        <f>IF($L96&lt;&gt;"",IF($N96&gt;Y$11,IF($N96&lt;Z$11,$N96-Y$11,30),0)*ROUND(($O96+$W95+SUM($Y96:Y96))*$V$5/3000,2),"")</f>
        <v/>
      </c>
      <c r="AA96" s="3"/>
      <c r="AB96" s="3"/>
    </row>
    <row r="97" spans="5:28" x14ac:dyDescent="0.25">
      <c r="E97" s="5"/>
      <c r="F97" t="str">
        <f t="shared" si="30"/>
        <v/>
      </c>
      <c r="G97" s="5" t="str">
        <f t="shared" ref="G97" si="44">IF($L97&lt;&gt;"",EOMONTH($M$11,H97),"")</f>
        <v/>
      </c>
      <c r="H97" s="22" t="str">
        <f t="shared" si="31"/>
        <v/>
      </c>
      <c r="I97" s="22" t="str">
        <f t="shared" si="32"/>
        <v/>
      </c>
      <c r="J97" s="22" t="str">
        <f t="shared" si="41"/>
        <v/>
      </c>
      <c r="L97" t="str">
        <f t="shared" si="33"/>
        <v/>
      </c>
      <c r="M97" s="5" t="str">
        <f t="shared" ref="M97" si="45">IF($L97&lt;&gt;"",IF(DAY(G97)&lt;$N$7,G97,DATE(YEAR(G97),MONTH(G97),$N$7)),"")</f>
        <v/>
      </c>
      <c r="N97" s="9" t="str">
        <f t="shared" si="34"/>
        <v/>
      </c>
      <c r="O97" s="3" t="str">
        <f t="shared" si="35"/>
        <v/>
      </c>
      <c r="P97" s="3" t="str">
        <f>IF($L97&lt;&gt;"",IF($A97="Gracia Parcial",IF(AND($C97&lt;$X97+$S97+$T97+$U97+$W96,$C97&gt;0),$C97,$X97+$S97+$T97+$U97+$W96),IF($A97="Gracia Total",0,IF($A97="Prepago",$C97,IF(ISNUMBER($C97),$C97*VALUE(MID($C$1,MONTH($M97),1)),$Q$5*VALUE(MID($C$1,MONTH($M97),1))))))-IF(#REF!="",ARREGLO,0),"")</f>
        <v/>
      </c>
      <c r="Q97" s="3" t="str">
        <f t="shared" ref="Q97" si="46">IF($L97&lt;&gt;"",IF($P97-$R97&gt;0,$P97-$R97-$S97-$T97-$U97,0),"")</f>
        <v/>
      </c>
      <c r="R97" s="3" t="str">
        <f t="shared" ref="R97" si="47">IF($L97&lt;&gt;"",IF($P97&gt;=IF($D97="",$X97,$D97)+$W96+$S97+$T97+$U97,IF($D97="",$X97,$D97)+$W96,$P97-$S97-$T97-$U97),"")</f>
        <v/>
      </c>
      <c r="S97" s="3" t="str">
        <f>IF($L97&lt;&gt;"",IF($A97="Prepago",0,IF(ROUND(($H97+SUM($B$12:$B97))*$U$6,2)&gt;ROUND(SUM($S$11:$S96)+$U$6,2),$U$6*2,$U$6)),"")</f>
        <v/>
      </c>
      <c r="T97" s="3" t="str">
        <f>IF($L97&lt;&gt;"",IF($A97="Prepago",0,IF(ROUND(($H97+SUM($B$12:$B97))*$U$7,2)&gt;ROUND(SUM($T$11:$T96)+$U$7,2),$U$7*2,$U$7)),"")</f>
        <v/>
      </c>
      <c r="U97" s="3" t="str">
        <f>IF($L97&lt;&gt;"",IF($A97="Prepago",0,IF($H97*$U$8&gt;SUM($U$11:$U96),$U$8*2,$U$8)),"")</f>
        <v/>
      </c>
      <c r="V97" s="3" t="str">
        <f t="shared" si="37"/>
        <v/>
      </c>
      <c r="W97" s="3" t="str">
        <f t="shared" si="38"/>
        <v/>
      </c>
      <c r="X97" s="3" t="str">
        <f t="shared" si="39"/>
        <v/>
      </c>
      <c r="Y97" s="3" t="str">
        <f t="shared" si="40"/>
        <v/>
      </c>
      <c r="Z97" s="3" t="str">
        <f>IF($L97&lt;&gt;"",IF($N97&gt;Y$11,IF($N97&lt;Z$11,$N97-Y$11,30),0)*ROUND(($O97+$W96+SUM($Y97:Y97))*$V$5/3000,2),"")</f>
        <v/>
      </c>
      <c r="AA97" s="3"/>
      <c r="AB97" s="3"/>
    </row>
  </sheetData>
  <protectedRanges>
    <protectedRange algorithmName="SHA-512" hashValue="saOoXsqAoQxcXXYzXQIOV3/apjOtIOId7A6E3Kbbks0v/+hkXCO7VppjyeJOkYNfZLM9Y82SgohJPBHQ4upYMw==" saltValue="AI4kOYg9mvAOcytG4WhlkQ==" spinCount="100000" sqref="AC10:AD10 AW11 AY11 BA11 BC11 BE11 BG11 BI11 BK11 BM11 BO11 BQ11 BS11 BU11 BW11 BY11 CA11 CC11 CE11 CG11 AG11 AI11 AK11 AM11 AO11 AQ11 AS11 AU11 AC13:AD15 AE11 AC25:AD60 AC21:AD21 AD16 BW12:CG12 AE13:CG16 AH17:CG17 AE20:CG60 AF18:CG18 V12:Y97 AH19:CG19 L10:AB11 AC23:AD23 L12:R97" name="Rango1"/>
    <protectedRange algorithmName="SHA-512" hashValue="saOoXsqAoQxcXXYzXQIOV3/apjOtIOId7A6E3Kbbks0v/+hkXCO7VppjyeJOkYNfZLM9Y82SgohJPBHQ4upYMw==" saltValue="AI4kOYg9mvAOcytG4WhlkQ==" spinCount="100000" sqref="Z18:Z97 AA24:AD24 AA21:AB21 AA20:AD20 Z13:AB15 Z12:BV12 Z17:AG17 AA25:AB97 AA18:AE18 AA19:AG19 AA23:AB23 AA22:AD22 Z16:AC16" name="Rango1_1"/>
    <protectedRange algorithmName="SHA-512" hashValue="saOoXsqAoQxcXXYzXQIOV3/apjOtIOId7A6E3Kbbks0v/+hkXCO7VppjyeJOkYNfZLM9Y82SgohJPBHQ4upYMw==" saltValue="AI4kOYg9mvAOcytG4WhlkQ==" spinCount="100000" sqref="S12:U97" name="Rango1_2"/>
  </protectedRanges>
  <mergeCells count="2">
    <mergeCell ref="AC6:AD6"/>
    <mergeCell ref="L1:L2"/>
  </mergeCells>
  <conditionalFormatting sqref="X10 M11:X97">
    <cfRule type="expression" dxfId="12" priority="25">
      <formula>AND($L10&lt;&gt;"")</formula>
    </cfRule>
  </conditionalFormatting>
  <conditionalFormatting sqref="V12:W97 R11:W11 R12:R97 M11:Q97">
    <cfRule type="expression" dxfId="11" priority="13">
      <formula>AND(ROUND(M11,0)&lt;0)</formula>
    </cfRule>
  </conditionalFormatting>
  <conditionalFormatting sqref="AA7">
    <cfRule type="expression" dxfId="10" priority="12">
      <formula>AND($AA$7&lt;&gt;0)</formula>
    </cfRule>
  </conditionalFormatting>
  <conditionalFormatting sqref="AI7">
    <cfRule type="expression" dxfId="9" priority="10">
      <formula>AND($AI$7&lt;&gt;"OK")</formula>
    </cfRule>
  </conditionalFormatting>
  <conditionalFormatting sqref="AI6">
    <cfRule type="expression" dxfId="8" priority="9">
      <formula>AND($AI$6&lt;&gt;"OK")</formula>
    </cfRule>
  </conditionalFormatting>
  <conditionalFormatting sqref="H12:K97 A12:E97">
    <cfRule type="expression" dxfId="7" priority="52">
      <formula>AND($L12&lt;&gt;"")</formula>
    </cfRule>
  </conditionalFormatting>
  <conditionalFormatting sqref="L10 F10:G10">
    <cfRule type="expression" dxfId="6" priority="57">
      <formula>AND(COUNTA($L:$L)-2&lt;$Q$6)</formula>
    </cfRule>
  </conditionalFormatting>
  <conditionalFormatting sqref="S12:U97">
    <cfRule type="expression" dxfId="5" priority="5">
      <formula>AND(ROUND(S12,0)&lt;0)</formula>
    </cfRule>
  </conditionalFormatting>
  <conditionalFormatting sqref="N12">
    <cfRule type="expression" dxfId="4" priority="4">
      <formula>AND($N$12&lt;=15)</formula>
    </cfRule>
  </conditionalFormatting>
  <conditionalFormatting sqref="L12:L1048576 F12:G1048576">
    <cfRule type="expression" dxfId="3" priority="85">
      <formula>AND(COUNTA($Y12:$XFD12)*30&lt;$N12,$L12&lt;&gt;"")</formula>
    </cfRule>
  </conditionalFormatting>
  <conditionalFormatting sqref="V8">
    <cfRule type="expression" dxfId="2" priority="3">
      <formula>AND($R$8*$U$8&lt;&gt;$V$8)</formula>
    </cfRule>
  </conditionalFormatting>
  <conditionalFormatting sqref="V7">
    <cfRule type="expression" dxfId="1" priority="2">
      <formula>AND($R$8*$U$7&lt;&gt;$U$7)</formula>
    </cfRule>
  </conditionalFormatting>
  <conditionalFormatting sqref="V6">
    <cfRule type="expression" dxfId="0" priority="1">
      <formula>AND($R$8*$U$6&lt;&gt;$U$6)</formula>
    </cfRule>
  </conditionalFormatting>
  <dataValidations count="7">
    <dataValidation type="decimal" operator="greaterThanOrEqual" allowBlank="1" showInputMessage="1" showErrorMessage="1" errorTitle="TEA" error="Debe ser un numero positivo" sqref="U5" xr:uid="{00000000-0002-0000-0000-000000000000}">
      <formula1>0</formula1>
    </dataValidation>
    <dataValidation operator="greaterThanOrEqual" allowBlank="1" showInputMessage="1" showErrorMessage="1" errorTitle="Meses de Gracia Inicial" error="Debe ser un numero entero positivo" sqref="Q7:Q8" xr:uid="{00000000-0002-0000-0000-000001000000}"/>
    <dataValidation type="whole" operator="greaterThan" allowBlank="1" showInputMessage="1" showErrorMessage="1" errorTitle="Numero de Cuotas" error="Debe ser un numero entero positivo" sqref="Q6" xr:uid="{00000000-0002-0000-0000-000002000000}">
      <formula1>0</formula1>
    </dataValidation>
    <dataValidation operator="greaterThan" showInputMessage="1" showErrorMessage="1" errorTitle="Fecha de la 1ra Cuota" error="Debe ser una Fecha posterior al desembolso" sqref="N7" xr:uid="{00000000-0002-0000-0000-000003000000}"/>
    <dataValidation type="date" operator="greaterThanOrEqual" showInputMessage="1" showErrorMessage="1" errorTitle="Fecha de desembolso" error="Debe ser una Fecha" sqref="N6" xr:uid="{00000000-0002-0000-0000-000004000000}">
      <formula1>36892</formula1>
    </dataValidation>
    <dataValidation type="decimal" operator="notEqual" showInputMessage="1" showErrorMessage="1" errorTitle="Monto" error="Debe ser un dato numérico" sqref="N8" xr:uid="{00000000-0002-0000-0000-000005000000}">
      <formula1>0</formula1>
    </dataValidation>
    <dataValidation type="list" allowBlank="1" showInputMessage="1" showErrorMessage="1" sqref="A12:B97" xr:uid="{00000000-0002-0000-0000-000006000000}">
      <formula1>TIPO_CUOTAS</formula1>
    </dataValidation>
  </dataValidations>
  <pageMargins left="0.70866141732283472" right="0.70866141732283472" top="0.74803149606299213" bottom="0.35433070866141736" header="0.31496062992125984" footer="0.31496062992125984"/>
  <pageSetup scale="50" orientation="landscape" r:id="rId1"/>
  <drawing r:id="rId2"/>
  <legacyDrawing r:id="rId3"/>
  <controls>
    <mc:AlternateContent xmlns:mc="http://schemas.openxmlformats.org/markup-compatibility/2006">
      <mc:Choice Requires="x14">
        <control shapeId="1027" r:id="rId4" name="btAjustar">
          <controlPr defaultSize="0" autoLine="0" autoPict="0" r:id="rId5">
            <anchor moveWithCells="1">
              <from>
                <xdr:col>17</xdr:col>
                <xdr:colOff>285750</xdr:colOff>
                <xdr:row>4</xdr:row>
                <xdr:rowOff>57150</xdr:rowOff>
              </from>
              <to>
                <xdr:col>18</xdr:col>
                <xdr:colOff>276225</xdr:colOff>
                <xdr:row>6</xdr:row>
                <xdr:rowOff>104775</xdr:rowOff>
              </to>
            </anchor>
          </controlPr>
        </control>
      </mc:Choice>
      <mc:Fallback>
        <control shapeId="1027" r:id="rId4" name="btAjustar"/>
      </mc:Fallback>
    </mc:AlternateContent>
    <mc:AlternateContent xmlns:mc="http://schemas.openxmlformats.org/markup-compatibility/2006">
      <mc:Choice Requires="x14">
        <control shapeId="1025" r:id="rId6" name="btnLimpiar">
          <controlPr defaultSize="0" autoLine="0" autoPict="0" r:id="rId7">
            <anchor moveWithCells="1">
              <from>
                <xdr:col>0</xdr:col>
                <xdr:colOff>238125</xdr:colOff>
                <xdr:row>7</xdr:row>
                <xdr:rowOff>28575</xdr:rowOff>
              </from>
              <to>
                <xdr:col>3</xdr:col>
                <xdr:colOff>552450</xdr:colOff>
                <xdr:row>8</xdr:row>
                <xdr:rowOff>133350</xdr:rowOff>
              </to>
            </anchor>
          </controlPr>
        </control>
      </mc:Choice>
      <mc:Fallback>
        <control shapeId="1025" r:id="rId6" name="btnLimpiar"/>
      </mc:Fallback>
    </mc:AlternateContent>
    <mc:AlternateContent xmlns:mc="http://schemas.openxmlformats.org/markup-compatibility/2006">
      <mc:Choice Requires="x14">
        <control shapeId="1029" r:id="rId8" name="Option Button 5">
          <controlPr defaultSize="0" autoFill="0" autoLine="0" autoPict="0" altText="Mensual Fijo">
            <anchor moveWithCells="1">
              <from>
                <xdr:col>2</xdr:col>
                <xdr:colOff>57150</xdr:colOff>
                <xdr:row>1</xdr:row>
                <xdr:rowOff>47625</xdr:rowOff>
              </from>
              <to>
                <xdr:col>4</xdr:col>
                <xdr:colOff>38100</xdr:colOff>
                <xdr:row>2</xdr:row>
                <xdr:rowOff>85725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9" name="Option Button 6">
          <controlPr defaultSize="0" autoFill="0" autoLine="0" autoPict="0" altText="Mensual Fijo">
            <anchor moveWithCells="1">
              <from>
                <xdr:col>2</xdr:col>
                <xdr:colOff>57150</xdr:colOff>
                <xdr:row>2</xdr:row>
                <xdr:rowOff>123825</xdr:rowOff>
              </from>
              <to>
                <xdr:col>4</xdr:col>
                <xdr:colOff>19050</xdr:colOff>
                <xdr:row>4</xdr:row>
                <xdr:rowOff>28575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10" name="Option Button 7">
          <controlPr defaultSize="0" autoFill="0" autoLine="0" autoPict="0" altText="Mensual Fijo">
            <anchor moveWithCells="1">
              <from>
                <xdr:col>2</xdr:col>
                <xdr:colOff>57150</xdr:colOff>
                <xdr:row>4</xdr:row>
                <xdr:rowOff>47625</xdr:rowOff>
              </from>
              <to>
                <xdr:col>4</xdr:col>
                <xdr:colOff>38100</xdr:colOff>
                <xdr:row>5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1" name="Button 19">
          <controlPr defaultSize="0" print="0" autoFill="0" autoPict="0" macro="[0]!GenerarCSV">
            <anchor moveWithCells="1" sizeWithCells="1">
              <from>
                <xdr:col>22</xdr:col>
                <xdr:colOff>419100</xdr:colOff>
                <xdr:row>3</xdr:row>
                <xdr:rowOff>171450</xdr:rowOff>
              </from>
              <to>
                <xdr:col>24</xdr:col>
                <xdr:colOff>657225</xdr:colOff>
                <xdr:row>6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9" r:id="rId12" name="Check Box 25">
          <controlPr defaultSize="0" autoFill="0" autoLine="0" autoPict="0">
            <anchor moveWithCells="1">
              <from>
                <xdr:col>14</xdr:col>
                <xdr:colOff>38100</xdr:colOff>
                <xdr:row>5</xdr:row>
                <xdr:rowOff>171450</xdr:rowOff>
              </from>
              <to>
                <xdr:col>14</xdr:col>
                <xdr:colOff>981075</xdr:colOff>
                <xdr:row>7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A5"/>
  <sheetViews>
    <sheetView workbookViewId="0"/>
  </sheetViews>
  <sheetFormatPr baseColWidth="10" defaultRowHeight="15" x14ac:dyDescent="0.25"/>
  <cols>
    <col min="1" max="1" width="14.140625" customWidth="1"/>
  </cols>
  <sheetData>
    <row r="1" spans="1:1" x14ac:dyDescent="0.25">
      <c r="A1" t="s">
        <v>100</v>
      </c>
    </row>
    <row r="3" spans="1:1" x14ac:dyDescent="0.25">
      <c r="A3" t="s">
        <v>102</v>
      </c>
    </row>
    <row r="4" spans="1:1" x14ac:dyDescent="0.25">
      <c r="A4" t="s">
        <v>101</v>
      </c>
    </row>
    <row r="5" spans="1:1" x14ac:dyDescent="0.25">
      <c r="A5" t="s">
        <v>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19</vt:i4>
      </vt:variant>
    </vt:vector>
  </HeadingPairs>
  <TitlesOfParts>
    <vt:vector size="21" baseType="lpstr">
      <vt:lpstr>Hoja1</vt:lpstr>
      <vt:lpstr>Hoja2</vt:lpstr>
      <vt:lpstr>areaFija</vt:lpstr>
      <vt:lpstr>areaFija2</vt:lpstr>
      <vt:lpstr>ARREGLO</vt:lpstr>
      <vt:lpstr>CAPITALFIJOPAGADO</vt:lpstr>
      <vt:lpstr>CUOTA</vt:lpstr>
      <vt:lpstr>CUOTAADICIONAL</vt:lpstr>
      <vt:lpstr>dataGracia</vt:lpstr>
      <vt:lpstr>FIN_REF</vt:lpstr>
      <vt:lpstr>FinLimpiar</vt:lpstr>
      <vt:lpstr>INICIO_REF</vt:lpstr>
      <vt:lpstr>InicioLimpiar</vt:lpstr>
      <vt:lpstr>MESADICIONAL</vt:lpstr>
      <vt:lpstr>MONTO</vt:lpstr>
      <vt:lpstr>NCUOTAS</vt:lpstr>
      <vt:lpstr>NPREPAGO</vt:lpstr>
      <vt:lpstr>OBJETIVO</vt:lpstr>
      <vt:lpstr>OBJETIVO2</vt:lpstr>
      <vt:lpstr>TIPO_CUOTAS</vt:lpstr>
      <vt:lpstr>TOTALCUOTAS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djhoncon</dc:creator>
  <cp:lastModifiedBy>Kenji Jhoncon</cp:lastModifiedBy>
  <cp:lastPrinted>2018-02-05T18:12:04Z</cp:lastPrinted>
  <dcterms:created xsi:type="dcterms:W3CDTF">2017-07-14T15:21:18Z</dcterms:created>
  <dcterms:modified xsi:type="dcterms:W3CDTF">2020-12-16T20:49:51Z</dcterms:modified>
</cp:coreProperties>
</file>