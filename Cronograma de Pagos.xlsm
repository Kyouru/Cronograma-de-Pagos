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Zona Trabajo\Excel Macro\Cronograma\"/>
    </mc:Choice>
  </mc:AlternateContent>
  <bookViews>
    <workbookView xWindow="-120" yWindow="-120" windowWidth="29040" windowHeight="15840"/>
  </bookViews>
  <sheets>
    <sheet name="Hoja1" sheetId="1" r:id="rId1"/>
    <sheet name="Hoja2" sheetId="2" state="hidden" r:id="rId2"/>
  </sheets>
  <definedNames>
    <definedName name="areaFija">Hoja1!$C$11</definedName>
    <definedName name="ARREGLO">Hoja1!$S$8</definedName>
    <definedName name="CUOTA">Hoja1!$M$6</definedName>
    <definedName name="CUOTAADICIONAL">Hoja1!$M$8</definedName>
    <definedName name="dataGracia">Hoja1!$A$11</definedName>
    <definedName name="InicioLimpiar">Hoja1!$A$12</definedName>
    <definedName name="MONTO">Hoja1!$J$8</definedName>
    <definedName name="NCUOTAS">Hoja1!$M$7</definedName>
    <definedName name="OBJETIVO">Hoja1!$S$7</definedName>
    <definedName name="PAGO_SIN_FIJAR">Hoja1!$F$11</definedName>
    <definedName name="PGRACIA">Hoja1!$M$9</definedName>
    <definedName name="TIPO_CUOTAS">Hoja2!$A$2:$A$5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1" i="1" l="1"/>
  <c r="N9" i="1"/>
  <c r="M9" i="1"/>
  <c r="H12" i="1" s="1"/>
  <c r="H13" i="1" l="1"/>
  <c r="H14" i="1" s="1"/>
  <c r="I11" i="1"/>
  <c r="R11" i="1"/>
  <c r="AB4" i="1"/>
  <c r="S6" i="1"/>
  <c r="Q5" i="1"/>
  <c r="H15" i="1" l="1"/>
  <c r="H16" i="1" s="1"/>
  <c r="H17" i="1" s="1"/>
  <c r="P12" i="1"/>
  <c r="Q12" i="1"/>
  <c r="O12" i="1"/>
  <c r="H18" i="1" l="1"/>
  <c r="H19" i="1" s="1"/>
  <c r="Q13" i="1"/>
  <c r="P13" i="1"/>
  <c r="O13" i="1"/>
  <c r="H20" i="1" l="1"/>
  <c r="Q19" i="1"/>
  <c r="P14" i="1"/>
  <c r="Q14" i="1"/>
  <c r="O14" i="1"/>
  <c r="C1" i="1"/>
  <c r="H21" i="1" l="1"/>
  <c r="Q20" i="1"/>
  <c r="O15" i="1"/>
  <c r="P15" i="1"/>
  <c r="Q15" i="1"/>
  <c r="E12" i="1"/>
  <c r="Q21" i="1" l="1"/>
  <c r="H22" i="1"/>
  <c r="I12" i="1"/>
  <c r="L12" i="1" s="1"/>
  <c r="E13" i="1"/>
  <c r="P16" i="1"/>
  <c r="Q16" i="1"/>
  <c r="O16" i="1"/>
  <c r="H23" i="1" l="1"/>
  <c r="Q22" i="1"/>
  <c r="P17" i="1"/>
  <c r="Q17" i="1"/>
  <c r="O17" i="1"/>
  <c r="H24" i="1" l="1"/>
  <c r="Q18" i="1"/>
  <c r="P18" i="1"/>
  <c r="O18" i="1"/>
  <c r="K12" i="1"/>
  <c r="J12" i="1"/>
  <c r="H25" i="1" l="1"/>
  <c r="P19" i="1"/>
  <c r="O19" i="1"/>
  <c r="U12" i="1"/>
  <c r="H26" i="1" l="1"/>
  <c r="V12" i="1"/>
  <c r="P20" i="1"/>
  <c r="O20" i="1"/>
  <c r="I13" i="1"/>
  <c r="E14" i="1"/>
  <c r="W12" i="1" l="1"/>
  <c r="X12" i="1" s="1"/>
  <c r="J13" i="1"/>
  <c r="L13" i="1"/>
  <c r="H27" i="1"/>
  <c r="O21" i="1"/>
  <c r="P21" i="1"/>
  <c r="I14" i="1"/>
  <c r="E15" i="1"/>
  <c r="I15" i="1" s="1"/>
  <c r="L15" i="1" s="1"/>
  <c r="Y12" i="1" l="1"/>
  <c r="J14" i="1"/>
  <c r="L14" i="1"/>
  <c r="H28" i="1"/>
  <c r="P22" i="1"/>
  <c r="O22" i="1"/>
  <c r="J15" i="1"/>
  <c r="E16" i="1"/>
  <c r="Z12" i="1" l="1"/>
  <c r="H29" i="1"/>
  <c r="P23" i="1"/>
  <c r="O23" i="1"/>
  <c r="Q23" i="1"/>
  <c r="I16" i="1"/>
  <c r="E17" i="1"/>
  <c r="I17" i="1" s="1"/>
  <c r="L17" i="1" s="1"/>
  <c r="AA12" i="1" l="1"/>
  <c r="J16" i="1"/>
  <c r="L16" i="1"/>
  <c r="H30" i="1"/>
  <c r="Q24" i="1"/>
  <c r="O24" i="1"/>
  <c r="P24" i="1"/>
  <c r="J17" i="1"/>
  <c r="E18" i="1"/>
  <c r="I18" i="1" s="1"/>
  <c r="AB12" i="1" l="1"/>
  <c r="AC12" i="1" s="1"/>
  <c r="AD12" i="1" s="1"/>
  <c r="AE12" i="1" s="1"/>
  <c r="AF12" i="1" s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AS12" i="1" s="1"/>
  <c r="AT12" i="1" s="1"/>
  <c r="AU12" i="1" s="1"/>
  <c r="AV12" i="1" s="1"/>
  <c r="AW12" i="1" s="1"/>
  <c r="AX12" i="1" s="1"/>
  <c r="AY12" i="1" s="1"/>
  <c r="AZ12" i="1" s="1"/>
  <c r="BA12" i="1" s="1"/>
  <c r="BB12" i="1" s="1"/>
  <c r="BC12" i="1" s="1"/>
  <c r="BD12" i="1" s="1"/>
  <c r="BE12" i="1" s="1"/>
  <c r="BF12" i="1" s="1"/>
  <c r="BG12" i="1" s="1"/>
  <c r="BH12" i="1" s="1"/>
  <c r="BI12" i="1" s="1"/>
  <c r="BJ12" i="1" s="1"/>
  <c r="BK12" i="1" s="1"/>
  <c r="BL12" i="1" s="1"/>
  <c r="BM12" i="1" s="1"/>
  <c r="BN12" i="1" s="1"/>
  <c r="BO12" i="1" s="1"/>
  <c r="BP12" i="1" s="1"/>
  <c r="BQ12" i="1" s="1"/>
  <c r="BR12" i="1" s="1"/>
  <c r="G12" i="1" s="1"/>
  <c r="J18" i="1"/>
  <c r="L18" i="1"/>
  <c r="H31" i="1"/>
  <c r="Q25" i="1"/>
  <c r="O25" i="1"/>
  <c r="P25" i="1"/>
  <c r="E19" i="1"/>
  <c r="I19" i="1" s="1"/>
  <c r="J19" i="1" l="1"/>
  <c r="L19" i="1"/>
  <c r="H32" i="1"/>
  <c r="P26" i="1"/>
  <c r="Q26" i="1"/>
  <c r="O26" i="1"/>
  <c r="E20" i="1"/>
  <c r="H33" i="1" l="1"/>
  <c r="O27" i="1"/>
  <c r="P27" i="1"/>
  <c r="Q27" i="1"/>
  <c r="I20" i="1"/>
  <c r="L20" i="1" s="1"/>
  <c r="E21" i="1"/>
  <c r="H34" i="1" l="1"/>
  <c r="P28" i="1"/>
  <c r="Q28" i="1"/>
  <c r="O28" i="1"/>
  <c r="J20" i="1"/>
  <c r="I21" i="1"/>
  <c r="L21" i="1" s="1"/>
  <c r="E22" i="1"/>
  <c r="I22" i="1" s="1"/>
  <c r="L22" i="1" s="1"/>
  <c r="H35" i="1" l="1"/>
  <c r="P29" i="1"/>
  <c r="Q29" i="1"/>
  <c r="O29" i="1"/>
  <c r="J22" i="1"/>
  <c r="J21" i="1"/>
  <c r="E23" i="1"/>
  <c r="I23" i="1" s="1"/>
  <c r="L23" i="1" s="1"/>
  <c r="H36" i="1" l="1"/>
  <c r="Q30" i="1"/>
  <c r="O30" i="1"/>
  <c r="P30" i="1"/>
  <c r="J23" i="1"/>
  <c r="E24" i="1"/>
  <c r="I24" i="1" s="1"/>
  <c r="J24" i="1" l="1"/>
  <c r="L24" i="1"/>
  <c r="H37" i="1"/>
  <c r="Q31" i="1"/>
  <c r="O31" i="1"/>
  <c r="P31" i="1"/>
  <c r="E25" i="1"/>
  <c r="I25" i="1" s="1"/>
  <c r="L25" i="1" s="1"/>
  <c r="T12" i="1"/>
  <c r="H38" i="1" l="1"/>
  <c r="N12" i="1"/>
  <c r="S12" i="1" s="1"/>
  <c r="P32" i="1"/>
  <c r="Q32" i="1"/>
  <c r="O32" i="1"/>
  <c r="J25" i="1"/>
  <c r="E26" i="1"/>
  <c r="H39" i="1" l="1"/>
  <c r="O33" i="1"/>
  <c r="P33" i="1"/>
  <c r="Q33" i="1"/>
  <c r="M12" i="1"/>
  <c r="I26" i="1"/>
  <c r="L26" i="1" s="1"/>
  <c r="E27" i="1"/>
  <c r="H40" i="1" l="1"/>
  <c r="R12" i="1"/>
  <c r="F12" i="1"/>
  <c r="P34" i="1"/>
  <c r="Q34" i="1"/>
  <c r="O34" i="1"/>
  <c r="J26" i="1"/>
  <c r="I27" i="1"/>
  <c r="L27" i="1" s="1"/>
  <c r="E28" i="1"/>
  <c r="E29" i="1" s="1"/>
  <c r="I29" i="1" s="1"/>
  <c r="L29" i="1" s="1"/>
  <c r="H41" i="1" l="1"/>
  <c r="P35" i="1"/>
  <c r="Q35" i="1"/>
  <c r="O35" i="1"/>
  <c r="J27" i="1"/>
  <c r="K13" i="1"/>
  <c r="U13" i="1" s="1"/>
  <c r="I28" i="1"/>
  <c r="L28" i="1" s="1"/>
  <c r="E30" i="1"/>
  <c r="I30" i="1" s="1"/>
  <c r="J30" i="1" l="1"/>
  <c r="L30" i="1"/>
  <c r="H42" i="1"/>
  <c r="Q36" i="1"/>
  <c r="P36" i="1"/>
  <c r="O36" i="1"/>
  <c r="J28" i="1"/>
  <c r="V13" i="1"/>
  <c r="G13" i="1" s="1"/>
  <c r="J29" i="1"/>
  <c r="E31" i="1"/>
  <c r="I31" i="1" s="1"/>
  <c r="J31" i="1" l="1"/>
  <c r="L31" i="1"/>
  <c r="H43" i="1"/>
  <c r="Q37" i="1"/>
  <c r="O37" i="1"/>
  <c r="P37" i="1"/>
  <c r="E32" i="1"/>
  <c r="I32" i="1" s="1"/>
  <c r="T13" i="1"/>
  <c r="J32" i="1" l="1"/>
  <c r="L32" i="1"/>
  <c r="H44" i="1"/>
  <c r="N13" i="1"/>
  <c r="S13" i="1" s="1"/>
  <c r="P38" i="1"/>
  <c r="Q38" i="1"/>
  <c r="O38" i="1"/>
  <c r="E33" i="1"/>
  <c r="I33" i="1" s="1"/>
  <c r="J33" i="1" l="1"/>
  <c r="L33" i="1"/>
  <c r="H45" i="1"/>
  <c r="O39" i="1"/>
  <c r="P39" i="1"/>
  <c r="Q39" i="1"/>
  <c r="M13" i="1"/>
  <c r="E34" i="1"/>
  <c r="I34" i="1" s="1"/>
  <c r="H46" i="1" l="1"/>
  <c r="J34" i="1"/>
  <c r="L34" i="1"/>
  <c r="R13" i="1"/>
  <c r="F13" i="1"/>
  <c r="P40" i="1"/>
  <c r="Q40" i="1"/>
  <c r="O40" i="1"/>
  <c r="E35" i="1"/>
  <c r="I35" i="1" s="1"/>
  <c r="J35" i="1" l="1"/>
  <c r="L35" i="1"/>
  <c r="H47" i="1"/>
  <c r="P41" i="1"/>
  <c r="O41" i="1"/>
  <c r="Q41" i="1"/>
  <c r="E36" i="1"/>
  <c r="I36" i="1" s="1"/>
  <c r="H48" i="1" l="1"/>
  <c r="J36" i="1"/>
  <c r="L36" i="1"/>
  <c r="Q42" i="1"/>
  <c r="P42" i="1"/>
  <c r="O42" i="1"/>
  <c r="E37" i="1"/>
  <c r="I37" i="1" s="1"/>
  <c r="J37" i="1" l="1"/>
  <c r="L37" i="1"/>
  <c r="H49" i="1"/>
  <c r="Q43" i="1"/>
  <c r="P43" i="1"/>
  <c r="O43" i="1"/>
  <c r="E38" i="1"/>
  <c r="I38" i="1" s="1"/>
  <c r="J38" i="1" l="1"/>
  <c r="L38" i="1"/>
  <c r="H50" i="1"/>
  <c r="P44" i="1"/>
  <c r="Q44" i="1"/>
  <c r="O44" i="1"/>
  <c r="E39" i="1"/>
  <c r="I39" i="1" s="1"/>
  <c r="K14" i="1"/>
  <c r="J39" i="1" l="1"/>
  <c r="L39" i="1"/>
  <c r="H51" i="1"/>
  <c r="O45" i="1"/>
  <c r="P45" i="1"/>
  <c r="Q45" i="1"/>
  <c r="E40" i="1"/>
  <c r="I40" i="1" s="1"/>
  <c r="U14" i="1"/>
  <c r="J40" i="1" l="1"/>
  <c r="L40" i="1"/>
  <c r="H52" i="1"/>
  <c r="P46" i="1"/>
  <c r="Q46" i="1"/>
  <c r="O46" i="1"/>
  <c r="V14" i="1"/>
  <c r="E41" i="1"/>
  <c r="I41" i="1" s="1"/>
  <c r="J41" i="1" l="1"/>
  <c r="L41" i="1"/>
  <c r="H53" i="1"/>
  <c r="P47" i="1"/>
  <c r="Q47" i="1"/>
  <c r="O47" i="1"/>
  <c r="G14" i="1"/>
  <c r="E42" i="1"/>
  <c r="I42" i="1" s="1"/>
  <c r="J42" i="1" l="1"/>
  <c r="L42" i="1"/>
  <c r="H54" i="1"/>
  <c r="Q48" i="1"/>
  <c r="O48" i="1"/>
  <c r="P48" i="1"/>
  <c r="E43" i="1"/>
  <c r="I43" i="1" s="1"/>
  <c r="H55" i="1" l="1"/>
  <c r="J43" i="1"/>
  <c r="L43" i="1"/>
  <c r="Q49" i="1"/>
  <c r="O49" i="1"/>
  <c r="P49" i="1"/>
  <c r="E44" i="1"/>
  <c r="I44" i="1" s="1"/>
  <c r="J44" i="1" l="1"/>
  <c r="L44" i="1"/>
  <c r="H56" i="1"/>
  <c r="P50" i="1"/>
  <c r="Q50" i="1"/>
  <c r="O50" i="1"/>
  <c r="E45" i="1"/>
  <c r="I45" i="1" s="1"/>
  <c r="J45" i="1" l="1"/>
  <c r="L45" i="1"/>
  <c r="H57" i="1"/>
  <c r="O51" i="1"/>
  <c r="P51" i="1"/>
  <c r="Q51" i="1"/>
  <c r="E46" i="1"/>
  <c r="I46" i="1" s="1"/>
  <c r="H58" i="1" l="1"/>
  <c r="J46" i="1"/>
  <c r="L46" i="1"/>
  <c r="P52" i="1"/>
  <c r="Q52" i="1"/>
  <c r="O52" i="1"/>
  <c r="E47" i="1"/>
  <c r="I47" i="1" s="1"/>
  <c r="J47" i="1" l="1"/>
  <c r="L47" i="1"/>
  <c r="H59" i="1"/>
  <c r="P53" i="1"/>
  <c r="Q53" i="1"/>
  <c r="O53" i="1"/>
  <c r="E48" i="1"/>
  <c r="I48" i="1" s="1"/>
  <c r="J48" i="1" l="1"/>
  <c r="L48" i="1"/>
  <c r="H60" i="1"/>
  <c r="Q54" i="1"/>
  <c r="P54" i="1"/>
  <c r="O54" i="1"/>
  <c r="E49" i="1"/>
  <c r="I49" i="1" s="1"/>
  <c r="T14" i="1"/>
  <c r="H61" i="1" l="1"/>
  <c r="J49" i="1"/>
  <c r="L49" i="1"/>
  <c r="N14" i="1"/>
  <c r="S14" i="1" s="1"/>
  <c r="Q55" i="1"/>
  <c r="P55" i="1"/>
  <c r="O55" i="1"/>
  <c r="E50" i="1"/>
  <c r="I50" i="1" s="1"/>
  <c r="J50" i="1" l="1"/>
  <c r="L50" i="1"/>
  <c r="H62" i="1"/>
  <c r="P56" i="1"/>
  <c r="Q56" i="1"/>
  <c r="O56" i="1"/>
  <c r="M14" i="1"/>
  <c r="E51" i="1"/>
  <c r="I51" i="1" s="1"/>
  <c r="J51" i="1" l="1"/>
  <c r="L51" i="1"/>
  <c r="H63" i="1"/>
  <c r="R14" i="1"/>
  <c r="K15" i="1" s="1"/>
  <c r="F14" i="1"/>
  <c r="O57" i="1"/>
  <c r="P57" i="1"/>
  <c r="Q57" i="1"/>
  <c r="E52" i="1"/>
  <c r="I52" i="1" s="1"/>
  <c r="J52" i="1" l="1"/>
  <c r="L52" i="1"/>
  <c r="H64" i="1"/>
  <c r="P58" i="1"/>
  <c r="Q58" i="1"/>
  <c r="O58" i="1"/>
  <c r="U15" i="1"/>
  <c r="E53" i="1"/>
  <c r="I53" i="1" s="1"/>
  <c r="J53" i="1" l="1"/>
  <c r="L53" i="1"/>
  <c r="H65" i="1"/>
  <c r="P59" i="1"/>
  <c r="O59" i="1"/>
  <c r="Q59" i="1"/>
  <c r="V15" i="1"/>
  <c r="E54" i="1"/>
  <c r="I54" i="1" s="1"/>
  <c r="H66" i="1" l="1"/>
  <c r="J54" i="1"/>
  <c r="L54" i="1"/>
  <c r="Q60" i="1"/>
  <c r="O60" i="1"/>
  <c r="P60" i="1"/>
  <c r="G15" i="1"/>
  <c r="E55" i="1"/>
  <c r="I55" i="1" s="1"/>
  <c r="J55" i="1" l="1"/>
  <c r="L55" i="1"/>
  <c r="H67" i="1"/>
  <c r="Q61" i="1"/>
  <c r="O61" i="1"/>
  <c r="P61" i="1"/>
  <c r="E56" i="1"/>
  <c r="I56" i="1" s="1"/>
  <c r="J56" i="1" l="1"/>
  <c r="L56" i="1"/>
  <c r="H68" i="1"/>
  <c r="P62" i="1"/>
  <c r="Q62" i="1"/>
  <c r="O62" i="1"/>
  <c r="E57" i="1"/>
  <c r="I57" i="1" s="1"/>
  <c r="J57" i="1" l="1"/>
  <c r="L57" i="1"/>
  <c r="H69" i="1"/>
  <c r="O63" i="1"/>
  <c r="P63" i="1"/>
  <c r="Q63" i="1"/>
  <c r="E58" i="1"/>
  <c r="I58" i="1" s="1"/>
  <c r="J58" i="1" l="1"/>
  <c r="L58" i="1"/>
  <c r="H70" i="1"/>
  <c r="P64" i="1"/>
  <c r="Q64" i="1"/>
  <c r="O64" i="1"/>
  <c r="E59" i="1"/>
  <c r="I59" i="1" s="1"/>
  <c r="T15" i="1"/>
  <c r="J59" i="1" l="1"/>
  <c r="L59" i="1"/>
  <c r="H71" i="1"/>
  <c r="N15" i="1"/>
  <c r="S15" i="1" s="1"/>
  <c r="P65" i="1"/>
  <c r="Q65" i="1"/>
  <c r="O65" i="1"/>
  <c r="E60" i="1"/>
  <c r="I60" i="1" s="1"/>
  <c r="L60" i="1" s="1"/>
  <c r="H72" i="1" l="1"/>
  <c r="J60" i="1"/>
  <c r="Q66" i="1"/>
  <c r="O66" i="1"/>
  <c r="P66" i="1"/>
  <c r="M15" i="1"/>
  <c r="E61" i="1"/>
  <c r="I61" i="1" s="1"/>
  <c r="L61" i="1" s="1"/>
  <c r="H73" i="1" l="1"/>
  <c r="J61" i="1"/>
  <c r="R15" i="1"/>
  <c r="F15" i="1"/>
  <c r="Q67" i="1"/>
  <c r="O67" i="1"/>
  <c r="P67" i="1"/>
  <c r="E62" i="1"/>
  <c r="I62" i="1" s="1"/>
  <c r="L62" i="1" s="1"/>
  <c r="H74" i="1" l="1"/>
  <c r="J62" i="1"/>
  <c r="P68" i="1"/>
  <c r="Q68" i="1"/>
  <c r="O68" i="1"/>
  <c r="K16" i="1"/>
  <c r="E63" i="1"/>
  <c r="I63" i="1" s="1"/>
  <c r="L63" i="1" s="1"/>
  <c r="H75" i="1" l="1"/>
  <c r="J63" i="1"/>
  <c r="O69" i="1"/>
  <c r="P69" i="1"/>
  <c r="Q69" i="1"/>
  <c r="U16" i="1"/>
  <c r="E64" i="1"/>
  <c r="I64" i="1" s="1"/>
  <c r="L64" i="1" s="1"/>
  <c r="H76" i="1" l="1"/>
  <c r="J64" i="1"/>
  <c r="P70" i="1"/>
  <c r="Q70" i="1"/>
  <c r="O70" i="1"/>
  <c r="V16" i="1"/>
  <c r="T16" i="1" s="1"/>
  <c r="E65" i="1"/>
  <c r="I65" i="1" s="1"/>
  <c r="L65" i="1" s="1"/>
  <c r="H77" i="1" l="1"/>
  <c r="J65" i="1"/>
  <c r="N16" i="1"/>
  <c r="S16" i="1" s="1"/>
  <c r="P71" i="1"/>
  <c r="Q71" i="1"/>
  <c r="O71" i="1"/>
  <c r="G16" i="1"/>
  <c r="E66" i="1"/>
  <c r="I66" i="1" s="1"/>
  <c r="L66" i="1" s="1"/>
  <c r="H78" i="1" l="1"/>
  <c r="J66" i="1"/>
  <c r="Q72" i="1"/>
  <c r="P72" i="1"/>
  <c r="O72" i="1"/>
  <c r="M16" i="1"/>
  <c r="E67" i="1"/>
  <c r="I67" i="1" s="1"/>
  <c r="L67" i="1" s="1"/>
  <c r="H79" i="1" l="1"/>
  <c r="J67" i="1"/>
  <c r="R16" i="1"/>
  <c r="K17" i="1" s="1"/>
  <c r="F16" i="1"/>
  <c r="Q73" i="1"/>
  <c r="O73" i="1"/>
  <c r="P73" i="1"/>
  <c r="U17" i="1"/>
  <c r="E68" i="1"/>
  <c r="I68" i="1" s="1"/>
  <c r="L68" i="1" s="1"/>
  <c r="H80" i="1" l="1"/>
  <c r="J68" i="1"/>
  <c r="P74" i="1"/>
  <c r="Q74" i="1"/>
  <c r="O74" i="1"/>
  <c r="V17" i="1"/>
  <c r="T17" i="1" s="1"/>
  <c r="E69" i="1"/>
  <c r="I69" i="1" s="1"/>
  <c r="L69" i="1" s="1"/>
  <c r="H81" i="1" l="1"/>
  <c r="J69" i="1"/>
  <c r="O75" i="1"/>
  <c r="Q75" i="1"/>
  <c r="P75" i="1"/>
  <c r="G17" i="1"/>
  <c r="N17" i="1"/>
  <c r="S17" i="1" s="1"/>
  <c r="E70" i="1"/>
  <c r="I70" i="1" s="1"/>
  <c r="L70" i="1" s="1"/>
  <c r="H82" i="1" l="1"/>
  <c r="J70" i="1"/>
  <c r="P76" i="1"/>
  <c r="Q76" i="1"/>
  <c r="O76" i="1"/>
  <c r="M17" i="1"/>
  <c r="E71" i="1"/>
  <c r="I71" i="1" s="1"/>
  <c r="L71" i="1" s="1"/>
  <c r="H83" i="1" l="1"/>
  <c r="J71" i="1"/>
  <c r="R17" i="1"/>
  <c r="K18" i="1" s="1"/>
  <c r="F17" i="1"/>
  <c r="P77" i="1"/>
  <c r="O77" i="1"/>
  <c r="Q77" i="1"/>
  <c r="E72" i="1"/>
  <c r="I72" i="1" s="1"/>
  <c r="L72" i="1" s="1"/>
  <c r="H84" i="1" l="1"/>
  <c r="J72" i="1"/>
  <c r="U18" i="1"/>
  <c r="Q78" i="1"/>
  <c r="P78" i="1"/>
  <c r="O78" i="1"/>
  <c r="E73" i="1"/>
  <c r="I73" i="1" s="1"/>
  <c r="L73" i="1" s="1"/>
  <c r="H85" i="1" l="1"/>
  <c r="J73" i="1"/>
  <c r="V18" i="1"/>
  <c r="T18" i="1" s="1"/>
  <c r="N18" i="1" s="1"/>
  <c r="S18" i="1" s="1"/>
  <c r="Q79" i="1"/>
  <c r="P79" i="1"/>
  <c r="O79" i="1"/>
  <c r="E74" i="1"/>
  <c r="I74" i="1" s="1"/>
  <c r="L74" i="1" s="1"/>
  <c r="H86" i="1" l="1"/>
  <c r="J74" i="1"/>
  <c r="G18" i="1"/>
  <c r="P80" i="1"/>
  <c r="Q80" i="1"/>
  <c r="O80" i="1"/>
  <c r="M18" i="1"/>
  <c r="E75" i="1"/>
  <c r="I75" i="1" s="1"/>
  <c r="L75" i="1" s="1"/>
  <c r="H87" i="1" l="1"/>
  <c r="J75" i="1"/>
  <c r="R18" i="1"/>
  <c r="F18" i="1"/>
  <c r="O81" i="1"/>
  <c r="Q81" i="1"/>
  <c r="P81" i="1"/>
  <c r="K19" i="1"/>
  <c r="E76" i="1"/>
  <c r="I76" i="1" s="1"/>
  <c r="L76" i="1" s="1"/>
  <c r="H88" i="1" l="1"/>
  <c r="J76" i="1"/>
  <c r="U19" i="1"/>
  <c r="V19" i="1" s="1"/>
  <c r="P82" i="1"/>
  <c r="Q82" i="1"/>
  <c r="O82" i="1"/>
  <c r="E77" i="1"/>
  <c r="I77" i="1" s="1"/>
  <c r="L77" i="1" s="1"/>
  <c r="H89" i="1" l="1"/>
  <c r="J77" i="1"/>
  <c r="P83" i="1"/>
  <c r="Q83" i="1"/>
  <c r="O83" i="1"/>
  <c r="E78" i="1"/>
  <c r="I78" i="1" s="1"/>
  <c r="L78" i="1" s="1"/>
  <c r="H90" i="1" l="1"/>
  <c r="J78" i="1"/>
  <c r="Q84" i="1"/>
  <c r="P84" i="1"/>
  <c r="O84" i="1"/>
  <c r="E79" i="1"/>
  <c r="I79" i="1" s="1"/>
  <c r="L79" i="1" s="1"/>
  <c r="H91" i="1" l="1"/>
  <c r="J79" i="1"/>
  <c r="G19" i="1"/>
  <c r="Q85" i="1"/>
  <c r="P85" i="1"/>
  <c r="O85" i="1"/>
  <c r="E80" i="1"/>
  <c r="I80" i="1" s="1"/>
  <c r="L80" i="1" s="1"/>
  <c r="H92" i="1" l="1"/>
  <c r="J80" i="1"/>
  <c r="T19" i="1"/>
  <c r="N19" i="1" s="1"/>
  <c r="M19" i="1" s="1"/>
  <c r="P86" i="1"/>
  <c r="Q86" i="1"/>
  <c r="O86" i="1"/>
  <c r="E81" i="1"/>
  <c r="I81" i="1" s="1"/>
  <c r="L81" i="1" s="1"/>
  <c r="H93" i="1" l="1"/>
  <c r="J81" i="1"/>
  <c r="S19" i="1"/>
  <c r="R19" i="1"/>
  <c r="K20" i="1" s="1"/>
  <c r="F19" i="1"/>
  <c r="O87" i="1"/>
  <c r="Q87" i="1"/>
  <c r="P87" i="1"/>
  <c r="E82" i="1"/>
  <c r="I82" i="1" s="1"/>
  <c r="L82" i="1" s="1"/>
  <c r="H94" i="1" l="1"/>
  <c r="J82" i="1"/>
  <c r="U20" i="1"/>
  <c r="V20" i="1" s="1"/>
  <c r="G20" i="1" s="1"/>
  <c r="P88" i="1"/>
  <c r="Q88" i="1"/>
  <c r="O88" i="1"/>
  <c r="E83" i="1"/>
  <c r="I83" i="1" s="1"/>
  <c r="L83" i="1" s="1"/>
  <c r="H95" i="1" l="1"/>
  <c r="J83" i="1"/>
  <c r="T20" i="1"/>
  <c r="N20" i="1" s="1"/>
  <c r="S20" i="1" s="1"/>
  <c r="P89" i="1"/>
  <c r="Q89" i="1"/>
  <c r="O89" i="1"/>
  <c r="E84" i="1"/>
  <c r="I84" i="1" s="1"/>
  <c r="L84" i="1" s="1"/>
  <c r="H96" i="1" l="1"/>
  <c r="J84" i="1"/>
  <c r="M20" i="1"/>
  <c r="Q90" i="1"/>
  <c r="P90" i="1"/>
  <c r="O90" i="1"/>
  <c r="E85" i="1"/>
  <c r="I85" i="1" s="1"/>
  <c r="L85" i="1" s="1"/>
  <c r="H97" i="1" l="1"/>
  <c r="J85" i="1"/>
  <c r="F20" i="1"/>
  <c r="R20" i="1"/>
  <c r="K21" i="1" s="1"/>
  <c r="Q91" i="1"/>
  <c r="O91" i="1"/>
  <c r="P91" i="1"/>
  <c r="E86" i="1"/>
  <c r="I86" i="1" s="1"/>
  <c r="L86" i="1" s="1"/>
  <c r="H98" i="1" l="1"/>
  <c r="J86" i="1"/>
  <c r="U21" i="1"/>
  <c r="V21" i="1" s="1"/>
  <c r="P92" i="1"/>
  <c r="Q92" i="1"/>
  <c r="O92" i="1"/>
  <c r="E87" i="1"/>
  <c r="I87" i="1" s="1"/>
  <c r="L87" i="1" s="1"/>
  <c r="H99" i="1" l="1"/>
  <c r="J87" i="1"/>
  <c r="T21" i="1"/>
  <c r="N21" i="1" s="1"/>
  <c r="S21" i="1" s="1"/>
  <c r="G21" i="1"/>
  <c r="O93" i="1"/>
  <c r="Q93" i="1"/>
  <c r="P93" i="1"/>
  <c r="E88" i="1"/>
  <c r="I88" i="1" s="1"/>
  <c r="L88" i="1" s="1"/>
  <c r="H100" i="1" l="1"/>
  <c r="M21" i="1"/>
  <c r="R21" i="1" s="1"/>
  <c r="K22" i="1" s="1"/>
  <c r="J88" i="1"/>
  <c r="P94" i="1"/>
  <c r="Q94" i="1"/>
  <c r="O94" i="1"/>
  <c r="E89" i="1"/>
  <c r="I89" i="1" s="1"/>
  <c r="L89" i="1" s="1"/>
  <c r="H101" i="1" l="1"/>
  <c r="F21" i="1"/>
  <c r="J89" i="1"/>
  <c r="U22" i="1"/>
  <c r="V22" i="1" s="1"/>
  <c r="T22" i="1" s="1"/>
  <c r="P95" i="1"/>
  <c r="O95" i="1"/>
  <c r="Q95" i="1"/>
  <c r="E90" i="1"/>
  <c r="I90" i="1" s="1"/>
  <c r="L90" i="1" s="1"/>
  <c r="H102" i="1" l="1"/>
  <c r="J90" i="1"/>
  <c r="N22" i="1"/>
  <c r="M22" i="1" s="1"/>
  <c r="R22" i="1" s="1"/>
  <c r="K23" i="1" s="1"/>
  <c r="G22" i="1"/>
  <c r="Q96" i="1"/>
  <c r="P96" i="1"/>
  <c r="O96" i="1"/>
  <c r="E91" i="1"/>
  <c r="I91" i="1" s="1"/>
  <c r="L91" i="1" s="1"/>
  <c r="H103" i="1" l="1"/>
  <c r="S22" i="1"/>
  <c r="J91" i="1"/>
  <c r="U23" i="1"/>
  <c r="V23" i="1" s="1"/>
  <c r="T23" i="1" s="1"/>
  <c r="N23" i="1" s="1"/>
  <c r="F22" i="1"/>
  <c r="Q97" i="1"/>
  <c r="P97" i="1"/>
  <c r="O97" i="1"/>
  <c r="E92" i="1"/>
  <c r="I92" i="1" s="1"/>
  <c r="L92" i="1" s="1"/>
  <c r="H104" i="1" l="1"/>
  <c r="J92" i="1"/>
  <c r="M23" i="1"/>
  <c r="R23" i="1" s="1"/>
  <c r="K24" i="1" s="1"/>
  <c r="S23" i="1"/>
  <c r="G23" i="1"/>
  <c r="F23" i="1"/>
  <c r="P98" i="1"/>
  <c r="Q98" i="1"/>
  <c r="O98" i="1"/>
  <c r="E93" i="1"/>
  <c r="I93" i="1" s="1"/>
  <c r="L93" i="1" s="1"/>
  <c r="H105" i="1" l="1"/>
  <c r="J93" i="1"/>
  <c r="U24" i="1"/>
  <c r="V24" i="1" s="1"/>
  <c r="G24" i="1" s="1"/>
  <c r="O99" i="1"/>
  <c r="Q99" i="1"/>
  <c r="P99" i="1"/>
  <c r="E94" i="1"/>
  <c r="I94" i="1" s="1"/>
  <c r="L94" i="1" s="1"/>
  <c r="H106" i="1" l="1"/>
  <c r="J94" i="1"/>
  <c r="P100" i="1"/>
  <c r="Q100" i="1"/>
  <c r="O100" i="1"/>
  <c r="T24" i="1"/>
  <c r="E95" i="1"/>
  <c r="I95" i="1" s="1"/>
  <c r="L95" i="1" s="1"/>
  <c r="H107" i="1" l="1"/>
  <c r="J95" i="1"/>
  <c r="P101" i="1"/>
  <c r="Q101" i="1"/>
  <c r="O101" i="1"/>
  <c r="N24" i="1"/>
  <c r="S24" i="1" s="1"/>
  <c r="E96" i="1"/>
  <c r="I96" i="1" s="1"/>
  <c r="L96" i="1" s="1"/>
  <c r="H108" i="1" l="1"/>
  <c r="J96" i="1"/>
  <c r="M24" i="1"/>
  <c r="Q102" i="1"/>
  <c r="O102" i="1"/>
  <c r="P102" i="1"/>
  <c r="E97" i="1"/>
  <c r="I97" i="1" s="1"/>
  <c r="L97" i="1" s="1"/>
  <c r="H109" i="1" l="1"/>
  <c r="J97" i="1"/>
  <c r="R24" i="1"/>
  <c r="K25" i="1" s="1"/>
  <c r="F24" i="1"/>
  <c r="Q103" i="1"/>
  <c r="O103" i="1"/>
  <c r="P103" i="1"/>
  <c r="E98" i="1"/>
  <c r="I98" i="1" s="1"/>
  <c r="L98" i="1" s="1"/>
  <c r="H110" i="1" l="1"/>
  <c r="J98" i="1"/>
  <c r="U25" i="1"/>
  <c r="V25" i="1" s="1"/>
  <c r="P104" i="1"/>
  <c r="Q104" i="1"/>
  <c r="O104" i="1"/>
  <c r="E99" i="1"/>
  <c r="I99" i="1" s="1"/>
  <c r="L99" i="1" s="1"/>
  <c r="H111" i="1" l="1"/>
  <c r="J99" i="1"/>
  <c r="O105" i="1"/>
  <c r="Q105" i="1"/>
  <c r="P105" i="1"/>
  <c r="T25" i="1"/>
  <c r="E100" i="1"/>
  <c r="I100" i="1" s="1"/>
  <c r="L100" i="1" s="1"/>
  <c r="H112" i="1" l="1"/>
  <c r="J100" i="1"/>
  <c r="Q106" i="1"/>
  <c r="P106" i="1"/>
  <c r="O106" i="1"/>
  <c r="N25" i="1"/>
  <c r="M25" i="1" s="1"/>
  <c r="R25" i="1" s="1"/>
  <c r="K26" i="1" s="1"/>
  <c r="G25" i="1"/>
  <c r="E101" i="1"/>
  <c r="I101" i="1" s="1"/>
  <c r="L101" i="1" s="1"/>
  <c r="H113" i="1" l="1"/>
  <c r="J101" i="1"/>
  <c r="F25" i="1"/>
  <c r="S25" i="1"/>
  <c r="P107" i="1"/>
  <c r="Q107" i="1"/>
  <c r="O107" i="1"/>
  <c r="E102" i="1"/>
  <c r="I102" i="1" s="1"/>
  <c r="L102" i="1" s="1"/>
  <c r="H114" i="1" l="1"/>
  <c r="J102" i="1"/>
  <c r="U26" i="1"/>
  <c r="Q108" i="1"/>
  <c r="P108" i="1"/>
  <c r="O108" i="1"/>
  <c r="E103" i="1"/>
  <c r="I103" i="1" s="1"/>
  <c r="L103" i="1" s="1"/>
  <c r="H115" i="1" l="1"/>
  <c r="J103" i="1"/>
  <c r="V26" i="1"/>
  <c r="G26" i="1" s="1"/>
  <c r="Q109" i="1"/>
  <c r="O109" i="1"/>
  <c r="P109" i="1"/>
  <c r="E104" i="1"/>
  <c r="I104" i="1" s="1"/>
  <c r="L104" i="1" s="1"/>
  <c r="H116" i="1" l="1"/>
  <c r="J104" i="1"/>
  <c r="T26" i="1"/>
  <c r="N26" i="1" s="1"/>
  <c r="P110" i="1"/>
  <c r="Q110" i="1"/>
  <c r="O110" i="1"/>
  <c r="E105" i="1"/>
  <c r="I105" i="1" s="1"/>
  <c r="L105" i="1" s="1"/>
  <c r="H117" i="1" l="1"/>
  <c r="J105" i="1"/>
  <c r="S26" i="1"/>
  <c r="M26" i="1"/>
  <c r="O111" i="1"/>
  <c r="Q111" i="1"/>
  <c r="P111" i="1"/>
  <c r="E106" i="1"/>
  <c r="I106" i="1" s="1"/>
  <c r="L106" i="1" s="1"/>
  <c r="H118" i="1" l="1"/>
  <c r="J106" i="1"/>
  <c r="R26" i="1"/>
  <c r="K27" i="1" s="1"/>
  <c r="F26" i="1"/>
  <c r="Q112" i="1"/>
  <c r="P112" i="1"/>
  <c r="O112" i="1"/>
  <c r="E107" i="1"/>
  <c r="I107" i="1" s="1"/>
  <c r="L107" i="1" s="1"/>
  <c r="H119" i="1" l="1"/>
  <c r="J107" i="1"/>
  <c r="U27" i="1"/>
  <c r="V27" i="1" s="1"/>
  <c r="P113" i="1"/>
  <c r="O113" i="1"/>
  <c r="Q113" i="1"/>
  <c r="E108" i="1"/>
  <c r="I108" i="1" s="1"/>
  <c r="L108" i="1" s="1"/>
  <c r="H120" i="1" l="1"/>
  <c r="J108" i="1"/>
  <c r="G27" i="1"/>
  <c r="T27" i="1"/>
  <c r="N27" i="1" s="1"/>
  <c r="M27" i="1" s="1"/>
  <c r="Q114" i="1"/>
  <c r="P114" i="1"/>
  <c r="O114" i="1"/>
  <c r="E109" i="1"/>
  <c r="I109" i="1" s="1"/>
  <c r="L109" i="1" s="1"/>
  <c r="H121" i="1" l="1"/>
  <c r="J109" i="1"/>
  <c r="R27" i="1"/>
  <c r="K28" i="1" s="1"/>
  <c r="F27" i="1"/>
  <c r="S27" i="1"/>
  <c r="Q115" i="1"/>
  <c r="P115" i="1"/>
  <c r="O115" i="1"/>
  <c r="E110" i="1"/>
  <c r="I110" i="1" s="1"/>
  <c r="L110" i="1" s="1"/>
  <c r="H122" i="1" l="1"/>
  <c r="J110" i="1"/>
  <c r="U28" i="1"/>
  <c r="V28" i="1" s="1"/>
  <c r="P116" i="1"/>
  <c r="Q116" i="1"/>
  <c r="O116" i="1"/>
  <c r="E111" i="1"/>
  <c r="I111" i="1" s="1"/>
  <c r="L111" i="1" s="1"/>
  <c r="H123" i="1" l="1"/>
  <c r="J111" i="1"/>
  <c r="G28" i="1"/>
  <c r="T28" i="1"/>
  <c r="N28" i="1" s="1"/>
  <c r="M28" i="1" s="1"/>
  <c r="O117" i="1"/>
  <c r="Q117" i="1"/>
  <c r="P117" i="1"/>
  <c r="E112" i="1"/>
  <c r="I112" i="1" s="1"/>
  <c r="L112" i="1" s="1"/>
  <c r="H124" i="1" l="1"/>
  <c r="J112" i="1"/>
  <c r="S28" i="1"/>
  <c r="R28" i="1"/>
  <c r="K29" i="1" s="1"/>
  <c r="F28" i="1"/>
  <c r="Q118" i="1"/>
  <c r="O118" i="1"/>
  <c r="P118" i="1"/>
  <c r="E113" i="1"/>
  <c r="I113" i="1" s="1"/>
  <c r="L113" i="1" s="1"/>
  <c r="H125" i="1" l="1"/>
  <c r="J113" i="1"/>
  <c r="U29" i="1"/>
  <c r="V29" i="1" s="1"/>
  <c r="P119" i="1"/>
  <c r="Q119" i="1"/>
  <c r="O119" i="1"/>
  <c r="E114" i="1"/>
  <c r="I114" i="1" s="1"/>
  <c r="L114" i="1" s="1"/>
  <c r="H126" i="1" l="1"/>
  <c r="J114" i="1"/>
  <c r="T29" i="1"/>
  <c r="N29" i="1" s="1"/>
  <c r="M29" i="1" s="1"/>
  <c r="G29" i="1"/>
  <c r="Q120" i="1"/>
  <c r="P120" i="1"/>
  <c r="O120" i="1"/>
  <c r="E115" i="1"/>
  <c r="I115" i="1" s="1"/>
  <c r="L115" i="1" s="1"/>
  <c r="H127" i="1" l="1"/>
  <c r="S29" i="1"/>
  <c r="J115" i="1"/>
  <c r="R29" i="1"/>
  <c r="K30" i="1" s="1"/>
  <c r="F29" i="1"/>
  <c r="Q121" i="1"/>
  <c r="P121" i="1"/>
  <c r="O121" i="1"/>
  <c r="E116" i="1"/>
  <c r="I116" i="1" s="1"/>
  <c r="L116" i="1" s="1"/>
  <c r="H128" i="1" l="1"/>
  <c r="J116" i="1"/>
  <c r="U30" i="1"/>
  <c r="V30" i="1" s="1"/>
  <c r="P122" i="1"/>
  <c r="Q122" i="1"/>
  <c r="O122" i="1"/>
  <c r="E117" i="1"/>
  <c r="I117" i="1" s="1"/>
  <c r="L117" i="1" s="1"/>
  <c r="H129" i="1" l="1"/>
  <c r="J117" i="1"/>
  <c r="T30" i="1"/>
  <c r="N30" i="1" s="1"/>
  <c r="G30" i="1"/>
  <c r="O123" i="1"/>
  <c r="Q123" i="1"/>
  <c r="P123" i="1"/>
  <c r="E118" i="1"/>
  <c r="I118" i="1" s="1"/>
  <c r="L118" i="1" s="1"/>
  <c r="H130" i="1" l="1"/>
  <c r="J118" i="1"/>
  <c r="S30" i="1"/>
  <c r="M30" i="1"/>
  <c r="Q124" i="1"/>
  <c r="P124" i="1"/>
  <c r="O124" i="1"/>
  <c r="E119" i="1"/>
  <c r="I119" i="1" s="1"/>
  <c r="L119" i="1" s="1"/>
  <c r="H131" i="1" l="1"/>
  <c r="J119" i="1"/>
  <c r="F30" i="1"/>
  <c r="R30" i="1"/>
  <c r="K31" i="1" s="1"/>
  <c r="P125" i="1"/>
  <c r="Q125" i="1"/>
  <c r="O125" i="1"/>
  <c r="E120" i="1"/>
  <c r="I120" i="1" s="1"/>
  <c r="L120" i="1" s="1"/>
  <c r="H132" i="1" l="1"/>
  <c r="J120" i="1"/>
  <c r="U31" i="1"/>
  <c r="V31" i="1" s="1"/>
  <c r="Q126" i="1"/>
  <c r="P126" i="1"/>
  <c r="O126" i="1"/>
  <c r="E121" i="1"/>
  <c r="I121" i="1" s="1"/>
  <c r="L121" i="1" s="1"/>
  <c r="H133" i="1" l="1"/>
  <c r="J121" i="1"/>
  <c r="T31" i="1"/>
  <c r="N31" i="1" s="1"/>
  <c r="M31" i="1" s="1"/>
  <c r="G31" i="1"/>
  <c r="Q127" i="1"/>
  <c r="P127" i="1"/>
  <c r="O127" i="1"/>
  <c r="E122" i="1"/>
  <c r="I122" i="1" s="1"/>
  <c r="L122" i="1" s="1"/>
  <c r="H134" i="1" l="1"/>
  <c r="S31" i="1"/>
  <c r="J122" i="1"/>
  <c r="R31" i="1"/>
  <c r="K32" i="1" s="1"/>
  <c r="F31" i="1"/>
  <c r="P128" i="1"/>
  <c r="Q128" i="1"/>
  <c r="O128" i="1"/>
  <c r="E123" i="1"/>
  <c r="I123" i="1" s="1"/>
  <c r="L123" i="1" s="1"/>
  <c r="H135" i="1" l="1"/>
  <c r="J123" i="1"/>
  <c r="U32" i="1"/>
  <c r="V32" i="1" s="1"/>
  <c r="Q129" i="1"/>
  <c r="P129" i="1"/>
  <c r="O129" i="1"/>
  <c r="E124" i="1"/>
  <c r="I124" i="1" s="1"/>
  <c r="L124" i="1" s="1"/>
  <c r="H136" i="1" l="1"/>
  <c r="J124" i="1"/>
  <c r="T32" i="1"/>
  <c r="N32" i="1" s="1"/>
  <c r="G32" i="1"/>
  <c r="Q130" i="1"/>
  <c r="O130" i="1"/>
  <c r="P130" i="1"/>
  <c r="E125" i="1"/>
  <c r="I125" i="1" s="1"/>
  <c r="L125" i="1" s="1"/>
  <c r="H137" i="1" l="1"/>
  <c r="J125" i="1"/>
  <c r="M32" i="1"/>
  <c r="S32" i="1"/>
  <c r="P131" i="1"/>
  <c r="O131" i="1"/>
  <c r="Q131" i="1"/>
  <c r="E126" i="1"/>
  <c r="I126" i="1" s="1"/>
  <c r="L126" i="1" s="1"/>
  <c r="H138" i="1" l="1"/>
  <c r="J126" i="1"/>
  <c r="R32" i="1"/>
  <c r="K33" i="1" s="1"/>
  <c r="F32" i="1"/>
  <c r="Q132" i="1"/>
  <c r="P132" i="1"/>
  <c r="O132" i="1"/>
  <c r="E127" i="1"/>
  <c r="I127" i="1" s="1"/>
  <c r="L127" i="1" s="1"/>
  <c r="H139" i="1" l="1"/>
  <c r="J127" i="1"/>
  <c r="U33" i="1"/>
  <c r="V33" i="1" s="1"/>
  <c r="Q133" i="1"/>
  <c r="P133" i="1"/>
  <c r="O133" i="1"/>
  <c r="E128" i="1"/>
  <c r="I128" i="1" s="1"/>
  <c r="L128" i="1" s="1"/>
  <c r="H140" i="1" l="1"/>
  <c r="J128" i="1"/>
  <c r="T33" i="1"/>
  <c r="N33" i="1" s="1"/>
  <c r="G33" i="1"/>
  <c r="P134" i="1"/>
  <c r="Q134" i="1"/>
  <c r="O134" i="1"/>
  <c r="E129" i="1"/>
  <c r="I129" i="1" s="1"/>
  <c r="L129" i="1" s="1"/>
  <c r="H141" i="1" l="1"/>
  <c r="J129" i="1"/>
  <c r="S33" i="1"/>
  <c r="M33" i="1"/>
  <c r="Q135" i="1"/>
  <c r="P135" i="1"/>
  <c r="O135" i="1"/>
  <c r="E130" i="1"/>
  <c r="I130" i="1" s="1"/>
  <c r="L130" i="1" s="1"/>
  <c r="H142" i="1" l="1"/>
  <c r="J130" i="1"/>
  <c r="R33" i="1"/>
  <c r="K34" i="1" s="1"/>
  <c r="F33" i="1"/>
  <c r="Q136" i="1"/>
  <c r="O136" i="1"/>
  <c r="P136" i="1"/>
  <c r="E131" i="1"/>
  <c r="I131" i="1" s="1"/>
  <c r="L131" i="1" s="1"/>
  <c r="H143" i="1" l="1"/>
  <c r="J131" i="1"/>
  <c r="U34" i="1"/>
  <c r="V34" i="1" s="1"/>
  <c r="P137" i="1"/>
  <c r="O137" i="1"/>
  <c r="Q137" i="1"/>
  <c r="E132" i="1"/>
  <c r="I132" i="1" s="1"/>
  <c r="L132" i="1" s="1"/>
  <c r="H144" i="1" l="1"/>
  <c r="J132" i="1"/>
  <c r="T34" i="1"/>
  <c r="N34" i="1" s="1"/>
  <c r="G34" i="1"/>
  <c r="Q138" i="1"/>
  <c r="P138" i="1"/>
  <c r="O138" i="1"/>
  <c r="E133" i="1"/>
  <c r="I133" i="1" s="1"/>
  <c r="L133" i="1" s="1"/>
  <c r="H145" i="1" l="1"/>
  <c r="J133" i="1"/>
  <c r="M34" i="1"/>
  <c r="S34" i="1"/>
  <c r="Q139" i="1"/>
  <c r="O139" i="1"/>
  <c r="P139" i="1"/>
  <c r="E134" i="1"/>
  <c r="I134" i="1" s="1"/>
  <c r="L134" i="1" s="1"/>
  <c r="H146" i="1" l="1"/>
  <c r="J134" i="1"/>
  <c r="R34" i="1"/>
  <c r="K35" i="1" s="1"/>
  <c r="F34" i="1"/>
  <c r="P140" i="1"/>
  <c r="Q140" i="1"/>
  <c r="O140" i="1"/>
  <c r="E135" i="1"/>
  <c r="I135" i="1" s="1"/>
  <c r="L135" i="1" s="1"/>
  <c r="H147" i="1" l="1"/>
  <c r="J135" i="1"/>
  <c r="U35" i="1"/>
  <c r="V35" i="1" s="1"/>
  <c r="Q141" i="1"/>
  <c r="O141" i="1"/>
  <c r="P141" i="1"/>
  <c r="E136" i="1"/>
  <c r="I136" i="1" s="1"/>
  <c r="L136" i="1" s="1"/>
  <c r="H148" i="1" l="1"/>
  <c r="J136" i="1"/>
  <c r="T35" i="1"/>
  <c r="N35" i="1" s="1"/>
  <c r="M35" i="1" s="1"/>
  <c r="G35" i="1"/>
  <c r="Q142" i="1"/>
  <c r="P142" i="1"/>
  <c r="O142" i="1"/>
  <c r="E137" i="1"/>
  <c r="I137" i="1" s="1"/>
  <c r="L137" i="1" s="1"/>
  <c r="H149" i="1" l="1"/>
  <c r="S35" i="1"/>
  <c r="J137" i="1"/>
  <c r="R35" i="1"/>
  <c r="K36" i="1" s="1"/>
  <c r="F35" i="1"/>
  <c r="P143" i="1"/>
  <c r="O143" i="1"/>
  <c r="Q143" i="1"/>
  <c r="E138" i="1"/>
  <c r="I138" i="1" s="1"/>
  <c r="L138" i="1" s="1"/>
  <c r="H150" i="1" l="1"/>
  <c r="J138" i="1"/>
  <c r="U36" i="1"/>
  <c r="V36" i="1" s="1"/>
  <c r="Q144" i="1"/>
  <c r="P144" i="1"/>
  <c r="O144" i="1"/>
  <c r="E139" i="1"/>
  <c r="I139" i="1" s="1"/>
  <c r="L139" i="1" s="1"/>
  <c r="H151" i="1" l="1"/>
  <c r="J139" i="1"/>
  <c r="T36" i="1"/>
  <c r="N36" i="1" s="1"/>
  <c r="G36" i="1"/>
  <c r="Q145" i="1"/>
  <c r="P145" i="1"/>
  <c r="O145" i="1"/>
  <c r="E140" i="1"/>
  <c r="I140" i="1" s="1"/>
  <c r="L140" i="1" s="1"/>
  <c r="H152" i="1" l="1"/>
  <c r="J140" i="1"/>
  <c r="S36" i="1"/>
  <c r="M36" i="1"/>
  <c r="P146" i="1"/>
  <c r="Q146" i="1"/>
  <c r="O146" i="1"/>
  <c r="E141" i="1"/>
  <c r="I141" i="1" s="1"/>
  <c r="L141" i="1" s="1"/>
  <c r="H153" i="1" l="1"/>
  <c r="J141" i="1"/>
  <c r="F36" i="1"/>
  <c r="R36" i="1"/>
  <c r="K37" i="1" s="1"/>
  <c r="Q147" i="1"/>
  <c r="P147" i="1"/>
  <c r="O147" i="1"/>
  <c r="E142" i="1"/>
  <c r="I142" i="1" s="1"/>
  <c r="L142" i="1" s="1"/>
  <c r="H154" i="1" l="1"/>
  <c r="J142" i="1"/>
  <c r="U37" i="1"/>
  <c r="V37" i="1" s="1"/>
  <c r="Q148" i="1"/>
  <c r="O148" i="1"/>
  <c r="P148" i="1"/>
  <c r="E143" i="1"/>
  <c r="I143" i="1" s="1"/>
  <c r="L143" i="1" s="1"/>
  <c r="H155" i="1" l="1"/>
  <c r="J143" i="1"/>
  <c r="T37" i="1"/>
  <c r="N37" i="1" s="1"/>
  <c r="M37" i="1" s="1"/>
  <c r="G37" i="1"/>
  <c r="P149" i="1"/>
  <c r="O149" i="1"/>
  <c r="Q149" i="1"/>
  <c r="E144" i="1"/>
  <c r="I144" i="1" s="1"/>
  <c r="L144" i="1" s="1"/>
  <c r="H156" i="1" l="1"/>
  <c r="J144" i="1"/>
  <c r="R37" i="1"/>
  <c r="K38" i="1" s="1"/>
  <c r="F37" i="1"/>
  <c r="S37" i="1"/>
  <c r="Q150" i="1"/>
  <c r="O150" i="1"/>
  <c r="P150" i="1"/>
  <c r="E145" i="1"/>
  <c r="I145" i="1" s="1"/>
  <c r="L145" i="1" s="1"/>
  <c r="H157" i="1" l="1"/>
  <c r="J145" i="1"/>
  <c r="U38" i="1"/>
  <c r="V38" i="1" s="1"/>
  <c r="Q151" i="1"/>
  <c r="P151" i="1"/>
  <c r="O151" i="1"/>
  <c r="E146" i="1"/>
  <c r="I146" i="1" s="1"/>
  <c r="L146" i="1" s="1"/>
  <c r="H158" i="1" l="1"/>
  <c r="J146" i="1"/>
  <c r="G38" i="1"/>
  <c r="T38" i="1"/>
  <c r="N38" i="1" s="1"/>
  <c r="M38" i="1" s="1"/>
  <c r="P152" i="1"/>
  <c r="Q152" i="1"/>
  <c r="O152" i="1"/>
  <c r="E147" i="1"/>
  <c r="I147" i="1" s="1"/>
  <c r="L147" i="1" s="1"/>
  <c r="H159" i="1" l="1"/>
  <c r="J147" i="1"/>
  <c r="S38" i="1"/>
  <c r="R38" i="1"/>
  <c r="K39" i="1" s="1"/>
  <c r="F38" i="1"/>
  <c r="Q153" i="1"/>
  <c r="P153" i="1"/>
  <c r="O153" i="1"/>
  <c r="E148" i="1"/>
  <c r="I148" i="1" s="1"/>
  <c r="L148" i="1" s="1"/>
  <c r="H160" i="1" l="1"/>
  <c r="J148" i="1"/>
  <c r="U39" i="1"/>
  <c r="V39" i="1" s="1"/>
  <c r="G39" i="1" s="1"/>
  <c r="Q154" i="1"/>
  <c r="O154" i="1"/>
  <c r="P154" i="1"/>
  <c r="E149" i="1"/>
  <c r="I149" i="1" s="1"/>
  <c r="L149" i="1" s="1"/>
  <c r="H161" i="1" l="1"/>
  <c r="J149" i="1"/>
  <c r="T39" i="1"/>
  <c r="N39" i="1" s="1"/>
  <c r="M39" i="1" s="1"/>
  <c r="R39" i="1" s="1"/>
  <c r="K40" i="1" s="1"/>
  <c r="P155" i="1"/>
  <c r="Q155" i="1"/>
  <c r="O155" i="1"/>
  <c r="E150" i="1"/>
  <c r="I150" i="1" s="1"/>
  <c r="L150" i="1" s="1"/>
  <c r="H162" i="1" l="1"/>
  <c r="F39" i="1"/>
  <c r="S39" i="1"/>
  <c r="J150" i="1"/>
  <c r="U40" i="1"/>
  <c r="V40" i="1" s="1"/>
  <c r="G40" i="1" s="1"/>
  <c r="Q156" i="1"/>
  <c r="P156" i="1"/>
  <c r="O156" i="1"/>
  <c r="E151" i="1"/>
  <c r="I151" i="1" s="1"/>
  <c r="L151" i="1" s="1"/>
  <c r="H163" i="1" l="1"/>
  <c r="J151" i="1"/>
  <c r="T40" i="1"/>
  <c r="Q157" i="1"/>
  <c r="O157" i="1"/>
  <c r="P157" i="1"/>
  <c r="E152" i="1"/>
  <c r="I152" i="1" s="1"/>
  <c r="L152" i="1" s="1"/>
  <c r="H164" i="1" l="1"/>
  <c r="J152" i="1"/>
  <c r="N40" i="1"/>
  <c r="P158" i="1"/>
  <c r="Q158" i="1"/>
  <c r="O158" i="1"/>
  <c r="E153" i="1"/>
  <c r="I153" i="1" s="1"/>
  <c r="L153" i="1" s="1"/>
  <c r="H165" i="1" l="1"/>
  <c r="J153" i="1"/>
  <c r="M40" i="1"/>
  <c r="S40" i="1"/>
  <c r="Q159" i="1"/>
  <c r="P159" i="1"/>
  <c r="O159" i="1"/>
  <c r="E154" i="1"/>
  <c r="I154" i="1" s="1"/>
  <c r="L154" i="1" s="1"/>
  <c r="H166" i="1" l="1"/>
  <c r="J154" i="1"/>
  <c r="R40" i="1"/>
  <c r="K41" i="1" s="1"/>
  <c r="F40" i="1"/>
  <c r="Q160" i="1"/>
  <c r="P160" i="1"/>
  <c r="O160" i="1"/>
  <c r="E155" i="1"/>
  <c r="I155" i="1" s="1"/>
  <c r="L155" i="1" s="1"/>
  <c r="L166" i="1" l="1"/>
  <c r="H167" i="1"/>
  <c r="J155" i="1"/>
  <c r="U41" i="1"/>
  <c r="V41" i="1" s="1"/>
  <c r="T41" i="1" s="1"/>
  <c r="P161" i="1"/>
  <c r="Q161" i="1"/>
  <c r="O161" i="1"/>
  <c r="E156" i="1"/>
  <c r="I156" i="1" s="1"/>
  <c r="L156" i="1" s="1"/>
  <c r="L167" i="1" l="1"/>
  <c r="H168" i="1"/>
  <c r="J156" i="1"/>
  <c r="G41" i="1"/>
  <c r="N41" i="1"/>
  <c r="Q162" i="1"/>
  <c r="P162" i="1"/>
  <c r="O162" i="1"/>
  <c r="E157" i="1"/>
  <c r="I157" i="1" s="1"/>
  <c r="L157" i="1" s="1"/>
  <c r="L168" i="1" l="1"/>
  <c r="H169" i="1"/>
  <c r="J157" i="1"/>
  <c r="M41" i="1"/>
  <c r="S41" i="1"/>
  <c r="Q163" i="1"/>
  <c r="P163" i="1"/>
  <c r="O163" i="1"/>
  <c r="E158" i="1"/>
  <c r="I158" i="1" s="1"/>
  <c r="L158" i="1" s="1"/>
  <c r="L169" i="1" l="1"/>
  <c r="U169" i="1"/>
  <c r="H170" i="1"/>
  <c r="F169" i="1"/>
  <c r="V169" i="1"/>
  <c r="S169" i="1"/>
  <c r="J158" i="1"/>
  <c r="R41" i="1"/>
  <c r="K42" i="1" s="1"/>
  <c r="F41" i="1"/>
  <c r="P164" i="1"/>
  <c r="Q164" i="1"/>
  <c r="O164" i="1"/>
  <c r="E159" i="1"/>
  <c r="I159" i="1" s="1"/>
  <c r="L159" i="1" s="1"/>
  <c r="L170" i="1" l="1"/>
  <c r="F170" i="1"/>
  <c r="U170" i="1"/>
  <c r="V170" i="1"/>
  <c r="H171" i="1"/>
  <c r="S170" i="1"/>
  <c r="J159" i="1"/>
  <c r="U42" i="1"/>
  <c r="V42" i="1" s="1"/>
  <c r="G42" i="1" s="1"/>
  <c r="Q165" i="1"/>
  <c r="P165" i="1"/>
  <c r="O165" i="1"/>
  <c r="E160" i="1"/>
  <c r="I160" i="1" s="1"/>
  <c r="L160" i="1" s="1"/>
  <c r="L171" i="1" l="1"/>
  <c r="F171" i="1"/>
  <c r="U171" i="1"/>
  <c r="H172" i="1"/>
  <c r="S171" i="1"/>
  <c r="V171" i="1"/>
  <c r="J160" i="1"/>
  <c r="T42" i="1"/>
  <c r="N42" i="1" s="1"/>
  <c r="M42" i="1" s="1"/>
  <c r="R42" i="1" s="1"/>
  <c r="K43" i="1" s="1"/>
  <c r="Q166" i="1"/>
  <c r="O166" i="1"/>
  <c r="P166" i="1"/>
  <c r="E161" i="1"/>
  <c r="I161" i="1" s="1"/>
  <c r="L161" i="1" s="1"/>
  <c r="L172" i="1" l="1"/>
  <c r="F172" i="1"/>
  <c r="U172" i="1"/>
  <c r="V172" i="1"/>
  <c r="H173" i="1"/>
  <c r="S172" i="1"/>
  <c r="J161" i="1"/>
  <c r="F42" i="1"/>
  <c r="S42" i="1"/>
  <c r="U43" i="1" s="1"/>
  <c r="V43" i="1" s="1"/>
  <c r="G43" i="1" s="1"/>
  <c r="P167" i="1"/>
  <c r="Q167" i="1"/>
  <c r="O167" i="1"/>
  <c r="E162" i="1"/>
  <c r="I162" i="1" s="1"/>
  <c r="L162" i="1" s="1"/>
  <c r="L173" i="1" l="1"/>
  <c r="F173" i="1"/>
  <c r="U173" i="1"/>
  <c r="V173" i="1"/>
  <c r="H174" i="1"/>
  <c r="S173" i="1"/>
  <c r="J162" i="1"/>
  <c r="T43" i="1"/>
  <c r="N43" i="1" s="1"/>
  <c r="Q168" i="1"/>
  <c r="P168" i="1"/>
  <c r="O168" i="1"/>
  <c r="E163" i="1"/>
  <c r="I163" i="1" s="1"/>
  <c r="L163" i="1" s="1"/>
  <c r="L174" i="1" l="1"/>
  <c r="F174" i="1"/>
  <c r="H175" i="1"/>
  <c r="U174" i="1"/>
  <c r="V174" i="1"/>
  <c r="S174" i="1"/>
  <c r="J163" i="1"/>
  <c r="M43" i="1"/>
  <c r="S43" i="1"/>
  <c r="Q169" i="1"/>
  <c r="P169" i="1"/>
  <c r="O169" i="1"/>
  <c r="N169" i="1"/>
  <c r="R169" i="1"/>
  <c r="M169" i="1"/>
  <c r="J169" i="1"/>
  <c r="K169" i="1"/>
  <c r="E164" i="1"/>
  <c r="I164" i="1" s="1"/>
  <c r="L164" i="1" s="1"/>
  <c r="L175" i="1" l="1"/>
  <c r="F175" i="1"/>
  <c r="U175" i="1"/>
  <c r="V175" i="1"/>
  <c r="S175" i="1"/>
  <c r="H176" i="1"/>
  <c r="J164" i="1"/>
  <c r="R43" i="1"/>
  <c r="K44" i="1" s="1"/>
  <c r="F43" i="1"/>
  <c r="P170" i="1"/>
  <c r="Q170" i="1"/>
  <c r="N170" i="1"/>
  <c r="O170" i="1"/>
  <c r="K170" i="1"/>
  <c r="R170" i="1"/>
  <c r="J170" i="1"/>
  <c r="M170" i="1"/>
  <c r="I169" i="1"/>
  <c r="E165" i="1"/>
  <c r="I165" i="1" s="1"/>
  <c r="L165" i="1" s="1"/>
  <c r="L176" i="1" l="1"/>
  <c r="U176" i="1"/>
  <c r="H177" i="1"/>
  <c r="S176" i="1"/>
  <c r="F176" i="1"/>
  <c r="V176" i="1"/>
  <c r="J165" i="1"/>
  <c r="U44" i="1"/>
  <c r="V44" i="1" s="1"/>
  <c r="T44" i="1" s="1"/>
  <c r="Q171" i="1"/>
  <c r="N171" i="1"/>
  <c r="P171" i="1"/>
  <c r="O171" i="1"/>
  <c r="R171" i="1"/>
  <c r="K171" i="1"/>
  <c r="M171" i="1"/>
  <c r="J171" i="1"/>
  <c r="I170" i="1"/>
  <c r="E166" i="1"/>
  <c r="I166" i="1" s="1"/>
  <c r="L177" i="1" l="1"/>
  <c r="F177" i="1"/>
  <c r="U177" i="1"/>
  <c r="V177" i="1"/>
  <c r="S177" i="1"/>
  <c r="H178" i="1"/>
  <c r="J166" i="1"/>
  <c r="N44" i="1"/>
  <c r="M44" i="1" s="1"/>
  <c r="R44" i="1" s="1"/>
  <c r="K45" i="1" s="1"/>
  <c r="G44" i="1"/>
  <c r="Q172" i="1"/>
  <c r="O172" i="1"/>
  <c r="P172" i="1"/>
  <c r="N172" i="1"/>
  <c r="R172" i="1"/>
  <c r="K172" i="1"/>
  <c r="M172" i="1"/>
  <c r="J172" i="1"/>
  <c r="I171" i="1"/>
  <c r="E167" i="1"/>
  <c r="I167" i="1" s="1"/>
  <c r="L178" i="1" l="1"/>
  <c r="H179" i="1"/>
  <c r="F178" i="1"/>
  <c r="U178" i="1"/>
  <c r="V178" i="1"/>
  <c r="S178" i="1"/>
  <c r="J167" i="1"/>
  <c r="S44" i="1"/>
  <c r="U45" i="1" s="1"/>
  <c r="V45" i="1" s="1"/>
  <c r="F44" i="1"/>
  <c r="Q173" i="1"/>
  <c r="P173" i="1"/>
  <c r="O173" i="1"/>
  <c r="N173" i="1"/>
  <c r="R173" i="1"/>
  <c r="M173" i="1"/>
  <c r="J173" i="1"/>
  <c r="K173" i="1"/>
  <c r="I172" i="1"/>
  <c r="E168" i="1"/>
  <c r="I168" i="1" s="1"/>
  <c r="L179" i="1" l="1"/>
  <c r="V179" i="1"/>
  <c r="F179" i="1"/>
  <c r="U179" i="1"/>
  <c r="S179" i="1"/>
  <c r="H180" i="1"/>
  <c r="J168" i="1"/>
  <c r="G45" i="1"/>
  <c r="T45" i="1"/>
  <c r="Q174" i="1"/>
  <c r="P174" i="1"/>
  <c r="N174" i="1"/>
  <c r="O174" i="1"/>
  <c r="R174" i="1"/>
  <c r="J174" i="1"/>
  <c r="K174" i="1"/>
  <c r="M174" i="1"/>
  <c r="I173" i="1"/>
  <c r="E169" i="1"/>
  <c r="L180" i="1" l="1"/>
  <c r="F180" i="1"/>
  <c r="U180" i="1"/>
  <c r="V180" i="1"/>
  <c r="H181" i="1"/>
  <c r="S180" i="1"/>
  <c r="S3" i="1"/>
  <c r="N45" i="1"/>
  <c r="Q175" i="1"/>
  <c r="O175" i="1"/>
  <c r="P175" i="1"/>
  <c r="N175" i="1"/>
  <c r="M175" i="1"/>
  <c r="R175" i="1"/>
  <c r="K175" i="1"/>
  <c r="J175" i="1"/>
  <c r="I174" i="1"/>
  <c r="E170" i="1"/>
  <c r="L181" i="1" l="1"/>
  <c r="F181" i="1"/>
  <c r="U181" i="1"/>
  <c r="V181" i="1"/>
  <c r="S181" i="1"/>
  <c r="H182" i="1"/>
  <c r="M45" i="1"/>
  <c r="S45" i="1"/>
  <c r="P176" i="1"/>
  <c r="Q176" i="1"/>
  <c r="O176" i="1"/>
  <c r="N176" i="1"/>
  <c r="K176" i="1"/>
  <c r="M176" i="1"/>
  <c r="R176" i="1"/>
  <c r="J176" i="1"/>
  <c r="I175" i="1"/>
  <c r="E171" i="1"/>
  <c r="L182" i="1" l="1"/>
  <c r="H183" i="1"/>
  <c r="S182" i="1"/>
  <c r="F182" i="1"/>
  <c r="U182" i="1"/>
  <c r="V182" i="1"/>
  <c r="R45" i="1"/>
  <c r="K46" i="1" s="1"/>
  <c r="F45" i="1"/>
  <c r="Q177" i="1"/>
  <c r="P177" i="1"/>
  <c r="N177" i="1"/>
  <c r="O177" i="1"/>
  <c r="R177" i="1"/>
  <c r="K177" i="1"/>
  <c r="M177" i="1"/>
  <c r="J177" i="1"/>
  <c r="I176" i="1"/>
  <c r="E172" i="1"/>
  <c r="L183" i="1" l="1"/>
  <c r="S183" i="1"/>
  <c r="H184" i="1"/>
  <c r="F183" i="1"/>
  <c r="V183" i="1"/>
  <c r="U183" i="1"/>
  <c r="U46" i="1"/>
  <c r="V46" i="1" s="1"/>
  <c r="T46" i="1" s="1"/>
  <c r="Q178" i="1"/>
  <c r="O178" i="1"/>
  <c r="P178" i="1"/>
  <c r="N178" i="1"/>
  <c r="R178" i="1"/>
  <c r="K178" i="1"/>
  <c r="M178" i="1"/>
  <c r="J178" i="1"/>
  <c r="I177" i="1"/>
  <c r="E173" i="1"/>
  <c r="L184" i="1" l="1"/>
  <c r="S184" i="1"/>
  <c r="U184" i="1"/>
  <c r="H185" i="1"/>
  <c r="F184" i="1"/>
  <c r="V184" i="1"/>
  <c r="N46" i="1"/>
  <c r="M46" i="1" s="1"/>
  <c r="R46" i="1" s="1"/>
  <c r="K47" i="1" s="1"/>
  <c r="G46" i="1"/>
  <c r="P179" i="1"/>
  <c r="Q179" i="1"/>
  <c r="N179" i="1"/>
  <c r="O179" i="1"/>
  <c r="R179" i="1"/>
  <c r="J179" i="1"/>
  <c r="K179" i="1"/>
  <c r="M179" i="1"/>
  <c r="I178" i="1"/>
  <c r="E174" i="1"/>
  <c r="L185" i="1" l="1"/>
  <c r="H186" i="1"/>
  <c r="U185" i="1"/>
  <c r="S185" i="1"/>
  <c r="F185" i="1"/>
  <c r="V185" i="1"/>
  <c r="S46" i="1"/>
  <c r="U47" i="1"/>
  <c r="V47" i="1" s="1"/>
  <c r="F46" i="1"/>
  <c r="Q180" i="1"/>
  <c r="P180" i="1"/>
  <c r="O180" i="1"/>
  <c r="N180" i="1"/>
  <c r="R180" i="1"/>
  <c r="J180" i="1"/>
  <c r="K180" i="1"/>
  <c r="M180" i="1"/>
  <c r="I179" i="1"/>
  <c r="E175" i="1"/>
  <c r="L186" i="1" l="1"/>
  <c r="S186" i="1"/>
  <c r="F186" i="1"/>
  <c r="U186" i="1"/>
  <c r="V186" i="1"/>
  <c r="H187" i="1"/>
  <c r="T47" i="1"/>
  <c r="Q181" i="1"/>
  <c r="P181" i="1"/>
  <c r="O181" i="1"/>
  <c r="N181" i="1"/>
  <c r="R181" i="1"/>
  <c r="M181" i="1"/>
  <c r="J181" i="1"/>
  <c r="K181" i="1"/>
  <c r="I180" i="1"/>
  <c r="E176" i="1"/>
  <c r="L187" i="1" l="1"/>
  <c r="H188" i="1"/>
  <c r="S187" i="1"/>
  <c r="F187" i="1"/>
  <c r="V187" i="1"/>
  <c r="U187" i="1"/>
  <c r="G47" i="1"/>
  <c r="N47" i="1"/>
  <c r="P182" i="1"/>
  <c r="Q182" i="1"/>
  <c r="O182" i="1"/>
  <c r="N182" i="1"/>
  <c r="K182" i="1"/>
  <c r="R182" i="1"/>
  <c r="M182" i="1"/>
  <c r="J182" i="1"/>
  <c r="I181" i="1"/>
  <c r="E177" i="1"/>
  <c r="L188" i="1" l="1"/>
  <c r="H189" i="1"/>
  <c r="U188" i="1"/>
  <c r="S188" i="1"/>
  <c r="F188" i="1"/>
  <c r="V188" i="1"/>
  <c r="M47" i="1"/>
  <c r="S47" i="1"/>
  <c r="Q183" i="1"/>
  <c r="N183" i="1"/>
  <c r="P183" i="1"/>
  <c r="O183" i="1"/>
  <c r="K183" i="1"/>
  <c r="R183" i="1"/>
  <c r="M183" i="1"/>
  <c r="J183" i="1"/>
  <c r="I182" i="1"/>
  <c r="E178" i="1"/>
  <c r="L189" i="1" l="1"/>
  <c r="S189" i="1"/>
  <c r="F189" i="1"/>
  <c r="V189" i="1"/>
  <c r="U189" i="1"/>
  <c r="H190" i="1"/>
  <c r="R47" i="1"/>
  <c r="K48" i="1" s="1"/>
  <c r="F47" i="1"/>
  <c r="Q184" i="1"/>
  <c r="P184" i="1"/>
  <c r="O184" i="1"/>
  <c r="N184" i="1"/>
  <c r="R184" i="1"/>
  <c r="M184" i="1"/>
  <c r="K184" i="1"/>
  <c r="J184" i="1"/>
  <c r="I183" i="1"/>
  <c r="E179" i="1"/>
  <c r="L190" i="1" l="1"/>
  <c r="H191" i="1"/>
  <c r="V190" i="1"/>
  <c r="S190" i="1"/>
  <c r="F190" i="1"/>
  <c r="U190" i="1"/>
  <c r="U48" i="1"/>
  <c r="V48" i="1" s="1"/>
  <c r="T48" i="1" s="1"/>
  <c r="P185" i="1"/>
  <c r="N185" i="1"/>
  <c r="O185" i="1"/>
  <c r="Q185" i="1"/>
  <c r="R185" i="1"/>
  <c r="M185" i="1"/>
  <c r="J185" i="1"/>
  <c r="K185" i="1"/>
  <c r="I184" i="1"/>
  <c r="E180" i="1"/>
  <c r="L191" i="1" l="1"/>
  <c r="H192" i="1"/>
  <c r="S191" i="1"/>
  <c r="U191" i="1"/>
  <c r="V191" i="1"/>
  <c r="F191" i="1"/>
  <c r="G48" i="1"/>
  <c r="N48" i="1"/>
  <c r="M48" i="1" s="1"/>
  <c r="R48" i="1" s="1"/>
  <c r="K49" i="1" s="1"/>
  <c r="Q186" i="1"/>
  <c r="P186" i="1"/>
  <c r="N186" i="1"/>
  <c r="O186" i="1"/>
  <c r="R186" i="1"/>
  <c r="K186" i="1"/>
  <c r="M186" i="1"/>
  <c r="J186" i="1"/>
  <c r="I185" i="1"/>
  <c r="E181" i="1"/>
  <c r="L192" i="1" l="1"/>
  <c r="H193" i="1"/>
  <c r="S192" i="1"/>
  <c r="F192" i="1"/>
  <c r="U192" i="1"/>
  <c r="V192" i="1"/>
  <c r="F48" i="1"/>
  <c r="S48" i="1"/>
  <c r="U49" i="1" s="1"/>
  <c r="Q187" i="1"/>
  <c r="P187" i="1"/>
  <c r="O187" i="1"/>
  <c r="N187" i="1"/>
  <c r="M187" i="1"/>
  <c r="R187" i="1"/>
  <c r="K187" i="1"/>
  <c r="J187" i="1"/>
  <c r="I186" i="1"/>
  <c r="E182" i="1"/>
  <c r="L193" i="1" l="1"/>
  <c r="S193" i="1"/>
  <c r="F193" i="1"/>
  <c r="V193" i="1"/>
  <c r="U193" i="1"/>
  <c r="H194" i="1"/>
  <c r="V49" i="1"/>
  <c r="G49" i="1" s="1"/>
  <c r="P188" i="1"/>
  <c r="Q188" i="1"/>
  <c r="N188" i="1"/>
  <c r="O188" i="1"/>
  <c r="K188" i="1"/>
  <c r="M188" i="1"/>
  <c r="R188" i="1"/>
  <c r="J188" i="1"/>
  <c r="I187" i="1"/>
  <c r="E183" i="1"/>
  <c r="L194" i="1" l="1"/>
  <c r="S194" i="1"/>
  <c r="U194" i="1"/>
  <c r="F194" i="1"/>
  <c r="V194" i="1"/>
  <c r="H195" i="1"/>
  <c r="T49" i="1"/>
  <c r="N49" i="1" s="1"/>
  <c r="Q189" i="1"/>
  <c r="N189" i="1"/>
  <c r="P189" i="1"/>
  <c r="O189" i="1"/>
  <c r="R189" i="1"/>
  <c r="K189" i="1"/>
  <c r="M189" i="1"/>
  <c r="J189" i="1"/>
  <c r="I188" i="1"/>
  <c r="E184" i="1"/>
  <c r="L195" i="1" l="1"/>
  <c r="S195" i="1"/>
  <c r="U195" i="1"/>
  <c r="H196" i="1"/>
  <c r="F195" i="1"/>
  <c r="V195" i="1"/>
  <c r="M49" i="1"/>
  <c r="S49" i="1"/>
  <c r="Q190" i="1"/>
  <c r="O190" i="1"/>
  <c r="N190" i="1"/>
  <c r="P190" i="1"/>
  <c r="R190" i="1"/>
  <c r="K190" i="1"/>
  <c r="M190" i="1"/>
  <c r="J190" i="1"/>
  <c r="I189" i="1"/>
  <c r="E185" i="1"/>
  <c r="L196" i="1" l="1"/>
  <c r="F196" i="1"/>
  <c r="U196" i="1"/>
  <c r="V196" i="1"/>
  <c r="H197" i="1"/>
  <c r="S196" i="1"/>
  <c r="R49" i="1"/>
  <c r="K50" i="1" s="1"/>
  <c r="F49" i="1"/>
  <c r="Q191" i="1"/>
  <c r="P191" i="1"/>
  <c r="O191" i="1"/>
  <c r="N191" i="1"/>
  <c r="R191" i="1"/>
  <c r="J191" i="1"/>
  <c r="K191" i="1"/>
  <c r="M191" i="1"/>
  <c r="I190" i="1"/>
  <c r="E186" i="1"/>
  <c r="L197" i="1" l="1"/>
  <c r="S197" i="1"/>
  <c r="H198" i="1"/>
  <c r="F197" i="1"/>
  <c r="V197" i="1"/>
  <c r="U197" i="1"/>
  <c r="U50" i="1"/>
  <c r="V50" i="1" s="1"/>
  <c r="T50" i="1" s="1"/>
  <c r="Q192" i="1"/>
  <c r="P192" i="1"/>
  <c r="N192" i="1"/>
  <c r="O192" i="1"/>
  <c r="R192" i="1"/>
  <c r="J192" i="1"/>
  <c r="M192" i="1"/>
  <c r="K192" i="1"/>
  <c r="I191" i="1"/>
  <c r="E187" i="1"/>
  <c r="L198" i="1" l="1"/>
  <c r="H199" i="1"/>
  <c r="S198" i="1"/>
  <c r="U198" i="1"/>
  <c r="F198" i="1"/>
  <c r="V198" i="1"/>
  <c r="G50" i="1"/>
  <c r="N50" i="1"/>
  <c r="Q193" i="1"/>
  <c r="P193" i="1"/>
  <c r="N193" i="1"/>
  <c r="O193" i="1"/>
  <c r="M193" i="1"/>
  <c r="R193" i="1"/>
  <c r="J193" i="1"/>
  <c r="K193" i="1"/>
  <c r="I192" i="1"/>
  <c r="E188" i="1"/>
  <c r="L199" i="1" l="1"/>
  <c r="H200" i="1"/>
  <c r="U199" i="1"/>
  <c r="S199" i="1"/>
  <c r="F199" i="1"/>
  <c r="V199" i="1"/>
  <c r="M50" i="1"/>
  <c r="S50" i="1"/>
  <c r="P194" i="1"/>
  <c r="Q194" i="1"/>
  <c r="O194" i="1"/>
  <c r="N194" i="1"/>
  <c r="K194" i="1"/>
  <c r="M194" i="1"/>
  <c r="R194" i="1"/>
  <c r="J194" i="1"/>
  <c r="I193" i="1"/>
  <c r="E189" i="1"/>
  <c r="L200" i="1" l="1"/>
  <c r="S200" i="1"/>
  <c r="U200" i="1"/>
  <c r="H201" i="1"/>
  <c r="F200" i="1"/>
  <c r="V200" i="1"/>
  <c r="R50" i="1"/>
  <c r="F50" i="1"/>
  <c r="K51" i="1"/>
  <c r="Q195" i="1"/>
  <c r="N195" i="1"/>
  <c r="P195" i="1"/>
  <c r="O195" i="1"/>
  <c r="K195" i="1"/>
  <c r="R195" i="1"/>
  <c r="M195" i="1"/>
  <c r="J195" i="1"/>
  <c r="I194" i="1"/>
  <c r="E190" i="1"/>
  <c r="L201" i="1" l="1"/>
  <c r="S201" i="1"/>
  <c r="F201" i="1"/>
  <c r="H202" i="1"/>
  <c r="V201" i="1"/>
  <c r="U201" i="1"/>
  <c r="U51" i="1"/>
  <c r="V51" i="1" s="1"/>
  <c r="Q196" i="1"/>
  <c r="O196" i="1"/>
  <c r="P196" i="1"/>
  <c r="N196" i="1"/>
  <c r="K196" i="1"/>
  <c r="M196" i="1"/>
  <c r="R196" i="1"/>
  <c r="J196" i="1"/>
  <c r="I195" i="1"/>
  <c r="E191" i="1"/>
  <c r="L202" i="1" l="1"/>
  <c r="S202" i="1"/>
  <c r="F202" i="1"/>
  <c r="U202" i="1"/>
  <c r="V202" i="1"/>
  <c r="H203" i="1"/>
  <c r="G51" i="1"/>
  <c r="T51" i="1"/>
  <c r="Q197" i="1"/>
  <c r="N197" i="1"/>
  <c r="O197" i="1"/>
  <c r="P197" i="1"/>
  <c r="R197" i="1"/>
  <c r="J197" i="1"/>
  <c r="K197" i="1"/>
  <c r="M197" i="1"/>
  <c r="I196" i="1"/>
  <c r="E192" i="1"/>
  <c r="L203" i="1" l="1"/>
  <c r="U203" i="1"/>
  <c r="V203" i="1"/>
  <c r="F203" i="1"/>
  <c r="H204" i="1"/>
  <c r="N51" i="1"/>
  <c r="Q198" i="1"/>
  <c r="P198" i="1"/>
  <c r="O198" i="1"/>
  <c r="N198" i="1"/>
  <c r="R198" i="1"/>
  <c r="J198" i="1"/>
  <c r="K198" i="1"/>
  <c r="M198" i="1"/>
  <c r="I197" i="1"/>
  <c r="G197" i="1"/>
  <c r="E193" i="1"/>
  <c r="L204" i="1" l="1"/>
  <c r="V204" i="1"/>
  <c r="U204" i="1"/>
  <c r="F204" i="1"/>
  <c r="H205" i="1"/>
  <c r="M51" i="1"/>
  <c r="S51" i="1"/>
  <c r="Q199" i="1"/>
  <c r="P199" i="1"/>
  <c r="O199" i="1"/>
  <c r="N199" i="1"/>
  <c r="R199" i="1"/>
  <c r="M199" i="1"/>
  <c r="J199" i="1"/>
  <c r="K199" i="1"/>
  <c r="I198" i="1"/>
  <c r="G198" i="1"/>
  <c r="E194" i="1"/>
  <c r="L205" i="1" l="1"/>
  <c r="H206" i="1"/>
  <c r="V205" i="1"/>
  <c r="F205" i="1"/>
  <c r="U205" i="1"/>
  <c r="R51" i="1"/>
  <c r="K52" i="1" s="1"/>
  <c r="U52" i="1" s="1"/>
  <c r="V52" i="1" s="1"/>
  <c r="F51" i="1"/>
  <c r="P200" i="1"/>
  <c r="Q200" i="1"/>
  <c r="N200" i="1"/>
  <c r="O200" i="1"/>
  <c r="K200" i="1"/>
  <c r="R200" i="1"/>
  <c r="M200" i="1"/>
  <c r="J200" i="1"/>
  <c r="I199" i="1"/>
  <c r="G199" i="1"/>
  <c r="E195" i="1"/>
  <c r="L206" i="1" l="1"/>
  <c r="V206" i="1"/>
  <c r="H207" i="1"/>
  <c r="F206" i="1"/>
  <c r="U206" i="1"/>
  <c r="G52" i="1"/>
  <c r="T52" i="1"/>
  <c r="Q201" i="1"/>
  <c r="N201" i="1"/>
  <c r="P201" i="1"/>
  <c r="O201" i="1"/>
  <c r="K201" i="1"/>
  <c r="R201" i="1"/>
  <c r="M201" i="1"/>
  <c r="J201" i="1"/>
  <c r="I200" i="1"/>
  <c r="G200" i="1"/>
  <c r="E196" i="1"/>
  <c r="L207" i="1" l="1"/>
  <c r="U207" i="1"/>
  <c r="V207" i="1"/>
  <c r="H208" i="1"/>
  <c r="F207" i="1"/>
  <c r="N52" i="1"/>
  <c r="Q202" i="1"/>
  <c r="O202" i="1"/>
  <c r="P202" i="1"/>
  <c r="N202" i="1"/>
  <c r="R202" i="1"/>
  <c r="K202" i="1"/>
  <c r="M202" i="1"/>
  <c r="J202" i="1"/>
  <c r="I201" i="1"/>
  <c r="G201" i="1"/>
  <c r="E197" i="1"/>
  <c r="L208" i="1" l="1"/>
  <c r="V208" i="1"/>
  <c r="U208" i="1"/>
  <c r="F208" i="1"/>
  <c r="X6" i="1"/>
  <c r="M52" i="1"/>
  <c r="S52" i="1"/>
  <c r="Q203" i="1"/>
  <c r="P203" i="1"/>
  <c r="O203" i="1"/>
  <c r="N203" i="1"/>
  <c r="S203" i="1"/>
  <c r="R203" i="1"/>
  <c r="M203" i="1"/>
  <c r="J203" i="1"/>
  <c r="K203" i="1"/>
  <c r="I202" i="1"/>
  <c r="G202" i="1"/>
  <c r="E198" i="1"/>
  <c r="R52" i="1" l="1"/>
  <c r="K53" i="1" s="1"/>
  <c r="F52" i="1"/>
  <c r="U53" i="1"/>
  <c r="V53" i="1" s="1"/>
  <c r="Q204" i="1"/>
  <c r="P204" i="1"/>
  <c r="O204" i="1"/>
  <c r="N204" i="1"/>
  <c r="S204" i="1"/>
  <c r="R204" i="1"/>
  <c r="K204" i="1"/>
  <c r="J204" i="1"/>
  <c r="M204" i="1"/>
  <c r="I203" i="1"/>
  <c r="G203" i="1"/>
  <c r="E199" i="1"/>
  <c r="G53" i="1" l="1"/>
  <c r="T53" i="1"/>
  <c r="Q205" i="1"/>
  <c r="P205" i="1"/>
  <c r="O205" i="1"/>
  <c r="N205" i="1"/>
  <c r="S205" i="1"/>
  <c r="M205" i="1"/>
  <c r="R205" i="1"/>
  <c r="K205" i="1"/>
  <c r="J205" i="1"/>
  <c r="I204" i="1"/>
  <c r="G204" i="1"/>
  <c r="E200" i="1"/>
  <c r="N53" i="1" l="1"/>
  <c r="P206" i="1"/>
  <c r="Q206" i="1"/>
  <c r="N206" i="1"/>
  <c r="O206" i="1"/>
  <c r="K206" i="1"/>
  <c r="S206" i="1"/>
  <c r="M206" i="1"/>
  <c r="R206" i="1"/>
  <c r="J206" i="1"/>
  <c r="I205" i="1"/>
  <c r="G205" i="1"/>
  <c r="E201" i="1"/>
  <c r="M53" i="1" l="1"/>
  <c r="S53" i="1"/>
  <c r="Q207" i="1"/>
  <c r="N207" i="1"/>
  <c r="P207" i="1"/>
  <c r="O207" i="1"/>
  <c r="S207" i="1"/>
  <c r="R207" i="1"/>
  <c r="K207" i="1"/>
  <c r="M207" i="1"/>
  <c r="J207" i="1"/>
  <c r="I206" i="1"/>
  <c r="G206" i="1"/>
  <c r="E202" i="1"/>
  <c r="R53" i="1" l="1"/>
  <c r="K54" i="1" s="1"/>
  <c r="F53" i="1"/>
  <c r="U54" i="1"/>
  <c r="V54" i="1" s="1"/>
  <c r="Q208" i="1"/>
  <c r="Q8" i="1" s="1"/>
  <c r="O208" i="1"/>
  <c r="Q6" i="1" s="1"/>
  <c r="P208" i="1"/>
  <c r="Q7" i="1" s="1"/>
  <c r="N208" i="1"/>
  <c r="R208" i="1"/>
  <c r="S208" i="1"/>
  <c r="K208" i="1"/>
  <c r="M208" i="1"/>
  <c r="J208" i="1"/>
  <c r="I207" i="1"/>
  <c r="G207" i="1"/>
  <c r="E203" i="1"/>
  <c r="I208" i="1"/>
  <c r="T54" i="1" l="1"/>
  <c r="G54" i="1"/>
  <c r="S5" i="1"/>
  <c r="G208" i="1"/>
  <c r="E204" i="1"/>
  <c r="N54" i="1" l="1"/>
  <c r="E205" i="1"/>
  <c r="M54" i="1" l="1"/>
  <c r="S54" i="1"/>
  <c r="E206" i="1"/>
  <c r="R54" i="1" l="1"/>
  <c r="K55" i="1" s="1"/>
  <c r="U55" i="1" s="1"/>
  <c r="V55" i="1" s="1"/>
  <c r="F54" i="1"/>
  <c r="E207" i="1"/>
  <c r="T55" i="1" l="1"/>
  <c r="G55" i="1"/>
  <c r="E208" i="1"/>
  <c r="N55" i="1" l="1"/>
  <c r="M55" i="1" l="1"/>
  <c r="S55" i="1"/>
  <c r="R55" i="1" l="1"/>
  <c r="K56" i="1" s="1"/>
  <c r="U56" i="1" s="1"/>
  <c r="V56" i="1" s="1"/>
  <c r="F55" i="1"/>
  <c r="T56" i="1" l="1"/>
  <c r="G56" i="1"/>
  <c r="N56" i="1" l="1"/>
  <c r="M56" i="1" l="1"/>
  <c r="S56" i="1"/>
  <c r="R56" i="1" l="1"/>
  <c r="K57" i="1" s="1"/>
  <c r="F56" i="1"/>
  <c r="U57" i="1"/>
  <c r="V57" i="1" s="1"/>
  <c r="G57" i="1" l="1"/>
  <c r="T57" i="1"/>
  <c r="N57" i="1" l="1"/>
  <c r="M57" i="1" l="1"/>
  <c r="S57" i="1"/>
  <c r="R57" i="1" l="1"/>
  <c r="K58" i="1" s="1"/>
  <c r="F57" i="1"/>
  <c r="U58" i="1"/>
  <c r="V58" i="1" s="1"/>
  <c r="T58" i="1" l="1"/>
  <c r="G58" i="1"/>
  <c r="N58" i="1" l="1"/>
  <c r="M58" i="1" l="1"/>
  <c r="S58" i="1"/>
  <c r="R58" i="1" l="1"/>
  <c r="K59" i="1" s="1"/>
  <c r="F58" i="1"/>
  <c r="U59" i="1"/>
  <c r="V59" i="1" l="1"/>
  <c r="G59" i="1" s="1"/>
  <c r="T59" i="1" l="1"/>
  <c r="N59" i="1" l="1"/>
  <c r="M59" i="1" l="1"/>
  <c r="S59" i="1"/>
  <c r="R59" i="1" l="1"/>
  <c r="K60" i="1" s="1"/>
  <c r="F59" i="1"/>
  <c r="U60" i="1"/>
  <c r="V60" i="1" l="1"/>
  <c r="G60" i="1" s="1"/>
  <c r="T60" i="1" l="1"/>
  <c r="N60" i="1" l="1"/>
  <c r="M60" i="1" l="1"/>
  <c r="S60" i="1"/>
  <c r="R60" i="1" l="1"/>
  <c r="K61" i="1" s="1"/>
  <c r="F60" i="1"/>
  <c r="U61" i="1"/>
  <c r="V61" i="1" s="1"/>
  <c r="T61" i="1" l="1"/>
  <c r="G61" i="1"/>
  <c r="N61" i="1" l="1"/>
  <c r="M61" i="1" l="1"/>
  <c r="S61" i="1"/>
  <c r="R61" i="1" l="1"/>
  <c r="K62" i="1" s="1"/>
  <c r="U62" i="1" s="1"/>
  <c r="V62" i="1" s="1"/>
  <c r="F61" i="1"/>
  <c r="T62" i="1" l="1"/>
  <c r="G62" i="1"/>
  <c r="N62" i="1" l="1"/>
  <c r="M62" i="1" l="1"/>
  <c r="S62" i="1"/>
  <c r="R62" i="1" l="1"/>
  <c r="K63" i="1" s="1"/>
  <c r="F62" i="1"/>
  <c r="U63" i="1"/>
  <c r="V63" i="1" s="1"/>
  <c r="T63" i="1" l="1"/>
  <c r="G63" i="1"/>
  <c r="N63" i="1" l="1"/>
  <c r="M63" i="1" l="1"/>
  <c r="S63" i="1"/>
  <c r="R63" i="1" l="1"/>
  <c r="K64" i="1" s="1"/>
  <c r="F63" i="1"/>
  <c r="U64" i="1"/>
  <c r="V64" i="1" l="1"/>
  <c r="T64" i="1" s="1"/>
  <c r="N64" i="1" l="1"/>
  <c r="M64" i="1" s="1"/>
  <c r="R64" i="1" s="1"/>
  <c r="K65" i="1" s="1"/>
  <c r="G64" i="1"/>
  <c r="S64" i="1" l="1"/>
  <c r="F64" i="1"/>
  <c r="U65" i="1"/>
  <c r="V65" i="1" l="1"/>
  <c r="G65" i="1" l="1"/>
  <c r="T65" i="1"/>
  <c r="N65" i="1" l="1"/>
  <c r="M65" i="1" l="1"/>
  <c r="S65" i="1"/>
  <c r="R65" i="1" l="1"/>
  <c r="K66" i="1" s="1"/>
  <c r="U66" i="1" s="1"/>
  <c r="F65" i="1"/>
  <c r="V66" i="1" l="1"/>
  <c r="G66" i="1" s="1"/>
  <c r="T66" i="1" l="1"/>
  <c r="N66" i="1" l="1"/>
  <c r="M66" i="1" l="1"/>
  <c r="S66" i="1"/>
  <c r="R66" i="1" l="1"/>
  <c r="K67" i="1" s="1"/>
  <c r="U67" i="1" s="1"/>
  <c r="V67" i="1" s="1"/>
  <c r="F66" i="1"/>
  <c r="G67" i="1" l="1"/>
  <c r="T67" i="1"/>
  <c r="N67" i="1" l="1"/>
  <c r="M67" i="1" l="1"/>
  <c r="S67" i="1"/>
  <c r="R67" i="1" l="1"/>
  <c r="K68" i="1" s="1"/>
  <c r="U68" i="1" s="1"/>
  <c r="F67" i="1"/>
  <c r="V68" i="1" l="1"/>
  <c r="G68" i="1" s="1"/>
  <c r="T68" i="1" l="1"/>
  <c r="N68" i="1" l="1"/>
  <c r="M68" i="1" l="1"/>
  <c r="S68" i="1"/>
  <c r="R68" i="1" l="1"/>
  <c r="K69" i="1" s="1"/>
  <c r="F68" i="1"/>
  <c r="U69" i="1"/>
  <c r="V69" i="1" s="1"/>
  <c r="T69" i="1" l="1"/>
  <c r="G69" i="1"/>
  <c r="N69" i="1" l="1"/>
  <c r="M69" i="1" l="1"/>
  <c r="S69" i="1"/>
  <c r="R69" i="1" l="1"/>
  <c r="K70" i="1" s="1"/>
  <c r="F69" i="1"/>
  <c r="U70" i="1"/>
  <c r="V70" i="1" l="1"/>
  <c r="T70" i="1" s="1"/>
  <c r="N70" i="1" l="1"/>
  <c r="M70" i="1" s="1"/>
  <c r="R70" i="1" s="1"/>
  <c r="K71" i="1" s="1"/>
  <c r="G70" i="1"/>
  <c r="F70" i="1" l="1"/>
  <c r="S70" i="1"/>
  <c r="U71" i="1" l="1"/>
  <c r="V71" i="1" l="1"/>
  <c r="T71" i="1" l="1"/>
  <c r="G71" i="1"/>
  <c r="N71" i="1" l="1"/>
  <c r="M71" i="1" l="1"/>
  <c r="S71" i="1"/>
  <c r="R71" i="1" l="1"/>
  <c r="K72" i="1" s="1"/>
  <c r="F71" i="1"/>
  <c r="U72" i="1"/>
  <c r="V72" i="1" s="1"/>
  <c r="T72" i="1" l="1"/>
  <c r="G72" i="1"/>
  <c r="N72" i="1" l="1"/>
  <c r="M72" i="1" l="1"/>
  <c r="S72" i="1"/>
  <c r="R72" i="1" l="1"/>
  <c r="K73" i="1" s="1"/>
  <c r="U73" i="1" s="1"/>
  <c r="V73" i="1" s="1"/>
  <c r="F72" i="1"/>
  <c r="G73" i="1" l="1"/>
  <c r="T73" i="1"/>
  <c r="N73" i="1" l="1"/>
  <c r="M73" i="1" l="1"/>
  <c r="S73" i="1"/>
  <c r="R73" i="1" l="1"/>
  <c r="K74" i="1" s="1"/>
  <c r="F73" i="1"/>
  <c r="U74" i="1"/>
  <c r="V74" i="1" s="1"/>
  <c r="G74" i="1" l="1"/>
  <c r="T74" i="1"/>
  <c r="N74" i="1" l="1"/>
  <c r="M74" i="1" l="1"/>
  <c r="S74" i="1"/>
  <c r="R74" i="1" l="1"/>
  <c r="K75" i="1" s="1"/>
  <c r="U75" i="1" s="1"/>
  <c r="F74" i="1"/>
  <c r="V75" i="1" l="1"/>
  <c r="T75" i="1" s="1"/>
  <c r="N75" i="1" l="1"/>
  <c r="M75" i="1" s="1"/>
  <c r="R75" i="1" s="1"/>
  <c r="K76" i="1" s="1"/>
  <c r="G75" i="1"/>
  <c r="F75" i="1" l="1"/>
  <c r="S75" i="1"/>
  <c r="U76" i="1" s="1"/>
  <c r="V76" i="1" s="1"/>
  <c r="G76" i="1" l="1"/>
  <c r="T76" i="1"/>
  <c r="N76" i="1" l="1"/>
  <c r="M76" i="1" l="1"/>
  <c r="S76" i="1"/>
  <c r="R76" i="1" l="1"/>
  <c r="K77" i="1" s="1"/>
  <c r="U77" i="1" s="1"/>
  <c r="V77" i="1" s="1"/>
  <c r="F76" i="1"/>
  <c r="T77" i="1" l="1"/>
  <c r="G77" i="1"/>
  <c r="N77" i="1" l="1"/>
  <c r="M77" i="1" l="1"/>
  <c r="S77" i="1"/>
  <c r="R77" i="1" l="1"/>
  <c r="K78" i="1" s="1"/>
  <c r="F77" i="1"/>
  <c r="U78" i="1"/>
  <c r="V78" i="1" s="1"/>
  <c r="G78" i="1" l="1"/>
  <c r="T78" i="1"/>
  <c r="N78" i="1" l="1"/>
  <c r="M78" i="1" l="1"/>
  <c r="S78" i="1"/>
  <c r="R78" i="1" l="1"/>
  <c r="K79" i="1" s="1"/>
  <c r="U79" i="1" s="1"/>
  <c r="F78" i="1"/>
  <c r="V79" i="1" l="1"/>
  <c r="G79" i="1" s="1"/>
  <c r="T79" i="1" l="1"/>
  <c r="N79" i="1" l="1"/>
  <c r="M79" i="1" l="1"/>
  <c r="S79" i="1"/>
  <c r="R79" i="1" l="1"/>
  <c r="K80" i="1" s="1"/>
  <c r="F79" i="1"/>
  <c r="U80" i="1"/>
  <c r="V80" i="1" l="1"/>
  <c r="G80" i="1" s="1"/>
  <c r="T80" i="1" l="1"/>
  <c r="N80" i="1" l="1"/>
  <c r="M80" i="1" l="1"/>
  <c r="S80" i="1"/>
  <c r="R80" i="1" l="1"/>
  <c r="K81" i="1" s="1"/>
  <c r="U81" i="1" s="1"/>
  <c r="F80" i="1"/>
  <c r="V81" i="1" l="1"/>
  <c r="T81" i="1" s="1"/>
  <c r="N81" i="1" l="1"/>
  <c r="M81" i="1" s="1"/>
  <c r="R81" i="1" s="1"/>
  <c r="K82" i="1" s="1"/>
  <c r="G81" i="1"/>
  <c r="F81" i="1" l="1"/>
  <c r="S81" i="1"/>
  <c r="U82" i="1" s="1"/>
  <c r="V82" i="1" l="1"/>
  <c r="T82" i="1" s="1"/>
  <c r="N82" i="1" l="1"/>
  <c r="M82" i="1" s="1"/>
  <c r="R82" i="1" s="1"/>
  <c r="K83" i="1" s="1"/>
  <c r="G82" i="1"/>
  <c r="F82" i="1" l="1"/>
  <c r="S82" i="1"/>
  <c r="U83" i="1" s="1"/>
  <c r="V83" i="1" l="1"/>
  <c r="T83" i="1" s="1"/>
  <c r="N83" i="1" l="1"/>
  <c r="M83" i="1" s="1"/>
  <c r="R83" i="1" s="1"/>
  <c r="K84" i="1" s="1"/>
  <c r="G83" i="1"/>
  <c r="F83" i="1" l="1"/>
  <c r="S83" i="1"/>
  <c r="U84" i="1" s="1"/>
  <c r="V84" i="1" l="1"/>
  <c r="T84" i="1" s="1"/>
  <c r="N84" i="1" l="1"/>
  <c r="M84" i="1" s="1"/>
  <c r="R84" i="1" s="1"/>
  <c r="K85" i="1" s="1"/>
  <c r="G84" i="1"/>
  <c r="F84" i="1" l="1"/>
  <c r="S84" i="1"/>
  <c r="U85" i="1" l="1"/>
  <c r="V85" i="1" l="1"/>
  <c r="T85" i="1" s="1"/>
  <c r="N85" i="1" l="1"/>
  <c r="M85" i="1" s="1"/>
  <c r="R85" i="1" s="1"/>
  <c r="K86" i="1" s="1"/>
  <c r="G85" i="1"/>
  <c r="F85" i="1" l="1"/>
  <c r="S85" i="1"/>
  <c r="U86" i="1" s="1"/>
  <c r="V86" i="1" s="1"/>
  <c r="T86" i="1" l="1"/>
  <c r="G86" i="1"/>
  <c r="N86" i="1" l="1"/>
  <c r="M86" i="1" l="1"/>
  <c r="S86" i="1"/>
  <c r="R86" i="1" l="1"/>
  <c r="K87" i="1" s="1"/>
  <c r="F86" i="1"/>
  <c r="U87" i="1"/>
  <c r="V87" i="1" s="1"/>
  <c r="T87" i="1" l="1"/>
  <c r="G87" i="1"/>
  <c r="N87" i="1" l="1"/>
  <c r="M87" i="1" l="1"/>
  <c r="S87" i="1"/>
  <c r="R87" i="1" l="1"/>
  <c r="K88" i="1" s="1"/>
  <c r="U88" i="1" s="1"/>
  <c r="V88" i="1" s="1"/>
  <c r="F87" i="1"/>
  <c r="T88" i="1" l="1"/>
  <c r="G88" i="1"/>
  <c r="N88" i="1" l="1"/>
  <c r="M88" i="1" l="1"/>
  <c r="S88" i="1"/>
  <c r="R88" i="1" l="1"/>
  <c r="K89" i="1" s="1"/>
  <c r="F88" i="1"/>
  <c r="U89" i="1"/>
  <c r="V89" i="1" s="1"/>
  <c r="T89" i="1" l="1"/>
  <c r="G89" i="1"/>
  <c r="N89" i="1" l="1"/>
  <c r="M89" i="1" l="1"/>
  <c r="S89" i="1"/>
  <c r="R89" i="1" l="1"/>
  <c r="K90" i="1" s="1"/>
  <c r="F89" i="1"/>
  <c r="U90" i="1"/>
  <c r="V90" i="1" l="1"/>
  <c r="G90" i="1" s="1"/>
  <c r="T90" i="1" l="1"/>
  <c r="N90" i="1" l="1"/>
  <c r="M90" i="1" l="1"/>
  <c r="S90" i="1"/>
  <c r="R90" i="1" l="1"/>
  <c r="K91" i="1" s="1"/>
  <c r="F90" i="1"/>
  <c r="U91" i="1"/>
  <c r="V91" i="1" s="1"/>
  <c r="T91" i="1" l="1"/>
  <c r="G91" i="1"/>
  <c r="N91" i="1" l="1"/>
  <c r="M91" i="1" l="1"/>
  <c r="S91" i="1"/>
  <c r="R91" i="1" l="1"/>
  <c r="K92" i="1" s="1"/>
  <c r="F91" i="1"/>
  <c r="U92" i="1"/>
  <c r="V92" i="1" s="1"/>
  <c r="G92" i="1" l="1"/>
  <c r="T92" i="1"/>
  <c r="N92" i="1" l="1"/>
  <c r="M92" i="1" l="1"/>
  <c r="S92" i="1"/>
  <c r="R92" i="1" l="1"/>
  <c r="K93" i="1" s="1"/>
  <c r="F92" i="1"/>
  <c r="U93" i="1"/>
  <c r="V93" i="1" s="1"/>
  <c r="T93" i="1" l="1"/>
  <c r="G93" i="1"/>
  <c r="N93" i="1" l="1"/>
  <c r="M93" i="1" l="1"/>
  <c r="S93" i="1"/>
  <c r="R93" i="1" l="1"/>
  <c r="K94" i="1" s="1"/>
  <c r="F93" i="1"/>
  <c r="U94" i="1"/>
  <c r="V94" i="1" s="1"/>
  <c r="G94" i="1" l="1"/>
  <c r="T94" i="1"/>
  <c r="N94" i="1" l="1"/>
  <c r="M94" i="1" l="1"/>
  <c r="S94" i="1"/>
  <c r="R94" i="1" l="1"/>
  <c r="K95" i="1" s="1"/>
  <c r="F94" i="1"/>
  <c r="U95" i="1"/>
  <c r="V95" i="1" s="1"/>
  <c r="T95" i="1" l="1"/>
  <c r="G95" i="1"/>
  <c r="N95" i="1" l="1"/>
  <c r="M95" i="1" l="1"/>
  <c r="S95" i="1"/>
  <c r="R95" i="1" l="1"/>
  <c r="K96" i="1" s="1"/>
  <c r="F95" i="1"/>
  <c r="U96" i="1"/>
  <c r="V96" i="1" s="1"/>
  <c r="T96" i="1" l="1"/>
  <c r="G96" i="1"/>
  <c r="N96" i="1" l="1"/>
  <c r="M96" i="1" l="1"/>
  <c r="S96" i="1"/>
  <c r="R96" i="1" l="1"/>
  <c r="K97" i="1" s="1"/>
  <c r="U97" i="1" s="1"/>
  <c r="V97" i="1" s="1"/>
  <c r="F96" i="1"/>
  <c r="G97" i="1" l="1"/>
  <c r="T97" i="1"/>
  <c r="N97" i="1" l="1"/>
  <c r="M97" i="1" l="1"/>
  <c r="S97" i="1"/>
  <c r="R97" i="1" l="1"/>
  <c r="K98" i="1" s="1"/>
  <c r="F97" i="1"/>
  <c r="U98" i="1"/>
  <c r="V98" i="1" l="1"/>
  <c r="T98" i="1" s="1"/>
  <c r="T169" i="1"/>
  <c r="G169" i="1"/>
  <c r="N98" i="1" l="1"/>
  <c r="M98" i="1" s="1"/>
  <c r="R98" i="1" s="1"/>
  <c r="K99" i="1" s="1"/>
  <c r="G98" i="1"/>
  <c r="G170" i="1"/>
  <c r="F98" i="1" l="1"/>
  <c r="S98" i="1"/>
  <c r="U99" i="1" s="1"/>
  <c r="V99" i="1" s="1"/>
  <c r="T170" i="1"/>
  <c r="G99" i="1" l="1"/>
  <c r="T99" i="1"/>
  <c r="G171" i="1"/>
  <c r="N99" i="1" l="1"/>
  <c r="T171" i="1"/>
  <c r="M99" i="1" l="1"/>
  <c r="S99" i="1"/>
  <c r="G172" i="1"/>
  <c r="R99" i="1" l="1"/>
  <c r="K100" i="1" s="1"/>
  <c r="U100" i="1" s="1"/>
  <c r="F99" i="1"/>
  <c r="T172" i="1"/>
  <c r="V100" i="1" l="1"/>
  <c r="G100" i="1" s="1"/>
  <c r="G173" i="1"/>
  <c r="T173" i="1"/>
  <c r="T100" i="1" l="1"/>
  <c r="T174" i="1"/>
  <c r="N100" i="1" l="1"/>
  <c r="G174" i="1"/>
  <c r="M100" i="1" l="1"/>
  <c r="S100" i="1"/>
  <c r="T175" i="1"/>
  <c r="R100" i="1" l="1"/>
  <c r="K101" i="1" s="1"/>
  <c r="F100" i="1"/>
  <c r="U101" i="1"/>
  <c r="G175" i="1"/>
  <c r="V101" i="1" l="1"/>
  <c r="G101" i="1" s="1"/>
  <c r="T176" i="1"/>
  <c r="T101" i="1" l="1"/>
  <c r="G176" i="1"/>
  <c r="N101" i="1" l="1"/>
  <c r="G177" i="1"/>
  <c r="M101" i="1" l="1"/>
  <c r="S101" i="1"/>
  <c r="T177" i="1"/>
  <c r="R101" i="1" l="1"/>
  <c r="K102" i="1" s="1"/>
  <c r="F101" i="1"/>
  <c r="U102" i="1"/>
  <c r="V102" i="1" s="1"/>
  <c r="T178" i="1"/>
  <c r="G102" i="1" l="1"/>
  <c r="T102" i="1"/>
  <c r="G178" i="1"/>
  <c r="N102" i="1" l="1"/>
  <c r="T179" i="1"/>
  <c r="M102" i="1" l="1"/>
  <c r="S102" i="1"/>
  <c r="G179" i="1"/>
  <c r="R102" i="1" l="1"/>
  <c r="K103" i="1" s="1"/>
  <c r="F102" i="1"/>
  <c r="U103" i="1"/>
  <c r="V103" i="1" s="1"/>
  <c r="G180" i="1"/>
  <c r="T103" i="1" l="1"/>
  <c r="G103" i="1"/>
  <c r="T180" i="1"/>
  <c r="N103" i="1" l="1"/>
  <c r="T181" i="1"/>
  <c r="M103" i="1" l="1"/>
  <c r="S103" i="1"/>
  <c r="G181" i="1"/>
  <c r="R103" i="1" l="1"/>
  <c r="K104" i="1" s="1"/>
  <c r="F103" i="1"/>
  <c r="U104" i="1"/>
  <c r="G182" i="1"/>
  <c r="T182" i="1"/>
  <c r="V104" i="1" l="1"/>
  <c r="T104" i="1" s="1"/>
  <c r="T183" i="1"/>
  <c r="N104" i="1" l="1"/>
  <c r="M104" i="1" s="1"/>
  <c r="R104" i="1" s="1"/>
  <c r="K105" i="1" s="1"/>
  <c r="G104" i="1"/>
  <c r="G183" i="1"/>
  <c r="F104" i="1" l="1"/>
  <c r="S104" i="1"/>
  <c r="G184" i="1"/>
  <c r="T184" i="1"/>
  <c r="U105" i="1" l="1"/>
  <c r="G185" i="1"/>
  <c r="T185" i="1"/>
  <c r="V105" i="1" l="1"/>
  <c r="G105" i="1" s="1"/>
  <c r="G186" i="1"/>
  <c r="T186" i="1"/>
  <c r="T105" i="1" l="1"/>
  <c r="G187" i="1"/>
  <c r="T187" i="1"/>
  <c r="N105" i="1" l="1"/>
  <c r="T188" i="1"/>
  <c r="G188" i="1"/>
  <c r="M105" i="1" l="1"/>
  <c r="S105" i="1"/>
  <c r="T189" i="1"/>
  <c r="R105" i="1" l="1"/>
  <c r="K106" i="1" s="1"/>
  <c r="F105" i="1"/>
  <c r="U106" i="1"/>
  <c r="G189" i="1"/>
  <c r="V106" i="1" l="1"/>
  <c r="T106" i="1" s="1"/>
  <c r="T190" i="1"/>
  <c r="N106" i="1" l="1"/>
  <c r="M106" i="1" s="1"/>
  <c r="R106" i="1" s="1"/>
  <c r="K107" i="1" s="1"/>
  <c r="G106" i="1"/>
  <c r="G190" i="1"/>
  <c r="F106" i="1" l="1"/>
  <c r="S106" i="1"/>
  <c r="G191" i="1"/>
  <c r="T191" i="1"/>
  <c r="U107" i="1" l="1"/>
  <c r="G192" i="1"/>
  <c r="T192" i="1"/>
  <c r="V107" i="1" l="1"/>
  <c r="T107" i="1" s="1"/>
  <c r="T193" i="1"/>
  <c r="N107" i="1" l="1"/>
  <c r="M107" i="1" s="1"/>
  <c r="R107" i="1" s="1"/>
  <c r="K108" i="1" s="1"/>
  <c r="G107" i="1"/>
  <c r="G193" i="1"/>
  <c r="F107" i="1" l="1"/>
  <c r="S107" i="1"/>
  <c r="U108" i="1" s="1"/>
  <c r="T194" i="1"/>
  <c r="V108" i="1" l="1"/>
  <c r="G108" i="1" s="1"/>
  <c r="G194" i="1"/>
  <c r="T108" i="1" l="1"/>
  <c r="T195" i="1"/>
  <c r="N108" i="1" l="1"/>
  <c r="G195" i="1"/>
  <c r="M108" i="1" l="1"/>
  <c r="S108" i="1"/>
  <c r="T196" i="1"/>
  <c r="R108" i="1" l="1"/>
  <c r="K109" i="1" s="1"/>
  <c r="F108" i="1"/>
  <c r="U109" i="1"/>
  <c r="G196" i="1"/>
  <c r="V109" i="1" l="1"/>
  <c r="G109" i="1" s="1"/>
  <c r="T197" i="1"/>
  <c r="T109" i="1" l="1"/>
  <c r="T198" i="1"/>
  <c r="N109" i="1" l="1"/>
  <c r="T199" i="1"/>
  <c r="M109" i="1" l="1"/>
  <c r="S109" i="1"/>
  <c r="T200" i="1"/>
  <c r="R109" i="1" l="1"/>
  <c r="K110" i="1" s="1"/>
  <c r="F109" i="1"/>
  <c r="U110" i="1"/>
  <c r="T201" i="1"/>
  <c r="V110" i="1" l="1"/>
  <c r="T110" i="1" s="1"/>
  <c r="T202" i="1"/>
  <c r="N110" i="1" l="1"/>
  <c r="M110" i="1" s="1"/>
  <c r="R110" i="1" s="1"/>
  <c r="K111" i="1" s="1"/>
  <c r="G110" i="1"/>
  <c r="T203" i="1"/>
  <c r="F110" i="1" l="1"/>
  <c r="S110" i="1"/>
  <c r="T204" i="1"/>
  <c r="U111" i="1" l="1"/>
  <c r="V111" i="1" s="1"/>
  <c r="T205" i="1"/>
  <c r="T111" i="1" l="1"/>
  <c r="G111" i="1"/>
  <c r="T206" i="1"/>
  <c r="N111" i="1" l="1"/>
  <c r="T207" i="1"/>
  <c r="M111" i="1" l="1"/>
  <c r="S111" i="1"/>
  <c r="T208" i="1"/>
  <c r="R111" i="1" l="1"/>
  <c r="K112" i="1" s="1"/>
  <c r="F111" i="1"/>
  <c r="U112" i="1"/>
  <c r="V112" i="1" s="1"/>
  <c r="G112" i="1" l="1"/>
  <c r="T112" i="1"/>
  <c r="N112" i="1" l="1"/>
  <c r="M112" i="1" l="1"/>
  <c r="S112" i="1"/>
  <c r="R112" i="1" l="1"/>
  <c r="K113" i="1" s="1"/>
  <c r="F112" i="1"/>
  <c r="U113" i="1"/>
  <c r="V113" i="1" s="1"/>
  <c r="G113" i="1" l="1"/>
  <c r="T113" i="1"/>
  <c r="N113" i="1" l="1"/>
  <c r="M113" i="1" l="1"/>
  <c r="S113" i="1"/>
  <c r="R113" i="1" l="1"/>
  <c r="K114" i="1" s="1"/>
  <c r="F113" i="1"/>
  <c r="U114" i="1"/>
  <c r="V114" i="1" s="1"/>
  <c r="G114" i="1" l="1"/>
  <c r="T114" i="1"/>
  <c r="N114" i="1" l="1"/>
  <c r="M114" i="1" l="1"/>
  <c r="S114" i="1"/>
  <c r="R114" i="1" l="1"/>
  <c r="K115" i="1" s="1"/>
  <c r="F114" i="1"/>
  <c r="U115" i="1"/>
  <c r="V115" i="1" l="1"/>
  <c r="T115" i="1" s="1"/>
  <c r="N115" i="1" l="1"/>
  <c r="M115" i="1" s="1"/>
  <c r="R115" i="1" s="1"/>
  <c r="K116" i="1" s="1"/>
  <c r="S115" i="1"/>
  <c r="G115" i="1"/>
  <c r="F115" i="1" l="1"/>
  <c r="U116" i="1"/>
  <c r="V116" i="1" s="1"/>
  <c r="T116" i="1" l="1"/>
  <c r="G116" i="1"/>
  <c r="N116" i="1" l="1"/>
  <c r="M116" i="1" l="1"/>
  <c r="S116" i="1"/>
  <c r="R116" i="1" l="1"/>
  <c r="K117" i="1" s="1"/>
  <c r="U117" i="1" s="1"/>
  <c r="V117" i="1" s="1"/>
  <c r="F116" i="1"/>
  <c r="T117" i="1" l="1"/>
  <c r="G117" i="1"/>
  <c r="N117" i="1" l="1"/>
  <c r="M117" i="1" l="1"/>
  <c r="S117" i="1"/>
  <c r="R117" i="1" l="1"/>
  <c r="K118" i="1" s="1"/>
  <c r="F117" i="1"/>
  <c r="U118" i="1"/>
  <c r="V118" i="1" l="1"/>
  <c r="T118" i="1" s="1"/>
  <c r="N118" i="1" l="1"/>
  <c r="M118" i="1" s="1"/>
  <c r="R118" i="1" s="1"/>
  <c r="K119" i="1" s="1"/>
  <c r="G118" i="1"/>
  <c r="F118" i="1" l="1"/>
  <c r="S118" i="1"/>
  <c r="U119" i="1" l="1"/>
  <c r="V119" i="1" l="1"/>
  <c r="T119" i="1" s="1"/>
  <c r="N119" i="1" l="1"/>
  <c r="M119" i="1" s="1"/>
  <c r="R119" i="1" s="1"/>
  <c r="K120" i="1" s="1"/>
  <c r="S119" i="1"/>
  <c r="G119" i="1"/>
  <c r="F119" i="1" l="1"/>
  <c r="U120" i="1"/>
  <c r="V120" i="1" l="1"/>
  <c r="G120" i="1" s="1"/>
  <c r="T120" i="1" l="1"/>
  <c r="N120" i="1" l="1"/>
  <c r="M120" i="1" l="1"/>
  <c r="S120" i="1"/>
  <c r="R120" i="1" l="1"/>
  <c r="K121" i="1" s="1"/>
  <c r="U121" i="1" s="1"/>
  <c r="V121" i="1" s="1"/>
  <c r="F120" i="1"/>
  <c r="G121" i="1" l="1"/>
  <c r="T121" i="1"/>
  <c r="N121" i="1" l="1"/>
  <c r="M121" i="1" l="1"/>
  <c r="S121" i="1"/>
  <c r="R121" i="1" l="1"/>
  <c r="K122" i="1" s="1"/>
  <c r="F121" i="1"/>
  <c r="U122" i="1"/>
  <c r="V122" i="1" l="1"/>
  <c r="T122" i="1" s="1"/>
  <c r="N122" i="1" l="1"/>
  <c r="M122" i="1" s="1"/>
  <c r="R122" i="1" s="1"/>
  <c r="K123" i="1" s="1"/>
  <c r="G122" i="1"/>
  <c r="F122" i="1" l="1"/>
  <c r="S122" i="1"/>
  <c r="U123" i="1" s="1"/>
  <c r="V123" i="1" l="1"/>
  <c r="G123" i="1" s="1"/>
  <c r="T123" i="1" l="1"/>
  <c r="N123" i="1" l="1"/>
  <c r="M123" i="1" l="1"/>
  <c r="S123" i="1"/>
  <c r="R123" i="1" l="1"/>
  <c r="K124" i="1" s="1"/>
  <c r="F123" i="1"/>
  <c r="U124" i="1"/>
  <c r="V124" i="1" l="1"/>
  <c r="T124" i="1" s="1"/>
  <c r="N124" i="1" l="1"/>
  <c r="M124" i="1" s="1"/>
  <c r="R124" i="1" s="1"/>
  <c r="K125" i="1" s="1"/>
  <c r="G124" i="1"/>
  <c r="F124" i="1" l="1"/>
  <c r="S124" i="1"/>
  <c r="U125" i="1" l="1"/>
  <c r="V125" i="1" l="1"/>
  <c r="G125" i="1" s="1"/>
  <c r="T125" i="1" l="1"/>
  <c r="N125" i="1" l="1"/>
  <c r="M125" i="1" l="1"/>
  <c r="S125" i="1"/>
  <c r="R125" i="1" l="1"/>
  <c r="K126" i="1" s="1"/>
  <c r="F125" i="1"/>
  <c r="U126" i="1"/>
  <c r="V126" i="1" l="1"/>
  <c r="T126" i="1" s="1"/>
  <c r="N126" i="1" l="1"/>
  <c r="M126" i="1" s="1"/>
  <c r="R126" i="1" s="1"/>
  <c r="K127" i="1" s="1"/>
  <c r="G126" i="1"/>
  <c r="F126" i="1" l="1"/>
  <c r="S126" i="1"/>
  <c r="U127" i="1" s="1"/>
  <c r="V127" i="1" s="1"/>
  <c r="G127" i="1" l="1"/>
  <c r="T127" i="1"/>
  <c r="N127" i="1" l="1"/>
  <c r="M127" i="1" l="1"/>
  <c r="S127" i="1"/>
  <c r="R127" i="1" l="1"/>
  <c r="K128" i="1" s="1"/>
  <c r="F127" i="1"/>
  <c r="U128" i="1"/>
  <c r="V128" i="1" s="1"/>
  <c r="G128" i="1" l="1"/>
  <c r="T128" i="1"/>
  <c r="N128" i="1" l="1"/>
  <c r="M128" i="1" l="1"/>
  <c r="S128" i="1"/>
  <c r="R128" i="1" l="1"/>
  <c r="K129" i="1" s="1"/>
  <c r="F128" i="1"/>
  <c r="U129" i="1"/>
  <c r="V129" i="1" s="1"/>
  <c r="T129" i="1" l="1"/>
  <c r="G129" i="1"/>
  <c r="N129" i="1" l="1"/>
  <c r="M129" i="1" l="1"/>
  <c r="S129" i="1"/>
  <c r="R129" i="1" l="1"/>
  <c r="K130" i="1" s="1"/>
  <c r="F129" i="1"/>
  <c r="U130" i="1"/>
  <c r="V130" i="1" l="1"/>
  <c r="G130" i="1" s="1"/>
  <c r="T130" i="1" l="1"/>
  <c r="N130" i="1" l="1"/>
  <c r="M130" i="1" l="1"/>
  <c r="S130" i="1"/>
  <c r="R130" i="1" l="1"/>
  <c r="K131" i="1" s="1"/>
  <c r="F130" i="1"/>
  <c r="U131" i="1"/>
  <c r="V131" i="1" l="1"/>
  <c r="T131" i="1" s="1"/>
  <c r="N131" i="1" l="1"/>
  <c r="M131" i="1" s="1"/>
  <c r="R131" i="1" s="1"/>
  <c r="K132" i="1" s="1"/>
  <c r="G131" i="1"/>
  <c r="F131" i="1" l="1"/>
  <c r="S131" i="1"/>
  <c r="U132" i="1" s="1"/>
  <c r="V132" i="1" l="1"/>
  <c r="G132" i="1" s="1"/>
  <c r="T132" i="1" l="1"/>
  <c r="N132" i="1" l="1"/>
  <c r="M132" i="1" l="1"/>
  <c r="S132" i="1"/>
  <c r="R132" i="1" l="1"/>
  <c r="K133" i="1" s="1"/>
  <c r="F132" i="1"/>
  <c r="U133" i="1"/>
  <c r="V133" i="1" l="1"/>
  <c r="G133" i="1" s="1"/>
  <c r="T133" i="1" l="1"/>
  <c r="N133" i="1" l="1"/>
  <c r="M133" i="1" l="1"/>
  <c r="S133" i="1"/>
  <c r="R133" i="1" l="1"/>
  <c r="K134" i="1" s="1"/>
  <c r="F133" i="1"/>
  <c r="U134" i="1"/>
  <c r="V134" i="1" l="1"/>
  <c r="T134" i="1" s="1"/>
  <c r="N134" i="1" l="1"/>
  <c r="M134" i="1" s="1"/>
  <c r="R134" i="1" s="1"/>
  <c r="K135" i="1" s="1"/>
  <c r="G134" i="1"/>
  <c r="F134" i="1" l="1"/>
  <c r="S134" i="1"/>
  <c r="U135" i="1" l="1"/>
  <c r="V135" i="1" s="1"/>
  <c r="T135" i="1" l="1"/>
  <c r="G135" i="1"/>
  <c r="N135" i="1" l="1"/>
  <c r="M135" i="1" l="1"/>
  <c r="S135" i="1"/>
  <c r="R135" i="1" l="1"/>
  <c r="K136" i="1" s="1"/>
  <c r="F135" i="1"/>
  <c r="U136" i="1"/>
  <c r="V136" i="1" s="1"/>
  <c r="G136" i="1" l="1"/>
  <c r="T136" i="1"/>
  <c r="N136" i="1" l="1"/>
  <c r="M136" i="1" l="1"/>
  <c r="S136" i="1"/>
  <c r="R136" i="1" l="1"/>
  <c r="K137" i="1" s="1"/>
  <c r="F136" i="1"/>
  <c r="U137" i="1"/>
  <c r="V137" i="1" s="1"/>
  <c r="T137" i="1" l="1"/>
  <c r="G137" i="1"/>
  <c r="N137" i="1" l="1"/>
  <c r="M137" i="1" l="1"/>
  <c r="S137" i="1"/>
  <c r="R137" i="1" l="1"/>
  <c r="K138" i="1" s="1"/>
  <c r="F137" i="1"/>
  <c r="U138" i="1"/>
  <c r="V138" i="1" s="1"/>
  <c r="G138" i="1" l="1"/>
  <c r="T138" i="1"/>
  <c r="N138" i="1" l="1"/>
  <c r="M138" i="1" l="1"/>
  <c r="S138" i="1"/>
  <c r="R138" i="1" l="1"/>
  <c r="K139" i="1" s="1"/>
  <c r="F138" i="1"/>
  <c r="U139" i="1"/>
  <c r="V139" i="1" l="1"/>
  <c r="T139" i="1" s="1"/>
  <c r="N139" i="1" l="1"/>
  <c r="M139" i="1" s="1"/>
  <c r="R139" i="1" s="1"/>
  <c r="K140" i="1" s="1"/>
  <c r="G139" i="1"/>
  <c r="F139" i="1" l="1"/>
  <c r="S139" i="1"/>
  <c r="U140" i="1" l="1"/>
  <c r="V140" i="1" s="1"/>
  <c r="T140" i="1" l="1"/>
  <c r="G140" i="1"/>
  <c r="N140" i="1" l="1"/>
  <c r="M140" i="1" l="1"/>
  <c r="S140" i="1"/>
  <c r="R140" i="1" l="1"/>
  <c r="K141" i="1" s="1"/>
  <c r="F140" i="1"/>
  <c r="U141" i="1"/>
  <c r="V141" i="1" l="1"/>
  <c r="G141" i="1" s="1"/>
  <c r="T141" i="1" l="1"/>
  <c r="N141" i="1" l="1"/>
  <c r="M141" i="1" l="1"/>
  <c r="S141" i="1"/>
  <c r="R141" i="1" l="1"/>
  <c r="K142" i="1" s="1"/>
  <c r="F141" i="1"/>
  <c r="U142" i="1"/>
  <c r="V142" i="1" s="1"/>
  <c r="T142" i="1" l="1"/>
  <c r="G142" i="1"/>
  <c r="N142" i="1" l="1"/>
  <c r="M142" i="1" l="1"/>
  <c r="S142" i="1"/>
  <c r="R142" i="1" l="1"/>
  <c r="K143" i="1" s="1"/>
  <c r="F142" i="1"/>
  <c r="U143" i="1"/>
  <c r="V143" i="1" s="1"/>
  <c r="G143" i="1" l="1"/>
  <c r="T143" i="1"/>
  <c r="N143" i="1" l="1"/>
  <c r="M143" i="1" l="1"/>
  <c r="S143" i="1"/>
  <c r="R143" i="1" l="1"/>
  <c r="K144" i="1" s="1"/>
  <c r="U144" i="1" s="1"/>
  <c r="F143" i="1"/>
  <c r="V144" i="1" l="1"/>
  <c r="G144" i="1" s="1"/>
  <c r="T144" i="1" l="1"/>
  <c r="N144" i="1" l="1"/>
  <c r="M144" i="1" l="1"/>
  <c r="S144" i="1"/>
  <c r="R144" i="1" l="1"/>
  <c r="K145" i="1" s="1"/>
  <c r="F144" i="1"/>
  <c r="U145" i="1"/>
  <c r="V145" i="1" l="1"/>
  <c r="G145" i="1" s="1"/>
  <c r="T145" i="1" l="1"/>
  <c r="N145" i="1" l="1"/>
  <c r="M145" i="1" l="1"/>
  <c r="S145" i="1"/>
  <c r="R145" i="1" l="1"/>
  <c r="K146" i="1" s="1"/>
  <c r="U146" i="1" s="1"/>
  <c r="V146" i="1" s="1"/>
  <c r="F145" i="1"/>
  <c r="G146" i="1" l="1"/>
  <c r="T146" i="1"/>
  <c r="N146" i="1" l="1"/>
  <c r="M146" i="1" l="1"/>
  <c r="S146" i="1"/>
  <c r="R146" i="1" l="1"/>
  <c r="K147" i="1" s="1"/>
  <c r="F146" i="1"/>
  <c r="U147" i="1"/>
  <c r="V147" i="1" l="1"/>
  <c r="G147" i="1" s="1"/>
  <c r="T147" i="1" l="1"/>
  <c r="N147" i="1" l="1"/>
  <c r="M147" i="1" l="1"/>
  <c r="S147" i="1"/>
  <c r="R147" i="1" l="1"/>
  <c r="K148" i="1" s="1"/>
  <c r="F147" i="1"/>
  <c r="U148" i="1"/>
  <c r="V148" i="1" l="1"/>
  <c r="T148" i="1" s="1"/>
  <c r="N148" i="1" l="1"/>
  <c r="M148" i="1" s="1"/>
  <c r="R148" i="1" s="1"/>
  <c r="K149" i="1" s="1"/>
  <c r="G148" i="1"/>
  <c r="F148" i="1" l="1"/>
  <c r="S148" i="1"/>
  <c r="U149" i="1" l="1"/>
  <c r="V149" i="1" l="1"/>
  <c r="T149" i="1" s="1"/>
  <c r="N149" i="1" l="1"/>
  <c r="M149" i="1" s="1"/>
  <c r="R149" i="1" s="1"/>
  <c r="K150" i="1" s="1"/>
  <c r="G149" i="1"/>
  <c r="F149" i="1" l="1"/>
  <c r="S149" i="1"/>
  <c r="U150" i="1" s="1"/>
  <c r="V150" i="1" l="1"/>
  <c r="T150" i="1" s="1"/>
  <c r="N150" i="1" l="1"/>
  <c r="M150" i="1" s="1"/>
  <c r="R150" i="1" s="1"/>
  <c r="K151" i="1" s="1"/>
  <c r="G150" i="1"/>
  <c r="F150" i="1" l="1"/>
  <c r="S150" i="1"/>
  <c r="U151" i="1" s="1"/>
  <c r="V151" i="1" l="1"/>
  <c r="G151" i="1" s="1"/>
  <c r="T151" i="1" l="1"/>
  <c r="N151" i="1" l="1"/>
  <c r="M151" i="1" l="1"/>
  <c r="S151" i="1"/>
  <c r="R151" i="1" l="1"/>
  <c r="K152" i="1" s="1"/>
  <c r="F151" i="1"/>
  <c r="U152" i="1"/>
  <c r="V152" i="1" l="1"/>
  <c r="T152" i="1" s="1"/>
  <c r="N152" i="1" l="1"/>
  <c r="M152" i="1" s="1"/>
  <c r="R152" i="1" s="1"/>
  <c r="K153" i="1" s="1"/>
  <c r="G152" i="1"/>
  <c r="F152" i="1" l="1"/>
  <c r="S152" i="1"/>
  <c r="U153" i="1" l="1"/>
  <c r="V153" i="1" s="1"/>
  <c r="G153" i="1" l="1"/>
  <c r="T153" i="1"/>
  <c r="N153" i="1" l="1"/>
  <c r="M153" i="1" l="1"/>
  <c r="S153" i="1"/>
  <c r="R153" i="1" l="1"/>
  <c r="K154" i="1" s="1"/>
  <c r="F153" i="1"/>
  <c r="U154" i="1"/>
  <c r="V154" i="1" s="1"/>
  <c r="G154" i="1" l="1"/>
  <c r="T154" i="1"/>
  <c r="N154" i="1" l="1"/>
  <c r="M154" i="1" l="1"/>
  <c r="S154" i="1"/>
  <c r="R154" i="1" l="1"/>
  <c r="K155" i="1" s="1"/>
  <c r="F154" i="1"/>
  <c r="U155" i="1"/>
  <c r="V155" i="1" l="1"/>
  <c r="G155" i="1" s="1"/>
  <c r="T155" i="1" l="1"/>
  <c r="N155" i="1" l="1"/>
  <c r="M155" i="1" l="1"/>
  <c r="S155" i="1"/>
  <c r="R155" i="1" l="1"/>
  <c r="K156" i="1" s="1"/>
  <c r="F155" i="1"/>
  <c r="U156" i="1"/>
  <c r="V156" i="1" s="1"/>
  <c r="T156" i="1" l="1"/>
  <c r="G156" i="1"/>
  <c r="N156" i="1" l="1"/>
  <c r="M156" i="1" l="1"/>
  <c r="S156" i="1"/>
  <c r="R156" i="1" l="1"/>
  <c r="K157" i="1" s="1"/>
  <c r="F156" i="1"/>
  <c r="U157" i="1"/>
  <c r="V157" i="1" l="1"/>
  <c r="G157" i="1" s="1"/>
  <c r="T157" i="1" l="1"/>
  <c r="N157" i="1" l="1"/>
  <c r="M157" i="1" l="1"/>
  <c r="S157" i="1"/>
  <c r="R157" i="1" l="1"/>
  <c r="K158" i="1" s="1"/>
  <c r="U158" i="1" s="1"/>
  <c r="F157" i="1"/>
  <c r="V158" i="1" l="1"/>
  <c r="T158" i="1" s="1"/>
  <c r="N158" i="1" l="1"/>
  <c r="M158" i="1" s="1"/>
  <c r="R158" i="1" s="1"/>
  <c r="K159" i="1" s="1"/>
  <c r="G158" i="1"/>
  <c r="F158" i="1" l="1"/>
  <c r="S158" i="1"/>
  <c r="U159" i="1" l="1"/>
  <c r="V159" i="1" s="1"/>
  <c r="G159" i="1" l="1"/>
  <c r="T159" i="1"/>
  <c r="N159" i="1" l="1"/>
  <c r="M159" i="1" l="1"/>
  <c r="S159" i="1"/>
  <c r="R159" i="1" l="1"/>
  <c r="K160" i="1" s="1"/>
  <c r="U160" i="1" s="1"/>
  <c r="V160" i="1" s="1"/>
  <c r="F159" i="1"/>
  <c r="G160" i="1" l="1"/>
  <c r="T160" i="1"/>
  <c r="N160" i="1" l="1"/>
  <c r="M160" i="1" l="1"/>
  <c r="S160" i="1"/>
  <c r="R160" i="1" l="1"/>
  <c r="K161" i="1" s="1"/>
  <c r="F160" i="1"/>
  <c r="U161" i="1"/>
  <c r="V161" i="1" s="1"/>
  <c r="G161" i="1" l="1"/>
  <c r="T161" i="1"/>
  <c r="N161" i="1" l="1"/>
  <c r="M161" i="1" l="1"/>
  <c r="S161" i="1"/>
  <c r="R161" i="1" l="1"/>
  <c r="K162" i="1" s="1"/>
  <c r="U162" i="1" s="1"/>
  <c r="V162" i="1" s="1"/>
  <c r="F161" i="1"/>
  <c r="T162" i="1" l="1"/>
  <c r="G162" i="1"/>
  <c r="N162" i="1" l="1"/>
  <c r="M162" i="1" l="1"/>
  <c r="S162" i="1"/>
  <c r="R162" i="1" l="1"/>
  <c r="K163" i="1" s="1"/>
  <c r="F162" i="1"/>
  <c r="U163" i="1"/>
  <c r="V163" i="1" l="1"/>
  <c r="G163" i="1" s="1"/>
  <c r="T163" i="1" l="1"/>
  <c r="N163" i="1" l="1"/>
  <c r="M163" i="1" l="1"/>
  <c r="S163" i="1"/>
  <c r="R163" i="1" l="1"/>
  <c r="K164" i="1" s="1"/>
  <c r="U164" i="1" s="1"/>
  <c r="F163" i="1"/>
  <c r="V164" i="1" l="1"/>
  <c r="T164" i="1" s="1"/>
  <c r="N164" i="1" l="1"/>
  <c r="M164" i="1" s="1"/>
  <c r="R164" i="1" s="1"/>
  <c r="K165" i="1" s="1"/>
  <c r="G164" i="1"/>
  <c r="F164" i="1" l="1"/>
  <c r="S164" i="1"/>
  <c r="U165" i="1" s="1"/>
  <c r="V165" i="1" l="1"/>
  <c r="T165" i="1" s="1"/>
  <c r="F165" i="1" l="1"/>
  <c r="N165" i="1"/>
  <c r="M165" i="1" s="1"/>
  <c r="R165" i="1" s="1"/>
  <c r="K166" i="1" s="1"/>
  <c r="G165" i="1"/>
  <c r="S165" i="1" l="1"/>
  <c r="U166" i="1" l="1"/>
  <c r="V166" i="1" l="1"/>
  <c r="G166" i="1" s="1"/>
  <c r="T166" i="1" l="1"/>
  <c r="F166" i="1" l="1"/>
  <c r="N166" i="1"/>
  <c r="M166" i="1" l="1"/>
  <c r="R166" i="1" s="1"/>
  <c r="K167" i="1" s="1"/>
  <c r="S166" i="1"/>
  <c r="U167" i="1" l="1"/>
  <c r="V167" i="1" l="1"/>
  <c r="T167" i="1" s="1"/>
  <c r="F167" i="1" l="1"/>
  <c r="N167" i="1"/>
  <c r="M167" i="1" s="1"/>
  <c r="R167" i="1" s="1"/>
  <c r="K168" i="1" s="1"/>
  <c r="S167" i="1"/>
  <c r="G167" i="1"/>
  <c r="U168" i="1" l="1"/>
  <c r="V168" i="1" l="1"/>
  <c r="G168" i="1" s="1"/>
  <c r="X7" i="1" s="1"/>
  <c r="T168" i="1" l="1"/>
  <c r="F168" i="1" l="1"/>
  <c r="F11" i="1" s="1"/>
  <c r="N168" i="1"/>
  <c r="M168" i="1" l="1"/>
  <c r="R168" i="1" s="1"/>
  <c r="S7" i="1" s="1"/>
  <c r="S4" i="1"/>
  <c r="S168" i="1"/>
</calcChain>
</file>

<file path=xl/comments1.xml><?xml version="1.0" encoding="utf-8"?>
<comments xmlns="http://schemas.openxmlformats.org/spreadsheetml/2006/main">
  <authors>
    <author>Kenji Jhoncon</author>
  </authors>
  <commentList>
    <comment ref="M7" authorId="0" shapeId="0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 Original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Cuotas Adicionales por reprogramacion.
Ampliacion de Plazo</t>
        </r>
      </text>
    </comment>
    <comment ref="M9" authorId="0" shapeId="0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Parcial</t>
        </r>
      </text>
    </comment>
    <comment ref="N9" authorId="0" shapeId="0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Total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En blanco es cuota Regular
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Gracia Total
Valor numerico</t>
        </r>
      </text>
    </comment>
  </commentList>
</comments>
</file>

<file path=xl/sharedStrings.xml><?xml version="1.0" encoding="utf-8"?>
<sst xmlns="http://schemas.openxmlformats.org/spreadsheetml/2006/main" count="118" uniqueCount="117">
  <si>
    <t>ENE</t>
  </si>
  <si>
    <t>MAR</t>
  </si>
  <si>
    <t>MAY</t>
  </si>
  <si>
    <t>JUL</t>
  </si>
  <si>
    <t>SET</t>
  </si>
  <si>
    <t>NOV</t>
  </si>
  <si>
    <t>FEB</t>
  </si>
  <si>
    <t>ABR</t>
  </si>
  <si>
    <t>JUN</t>
  </si>
  <si>
    <t>AGO</t>
  </si>
  <si>
    <t>OCT</t>
  </si>
  <si>
    <t>DIC</t>
  </si>
  <si>
    <t>Desembolso</t>
  </si>
  <si>
    <t>Cuota</t>
  </si>
  <si>
    <t>sd</t>
  </si>
  <si>
    <t>Objetivo</t>
  </si>
  <si>
    <t>1ra Cuota</t>
  </si>
  <si>
    <t>Ncuotas</t>
  </si>
  <si>
    <t>sb</t>
  </si>
  <si>
    <t>Monto</t>
  </si>
  <si>
    <t>a</t>
  </si>
  <si>
    <t>c</t>
  </si>
  <si>
    <t>f</t>
  </si>
  <si>
    <t>d</t>
  </si>
  <si>
    <t>si</t>
  </si>
  <si>
    <t>k</t>
  </si>
  <si>
    <t>i</t>
  </si>
  <si>
    <t>sf</t>
  </si>
  <si>
    <t>sfi</t>
  </si>
  <si>
    <t>I 1TRAMO</t>
  </si>
  <si>
    <t>I 2TRAMO</t>
  </si>
  <si>
    <t>I 3TRAMO</t>
  </si>
  <si>
    <t>I 4TRAMO</t>
  </si>
  <si>
    <t>I 5TRAMO</t>
  </si>
  <si>
    <t>Aportes</t>
  </si>
  <si>
    <t>Desgrav</t>
  </si>
  <si>
    <t>Seguro</t>
  </si>
  <si>
    <t>Total Intereses</t>
  </si>
  <si>
    <t>I 6TRAMO</t>
  </si>
  <si>
    <t>Dia de Pago</t>
  </si>
  <si>
    <t>T.E.A.</t>
  </si>
  <si>
    <t>interes</t>
  </si>
  <si>
    <t>Prepago</t>
  </si>
  <si>
    <t>I 7TRAMO</t>
  </si>
  <si>
    <t>I 8TRAMO</t>
  </si>
  <si>
    <t>I 9TRAMO</t>
  </si>
  <si>
    <t>I 10TRAMO</t>
  </si>
  <si>
    <t>I 11TRAMO</t>
  </si>
  <si>
    <t>I 12TRAMO</t>
  </si>
  <si>
    <t>I 13TRAMO</t>
  </si>
  <si>
    <t>I 14TRAMO</t>
  </si>
  <si>
    <t>I 15TRAMO</t>
  </si>
  <si>
    <t>I 16TRAMO</t>
  </si>
  <si>
    <t>I 17TRAMO</t>
  </si>
  <si>
    <t>I 18TRAMO</t>
  </si>
  <si>
    <t>I 19TRAMO</t>
  </si>
  <si>
    <t>I 20TRAMO</t>
  </si>
  <si>
    <t>I 21TRAMO</t>
  </si>
  <si>
    <t>I 22TRAMO</t>
  </si>
  <si>
    <t>I 23TRAMO</t>
  </si>
  <si>
    <t>I 24TRAMO</t>
  </si>
  <si>
    <t>Total Pago</t>
  </si>
  <si>
    <t>I 25TRAMO</t>
  </si>
  <si>
    <t>I 26TRAMO</t>
  </si>
  <si>
    <t>I 27TRAMO</t>
  </si>
  <si>
    <t>I 28TRAMO</t>
  </si>
  <si>
    <t>I 29TRAMO</t>
  </si>
  <si>
    <t>I 30TRAMO</t>
  </si>
  <si>
    <t>I 31TRAMO</t>
  </si>
  <si>
    <t>I 32TRAMO</t>
  </si>
  <si>
    <t>I 33TRAMO</t>
  </si>
  <si>
    <t>I 34TRAMO</t>
  </si>
  <si>
    <t>I 35TRAMO</t>
  </si>
  <si>
    <t>I 36TRAMO</t>
  </si>
  <si>
    <t>I 37TRAMO</t>
  </si>
  <si>
    <t>I 38TRAMO</t>
  </si>
  <si>
    <t>I 39TRAMO</t>
  </si>
  <si>
    <t>I 40TRAMO</t>
  </si>
  <si>
    <t>I 41TRAMO</t>
  </si>
  <si>
    <t>I 42TRAMO</t>
  </si>
  <si>
    <t>I 43TRAMO</t>
  </si>
  <si>
    <t>I 44TRAMO</t>
  </si>
  <si>
    <t>I 45TRAMO</t>
  </si>
  <si>
    <t>I 46TRAMO</t>
  </si>
  <si>
    <t>I 47TRAMO</t>
  </si>
  <si>
    <t>I 48TRAMO</t>
  </si>
  <si>
    <t>I 49TRAMO</t>
  </si>
  <si>
    <t>I 50TRAMO</t>
  </si>
  <si>
    <t>I 51TRAMO</t>
  </si>
  <si>
    <t>I 52TRAMO</t>
  </si>
  <si>
    <t>I 53TRAMO</t>
  </si>
  <si>
    <t>I 54TRAMO</t>
  </si>
  <si>
    <t>I 55TRAMO</t>
  </si>
  <si>
    <t>I 56TRAMO</t>
  </si>
  <si>
    <t>I 57TRAMO</t>
  </si>
  <si>
    <t>I 58TRAMO</t>
  </si>
  <si>
    <t>I 59TRAMO</t>
  </si>
  <si>
    <t>I 60TRAMO</t>
  </si>
  <si>
    <t>I 61TRAMO</t>
  </si>
  <si>
    <t>Fijar Pago</t>
  </si>
  <si>
    <t>Tipo Cuota</t>
  </si>
  <si>
    <t>TIPO_CUOTAS</t>
  </si>
  <si>
    <t>Gracia Parcial</t>
  </si>
  <si>
    <t>Regular</t>
  </si>
  <si>
    <t>NCuotas Sin Contar Prepagos</t>
  </si>
  <si>
    <t>Arreglo</t>
  </si>
  <si>
    <t>CheckList Formulas</t>
  </si>
  <si>
    <t>Numero de cuotas</t>
  </si>
  <si>
    <t>Numero de tramos</t>
  </si>
  <si>
    <t>TramoCheck</t>
  </si>
  <si>
    <t>Fijar Fecha</t>
  </si>
  <si>
    <t>PagoSinFijar</t>
  </si>
  <si>
    <t>Gtotal</t>
  </si>
  <si>
    <t>cAdicional</t>
  </si>
  <si>
    <t>P.Gracia</t>
  </si>
  <si>
    <t>Ultima Cuota</t>
  </si>
  <si>
    <t>v6.0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</si>
</sst>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 * #,##0.00_ ;_ * \-#,##0.00_ ;_ * &quot;-&quot;??_ ;_ @_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left" indent="1"/>
    </xf>
    <xf numFmtId="4" fontId="0" fillId="0" borderId="0" xfId="0" applyNumberFormat="1"/>
    <xf numFmtId="14" fontId="2" fillId="0" borderId="0" xfId="0" applyNumberFormat="1" applyFont="1" applyFill="1"/>
    <xf numFmtId="14" fontId="0" fillId="0" borderId="0" xfId="0" applyNumberFormat="1"/>
    <xf numFmtId="164" fontId="0" fillId="0" borderId="0" xfId="0" applyNumberFormat="1"/>
    <xf numFmtId="14" fontId="0" fillId="0" borderId="0" xfId="0" applyNumberFormat="1" applyFill="1"/>
    <xf numFmtId="4" fontId="0" fillId="0" borderId="0" xfId="0" applyNumberFormat="1" applyFill="1"/>
    <xf numFmtId="3" fontId="0" fillId="0" borderId="0" xfId="0" applyNumberFormat="1" applyAlignment="1">
      <alignment horizontal="center"/>
    </xf>
    <xf numFmtId="0" fontId="0" fillId="0" borderId="0" xfId="0" applyFill="1"/>
    <xf numFmtId="0" fontId="0" fillId="2" borderId="1" xfId="0" applyFill="1" applyBorder="1" applyAlignment="1">
      <alignment horizontal="center"/>
    </xf>
    <xf numFmtId="14" fontId="0" fillId="2" borderId="0" xfId="0" applyNumberFormat="1" applyFill="1"/>
    <xf numFmtId="164" fontId="0" fillId="2" borderId="0" xfId="1" applyFont="1" applyFill="1"/>
    <xf numFmtId="0" fontId="0" fillId="2" borderId="0" xfId="0" applyFill="1"/>
    <xf numFmtId="2" fontId="0" fillId="2" borderId="0" xfId="0" applyNumberFormat="1" applyFill="1"/>
    <xf numFmtId="10" fontId="0" fillId="2" borderId="0" xfId="2" applyNumberFormat="1" applyFont="1" applyFill="1"/>
    <xf numFmtId="0" fontId="0" fillId="0" borderId="0" xfId="0" applyAlignment="1">
      <alignment horizontal="right"/>
    </xf>
    <xf numFmtId="0" fontId="0" fillId="0" borderId="0" xfId="1" applyNumberFormat="1" applyFont="1" applyAlignment="1">
      <alignment horizontal="center"/>
    </xf>
    <xf numFmtId="164" fontId="2" fillId="0" borderId="0" xfId="1" applyFont="1" applyFill="1"/>
    <xf numFmtId="164" fontId="0" fillId="0" borderId="0" xfId="1" applyFont="1"/>
    <xf numFmtId="0" fontId="2" fillId="0" borderId="0" xfId="0" applyNumberFormat="1" applyFont="1" applyFill="1"/>
    <xf numFmtId="0" fontId="0" fillId="0" borderId="0" xfId="0" applyNumberFormat="1"/>
    <xf numFmtId="19" fontId="0" fillId="0" borderId="0" xfId="0" applyNumberFormat="1"/>
    <xf numFmtId="164" fontId="1" fillId="0" borderId="0" xfId="1" applyFont="1" applyFill="1"/>
    <xf numFmtId="0" fontId="5" fillId="0" borderId="0" xfId="0" applyFont="1"/>
    <xf numFmtId="0" fontId="0" fillId="0" borderId="0" xfId="0" applyAlignment="1">
      <alignment horizontal="left" indent="2"/>
    </xf>
    <xf numFmtId="0" fontId="0" fillId="0" borderId="0" xfId="0" applyFill="1" applyAlignment="1"/>
    <xf numFmtId="9" fontId="0" fillId="0" borderId="0" xfId="2" applyFont="1"/>
    <xf numFmtId="0" fontId="4" fillId="0" borderId="0" xfId="0" applyNumberFormat="1" applyFont="1" applyAlignment="1"/>
    <xf numFmtId="0" fontId="0" fillId="0" borderId="0" xfId="0" applyAlignment="1">
      <alignment horizontal="left" indent="2"/>
    </xf>
  </cellXfs>
  <cellStyles count="3">
    <cellStyle name="Millares" xfId="1" builtinId="3"/>
    <cellStyle name="Normal" xfId="0" builtinId="0"/>
    <cellStyle name="Porcentaje" xfId="2" builtinId="5"/>
  </cellStyles>
  <dxfs count="8"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A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7</xdr:row>
          <xdr:rowOff>28575</xdr:rowOff>
        </xdr:from>
        <xdr:to>
          <xdr:col>3</xdr:col>
          <xdr:colOff>219075</xdr:colOff>
          <xdr:row>8</xdr:row>
          <xdr:rowOff>133350</xdr:rowOff>
        </xdr:to>
        <xdr:sp macro="" textlink="">
          <xdr:nvSpPr>
            <xdr:cNvPr id="1025" name="btnLimp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942975</xdr:colOff>
          <xdr:row>2</xdr:row>
          <xdr:rowOff>133350</xdr:rowOff>
        </xdr:from>
        <xdr:to>
          <xdr:col>13</xdr:col>
          <xdr:colOff>38100</xdr:colOff>
          <xdr:row>4</xdr:row>
          <xdr:rowOff>95250</xdr:rowOff>
        </xdr:to>
        <xdr:sp macro="" textlink="">
          <xdr:nvSpPr>
            <xdr:cNvPr id="1027" name="btAjust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647700</xdr:colOff>
          <xdr:row>2</xdr:row>
          <xdr:rowOff>123825</xdr:rowOff>
        </xdr:to>
        <xdr:sp macro="" textlink="">
          <xdr:nvSpPr>
            <xdr:cNvPr id="1029" name="Option Button 5" descr="Mensual Fij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Mensual Fijo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123825</xdr:rowOff>
        </xdr:from>
        <xdr:to>
          <xdr:col>3</xdr:col>
          <xdr:colOff>628650</xdr:colOff>
          <xdr:row>4</xdr:row>
          <xdr:rowOff>28575</xdr:rowOff>
        </xdr:to>
        <xdr:sp macro="" textlink="">
          <xdr:nvSpPr>
            <xdr:cNvPr id="1030" name="Option Button 6" descr="Mensual Fij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Bimensual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47625</xdr:rowOff>
        </xdr:from>
        <xdr:to>
          <xdr:col>3</xdr:col>
          <xdr:colOff>647700</xdr:colOff>
          <xdr:row>5</xdr:row>
          <xdr:rowOff>123825</xdr:rowOff>
        </xdr:to>
        <xdr:sp macro="" textlink="">
          <xdr:nvSpPr>
            <xdr:cNvPr id="1031" name="Option Button 7" descr="Mensual Fij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Trimestrual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C208"/>
  <sheetViews>
    <sheetView tabSelected="1" zoomScale="80" zoomScaleNormal="80" workbookViewId="0">
      <pane ySplit="10" topLeftCell="A11" activePane="bottomLeft" state="frozen"/>
      <selection pane="bottomLeft"/>
    </sheetView>
  </sheetViews>
  <sheetFormatPr baseColWidth="10" defaultRowHeight="15" x14ac:dyDescent="0.25"/>
  <cols>
    <col min="1" max="1" width="16.28515625" customWidth="1"/>
    <col min="2" max="2" width="5.42578125" customWidth="1"/>
    <col min="3" max="3" width="13" style="20" customWidth="1"/>
    <col min="4" max="4" width="12.28515625" customWidth="1"/>
    <col min="5" max="7" width="9.28515625" style="22" hidden="1" customWidth="1"/>
    <col min="8" max="8" width="7.42578125" customWidth="1"/>
    <col min="9" max="9" width="13.7109375" customWidth="1"/>
    <col min="10" max="10" width="17.28515625" customWidth="1"/>
    <col min="11" max="11" width="15" customWidth="1"/>
    <col min="12" max="12" width="14.5703125" customWidth="1"/>
    <col min="13" max="13" width="14.7109375" customWidth="1"/>
    <col min="14" max="17" width="13.7109375" customWidth="1"/>
    <col min="18" max="18" width="20.7109375" customWidth="1"/>
    <col min="19" max="19" width="14.140625" customWidth="1"/>
    <col min="20" max="20" width="15.5703125" hidden="1" customWidth="1"/>
    <col min="21" max="21" width="13.7109375" customWidth="1"/>
    <col min="22" max="22" width="14.7109375" customWidth="1"/>
    <col min="23" max="23" width="15.5703125" customWidth="1"/>
  </cols>
  <sheetData>
    <row r="1" spans="1:81" x14ac:dyDescent="0.25">
      <c r="A1" s="1">
        <v>1</v>
      </c>
      <c r="B1" s="1"/>
      <c r="C1" s="19" t="str">
        <f>CONCATENATE($J$1,$J$2,$L$1,$L$2,$N$1,$N$2,$P$1,$P$2,$R$1,$R$2,$U$1,$U$2)</f>
        <v>111111111111</v>
      </c>
      <c r="D1" s="4"/>
      <c r="E1" s="21"/>
      <c r="F1" s="21"/>
      <c r="G1" s="21"/>
      <c r="I1" s="2" t="s">
        <v>0</v>
      </c>
      <c r="J1" s="11">
        <v>1</v>
      </c>
      <c r="K1" s="2" t="s">
        <v>1</v>
      </c>
      <c r="L1" s="11">
        <v>1</v>
      </c>
      <c r="M1" s="2" t="s">
        <v>2</v>
      </c>
      <c r="N1" s="11">
        <v>1</v>
      </c>
      <c r="O1" s="2" t="s">
        <v>3</v>
      </c>
      <c r="P1" s="11">
        <v>1</v>
      </c>
      <c r="Q1" s="2" t="s">
        <v>4</v>
      </c>
      <c r="R1" s="11">
        <v>1</v>
      </c>
      <c r="S1" s="2" t="s">
        <v>5</v>
      </c>
      <c r="T1" s="2"/>
      <c r="U1" s="11">
        <v>1</v>
      </c>
    </row>
    <row r="2" spans="1:81" x14ac:dyDescent="0.25">
      <c r="A2" t="s">
        <v>116</v>
      </c>
      <c r="I2" s="2" t="s">
        <v>6</v>
      </c>
      <c r="J2" s="11">
        <v>1</v>
      </c>
      <c r="K2" s="2" t="s">
        <v>7</v>
      </c>
      <c r="L2" s="11">
        <v>1</v>
      </c>
      <c r="M2" s="2" t="s">
        <v>8</v>
      </c>
      <c r="N2" s="11">
        <v>1</v>
      </c>
      <c r="O2" s="2" t="s">
        <v>9</v>
      </c>
      <c r="P2" s="11">
        <v>1</v>
      </c>
      <c r="Q2" s="2" t="s">
        <v>10</v>
      </c>
      <c r="R2" s="11">
        <v>1</v>
      </c>
      <c r="S2" s="2" t="s">
        <v>11</v>
      </c>
      <c r="T2" s="2"/>
      <c r="U2" s="11">
        <v>1</v>
      </c>
      <c r="W2" s="27"/>
      <c r="X2" s="27"/>
    </row>
    <row r="3" spans="1:81" x14ac:dyDescent="0.25">
      <c r="R3" s="17" t="s">
        <v>115</v>
      </c>
      <c r="S3" s="3">
        <f>INDEX($L$12:$L1000,+NCUOTAS+CUOTAADICIONAL+PGRACIA)</f>
        <v>108.47999999999998</v>
      </c>
      <c r="Y3" s="3"/>
    </row>
    <row r="4" spans="1:81" x14ac:dyDescent="0.25">
      <c r="R4" s="17" t="s">
        <v>37</v>
      </c>
      <c r="S4" s="3">
        <f>SUM($N$12:$N1048576)</f>
        <v>172.45000000000002</v>
      </c>
      <c r="V4" s="25" t="s">
        <v>106</v>
      </c>
      <c r="Y4" s="3"/>
      <c r="AB4" s="28">
        <f>ROUND(($AB$5/100+1)^12-1,2)</f>
        <v>0.18</v>
      </c>
    </row>
    <row r="5" spans="1:81" x14ac:dyDescent="0.25">
      <c r="K5" s="5"/>
      <c r="L5" s="3"/>
      <c r="O5" t="s">
        <v>40</v>
      </c>
      <c r="P5" s="16">
        <v>0.1</v>
      </c>
      <c r="Q5" s="18">
        <f>ROUND(((1+$P$5)^(1/12)-1)*100,6)</f>
        <v>0.79741399999999996</v>
      </c>
      <c r="R5" s="17" t="s">
        <v>61</v>
      </c>
      <c r="S5" s="3">
        <f>SUM($L$12:$L1048576)</f>
        <v>2172.4499999999989</v>
      </c>
      <c r="Y5" s="3"/>
      <c r="AB5" s="14">
        <v>1.388843</v>
      </c>
    </row>
    <row r="6" spans="1:81" x14ac:dyDescent="0.25">
      <c r="I6" t="s">
        <v>12</v>
      </c>
      <c r="J6" s="12">
        <v>43889</v>
      </c>
      <c r="K6" s="23"/>
      <c r="L6" t="s">
        <v>13</v>
      </c>
      <c r="M6" s="8">
        <v>108.62999999999998</v>
      </c>
      <c r="O6" t="s">
        <v>35</v>
      </c>
      <c r="P6" s="15">
        <v>0</v>
      </c>
      <c r="Q6" s="3">
        <f>SUM($O$12:$O10000)</f>
        <v>0</v>
      </c>
      <c r="R6" s="17" t="s">
        <v>39</v>
      </c>
      <c r="S6">
        <f>DAY($J$7)</f>
        <v>25</v>
      </c>
      <c r="T6" s="3"/>
      <c r="V6" s="30" t="s">
        <v>107</v>
      </c>
      <c r="W6" s="30"/>
      <c r="X6" t="str">
        <f>IF(COUNTA($H$12:$H3000)&lt;$M$7,"Falta Extender la formula hacia abajo","OK")</f>
        <v>OK</v>
      </c>
    </row>
    <row r="7" spans="1:81" x14ac:dyDescent="0.25">
      <c r="I7" t="s">
        <v>16</v>
      </c>
      <c r="J7" s="12">
        <v>43915</v>
      </c>
      <c r="L7" t="s">
        <v>17</v>
      </c>
      <c r="M7" s="14">
        <v>20</v>
      </c>
      <c r="O7" t="s">
        <v>36</v>
      </c>
      <c r="P7" s="15">
        <v>0</v>
      </c>
      <c r="Q7" s="3">
        <f>SUM($P$12:$P10000)</f>
        <v>0</v>
      </c>
      <c r="R7" s="17" t="s">
        <v>15</v>
      </c>
      <c r="S7" s="3">
        <f>ROUND(INDEX($R$12:$R1000,+NCUOTAS+CUOTAADICIONAL+PGRACIA),2)</f>
        <v>0</v>
      </c>
      <c r="T7" s="8"/>
      <c r="V7" s="26" t="s">
        <v>108</v>
      </c>
      <c r="W7" s="26"/>
      <c r="X7" t="str">
        <f>IF(SUM($G$12:$G3000)&gt;0,"Falta Extender la formula hacia la derecha","OK")</f>
        <v>OK</v>
      </c>
    </row>
    <row r="8" spans="1:81" x14ac:dyDescent="0.25">
      <c r="I8" t="s">
        <v>19</v>
      </c>
      <c r="J8" s="13">
        <v>2000</v>
      </c>
      <c r="L8" s="3" t="s">
        <v>113</v>
      </c>
      <c r="M8" s="14">
        <v>0</v>
      </c>
      <c r="O8" t="s">
        <v>34</v>
      </c>
      <c r="P8" s="15">
        <v>0</v>
      </c>
      <c r="Q8" s="3">
        <f>SUM($Q$12:$Q10000)</f>
        <v>0</v>
      </c>
      <c r="R8" s="17" t="s">
        <v>105</v>
      </c>
      <c r="S8" s="8">
        <v>0.15</v>
      </c>
      <c r="T8" s="3"/>
      <c r="Y8" s="3"/>
    </row>
    <row r="9" spans="1:81" x14ac:dyDescent="0.25">
      <c r="I9" s="5"/>
      <c r="J9" s="6"/>
      <c r="L9" s="3" t="s">
        <v>114</v>
      </c>
      <c r="M9">
        <f>COUNTIF($A$12:$A1048576,"Gracia Parcial")</f>
        <v>0</v>
      </c>
      <c r="N9">
        <f>SUM($B$12:$B1048576)</f>
        <v>0</v>
      </c>
    </row>
    <row r="10" spans="1:81" x14ac:dyDescent="0.25">
      <c r="A10" t="s">
        <v>100</v>
      </c>
      <c r="B10" t="s">
        <v>112</v>
      </c>
      <c r="C10" s="24" t="s">
        <v>99</v>
      </c>
      <c r="D10" t="s">
        <v>110</v>
      </c>
      <c r="E10" s="22" t="s">
        <v>104</v>
      </c>
      <c r="F10" s="22" t="s">
        <v>111</v>
      </c>
      <c r="G10" s="22" t="s">
        <v>109</v>
      </c>
      <c r="H10" t="s">
        <v>21</v>
      </c>
      <c r="I10" t="s">
        <v>22</v>
      </c>
      <c r="J10" t="s">
        <v>23</v>
      </c>
      <c r="K10" t="s">
        <v>24</v>
      </c>
      <c r="L10" t="s">
        <v>21</v>
      </c>
      <c r="M10" t="s">
        <v>25</v>
      </c>
      <c r="N10" t="s">
        <v>26</v>
      </c>
      <c r="O10" t="s">
        <v>14</v>
      </c>
      <c r="P10" t="s">
        <v>18</v>
      </c>
      <c r="Q10" t="s">
        <v>20</v>
      </c>
      <c r="R10" t="s">
        <v>27</v>
      </c>
      <c r="S10" t="s">
        <v>28</v>
      </c>
      <c r="T10" t="s">
        <v>41</v>
      </c>
      <c r="U10" t="s">
        <v>29</v>
      </c>
      <c r="V10" t="s">
        <v>30</v>
      </c>
      <c r="W10" t="s">
        <v>31</v>
      </c>
      <c r="X10" t="s">
        <v>32</v>
      </c>
      <c r="Y10" t="s">
        <v>33</v>
      </c>
      <c r="Z10" t="s">
        <v>38</v>
      </c>
      <c r="AA10" t="s">
        <v>43</v>
      </c>
      <c r="AB10" t="s">
        <v>44</v>
      </c>
      <c r="AC10" t="s">
        <v>45</v>
      </c>
      <c r="AD10" t="s">
        <v>46</v>
      </c>
      <c r="AE10" t="s">
        <v>47</v>
      </c>
      <c r="AF10" t="s">
        <v>48</v>
      </c>
      <c r="AG10" t="s">
        <v>49</v>
      </c>
      <c r="AH10" t="s">
        <v>50</v>
      </c>
      <c r="AI10" t="s">
        <v>51</v>
      </c>
      <c r="AJ10" t="s">
        <v>52</v>
      </c>
      <c r="AK10" t="s">
        <v>53</v>
      </c>
      <c r="AL10" t="s">
        <v>54</v>
      </c>
      <c r="AM10" t="s">
        <v>55</v>
      </c>
      <c r="AN10" t="s">
        <v>56</v>
      </c>
      <c r="AO10" t="s">
        <v>57</v>
      </c>
      <c r="AP10" t="s">
        <v>58</v>
      </c>
      <c r="AQ10" t="s">
        <v>59</v>
      </c>
      <c r="AR10" t="s">
        <v>60</v>
      </c>
      <c r="AS10" t="s">
        <v>62</v>
      </c>
      <c r="AT10" t="s">
        <v>63</v>
      </c>
      <c r="AU10" t="s">
        <v>64</v>
      </c>
      <c r="AV10" t="s">
        <v>65</v>
      </c>
      <c r="AW10" t="s">
        <v>66</v>
      </c>
      <c r="AX10" t="s">
        <v>67</v>
      </c>
      <c r="AY10" t="s">
        <v>68</v>
      </c>
      <c r="AZ10" t="s">
        <v>69</v>
      </c>
      <c r="BA10" t="s">
        <v>70</v>
      </c>
      <c r="BB10" t="s">
        <v>71</v>
      </c>
      <c r="BC10" t="s">
        <v>72</v>
      </c>
      <c r="BD10" t="s">
        <v>73</v>
      </c>
      <c r="BE10" t="s">
        <v>74</v>
      </c>
      <c r="BF10" t="s">
        <v>75</v>
      </c>
      <c r="BG10" t="s">
        <v>76</v>
      </c>
      <c r="BH10" t="s">
        <v>77</v>
      </c>
      <c r="BI10" t="s">
        <v>78</v>
      </c>
      <c r="BJ10" t="s">
        <v>79</v>
      </c>
      <c r="BK10" t="s">
        <v>80</v>
      </c>
      <c r="BL10" t="s">
        <v>81</v>
      </c>
      <c r="BM10" t="s">
        <v>82</v>
      </c>
      <c r="BN10" t="s">
        <v>83</v>
      </c>
      <c r="BO10" t="s">
        <v>84</v>
      </c>
      <c r="BP10" t="s">
        <v>85</v>
      </c>
      <c r="BQ10" t="s">
        <v>86</v>
      </c>
      <c r="BR10" t="s">
        <v>87</v>
      </c>
      <c r="BS10" t="s">
        <v>88</v>
      </c>
      <c r="BT10" t="s">
        <v>89</v>
      </c>
      <c r="BU10" t="s">
        <v>90</v>
      </c>
      <c r="BV10" t="s">
        <v>91</v>
      </c>
      <c r="BW10" t="s">
        <v>92</v>
      </c>
      <c r="BX10" t="s">
        <v>93</v>
      </c>
      <c r="BY10" t="s">
        <v>94</v>
      </c>
      <c r="BZ10" t="s">
        <v>95</v>
      </c>
      <c r="CA10" t="s">
        <v>96</v>
      </c>
      <c r="CB10" t="s">
        <v>97</v>
      </c>
      <c r="CC10" t="s">
        <v>98</v>
      </c>
    </row>
    <row r="11" spans="1:81" x14ac:dyDescent="0.25">
      <c r="A11" s="29"/>
      <c r="B11" s="29"/>
      <c r="C11" s="29">
        <f>COUNTA($C$12:$C10000)</f>
        <v>0</v>
      </c>
      <c r="D11" s="29"/>
      <c r="E11" s="22">
        <v>0</v>
      </c>
      <c r="F11" s="22">
        <f>SUM($F$12:$F208)</f>
        <v>172.45000000000002</v>
      </c>
      <c r="H11">
        <v>0</v>
      </c>
      <c r="I11" s="7">
        <f>$J$6</f>
        <v>43889</v>
      </c>
      <c r="R11" s="8">
        <f>$J$8</f>
        <v>2000</v>
      </c>
      <c r="U11">
        <v>30</v>
      </c>
      <c r="V11">
        <v>60</v>
      </c>
      <c r="W11">
        <v>90</v>
      </c>
      <c r="X11">
        <v>120</v>
      </c>
      <c r="Y11">
        <v>150</v>
      </c>
      <c r="Z11">
        <v>180</v>
      </c>
      <c r="AA11">
        <v>210</v>
      </c>
      <c r="AB11">
        <v>240</v>
      </c>
      <c r="AC11">
        <v>270</v>
      </c>
      <c r="AD11">
        <v>300</v>
      </c>
      <c r="AE11">
        <v>330</v>
      </c>
      <c r="AF11">
        <v>360</v>
      </c>
      <c r="AG11">
        <v>390</v>
      </c>
      <c r="AH11">
        <v>420</v>
      </c>
      <c r="AI11">
        <v>450</v>
      </c>
      <c r="AJ11">
        <v>480</v>
      </c>
      <c r="AK11">
        <v>510</v>
      </c>
      <c r="AL11">
        <v>540</v>
      </c>
      <c r="AM11">
        <v>570</v>
      </c>
      <c r="AN11">
        <v>600</v>
      </c>
      <c r="AO11">
        <v>630</v>
      </c>
      <c r="AP11">
        <v>660</v>
      </c>
      <c r="AQ11">
        <v>690</v>
      </c>
      <c r="AR11">
        <v>720</v>
      </c>
      <c r="AS11">
        <v>750</v>
      </c>
      <c r="AT11">
        <v>780</v>
      </c>
      <c r="AU11">
        <v>810</v>
      </c>
      <c r="AV11">
        <v>840</v>
      </c>
      <c r="AW11">
        <v>870</v>
      </c>
      <c r="AX11">
        <v>900</v>
      </c>
      <c r="AY11">
        <v>930</v>
      </c>
      <c r="AZ11">
        <v>960</v>
      </c>
      <c r="BA11">
        <v>990</v>
      </c>
      <c r="BB11">
        <v>1020</v>
      </c>
      <c r="BC11">
        <v>1050</v>
      </c>
      <c r="BD11">
        <v>1080</v>
      </c>
      <c r="BE11">
        <v>1110</v>
      </c>
      <c r="BF11">
        <v>1140</v>
      </c>
      <c r="BG11">
        <v>1170</v>
      </c>
      <c r="BH11">
        <v>1200</v>
      </c>
      <c r="BI11">
        <v>1230</v>
      </c>
      <c r="BJ11">
        <v>1260</v>
      </c>
      <c r="BK11">
        <v>1290</v>
      </c>
      <c r="BL11">
        <v>1320</v>
      </c>
      <c r="BM11">
        <v>1350</v>
      </c>
      <c r="BN11">
        <v>1380</v>
      </c>
      <c r="BO11">
        <v>1410</v>
      </c>
      <c r="BP11">
        <v>1440</v>
      </c>
      <c r="BQ11">
        <v>1470</v>
      </c>
      <c r="BR11">
        <v>1500</v>
      </c>
      <c r="BS11">
        <v>1530</v>
      </c>
      <c r="BT11">
        <v>1560</v>
      </c>
      <c r="BU11">
        <v>1590</v>
      </c>
      <c r="BV11">
        <v>1620</v>
      </c>
      <c r="BW11">
        <v>1650</v>
      </c>
      <c r="BX11">
        <v>1680</v>
      </c>
      <c r="BY11">
        <v>1710</v>
      </c>
      <c r="BZ11">
        <v>1740</v>
      </c>
      <c r="CA11">
        <v>1770</v>
      </c>
      <c r="CB11">
        <v>1800</v>
      </c>
      <c r="CC11">
        <v>1830</v>
      </c>
    </row>
    <row r="12" spans="1:81" x14ac:dyDescent="0.25">
      <c r="D12" s="5"/>
      <c r="E12" s="22">
        <f t="shared" ref="E12:E43" si="0">IF($H12&lt;&gt;"",IF($A12="Prepago",$E11,$E11+1),"")</f>
        <v>1</v>
      </c>
      <c r="F12" s="22">
        <f>IF($H12&lt;&gt;"",IF(ISNUMBER($C12),-$M12+$T12-$N12,ABS($T12)+$O12+$P12+$Q12),"")</f>
        <v>13.780000000000001</v>
      </c>
      <c r="G12" s="22">
        <f>IF(H12&lt;&gt;"",IF(COUNTA($U12:$XFD12)*30&lt;$J12,1,0),"")</f>
        <v>0</v>
      </c>
      <c r="H12">
        <f t="shared" ref="H12:H43" si="1">IF($H11&lt;NCUOTAS+CUOTAADICIONAL+PGRACIA,$H11+1,"")</f>
        <v>1</v>
      </c>
      <c r="I12" s="5">
        <f>IF($H12&lt;&gt;"",IF($D12="",DATE(YEAR($J$7),MONTH($J$7)+($A$1*($E12-1))+SUM($B$12:$B12),DAY($J$7)),$D12),"")</f>
        <v>43915</v>
      </c>
      <c r="J12" s="9">
        <f>IF($H12&lt;&gt;"",$I12-$I11,"")</f>
        <v>26</v>
      </c>
      <c r="K12" s="3">
        <f>IF($H12&lt;&gt;"",$R11,"")</f>
        <v>2000</v>
      </c>
      <c r="L12" s="3">
        <f t="shared" ref="L12:L43" si="2">IF($H12&lt;&gt;"",IF($A12="Gracia Parcial",$T12+$O12+$P12+$Q12,IF($A12="Gracia Total",0,IF($A12="Prepago",$C12,IF(ISNUMBER($C12),$C12*VALUE(MID($C$1,MONTH($I12),1)),$M$6*VALUE(MID($C$1,MONTH($I12),1))))))-IF($H13="",ARREGLO,0),"")</f>
        <v>108.62999999999998</v>
      </c>
      <c r="M12" s="3">
        <f>IF($H12&lt;&gt;"",IF($L12-$N12&gt;0,$L12-$N12-$O12-$P12-$Q12,0),"")</f>
        <v>94.84999999999998</v>
      </c>
      <c r="N12" s="3">
        <f>IF($H12&lt;&gt;"",IF($L12&gt;=$T12+$S11+$O12+$P12+$Q12,$T12+$S11,$L12-$O12-$P12-$Q12),"")</f>
        <v>13.780000000000001</v>
      </c>
      <c r="O12" s="8">
        <f>IF($H12&lt;&gt;"",IF($A12="Prepago",0,$P$6+$P$6*$B12),"")</f>
        <v>0</v>
      </c>
      <c r="P12" s="8">
        <f>IF($H12&lt;&gt;"",IF($A12="Prepago",0,$P$7+$P$7*$B12),"")</f>
        <v>0</v>
      </c>
      <c r="Q12" s="3">
        <f>IF($H12&lt;&gt;"",IF($A12="Prepago",0,$P$8+$P$8*$B12),"")</f>
        <v>0</v>
      </c>
      <c r="R12" s="3">
        <f>IF($H12&lt;&gt;"",$K12-$M12,"")</f>
        <v>1905.15</v>
      </c>
      <c r="S12" s="3">
        <f>IF($H12&lt;&gt;"",+$S11+SUM($U12:$CC12)-$N12,"")</f>
        <v>0</v>
      </c>
      <c r="T12" s="3">
        <f t="shared" ref="T12:T43" si="3">IF($H12&lt;&gt;"",SUM($U12:$XFD12),"")</f>
        <v>13.780000000000001</v>
      </c>
      <c r="U12" s="3">
        <f t="shared" ref="U12:U75" si="4">IF($H12&lt;&gt;"",IF($J12&gt;U$11,30,$J12)*ROUND(($K12+$S11)*$Q$5/3000,2),"")</f>
        <v>13.780000000000001</v>
      </c>
      <c r="V12" s="3">
        <f>IF($H12&lt;&gt;"",IF($J12&gt;U$11,IF($J12&lt;V$11,$J12-U$11,30),0)*ROUND(($K12+$S11+SUM($U12:U12))*$Q$5/3000,2),"")</f>
        <v>0</v>
      </c>
      <c r="W12" s="3">
        <f>IF($H12&lt;&gt;"",IF($J12&gt;V$11,IF($J12&lt;W$11,$J12-V$11,30),0)*ROUND(($K12+$S11+SUM($U12:V12))*$Q$5/3000,2),"")</f>
        <v>0</v>
      </c>
      <c r="X12" s="3">
        <f>IF($H12&lt;&gt;"",IF($J12&gt;W$11,IF($J12&lt;X$11,$J12-W$11,30),0)*ROUND(($K12+$S11+SUM($U12:W12))*$Q$5/3000,2),"")</f>
        <v>0</v>
      </c>
      <c r="Y12" s="3">
        <f>IF($H12&lt;&gt;"",IF($J12&gt;X$11,IF($J12&lt;Y$11,$J12-X$11,30),0)*ROUND(($K12+$S11+SUM($U12:X12))*$Q$5/3000,2),"")</f>
        <v>0</v>
      </c>
      <c r="Z12" s="3">
        <f>IF($H12&lt;&gt;"",IF($J12&gt;Y$11,IF($J12&lt;Z$11,$J12-Y$11,30),0)*ROUND(($K12+$S11+SUM($U12:Y12))*$Q$5/3000,2),"")</f>
        <v>0</v>
      </c>
      <c r="AA12" s="3">
        <f>IF($H12&lt;&gt;"",IF($J12&gt;Z$11,IF($J12&lt;AA$11,$J12-Z$11,30),0)*ROUND(($K12+$S11+SUM($U12:Z12))*$Q$5/3000,2),"")</f>
        <v>0</v>
      </c>
      <c r="AB12" s="3">
        <f>IF($H12&lt;&gt;"",IF($J12&gt;AA$11,IF($J12&lt;AB$11,$J12-AA$11,30),0)*ROUND(($K12+$S11+SUM($U12:AA12))*$Q$5/3000,2),"")</f>
        <v>0</v>
      </c>
      <c r="AC12" s="3">
        <f>IF($H12&lt;&gt;"",IF($J12&gt;AB$11,IF($J12&lt;AC$11,$J12-AB$11,30),0)*ROUND(($K12+$S11+SUM($U12:AB12))*$Q$5/3000,2),"")</f>
        <v>0</v>
      </c>
      <c r="AD12" s="3">
        <f>IF($H12&lt;&gt;"",IF($J12&gt;AC$11,IF($J12&lt;AD$11,$J12-AC$11,30),0)*ROUND(($K12+$S11+SUM($U12:AC12))*$Q$5/3000,2),"")</f>
        <v>0</v>
      </c>
      <c r="AE12" s="3">
        <f>IF($H12&lt;&gt;"",IF($J12&gt;AD$11,IF($J12&lt;AE$11,$J12-AD$11,30),0)*ROUND(($K12+$S11+SUM($U12:AD12))*$Q$5/3000,2),"")</f>
        <v>0</v>
      </c>
      <c r="AF12" s="3">
        <f>IF($H12&lt;&gt;"",IF($J12&gt;AE$11,IF($J12&lt;AF$11,$J12-AE$11,30),0)*ROUND(($K12+$S11+SUM($U12:AE12))*$Q$5/3000,2),"")</f>
        <v>0</v>
      </c>
      <c r="AG12" s="3">
        <f>IF($H12&lt;&gt;"",IF($J12&gt;AF$11,IF($J12&lt;AG$11,$J12-AF$11,30),0)*ROUND(($K12+$S11+SUM($U12:AF12))*$Q$5/3000,2),"")</f>
        <v>0</v>
      </c>
      <c r="AH12" s="3">
        <f>IF($H12&lt;&gt;"",IF($J12&gt;AG$11,IF($J12&lt;AH$11,$J12-AG$11,30),0)*ROUND(($K12+$S11+SUM($U12:AG12))*$Q$5/3000,2),"")</f>
        <v>0</v>
      </c>
      <c r="AI12" s="3">
        <f>IF($H12&lt;&gt;"",IF($J12&gt;AH$11,IF($J12&lt;AI$11,$J12-AH$11,30),0)*ROUND(($K12+$S11+SUM($U12:AH12))*$Q$5/3000,2),"")</f>
        <v>0</v>
      </c>
      <c r="AJ12" s="3">
        <f>IF($H12&lt;&gt;"",IF($J12&gt;AI$11,IF($J12&lt;AJ$11,$J12-AI$11,30),0)*ROUND(($K12+$S11+SUM($U12:AI12))*$Q$5/3000,2),"")</f>
        <v>0</v>
      </c>
      <c r="AK12" s="3">
        <f>IF($H12&lt;&gt;"",IF($J12&gt;AJ$11,IF($J12&lt;AK$11,$J12-AJ$11,30),0)*ROUND(($K12+$S11+SUM($U12:AJ12))*$Q$5/3000,2),"")</f>
        <v>0</v>
      </c>
      <c r="AL12" s="3">
        <f>IF($H12&lt;&gt;"",IF($J12&gt;AK$11,IF($J12&lt;AL$11,$J12-AK$11,30),0)*ROUND(($K12+$S11+SUM($U12:AK12))*$Q$5/3000,2),"")</f>
        <v>0</v>
      </c>
      <c r="AM12" s="3">
        <f>IF($H12&lt;&gt;"",IF($J12&gt;AL$11,IF($J12&lt;AM$11,$J12-AL$11,30),0)*ROUND(($K12+$S11+SUM($U12:AL12))*$Q$5/3000,2),"")</f>
        <v>0</v>
      </c>
      <c r="AN12" s="3">
        <f>IF($H12&lt;&gt;"",IF($J12&gt;AM$11,IF($J12&lt;AN$11,$J12-AM$11,30),0)*ROUND(($K12+$S11+SUM($U12:AM12))*$Q$5/3000,2),"")</f>
        <v>0</v>
      </c>
      <c r="AO12" s="3">
        <f>IF($H12&lt;&gt;"",IF($J12&gt;AN$11,IF($J12&lt;AO$11,$J12-AN$11,30),0)*ROUND(($K12+$S11+SUM($U12:AN12))*$Q$5/3000,2),"")</f>
        <v>0</v>
      </c>
      <c r="AP12" s="3">
        <f>IF($H12&lt;&gt;"",IF($J12&gt;AO$11,IF($J12&lt;AP$11,$J12-AO$11,30),0)*ROUND(($K12+$S11+SUM($U12:AO12))*$Q$5/3000,2),"")</f>
        <v>0</v>
      </c>
      <c r="AQ12" s="3">
        <f>IF($H12&lt;&gt;"",IF($J12&gt;AP$11,IF($J12&lt;AQ$11,$J12-AP$11,30),0)*ROUND(($K12+$S11+SUM($U12:AP12))*$Q$5/3000,2),"")</f>
        <v>0</v>
      </c>
      <c r="AR12" s="3">
        <f>IF($H12&lt;&gt;"",IF($J12&gt;AQ$11,IF($J12&lt;AR$11,$J12-AQ$11,30),0)*ROUND(($K12+$S11+SUM($U12:AQ12))*$Q$5/3000,2),"")</f>
        <v>0</v>
      </c>
      <c r="AS12" s="3">
        <f>IF($H12&lt;&gt;"",IF($J12&gt;AR$11,IF($J12&lt;AS$11,$J12-AR$11,30),0)*ROUND(($K12+$S11+SUM($U12:AR12))*$Q$5/3000,2),"")</f>
        <v>0</v>
      </c>
      <c r="AT12" s="3">
        <f>IF($H12&lt;&gt;"",IF($J12&gt;AS$11,IF($J12&lt;AT$11,$J12-AS$11,30),0)*ROUND(($K12+$S11+SUM($U12:AS12))*$Q$5/3000,2),"")</f>
        <v>0</v>
      </c>
      <c r="AU12" s="3">
        <f>IF($H12&lt;&gt;"",IF($J12&gt;AT$11,IF($J12&lt;AU$11,$J12-AT$11,30),0)*ROUND(($K12+$S11+SUM($U12:AT12))*$Q$5/3000,2),"")</f>
        <v>0</v>
      </c>
      <c r="AV12" s="3">
        <f>IF($H12&lt;&gt;"",IF($J12&gt;AU$11,IF($J12&lt;AV$11,$J12-AU$11,30),0)*ROUND(($K12+$S11+SUM($U12:AU12))*$Q$5/3000,2),"")</f>
        <v>0</v>
      </c>
      <c r="AW12" s="3">
        <f>IF($H12&lt;&gt;"",IF($J12&gt;AV$11,IF($J12&lt;AW$11,$J12-AV$11,30),0)*ROUND(($K12+$S11+SUM($U12:AV12))*$Q$5/3000,2),"")</f>
        <v>0</v>
      </c>
      <c r="AX12" s="3">
        <f>IF($H12&lt;&gt;"",IF($J12&gt;AW$11,IF($J12&lt;AX$11,$J12-AW$11,30),0)*ROUND(($K12+$S11+SUM($U12:AW12))*$Q$5/3000,2),"")</f>
        <v>0</v>
      </c>
      <c r="AY12" s="3">
        <f>IF($H12&lt;&gt;"",IF($J12&gt;AX$11,IF($J12&lt;AY$11,$J12-AX$11,30),0)*ROUND(($K12+$S11+SUM($U12:AX12))*$Q$5/3000,2),"")</f>
        <v>0</v>
      </c>
      <c r="AZ12" s="3">
        <f>IF($H12&lt;&gt;"",IF($J12&gt;AY$11,IF($J12&lt;AZ$11,$J12-AY$11,30),0)*ROUND(($K12+$S11+SUM($U12:AY12))*$Q$5/3000,2),"")</f>
        <v>0</v>
      </c>
      <c r="BA12" s="3">
        <f>IF($H12&lt;&gt;"",IF($J12&gt;AZ$11,IF($J12&lt;BA$11,$J12-AZ$11,30),0)*ROUND(($K12+$S11+SUM($U12:AZ12))*$Q$5/3000,2),"")</f>
        <v>0</v>
      </c>
      <c r="BB12" s="3">
        <f>IF($H12&lt;&gt;"",IF($J12&gt;BA$11,IF($J12&lt;BB$11,$J12-BA$11,30),0)*ROUND(($K12+$S11+SUM($U12:BA12))*$Q$5/3000,2),"")</f>
        <v>0</v>
      </c>
      <c r="BC12" s="3">
        <f>IF($H12&lt;&gt;"",IF($J12&gt;BB$11,IF($J12&lt;BC$11,$J12-BB$11,30),0)*ROUND(($K12+$S11+SUM($U12:BB12))*$Q$5/3000,2),"")</f>
        <v>0</v>
      </c>
      <c r="BD12" s="3">
        <f>IF($H12&lt;&gt;"",IF($J12&gt;BC$11,IF($J12&lt;BD$11,$J12-BC$11,30),0)*ROUND(($K12+$S11+SUM($U12:BC12))*$Q$5/3000,2),"")</f>
        <v>0</v>
      </c>
      <c r="BE12" s="3">
        <f>IF($H12&lt;&gt;"",IF($J12&gt;BD$11,IF($J12&lt;BE$11,$J12-BD$11,30),0)*ROUND(($K12+$S11+SUM($U12:BD12))*$Q$5/3000,2),"")</f>
        <v>0</v>
      </c>
      <c r="BF12" s="3">
        <f>IF($H12&lt;&gt;"",IF($J12&gt;BE$11,IF($J12&lt;BF$11,$J12-BE$11,30),0)*ROUND(($K12+$S11+SUM($U12:BE12))*$Q$5/3000,2),"")</f>
        <v>0</v>
      </c>
      <c r="BG12" s="3">
        <f>IF($H12&lt;&gt;"",IF($J12&gt;BF$11,IF($J12&lt;BG$11,$J12-BF$11,30),0)*ROUND(($K12+$S11+SUM($U12:BF12))*$Q$5/3000,2),"")</f>
        <v>0</v>
      </c>
      <c r="BH12" s="3">
        <f>IF($H12&lt;&gt;"",IF($J12&gt;BG$11,IF($J12&lt;BH$11,$J12-BG$11,30),0)*ROUND(($K12+$S11+SUM($U12:BG12))*$Q$5/3000,2),"")</f>
        <v>0</v>
      </c>
      <c r="BI12" s="3">
        <f>IF($H12&lt;&gt;"",IF($J12&gt;BH$11,IF($J12&lt;BI$11,$J12-BH$11,30),0)*ROUND(($K12+$S11+SUM($U12:BH12))*$Q$5/3000,2),"")</f>
        <v>0</v>
      </c>
      <c r="BJ12" s="3">
        <f>IF($H12&lt;&gt;"",IF($J12&gt;BI$11,IF($J12&lt;BJ$11,$J12-BI$11,30),0)*ROUND(($K12+$S11+SUM($U12:BI12))*$Q$5/3000,2),"")</f>
        <v>0</v>
      </c>
      <c r="BK12" s="3">
        <f>IF($H12&lt;&gt;"",IF($J12&gt;BJ$11,IF($J12&lt;BK$11,$J12-BJ$11,30),0)*ROUND(($K12+$S11+SUM($U12:BJ12))*$Q$5/3000,2),"")</f>
        <v>0</v>
      </c>
      <c r="BL12" s="3">
        <f>IF($H12&lt;&gt;"",IF($J12&gt;BK$11,IF($J12&lt;BL$11,$J12-BK$11,30),0)*ROUND(($K12+$S11+SUM($U12:BK12))*$Q$5/3000,2),"")</f>
        <v>0</v>
      </c>
      <c r="BM12" s="3">
        <f>IF($H12&lt;&gt;"",IF($J12&gt;BL$11,IF($J12&lt;BM$11,$J12-BL$11,30),0)*ROUND(($K12+$S11+SUM($U12:BL12))*$Q$5/3000,2),"")</f>
        <v>0</v>
      </c>
      <c r="BN12" s="3">
        <f>IF($H12&lt;&gt;"",IF($J12&gt;BM$11,IF($J12&lt;BN$11,$J12-BM$11,30),0)*ROUND(($K12+$S11+SUM($U12:BM12))*$Q$5/3000,2),"")</f>
        <v>0</v>
      </c>
      <c r="BO12" s="3">
        <f>IF($H12&lt;&gt;"",IF($J12&gt;BN$11,IF($J12&lt;BO$11,$J12-BN$11,30),0)*ROUND(($K12+$S11+SUM($U12:BN12))*$Q$5/3000,2),"")</f>
        <v>0</v>
      </c>
      <c r="BP12" s="3">
        <f>IF($H12&lt;&gt;"",IF($J12&gt;BO$11,IF($J12&lt;BP$11,$J12-BO$11,30),0)*ROUND(($K12+$S11+SUM($U12:BO12))*$Q$5/3000,2),"")</f>
        <v>0</v>
      </c>
      <c r="BQ12" s="3">
        <f>IF($H12&lt;&gt;"",IF($J12&gt;BP$11,IF($J12&lt;BQ$11,$J12-BP$11,30),0)*ROUND(($K12+$S11+SUM($U12:BP12))*$Q$5/3000,2),"")</f>
        <v>0</v>
      </c>
      <c r="BR12" s="3">
        <f>IF($H12&lt;&gt;"",IF($J12&gt;BQ$11,IF($J12&lt;BR$11,$J12-BQ$11,30),0)*ROUND(($K12+$S11+SUM($U12:BQ12))*$Q$5/3000,2),"")</f>
        <v>0</v>
      </c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</row>
    <row r="13" spans="1:81" x14ac:dyDescent="0.25">
      <c r="D13" s="5"/>
      <c r="E13" s="22">
        <f t="shared" si="0"/>
        <v>2</v>
      </c>
      <c r="F13" s="22">
        <f t="shared" ref="F13:F76" si="5">IF($H13&lt;&gt;"",IF(ISNUMBER($C13),-$M13+$T13-$N13,ABS($T13)+$O13+$P13+$Q13),"")</f>
        <v>15.81</v>
      </c>
      <c r="G13" s="22">
        <f t="shared" ref="G13:G43" si="6">IF(H13&lt;&gt;"",IF(COUNTA($U13:$XFD13)*30&lt;$J13,1,0),"")</f>
        <v>0</v>
      </c>
      <c r="H13">
        <f t="shared" si="1"/>
        <v>2</v>
      </c>
      <c r="I13" s="5">
        <f>IF($H13&lt;&gt;"",IF($D13="",DATE(YEAR($J$7),MONTH($J$7)+($A$1*($E13-1))+SUM($B$12:$B13),DAY($J$7)),$D13),"")</f>
        <v>43946</v>
      </c>
      <c r="J13" s="9">
        <f t="shared" ref="J13:J76" si="7">IF($H13&lt;&gt;"",$I13-$I12,"")</f>
        <v>31</v>
      </c>
      <c r="K13" s="3">
        <f t="shared" ref="K13:K76" si="8">IF($H13&lt;&gt;"",$R12,"")</f>
        <v>1905.15</v>
      </c>
      <c r="L13" s="3">
        <f t="shared" si="2"/>
        <v>108.62999999999998</v>
      </c>
      <c r="M13" s="3">
        <f t="shared" ref="M13:M76" si="9">IF($H13&lt;&gt;"",IF($L13-$N13&gt;0,$L13-$N13-$O13-$P13-$Q13,0),"")</f>
        <v>92.819999999999979</v>
      </c>
      <c r="N13" s="3">
        <f t="shared" ref="N13:N76" si="10">IF($H13&lt;&gt;"",IF($L13&gt;=$T13+$S12+$O13+$P13+$Q13,$T13+$S12,$L13-$O13-$P13-$Q13),"")</f>
        <v>15.81</v>
      </c>
      <c r="O13" s="8">
        <f t="shared" ref="O13:O76" si="11">IF($H13&lt;&gt;"",IF($A13="Prepago",0,$P$6+$P$6*$B13),"")</f>
        <v>0</v>
      </c>
      <c r="P13" s="8">
        <f t="shared" ref="P13:P76" si="12">IF($H13&lt;&gt;"",IF($A13="Prepago",0,$P$7+$P$7*$B13),"")</f>
        <v>0</v>
      </c>
      <c r="Q13" s="3">
        <f t="shared" ref="Q13:Q76" si="13">IF($H13&lt;&gt;"",IF($A13="Prepago",0,$P$8+$P$8*$B13),"")</f>
        <v>0</v>
      </c>
      <c r="R13" s="3">
        <f t="shared" ref="R13:R76" si="14">IF($H13&lt;&gt;"",$K13-$M13,"")</f>
        <v>1812.3300000000002</v>
      </c>
      <c r="S13" s="3">
        <f t="shared" ref="S13:S76" si="15">IF($H13&lt;&gt;"",+$S12+SUM($U13:$CC13)-$N13,"")</f>
        <v>0</v>
      </c>
      <c r="T13" s="3">
        <f t="shared" si="3"/>
        <v>15.81</v>
      </c>
      <c r="U13" s="3">
        <f t="shared" si="4"/>
        <v>15.3</v>
      </c>
      <c r="V13" s="3">
        <f>IF($H13&lt;&gt;"",IF($J13&gt;U$11,IF($J13&lt;V$11,$J13-U$11,30),0)*ROUND(($K13+$S12+SUM($U13:U13))*$Q$5/3000,2),"")</f>
        <v>0.51</v>
      </c>
      <c r="W13" s="3"/>
      <c r="X13" s="3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</row>
    <row r="14" spans="1:81" x14ac:dyDescent="0.25">
      <c r="D14" s="5"/>
      <c r="E14" s="22">
        <f t="shared" si="0"/>
        <v>3</v>
      </c>
      <c r="F14" s="22">
        <f t="shared" si="5"/>
        <v>14.399999999999999</v>
      </c>
      <c r="G14" s="22">
        <f t="shared" si="6"/>
        <v>0</v>
      </c>
      <c r="H14">
        <f t="shared" si="1"/>
        <v>3</v>
      </c>
      <c r="I14" s="5">
        <f>IF($H14&lt;&gt;"",IF($D14="",DATE(YEAR($J$7),MONTH($J$7)+($A$1*($E14-1))+SUM($B$12:$B14),DAY($J$7)),$D14),"")</f>
        <v>43976</v>
      </c>
      <c r="J14" s="9">
        <f t="shared" si="7"/>
        <v>30</v>
      </c>
      <c r="K14" s="3">
        <f t="shared" si="8"/>
        <v>1812.3300000000002</v>
      </c>
      <c r="L14" s="3">
        <f t="shared" si="2"/>
        <v>108.62999999999998</v>
      </c>
      <c r="M14" s="3">
        <f t="shared" si="9"/>
        <v>94.22999999999999</v>
      </c>
      <c r="N14" s="3">
        <f t="shared" si="10"/>
        <v>14.399999999999999</v>
      </c>
      <c r="O14" s="8">
        <f t="shared" si="11"/>
        <v>0</v>
      </c>
      <c r="P14" s="8">
        <f t="shared" si="12"/>
        <v>0</v>
      </c>
      <c r="Q14" s="3">
        <f t="shared" si="13"/>
        <v>0</v>
      </c>
      <c r="R14" s="3">
        <f t="shared" si="14"/>
        <v>1718.1000000000001</v>
      </c>
      <c r="S14" s="3">
        <f t="shared" si="15"/>
        <v>0</v>
      </c>
      <c r="T14" s="3">
        <f t="shared" si="3"/>
        <v>14.399999999999999</v>
      </c>
      <c r="U14" s="3">
        <f t="shared" si="4"/>
        <v>14.399999999999999</v>
      </c>
      <c r="V14" s="3">
        <f>IF($H14&lt;&gt;"",IF($J14&gt;U$11,IF($J14&lt;V$11,$J14-U$11,30),0)*ROUND(($K14+$S13+SUM($U14:U14))*$Q$5/3000,2),"")</f>
        <v>0</v>
      </c>
      <c r="W14" s="3"/>
      <c r="X14" s="3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</row>
    <row r="15" spans="1:81" x14ac:dyDescent="0.25">
      <c r="D15" s="5"/>
      <c r="E15" s="22">
        <f t="shared" si="0"/>
        <v>4</v>
      </c>
      <c r="F15" s="22">
        <f t="shared" si="5"/>
        <v>14.260000000000002</v>
      </c>
      <c r="G15" s="22">
        <f t="shared" si="6"/>
        <v>0</v>
      </c>
      <c r="H15">
        <f t="shared" si="1"/>
        <v>4</v>
      </c>
      <c r="I15" s="5">
        <f>IF($H15&lt;&gt;"",IF($D15="",DATE(YEAR($J$7),MONTH($J$7)+($A$1*($E15-1))+SUM($B$12:$B15),DAY($J$7)),$D15),"")</f>
        <v>44007</v>
      </c>
      <c r="J15" s="9">
        <f t="shared" si="7"/>
        <v>31</v>
      </c>
      <c r="K15" s="3">
        <f t="shared" si="8"/>
        <v>1718.1000000000001</v>
      </c>
      <c r="L15" s="3">
        <f t="shared" si="2"/>
        <v>108.62999999999998</v>
      </c>
      <c r="M15" s="3">
        <f t="shared" si="9"/>
        <v>94.369999999999976</v>
      </c>
      <c r="N15" s="3">
        <f t="shared" si="10"/>
        <v>14.260000000000002</v>
      </c>
      <c r="O15" s="8">
        <f t="shared" si="11"/>
        <v>0</v>
      </c>
      <c r="P15" s="8">
        <f t="shared" si="12"/>
        <v>0</v>
      </c>
      <c r="Q15" s="3">
        <f t="shared" si="13"/>
        <v>0</v>
      </c>
      <c r="R15" s="3">
        <f t="shared" si="14"/>
        <v>1623.7300000000002</v>
      </c>
      <c r="S15" s="3">
        <f t="shared" si="15"/>
        <v>0</v>
      </c>
      <c r="T15" s="3">
        <f t="shared" si="3"/>
        <v>14.260000000000002</v>
      </c>
      <c r="U15" s="3">
        <f t="shared" si="4"/>
        <v>13.8</v>
      </c>
      <c r="V15" s="3">
        <f>IF($H15&lt;&gt;"",IF($J15&gt;U$11,IF($J15&lt;V$11,$J15-U$11,30),0)*ROUND(($K15+$S14+SUM($U15:U15))*$Q$5/3000,2),"")</f>
        <v>0.46</v>
      </c>
      <c r="W15" s="3"/>
      <c r="X15" s="3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</row>
    <row r="16" spans="1:81" x14ac:dyDescent="0.25">
      <c r="D16" s="5"/>
      <c r="E16" s="22">
        <f t="shared" si="0"/>
        <v>5</v>
      </c>
      <c r="F16" s="22">
        <f t="shared" si="5"/>
        <v>12.9</v>
      </c>
      <c r="G16" s="22">
        <f t="shared" si="6"/>
        <v>0</v>
      </c>
      <c r="H16">
        <f t="shared" si="1"/>
        <v>5</v>
      </c>
      <c r="I16" s="5">
        <f>IF($H16&lt;&gt;"",IF($D16="",DATE(YEAR($J$7),MONTH($J$7)+($A$1*($E16-1))+SUM($B$12:$B16),DAY($J$7)),$D16),"")</f>
        <v>44037</v>
      </c>
      <c r="J16" s="9">
        <f t="shared" si="7"/>
        <v>30</v>
      </c>
      <c r="K16" s="3">
        <f t="shared" si="8"/>
        <v>1623.7300000000002</v>
      </c>
      <c r="L16" s="3">
        <f t="shared" si="2"/>
        <v>108.62999999999998</v>
      </c>
      <c r="M16" s="3">
        <f t="shared" si="9"/>
        <v>95.729999999999976</v>
      </c>
      <c r="N16" s="3">
        <f t="shared" si="10"/>
        <v>12.9</v>
      </c>
      <c r="O16" s="8">
        <f t="shared" si="11"/>
        <v>0</v>
      </c>
      <c r="P16" s="8">
        <f t="shared" si="12"/>
        <v>0</v>
      </c>
      <c r="Q16" s="3">
        <f t="shared" si="13"/>
        <v>0</v>
      </c>
      <c r="R16" s="3">
        <f t="shared" si="14"/>
        <v>1528.0000000000002</v>
      </c>
      <c r="S16" s="3">
        <f t="shared" si="15"/>
        <v>0</v>
      </c>
      <c r="T16" s="3">
        <f t="shared" si="3"/>
        <v>12.9</v>
      </c>
      <c r="U16" s="3">
        <f t="shared" si="4"/>
        <v>12.9</v>
      </c>
      <c r="V16" s="3">
        <f>IF($H16&lt;&gt;"",IF($J16&gt;U$11,IF($J16&lt;V$11,$J16-U$11,30),0)*ROUND(($K16+$S15+SUM($U16:U16))*$Q$5/3000,2),"")</f>
        <v>0</v>
      </c>
      <c r="W16" s="3"/>
      <c r="X16" s="3"/>
      <c r="Y16" s="3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</row>
    <row r="17" spans="1:81" x14ac:dyDescent="0.25">
      <c r="D17" s="5"/>
      <c r="E17" s="22">
        <f t="shared" si="0"/>
        <v>6</v>
      </c>
      <c r="F17" s="22">
        <f t="shared" si="5"/>
        <v>12.709999999999999</v>
      </c>
      <c r="G17" s="22">
        <f t="shared" si="6"/>
        <v>0</v>
      </c>
      <c r="H17">
        <f t="shared" si="1"/>
        <v>6</v>
      </c>
      <c r="I17" s="5">
        <f>IF($H17&lt;&gt;"",IF($D17="",DATE(YEAR($J$7),MONTH($J$7)+($A$1*($E17-1))+SUM($B$12:$B17),DAY($J$7)),$D17),"")</f>
        <v>44068</v>
      </c>
      <c r="J17" s="9">
        <f t="shared" si="7"/>
        <v>31</v>
      </c>
      <c r="K17" s="3">
        <f t="shared" si="8"/>
        <v>1528.0000000000002</v>
      </c>
      <c r="L17" s="3">
        <f t="shared" si="2"/>
        <v>108.62999999999998</v>
      </c>
      <c r="M17" s="3">
        <f t="shared" si="9"/>
        <v>95.919999999999987</v>
      </c>
      <c r="N17" s="3">
        <f t="shared" si="10"/>
        <v>12.709999999999999</v>
      </c>
      <c r="O17" s="8">
        <f t="shared" si="11"/>
        <v>0</v>
      </c>
      <c r="P17" s="8">
        <f t="shared" si="12"/>
        <v>0</v>
      </c>
      <c r="Q17" s="3">
        <f t="shared" si="13"/>
        <v>0</v>
      </c>
      <c r="R17" s="3">
        <f t="shared" si="14"/>
        <v>1432.0800000000002</v>
      </c>
      <c r="S17" s="3">
        <f t="shared" si="15"/>
        <v>0</v>
      </c>
      <c r="T17" s="3">
        <f t="shared" si="3"/>
        <v>12.709999999999999</v>
      </c>
      <c r="U17" s="3">
        <f t="shared" si="4"/>
        <v>12.299999999999999</v>
      </c>
      <c r="V17" s="3">
        <f>IF($H17&lt;&gt;"",IF($J17&gt;U$11,IF($J17&lt;V$11,$J17-U$11,30),0)*ROUND(($K17+$S16+SUM($U17:U17))*$Q$5/3000,2),"")</f>
        <v>0.41</v>
      </c>
      <c r="W17" s="3"/>
      <c r="X17" s="3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</row>
    <row r="18" spans="1:81" x14ac:dyDescent="0.25">
      <c r="D18" s="5"/>
      <c r="E18" s="22">
        <f t="shared" si="0"/>
        <v>7</v>
      </c>
      <c r="F18" s="22">
        <f t="shared" si="5"/>
        <v>11.780000000000001</v>
      </c>
      <c r="G18" s="22">
        <f t="shared" si="6"/>
        <v>0</v>
      </c>
      <c r="H18">
        <f t="shared" si="1"/>
        <v>7</v>
      </c>
      <c r="I18" s="5">
        <f>IF($H18&lt;&gt;"",IF($D18="",DATE(YEAR($J$7),MONTH($J$7)+($A$1*($E18-1))+SUM($B$12:$B18),DAY($J$7)),$D18),"")</f>
        <v>44099</v>
      </c>
      <c r="J18" s="9">
        <f t="shared" si="7"/>
        <v>31</v>
      </c>
      <c r="K18" s="3">
        <f t="shared" si="8"/>
        <v>1432.0800000000002</v>
      </c>
      <c r="L18" s="3">
        <f t="shared" si="2"/>
        <v>108.62999999999998</v>
      </c>
      <c r="M18" s="3">
        <f t="shared" si="9"/>
        <v>96.84999999999998</v>
      </c>
      <c r="N18" s="3">
        <f t="shared" si="10"/>
        <v>11.780000000000001</v>
      </c>
      <c r="O18" s="8">
        <f t="shared" si="11"/>
        <v>0</v>
      </c>
      <c r="P18" s="8">
        <f t="shared" si="12"/>
        <v>0</v>
      </c>
      <c r="Q18" s="3">
        <f t="shared" si="13"/>
        <v>0</v>
      </c>
      <c r="R18" s="3">
        <f t="shared" si="14"/>
        <v>1335.2300000000002</v>
      </c>
      <c r="S18" s="3">
        <f t="shared" si="15"/>
        <v>0</v>
      </c>
      <c r="T18" s="3">
        <f t="shared" si="3"/>
        <v>11.780000000000001</v>
      </c>
      <c r="U18" s="3">
        <f t="shared" si="4"/>
        <v>11.4</v>
      </c>
      <c r="V18" s="3">
        <f>IF($H18&lt;&gt;"",IF($J18&gt;U$11,IF($J18&lt;V$11,$J18-U$11,30),0)*ROUND(($K18+$S17+SUM($U18:U18))*$Q$5/3000,2),"")</f>
        <v>0.38</v>
      </c>
      <c r="W18" s="3"/>
      <c r="X18" s="3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</row>
    <row r="19" spans="1:81" x14ac:dyDescent="0.25">
      <c r="D19" s="5"/>
      <c r="E19" s="22">
        <f t="shared" si="0"/>
        <v>8</v>
      </c>
      <c r="F19" s="22">
        <f t="shared" si="5"/>
        <v>10.5</v>
      </c>
      <c r="G19" s="22">
        <f t="shared" si="6"/>
        <v>0</v>
      </c>
      <c r="H19">
        <f t="shared" si="1"/>
        <v>8</v>
      </c>
      <c r="I19" s="5">
        <f>IF($H19&lt;&gt;"",IF($D19="",DATE(YEAR($J$7),MONTH($J$7)+($A$1*($E19-1))+SUM($B$12:$B19),DAY($J$7)),$D19),"")</f>
        <v>44129</v>
      </c>
      <c r="J19" s="9">
        <f t="shared" si="7"/>
        <v>30</v>
      </c>
      <c r="K19" s="3">
        <f t="shared" si="8"/>
        <v>1335.2300000000002</v>
      </c>
      <c r="L19" s="3">
        <f t="shared" si="2"/>
        <v>108.62999999999998</v>
      </c>
      <c r="M19" s="3">
        <f t="shared" si="9"/>
        <v>98.129999999999981</v>
      </c>
      <c r="N19" s="3">
        <f t="shared" si="10"/>
        <v>10.5</v>
      </c>
      <c r="O19" s="8">
        <f t="shared" si="11"/>
        <v>0</v>
      </c>
      <c r="P19" s="8">
        <f t="shared" si="12"/>
        <v>0</v>
      </c>
      <c r="Q19" s="3">
        <f t="shared" si="13"/>
        <v>0</v>
      </c>
      <c r="R19" s="3">
        <f t="shared" si="14"/>
        <v>1237.1000000000004</v>
      </c>
      <c r="S19" s="3">
        <f t="shared" si="15"/>
        <v>0</v>
      </c>
      <c r="T19" s="3">
        <f t="shared" si="3"/>
        <v>10.5</v>
      </c>
      <c r="U19" s="3">
        <f t="shared" si="4"/>
        <v>10.5</v>
      </c>
      <c r="V19" s="3">
        <f>IF($H19&lt;&gt;"",IF($J19&gt;U$11,IF($J19&lt;V$11,$J19-U$11,30),0)*ROUND(($K19+$S18+SUM($U19:U19))*$Q$5/3000,2),"")</f>
        <v>0</v>
      </c>
      <c r="W19" s="3"/>
      <c r="X19" s="3"/>
      <c r="Y19" s="3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</row>
    <row r="20" spans="1:81" s="10" customFormat="1" x14ac:dyDescent="0.25">
      <c r="A20"/>
      <c r="B20"/>
      <c r="C20" s="20"/>
      <c r="D20" s="5"/>
      <c r="E20" s="22">
        <f t="shared" si="0"/>
        <v>9</v>
      </c>
      <c r="F20" s="22">
        <f t="shared" si="5"/>
        <v>10.23</v>
      </c>
      <c r="G20" s="22">
        <f t="shared" si="6"/>
        <v>0</v>
      </c>
      <c r="H20">
        <f t="shared" si="1"/>
        <v>9</v>
      </c>
      <c r="I20" s="5">
        <f>IF($H20&lt;&gt;"",IF($D20="",DATE(YEAR($J$7),MONTH($J$7)+($A$1*($E20-1))+SUM($B$12:$B20),DAY($J$7)),$D20),"")</f>
        <v>44160</v>
      </c>
      <c r="J20" s="9">
        <f t="shared" si="7"/>
        <v>31</v>
      </c>
      <c r="K20" s="3">
        <f t="shared" si="8"/>
        <v>1237.1000000000004</v>
      </c>
      <c r="L20" s="3">
        <f t="shared" si="2"/>
        <v>108.62999999999998</v>
      </c>
      <c r="M20" s="3">
        <f t="shared" si="9"/>
        <v>98.399999999999977</v>
      </c>
      <c r="N20" s="3">
        <f t="shared" si="10"/>
        <v>10.23</v>
      </c>
      <c r="O20" s="8">
        <f t="shared" si="11"/>
        <v>0</v>
      </c>
      <c r="P20" s="8">
        <f t="shared" si="12"/>
        <v>0</v>
      </c>
      <c r="Q20" s="3">
        <f t="shared" si="13"/>
        <v>0</v>
      </c>
      <c r="R20" s="3">
        <f t="shared" si="14"/>
        <v>1138.7000000000003</v>
      </c>
      <c r="S20" s="3">
        <f t="shared" si="15"/>
        <v>0</v>
      </c>
      <c r="T20" s="3">
        <f t="shared" si="3"/>
        <v>10.23</v>
      </c>
      <c r="U20" s="3">
        <f t="shared" si="4"/>
        <v>9.9</v>
      </c>
      <c r="V20" s="3">
        <f>IF($H20&lt;&gt;"",IF($J20&gt;U$11,IF($J20&lt;V$11,$J20-U$11,30),0)*ROUND(($K20+$S19+SUM($U20:U20))*$Q$5/3000,2),"")</f>
        <v>0.33</v>
      </c>
      <c r="W20" s="3"/>
      <c r="X20" s="3"/>
      <c r="Y20" s="3"/>
      <c r="Z20" s="3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</row>
    <row r="21" spans="1:81" x14ac:dyDescent="0.25">
      <c r="D21" s="5"/>
      <c r="E21" s="22">
        <f t="shared" si="0"/>
        <v>10</v>
      </c>
      <c r="F21" s="22">
        <f t="shared" si="5"/>
        <v>9</v>
      </c>
      <c r="G21" s="22">
        <f t="shared" si="6"/>
        <v>0</v>
      </c>
      <c r="H21">
        <f t="shared" si="1"/>
        <v>10</v>
      </c>
      <c r="I21" s="5">
        <f>IF($H21&lt;&gt;"",IF($D21="",DATE(YEAR($J$7),MONTH($J$7)+($A$1*($E21-1))+SUM($B$12:$B21),DAY($J$7)),$D21),"")</f>
        <v>44190</v>
      </c>
      <c r="J21" s="9">
        <f t="shared" si="7"/>
        <v>30</v>
      </c>
      <c r="K21" s="3">
        <f t="shared" si="8"/>
        <v>1138.7000000000003</v>
      </c>
      <c r="L21" s="3">
        <f t="shared" si="2"/>
        <v>108.62999999999998</v>
      </c>
      <c r="M21" s="3">
        <f t="shared" si="9"/>
        <v>99.629999999999981</v>
      </c>
      <c r="N21" s="3">
        <f t="shared" si="10"/>
        <v>9</v>
      </c>
      <c r="O21" s="8">
        <f t="shared" si="11"/>
        <v>0</v>
      </c>
      <c r="P21" s="8">
        <f t="shared" si="12"/>
        <v>0</v>
      </c>
      <c r="Q21" s="3">
        <f t="shared" si="13"/>
        <v>0</v>
      </c>
      <c r="R21" s="3">
        <f t="shared" si="14"/>
        <v>1039.0700000000004</v>
      </c>
      <c r="S21" s="3">
        <f t="shared" si="15"/>
        <v>0</v>
      </c>
      <c r="T21" s="3">
        <f t="shared" si="3"/>
        <v>9</v>
      </c>
      <c r="U21" s="3">
        <f t="shared" si="4"/>
        <v>9</v>
      </c>
      <c r="V21" s="3">
        <f>IF($H21&lt;&gt;"",IF($J21&gt;U$11,IF($J21&lt;V$11,$J21-U$11,30),0)*ROUND(($K21+$S20+SUM($U21:U21))*$Q$5/3000,2),"")</f>
        <v>0</v>
      </c>
      <c r="W21" s="3"/>
      <c r="X21" s="3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</row>
    <row r="22" spans="1:81" x14ac:dyDescent="0.25">
      <c r="D22" s="5"/>
      <c r="E22" s="22">
        <f t="shared" si="0"/>
        <v>11</v>
      </c>
      <c r="F22" s="22">
        <f t="shared" si="5"/>
        <v>8.68</v>
      </c>
      <c r="G22" s="22">
        <f t="shared" si="6"/>
        <v>0</v>
      </c>
      <c r="H22">
        <f t="shared" si="1"/>
        <v>11</v>
      </c>
      <c r="I22" s="5">
        <f>IF($H22&lt;&gt;"",IF($D22="",DATE(YEAR($J$7),MONTH($J$7)+($A$1*($E22-1))+SUM($B$12:$B22),DAY($J$7)),$D22),"")</f>
        <v>44221</v>
      </c>
      <c r="J22" s="9">
        <f t="shared" si="7"/>
        <v>31</v>
      </c>
      <c r="K22" s="3">
        <f t="shared" si="8"/>
        <v>1039.0700000000004</v>
      </c>
      <c r="L22" s="3">
        <f t="shared" si="2"/>
        <v>108.62999999999998</v>
      </c>
      <c r="M22" s="3">
        <f t="shared" si="9"/>
        <v>99.949999999999989</v>
      </c>
      <c r="N22" s="3">
        <f t="shared" si="10"/>
        <v>8.68</v>
      </c>
      <c r="O22" s="8">
        <f t="shared" si="11"/>
        <v>0</v>
      </c>
      <c r="P22" s="8">
        <f t="shared" si="12"/>
        <v>0</v>
      </c>
      <c r="Q22" s="3">
        <f t="shared" si="13"/>
        <v>0</v>
      </c>
      <c r="R22" s="3">
        <f t="shared" si="14"/>
        <v>939.12000000000035</v>
      </c>
      <c r="S22" s="3">
        <f t="shared" si="15"/>
        <v>0</v>
      </c>
      <c r="T22" s="3">
        <f t="shared" si="3"/>
        <v>8.68</v>
      </c>
      <c r="U22" s="3">
        <f t="shared" si="4"/>
        <v>8.4</v>
      </c>
      <c r="V22" s="3">
        <f>IF($H22&lt;&gt;"",IF($J22&gt;U$11,IF($J22&lt;V$11,$J22-U$11,30),0)*ROUND(($K22+$S21+SUM($U22:U22))*$Q$5/3000,2),"")</f>
        <v>0.28000000000000003</v>
      </c>
      <c r="W22" s="3"/>
      <c r="X22" s="3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</row>
    <row r="23" spans="1:81" x14ac:dyDescent="0.25">
      <c r="D23" s="5"/>
      <c r="E23" s="22">
        <f t="shared" si="0"/>
        <v>12</v>
      </c>
      <c r="F23" s="22">
        <f t="shared" si="5"/>
        <v>7.75</v>
      </c>
      <c r="G23" s="22">
        <f t="shared" si="6"/>
        <v>0</v>
      </c>
      <c r="H23">
        <f t="shared" si="1"/>
        <v>12</v>
      </c>
      <c r="I23" s="5">
        <f>IF($H23&lt;&gt;"",IF($D23="",DATE(YEAR($J$7),MONTH($J$7)+($A$1*($E23-1))+SUM($B$12:$B23),DAY($J$7)),$D23),"")</f>
        <v>44252</v>
      </c>
      <c r="J23" s="9">
        <f t="shared" si="7"/>
        <v>31</v>
      </c>
      <c r="K23" s="3">
        <f t="shared" si="8"/>
        <v>939.12000000000035</v>
      </c>
      <c r="L23" s="3">
        <f t="shared" si="2"/>
        <v>108.62999999999998</v>
      </c>
      <c r="M23" s="3">
        <f t="shared" si="9"/>
        <v>100.87999999999998</v>
      </c>
      <c r="N23" s="3">
        <f t="shared" si="10"/>
        <v>7.75</v>
      </c>
      <c r="O23" s="8">
        <f t="shared" si="11"/>
        <v>0</v>
      </c>
      <c r="P23" s="8">
        <f t="shared" si="12"/>
        <v>0</v>
      </c>
      <c r="Q23" s="3">
        <f t="shared" si="13"/>
        <v>0</v>
      </c>
      <c r="R23" s="3">
        <f t="shared" si="14"/>
        <v>838.24000000000035</v>
      </c>
      <c r="S23" s="3">
        <f t="shared" si="15"/>
        <v>0</v>
      </c>
      <c r="T23" s="3">
        <f t="shared" si="3"/>
        <v>7.75</v>
      </c>
      <c r="U23" s="3">
        <f t="shared" si="4"/>
        <v>7.5</v>
      </c>
      <c r="V23" s="3">
        <f>IF($H23&lt;&gt;"",IF($J23&gt;U$11,IF($J23&lt;V$11,$J23-U$11,30),0)*ROUND(($K23+$S22+SUM($U23:U23))*$Q$5/3000,2),"")</f>
        <v>0.25</v>
      </c>
      <c r="W23" s="3"/>
      <c r="X23" s="3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</row>
    <row r="24" spans="1:81" x14ac:dyDescent="0.25">
      <c r="D24" s="5"/>
      <c r="E24" s="22">
        <f t="shared" si="0"/>
        <v>13</v>
      </c>
      <c r="F24" s="22">
        <f t="shared" si="5"/>
        <v>6.16</v>
      </c>
      <c r="G24" s="22">
        <f t="shared" si="6"/>
        <v>0</v>
      </c>
      <c r="H24">
        <f t="shared" si="1"/>
        <v>13</v>
      </c>
      <c r="I24" s="5">
        <f>IF($H24&lt;&gt;"",IF($D24="",DATE(YEAR($J$7),MONTH($J$7)+($A$1*($E24-1))+SUM($B$12:$B24),DAY($J$7)),$D24),"")</f>
        <v>44280</v>
      </c>
      <c r="J24" s="9">
        <f t="shared" si="7"/>
        <v>28</v>
      </c>
      <c r="K24" s="3">
        <f t="shared" si="8"/>
        <v>838.24000000000035</v>
      </c>
      <c r="L24" s="3">
        <f t="shared" si="2"/>
        <v>108.62999999999998</v>
      </c>
      <c r="M24" s="3">
        <f t="shared" si="9"/>
        <v>102.46999999999998</v>
      </c>
      <c r="N24" s="3">
        <f t="shared" si="10"/>
        <v>6.16</v>
      </c>
      <c r="O24" s="8">
        <f t="shared" si="11"/>
        <v>0</v>
      </c>
      <c r="P24" s="8">
        <f t="shared" si="12"/>
        <v>0</v>
      </c>
      <c r="Q24" s="3">
        <f t="shared" si="13"/>
        <v>0</v>
      </c>
      <c r="R24" s="3">
        <f t="shared" si="14"/>
        <v>735.77000000000032</v>
      </c>
      <c r="S24" s="3">
        <f t="shared" si="15"/>
        <v>0</v>
      </c>
      <c r="T24" s="3">
        <f t="shared" si="3"/>
        <v>6.16</v>
      </c>
      <c r="U24" s="3">
        <f t="shared" si="4"/>
        <v>6.16</v>
      </c>
      <c r="V24" s="3">
        <f>IF($H24&lt;&gt;"",IF($J24&gt;U$11,IF($J24&lt;V$11,$J24-U$11,30),0)*ROUND(($K24+$S23+SUM($U24:U24))*$Q$5/3000,2),"")</f>
        <v>0</v>
      </c>
      <c r="W24" s="3"/>
      <c r="X24" s="3"/>
      <c r="Y24" s="3"/>
      <c r="Z24" s="3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</row>
    <row r="25" spans="1:81" x14ac:dyDescent="0.25">
      <c r="D25" s="5"/>
      <c r="E25" s="22">
        <f t="shared" si="0"/>
        <v>14</v>
      </c>
      <c r="F25" s="22">
        <f t="shared" si="5"/>
        <v>6.2</v>
      </c>
      <c r="G25" s="22">
        <f t="shared" si="6"/>
        <v>0</v>
      </c>
      <c r="H25">
        <f t="shared" si="1"/>
        <v>14</v>
      </c>
      <c r="I25" s="5">
        <f>IF($H25&lt;&gt;"",IF($D25="",DATE(YEAR($J$7),MONTH($J$7)+($A$1*($E25-1))+SUM($B$12:$B25),DAY($J$7)),$D25),"")</f>
        <v>44311</v>
      </c>
      <c r="J25" s="9">
        <f t="shared" si="7"/>
        <v>31</v>
      </c>
      <c r="K25" s="3">
        <f t="shared" si="8"/>
        <v>735.77000000000032</v>
      </c>
      <c r="L25" s="3">
        <f t="shared" si="2"/>
        <v>108.62999999999998</v>
      </c>
      <c r="M25" s="3">
        <f t="shared" si="9"/>
        <v>102.42999999999998</v>
      </c>
      <c r="N25" s="3">
        <f t="shared" si="10"/>
        <v>6.2</v>
      </c>
      <c r="O25" s="8">
        <f t="shared" si="11"/>
        <v>0</v>
      </c>
      <c r="P25" s="8">
        <f t="shared" si="12"/>
        <v>0</v>
      </c>
      <c r="Q25" s="3">
        <f t="shared" si="13"/>
        <v>0</v>
      </c>
      <c r="R25" s="3">
        <f t="shared" si="14"/>
        <v>633.34000000000037</v>
      </c>
      <c r="S25" s="3">
        <f t="shared" si="15"/>
        <v>0</v>
      </c>
      <c r="T25" s="3">
        <f t="shared" si="3"/>
        <v>6.2</v>
      </c>
      <c r="U25" s="3">
        <f t="shared" si="4"/>
        <v>6</v>
      </c>
      <c r="V25" s="3">
        <f>IF($H25&lt;&gt;"",IF($J25&gt;U$11,IF($J25&lt;V$11,$J25-U$11,30),0)*ROUND(($K25+$S24+SUM($U25:U25))*$Q$5/3000,2),"")</f>
        <v>0.2</v>
      </c>
      <c r="W25" s="3"/>
      <c r="X25" s="3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</row>
    <row r="26" spans="1:81" x14ac:dyDescent="0.25">
      <c r="D26" s="5"/>
      <c r="E26" s="22">
        <f t="shared" si="0"/>
        <v>15</v>
      </c>
      <c r="F26" s="22">
        <f t="shared" si="5"/>
        <v>5.1000000000000005</v>
      </c>
      <c r="G26" s="22">
        <f t="shared" si="6"/>
        <v>0</v>
      </c>
      <c r="H26">
        <f t="shared" si="1"/>
        <v>15</v>
      </c>
      <c r="I26" s="5">
        <f>IF($H26&lt;&gt;"",IF($D26="",DATE(YEAR($J$7),MONTH($J$7)+($A$1*($E26-1))+SUM($B$12:$B26),DAY($J$7)),$D26),"")</f>
        <v>44341</v>
      </c>
      <c r="J26" s="9">
        <f t="shared" si="7"/>
        <v>30</v>
      </c>
      <c r="K26" s="3">
        <f t="shared" si="8"/>
        <v>633.34000000000037</v>
      </c>
      <c r="L26" s="3">
        <f t="shared" si="2"/>
        <v>108.62999999999998</v>
      </c>
      <c r="M26" s="3">
        <f t="shared" si="9"/>
        <v>103.52999999999999</v>
      </c>
      <c r="N26" s="3">
        <f t="shared" si="10"/>
        <v>5.1000000000000005</v>
      </c>
      <c r="O26" s="8">
        <f t="shared" si="11"/>
        <v>0</v>
      </c>
      <c r="P26" s="8">
        <f t="shared" si="12"/>
        <v>0</v>
      </c>
      <c r="Q26" s="3">
        <f t="shared" si="13"/>
        <v>0</v>
      </c>
      <c r="R26" s="3">
        <f t="shared" si="14"/>
        <v>529.8100000000004</v>
      </c>
      <c r="S26" s="3">
        <f t="shared" si="15"/>
        <v>0</v>
      </c>
      <c r="T26" s="3">
        <f t="shared" si="3"/>
        <v>5.1000000000000005</v>
      </c>
      <c r="U26" s="3">
        <f t="shared" si="4"/>
        <v>5.1000000000000005</v>
      </c>
      <c r="V26" s="3">
        <f>IF($H26&lt;&gt;"",IF($J26&gt;U$11,IF($J26&lt;V$11,$J26-U$11,30),0)*ROUND(($K26+$S25+SUM($U26:U26))*$Q$5/3000,2),"")</f>
        <v>0</v>
      </c>
      <c r="W26" s="3"/>
      <c r="X26" s="3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</row>
    <row r="27" spans="1:81" x14ac:dyDescent="0.25">
      <c r="D27" s="5"/>
      <c r="E27" s="22">
        <f t="shared" si="0"/>
        <v>16</v>
      </c>
      <c r="F27" s="22">
        <f t="shared" si="5"/>
        <v>4.34</v>
      </c>
      <c r="G27" s="22">
        <f t="shared" si="6"/>
        <v>0</v>
      </c>
      <c r="H27">
        <f t="shared" si="1"/>
        <v>16</v>
      </c>
      <c r="I27" s="5">
        <f>IF($H27&lt;&gt;"",IF($D27="",DATE(YEAR($J$7),MONTH($J$7)+($A$1*($E27-1))+SUM($B$12:$B27),DAY($J$7)),$D27),"")</f>
        <v>44372</v>
      </c>
      <c r="J27" s="9">
        <f t="shared" si="7"/>
        <v>31</v>
      </c>
      <c r="K27" s="3">
        <f t="shared" si="8"/>
        <v>529.8100000000004</v>
      </c>
      <c r="L27" s="3">
        <f t="shared" si="2"/>
        <v>108.62999999999998</v>
      </c>
      <c r="M27" s="3">
        <f t="shared" si="9"/>
        <v>104.28999999999998</v>
      </c>
      <c r="N27" s="3">
        <f t="shared" si="10"/>
        <v>4.34</v>
      </c>
      <c r="O27" s="8">
        <f t="shared" si="11"/>
        <v>0</v>
      </c>
      <c r="P27" s="8">
        <f t="shared" si="12"/>
        <v>0</v>
      </c>
      <c r="Q27" s="3">
        <f t="shared" si="13"/>
        <v>0</v>
      </c>
      <c r="R27" s="3">
        <f t="shared" si="14"/>
        <v>425.52000000000044</v>
      </c>
      <c r="S27" s="3">
        <f t="shared" si="15"/>
        <v>0</v>
      </c>
      <c r="T27" s="3">
        <f t="shared" si="3"/>
        <v>4.34</v>
      </c>
      <c r="U27" s="3">
        <f t="shared" si="4"/>
        <v>4.2</v>
      </c>
      <c r="V27" s="3">
        <f>IF($H27&lt;&gt;"",IF($J27&gt;U$11,IF($J27&lt;V$11,$J27-U$11,30),0)*ROUND(($K27+$S26+SUM($U27:U27))*$Q$5/3000,2),"")</f>
        <v>0.14000000000000001</v>
      </c>
      <c r="W27" s="3"/>
      <c r="X27" s="3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</row>
    <row r="28" spans="1:81" x14ac:dyDescent="0.25">
      <c r="D28" s="5"/>
      <c r="E28" s="22">
        <f t="shared" si="0"/>
        <v>17</v>
      </c>
      <c r="F28" s="22">
        <f t="shared" si="5"/>
        <v>3.3</v>
      </c>
      <c r="G28" s="22">
        <f t="shared" si="6"/>
        <v>0</v>
      </c>
      <c r="H28">
        <f t="shared" si="1"/>
        <v>17</v>
      </c>
      <c r="I28" s="5">
        <f>IF($H28&lt;&gt;"",IF($D28="",DATE(YEAR($J$7),MONTH($J$7)+($A$1*($E28-1))+SUM($B$12:$B28),DAY($J$7)),$D28),"")</f>
        <v>44402</v>
      </c>
      <c r="J28" s="9">
        <f t="shared" si="7"/>
        <v>30</v>
      </c>
      <c r="K28" s="3">
        <f t="shared" si="8"/>
        <v>425.52000000000044</v>
      </c>
      <c r="L28" s="3">
        <f t="shared" si="2"/>
        <v>108.62999999999998</v>
      </c>
      <c r="M28" s="3">
        <f t="shared" si="9"/>
        <v>105.32999999999998</v>
      </c>
      <c r="N28" s="3">
        <f t="shared" si="10"/>
        <v>3.3</v>
      </c>
      <c r="O28" s="8">
        <f t="shared" si="11"/>
        <v>0</v>
      </c>
      <c r="P28" s="8">
        <f t="shared" si="12"/>
        <v>0</v>
      </c>
      <c r="Q28" s="3">
        <f t="shared" si="13"/>
        <v>0</v>
      </c>
      <c r="R28" s="3">
        <f t="shared" si="14"/>
        <v>320.19000000000045</v>
      </c>
      <c r="S28" s="3">
        <f t="shared" si="15"/>
        <v>0</v>
      </c>
      <c r="T28" s="3">
        <f t="shared" si="3"/>
        <v>3.3</v>
      </c>
      <c r="U28" s="3">
        <f t="shared" si="4"/>
        <v>3.3</v>
      </c>
      <c r="V28" s="3">
        <f>IF($H28&lt;&gt;"",IF($J28&gt;U$11,IF($J28&lt;V$11,$J28-U$11,30),0)*ROUND(($K28+$S27+SUM($U28:U28))*$Q$5/3000,2),"")</f>
        <v>0</v>
      </c>
      <c r="W28" s="3"/>
      <c r="X28" s="3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</row>
    <row r="29" spans="1:81" x14ac:dyDescent="0.25">
      <c r="D29" s="5"/>
      <c r="E29" s="22">
        <f t="shared" si="0"/>
        <v>18</v>
      </c>
      <c r="F29" s="22">
        <f t="shared" si="5"/>
        <v>2.7899999999999996</v>
      </c>
      <c r="G29" s="22">
        <f t="shared" si="6"/>
        <v>0</v>
      </c>
      <c r="H29">
        <f t="shared" si="1"/>
        <v>18</v>
      </c>
      <c r="I29" s="5">
        <f>IF($H29&lt;&gt;"",IF($D29="",DATE(YEAR($J$7),MONTH($J$7)+($A$1*($E29-1))+SUM($B$12:$B29),DAY($J$7)),$D29),"")</f>
        <v>44433</v>
      </c>
      <c r="J29" s="9">
        <f t="shared" si="7"/>
        <v>31</v>
      </c>
      <c r="K29" s="3">
        <f t="shared" si="8"/>
        <v>320.19000000000045</v>
      </c>
      <c r="L29" s="3">
        <f t="shared" si="2"/>
        <v>108.62999999999998</v>
      </c>
      <c r="M29" s="3">
        <f t="shared" si="9"/>
        <v>105.83999999999997</v>
      </c>
      <c r="N29" s="3">
        <f t="shared" si="10"/>
        <v>2.7899999999999996</v>
      </c>
      <c r="O29" s="8">
        <f t="shared" si="11"/>
        <v>0</v>
      </c>
      <c r="P29" s="8">
        <f t="shared" si="12"/>
        <v>0</v>
      </c>
      <c r="Q29" s="3">
        <f t="shared" si="13"/>
        <v>0</v>
      </c>
      <c r="R29" s="3">
        <f t="shared" si="14"/>
        <v>214.35000000000048</v>
      </c>
      <c r="S29" s="3">
        <f t="shared" si="15"/>
        <v>0</v>
      </c>
      <c r="T29" s="3">
        <f t="shared" si="3"/>
        <v>2.7899999999999996</v>
      </c>
      <c r="U29" s="3">
        <f t="shared" si="4"/>
        <v>2.6999999999999997</v>
      </c>
      <c r="V29" s="3">
        <f>IF($H29&lt;&gt;"",IF($J29&gt;U$11,IF($J29&lt;V$11,$J29-U$11,30),0)*ROUND(($K29+$S28+SUM($U29:U29))*$Q$5/3000,2),"")</f>
        <v>0.09</v>
      </c>
      <c r="W29" s="3"/>
      <c r="X29" s="3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</row>
    <row r="30" spans="1:81" x14ac:dyDescent="0.25">
      <c r="D30" s="5"/>
      <c r="E30" s="22">
        <f t="shared" si="0"/>
        <v>19</v>
      </c>
      <c r="F30" s="22">
        <f t="shared" si="5"/>
        <v>1.8599999999999999</v>
      </c>
      <c r="G30" s="22">
        <f t="shared" si="6"/>
        <v>0</v>
      </c>
      <c r="H30">
        <f t="shared" si="1"/>
        <v>19</v>
      </c>
      <c r="I30" s="5">
        <f>IF($H30&lt;&gt;"",IF($D30="",DATE(YEAR($J$7),MONTH($J$7)+($A$1*($E30-1))+SUM($B$12:$B30),DAY($J$7)),$D30),"")</f>
        <v>44464</v>
      </c>
      <c r="J30" s="9">
        <f t="shared" si="7"/>
        <v>31</v>
      </c>
      <c r="K30" s="3">
        <f t="shared" si="8"/>
        <v>214.35000000000048</v>
      </c>
      <c r="L30" s="3">
        <f t="shared" si="2"/>
        <v>108.62999999999998</v>
      </c>
      <c r="M30" s="3">
        <f t="shared" si="9"/>
        <v>106.76999999999998</v>
      </c>
      <c r="N30" s="3">
        <f t="shared" si="10"/>
        <v>1.8599999999999999</v>
      </c>
      <c r="O30" s="8">
        <f t="shared" si="11"/>
        <v>0</v>
      </c>
      <c r="P30" s="8">
        <f t="shared" si="12"/>
        <v>0</v>
      </c>
      <c r="Q30" s="3">
        <f t="shared" si="13"/>
        <v>0</v>
      </c>
      <c r="R30" s="3">
        <f t="shared" si="14"/>
        <v>107.5800000000005</v>
      </c>
      <c r="S30" s="3">
        <f t="shared" si="15"/>
        <v>0</v>
      </c>
      <c r="T30" s="3">
        <f t="shared" si="3"/>
        <v>1.8599999999999999</v>
      </c>
      <c r="U30" s="3">
        <f t="shared" si="4"/>
        <v>1.7999999999999998</v>
      </c>
      <c r="V30" s="3">
        <f>IF($H30&lt;&gt;"",IF($J30&gt;U$11,IF($J30&lt;V$11,$J30-U$11,30),0)*ROUND(($K30+$S29+SUM($U30:U30))*$Q$5/3000,2),"")</f>
        <v>0.06</v>
      </c>
      <c r="W30" s="3"/>
      <c r="X30" s="3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</row>
    <row r="31" spans="1:81" x14ac:dyDescent="0.25">
      <c r="D31" s="5"/>
      <c r="E31" s="22">
        <f t="shared" si="0"/>
        <v>20</v>
      </c>
      <c r="F31" s="22">
        <f t="shared" si="5"/>
        <v>0.89999999999999991</v>
      </c>
      <c r="G31" s="22">
        <f t="shared" si="6"/>
        <v>0</v>
      </c>
      <c r="H31">
        <f t="shared" si="1"/>
        <v>20</v>
      </c>
      <c r="I31" s="5">
        <f>IF($H31&lt;&gt;"",IF($D31="",DATE(YEAR($J$7),MONTH($J$7)+($A$1*($E31-1))+SUM($B$12:$B31),DAY($J$7)),$D31),"")</f>
        <v>44494</v>
      </c>
      <c r="J31" s="9">
        <f t="shared" si="7"/>
        <v>30</v>
      </c>
      <c r="K31" s="3">
        <f t="shared" si="8"/>
        <v>107.5800000000005</v>
      </c>
      <c r="L31" s="3">
        <f t="shared" si="2"/>
        <v>108.47999999999998</v>
      </c>
      <c r="M31" s="3">
        <f t="shared" si="9"/>
        <v>107.57999999999997</v>
      </c>
      <c r="N31" s="3">
        <f t="shared" si="10"/>
        <v>0.89999999999999991</v>
      </c>
      <c r="O31" s="8">
        <f t="shared" si="11"/>
        <v>0</v>
      </c>
      <c r="P31" s="8">
        <f t="shared" si="12"/>
        <v>0</v>
      </c>
      <c r="Q31" s="3">
        <f t="shared" si="13"/>
        <v>0</v>
      </c>
      <c r="R31" s="3">
        <f t="shared" si="14"/>
        <v>5.2580162446247414E-13</v>
      </c>
      <c r="S31" s="3">
        <f t="shared" si="15"/>
        <v>0</v>
      </c>
      <c r="T31" s="3">
        <f t="shared" si="3"/>
        <v>0.89999999999999991</v>
      </c>
      <c r="U31" s="3">
        <f t="shared" si="4"/>
        <v>0.89999999999999991</v>
      </c>
      <c r="V31" s="3">
        <f>IF($H31&lt;&gt;"",IF($J31&gt;U$11,IF($J31&lt;V$11,$J31-U$11,30),0)*ROUND(($K31+$S30+SUM($U31:U31))*$Q$5/3000,2),"")</f>
        <v>0</v>
      </c>
      <c r="W31" s="3"/>
      <c r="X31" s="3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</row>
    <row r="32" spans="1:81" x14ac:dyDescent="0.25">
      <c r="D32" s="5"/>
      <c r="E32" s="22" t="str">
        <f t="shared" si="0"/>
        <v/>
      </c>
      <c r="F32" s="22" t="str">
        <f t="shared" si="5"/>
        <v/>
      </c>
      <c r="G32" s="22" t="str">
        <f t="shared" si="6"/>
        <v/>
      </c>
      <c r="H32" t="str">
        <f t="shared" si="1"/>
        <v/>
      </c>
      <c r="I32" s="5" t="str">
        <f>IF($H32&lt;&gt;"",IF($D32="",DATE(YEAR($J$7),MONTH($J$7)+($A$1*($E32-1))+SUM($B$12:$B32),DAY($J$7)),$D32),"")</f>
        <v/>
      </c>
      <c r="J32" s="9" t="str">
        <f t="shared" si="7"/>
        <v/>
      </c>
      <c r="K32" s="3" t="str">
        <f t="shared" si="8"/>
        <v/>
      </c>
      <c r="L32" s="3" t="str">
        <f t="shared" si="2"/>
        <v/>
      </c>
      <c r="M32" s="3" t="str">
        <f t="shared" si="9"/>
        <v/>
      </c>
      <c r="N32" s="3" t="str">
        <f t="shared" si="10"/>
        <v/>
      </c>
      <c r="O32" s="8" t="str">
        <f t="shared" si="11"/>
        <v/>
      </c>
      <c r="P32" s="8" t="str">
        <f t="shared" si="12"/>
        <v/>
      </c>
      <c r="Q32" s="3" t="str">
        <f t="shared" si="13"/>
        <v/>
      </c>
      <c r="R32" s="3" t="str">
        <f t="shared" si="14"/>
        <v/>
      </c>
      <c r="S32" s="3" t="str">
        <f t="shared" si="15"/>
        <v/>
      </c>
      <c r="T32" s="3" t="str">
        <f t="shared" si="3"/>
        <v/>
      </c>
      <c r="U32" s="3" t="str">
        <f t="shared" si="4"/>
        <v/>
      </c>
      <c r="V32" s="3" t="str">
        <f>IF($H32&lt;&gt;"",IF($J32&gt;U$11,IF($J32&lt;V$11,$J32-U$11,30),0)*ROUND(($K32+$S31+SUM($U32:U32))*$Q$5/3000,2),"")</f>
        <v/>
      </c>
      <c r="W32" s="3"/>
      <c r="X32" s="3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</row>
    <row r="33" spans="4:81" x14ac:dyDescent="0.25">
      <c r="D33" s="5"/>
      <c r="E33" s="22" t="str">
        <f t="shared" si="0"/>
        <v/>
      </c>
      <c r="F33" s="22" t="str">
        <f t="shared" si="5"/>
        <v/>
      </c>
      <c r="G33" s="22" t="str">
        <f t="shared" si="6"/>
        <v/>
      </c>
      <c r="H33" t="str">
        <f t="shared" si="1"/>
        <v/>
      </c>
      <c r="I33" s="5" t="str">
        <f>IF($H33&lt;&gt;"",IF($D33="",DATE(YEAR($J$7),MONTH($J$7)+($A$1*($E33-1))+SUM($B$12:$B33),DAY($J$7)),$D33),"")</f>
        <v/>
      </c>
      <c r="J33" s="9" t="str">
        <f t="shared" si="7"/>
        <v/>
      </c>
      <c r="K33" s="3" t="str">
        <f t="shared" si="8"/>
        <v/>
      </c>
      <c r="L33" s="3" t="str">
        <f t="shared" si="2"/>
        <v/>
      </c>
      <c r="M33" s="3" t="str">
        <f t="shared" si="9"/>
        <v/>
      </c>
      <c r="N33" s="3" t="str">
        <f t="shared" si="10"/>
        <v/>
      </c>
      <c r="O33" s="8" t="str">
        <f t="shared" si="11"/>
        <v/>
      </c>
      <c r="P33" s="8" t="str">
        <f t="shared" si="12"/>
        <v/>
      </c>
      <c r="Q33" s="3" t="str">
        <f t="shared" si="13"/>
        <v/>
      </c>
      <c r="R33" s="3" t="str">
        <f t="shared" si="14"/>
        <v/>
      </c>
      <c r="S33" s="3" t="str">
        <f t="shared" si="15"/>
        <v/>
      </c>
      <c r="T33" s="3" t="str">
        <f t="shared" si="3"/>
        <v/>
      </c>
      <c r="U33" s="3" t="str">
        <f t="shared" si="4"/>
        <v/>
      </c>
      <c r="V33" s="3" t="str">
        <f>IF($H33&lt;&gt;"",IF($J33&gt;U$11,IF($J33&lt;V$11,$J33-U$11,30),0)*ROUND(($K33+$S32+SUM($U33:U33))*$Q$5/3000,2),"")</f>
        <v/>
      </c>
      <c r="W33" s="3"/>
      <c r="X33" s="3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</row>
    <row r="34" spans="4:81" x14ac:dyDescent="0.25">
      <c r="D34" s="5"/>
      <c r="E34" s="22" t="str">
        <f t="shared" si="0"/>
        <v/>
      </c>
      <c r="F34" s="22" t="str">
        <f t="shared" si="5"/>
        <v/>
      </c>
      <c r="G34" s="22" t="str">
        <f t="shared" si="6"/>
        <v/>
      </c>
      <c r="H34" t="str">
        <f t="shared" si="1"/>
        <v/>
      </c>
      <c r="I34" s="5" t="str">
        <f>IF($H34&lt;&gt;"",IF($D34="",DATE(YEAR($J$7),MONTH($J$7)+($A$1*($E34-1))+SUM($B$12:$B34),DAY($J$7)),$D34),"")</f>
        <v/>
      </c>
      <c r="J34" s="9" t="str">
        <f t="shared" si="7"/>
        <v/>
      </c>
      <c r="K34" s="3" t="str">
        <f t="shared" si="8"/>
        <v/>
      </c>
      <c r="L34" s="3" t="str">
        <f t="shared" si="2"/>
        <v/>
      </c>
      <c r="M34" s="3" t="str">
        <f t="shared" si="9"/>
        <v/>
      </c>
      <c r="N34" s="3" t="str">
        <f t="shared" si="10"/>
        <v/>
      </c>
      <c r="O34" s="8" t="str">
        <f t="shared" si="11"/>
        <v/>
      </c>
      <c r="P34" s="8" t="str">
        <f t="shared" si="12"/>
        <v/>
      </c>
      <c r="Q34" s="3" t="str">
        <f t="shared" si="13"/>
        <v/>
      </c>
      <c r="R34" s="3" t="str">
        <f t="shared" si="14"/>
        <v/>
      </c>
      <c r="S34" s="3" t="str">
        <f t="shared" si="15"/>
        <v/>
      </c>
      <c r="T34" s="3" t="str">
        <f t="shared" si="3"/>
        <v/>
      </c>
      <c r="U34" s="3" t="str">
        <f t="shared" si="4"/>
        <v/>
      </c>
      <c r="V34" s="3" t="str">
        <f>IF($H34&lt;&gt;"",IF($J34&gt;U$11,IF($J34&lt;V$11,$J34-U$11,30),0)*ROUND(($K34+$S33+SUM($U34:U34))*$Q$5/3000,2),"")</f>
        <v/>
      </c>
      <c r="W34" s="3"/>
      <c r="X34" s="3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</row>
    <row r="35" spans="4:81" x14ac:dyDescent="0.25">
      <c r="D35" s="5"/>
      <c r="E35" s="22" t="str">
        <f t="shared" si="0"/>
        <v/>
      </c>
      <c r="F35" s="22" t="str">
        <f t="shared" si="5"/>
        <v/>
      </c>
      <c r="G35" s="22" t="str">
        <f t="shared" si="6"/>
        <v/>
      </c>
      <c r="H35" t="str">
        <f t="shared" si="1"/>
        <v/>
      </c>
      <c r="I35" s="5" t="str">
        <f>IF($H35&lt;&gt;"",IF($D35="",DATE(YEAR($J$7),MONTH($J$7)+($A$1*($E35-1))+SUM($B$12:$B35),DAY($J$7)),$D35),"")</f>
        <v/>
      </c>
      <c r="J35" s="9" t="str">
        <f t="shared" si="7"/>
        <v/>
      </c>
      <c r="K35" s="3" t="str">
        <f t="shared" si="8"/>
        <v/>
      </c>
      <c r="L35" s="3" t="str">
        <f t="shared" si="2"/>
        <v/>
      </c>
      <c r="M35" s="3" t="str">
        <f t="shared" si="9"/>
        <v/>
      </c>
      <c r="N35" s="3" t="str">
        <f t="shared" si="10"/>
        <v/>
      </c>
      <c r="O35" s="8" t="str">
        <f t="shared" si="11"/>
        <v/>
      </c>
      <c r="P35" s="8" t="str">
        <f t="shared" si="12"/>
        <v/>
      </c>
      <c r="Q35" s="3" t="str">
        <f t="shared" si="13"/>
        <v/>
      </c>
      <c r="R35" s="3" t="str">
        <f t="shared" si="14"/>
        <v/>
      </c>
      <c r="S35" s="3" t="str">
        <f t="shared" si="15"/>
        <v/>
      </c>
      <c r="T35" s="3" t="str">
        <f t="shared" si="3"/>
        <v/>
      </c>
      <c r="U35" s="3" t="str">
        <f t="shared" si="4"/>
        <v/>
      </c>
      <c r="V35" s="3" t="str">
        <f>IF($H35&lt;&gt;"",IF($J35&gt;U$11,IF($J35&lt;V$11,$J35-U$11,30),0)*ROUND(($K35+$S34+SUM($U35:U35))*$Q$5/3000,2),"")</f>
        <v/>
      </c>
      <c r="W35" s="3"/>
      <c r="X35" s="3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</row>
    <row r="36" spans="4:81" x14ac:dyDescent="0.25">
      <c r="D36" s="5"/>
      <c r="E36" s="22" t="str">
        <f t="shared" si="0"/>
        <v/>
      </c>
      <c r="F36" s="22" t="str">
        <f t="shared" si="5"/>
        <v/>
      </c>
      <c r="G36" s="22" t="str">
        <f t="shared" si="6"/>
        <v/>
      </c>
      <c r="H36" t="str">
        <f t="shared" si="1"/>
        <v/>
      </c>
      <c r="I36" s="5" t="str">
        <f>IF($H36&lt;&gt;"",IF($D36="",DATE(YEAR($J$7),MONTH($J$7)+($A$1*($E36-1))+SUM($B$12:$B36),DAY($J$7)),$D36),"")</f>
        <v/>
      </c>
      <c r="J36" s="9" t="str">
        <f t="shared" si="7"/>
        <v/>
      </c>
      <c r="K36" s="3" t="str">
        <f t="shared" si="8"/>
        <v/>
      </c>
      <c r="L36" s="3" t="str">
        <f t="shared" si="2"/>
        <v/>
      </c>
      <c r="M36" s="3" t="str">
        <f t="shared" si="9"/>
        <v/>
      </c>
      <c r="N36" s="3" t="str">
        <f t="shared" si="10"/>
        <v/>
      </c>
      <c r="O36" s="8" t="str">
        <f t="shared" si="11"/>
        <v/>
      </c>
      <c r="P36" s="8" t="str">
        <f t="shared" si="12"/>
        <v/>
      </c>
      <c r="Q36" s="3" t="str">
        <f t="shared" si="13"/>
        <v/>
      </c>
      <c r="R36" s="3" t="str">
        <f t="shared" si="14"/>
        <v/>
      </c>
      <c r="S36" s="3" t="str">
        <f t="shared" si="15"/>
        <v/>
      </c>
      <c r="T36" s="3" t="str">
        <f t="shared" si="3"/>
        <v/>
      </c>
      <c r="U36" s="3" t="str">
        <f t="shared" si="4"/>
        <v/>
      </c>
      <c r="V36" s="3" t="str">
        <f>IF($H36&lt;&gt;"",IF($J36&gt;U$11,IF($J36&lt;V$11,$J36-U$11,30),0)*ROUND(($K36+$S35+SUM($U36:U36))*$Q$5/3000,2),"")</f>
        <v/>
      </c>
      <c r="W36" s="3"/>
      <c r="X36" s="3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</row>
    <row r="37" spans="4:81" x14ac:dyDescent="0.25">
      <c r="D37" s="5"/>
      <c r="E37" s="22" t="str">
        <f t="shared" si="0"/>
        <v/>
      </c>
      <c r="F37" s="22" t="str">
        <f t="shared" si="5"/>
        <v/>
      </c>
      <c r="G37" s="22" t="str">
        <f t="shared" si="6"/>
        <v/>
      </c>
      <c r="H37" t="str">
        <f t="shared" si="1"/>
        <v/>
      </c>
      <c r="I37" s="5" t="str">
        <f>IF($H37&lt;&gt;"",IF($D37="",DATE(YEAR($J$7),MONTH($J$7)+($A$1*($E37-1))+SUM($B$12:$B37),DAY($J$7)),$D37),"")</f>
        <v/>
      </c>
      <c r="J37" s="9" t="str">
        <f t="shared" si="7"/>
        <v/>
      </c>
      <c r="K37" s="3" t="str">
        <f t="shared" si="8"/>
        <v/>
      </c>
      <c r="L37" s="3" t="str">
        <f t="shared" si="2"/>
        <v/>
      </c>
      <c r="M37" s="3" t="str">
        <f t="shared" si="9"/>
        <v/>
      </c>
      <c r="N37" s="3" t="str">
        <f t="shared" si="10"/>
        <v/>
      </c>
      <c r="O37" s="8" t="str">
        <f t="shared" si="11"/>
        <v/>
      </c>
      <c r="P37" s="8" t="str">
        <f t="shared" si="12"/>
        <v/>
      </c>
      <c r="Q37" s="3" t="str">
        <f t="shared" si="13"/>
        <v/>
      </c>
      <c r="R37" s="3" t="str">
        <f t="shared" si="14"/>
        <v/>
      </c>
      <c r="S37" s="3" t="str">
        <f t="shared" si="15"/>
        <v/>
      </c>
      <c r="T37" s="3" t="str">
        <f t="shared" si="3"/>
        <v/>
      </c>
      <c r="U37" s="3" t="str">
        <f t="shared" si="4"/>
        <v/>
      </c>
      <c r="V37" s="3" t="str">
        <f>IF($H37&lt;&gt;"",IF($J37&gt;U$11,IF($J37&lt;V$11,$J37-U$11,30),0)*ROUND(($K37+$S36+SUM($U37:U37))*$Q$5/3000,2),"")</f>
        <v/>
      </c>
      <c r="W37" s="3"/>
      <c r="X37" s="3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</row>
    <row r="38" spans="4:81" x14ac:dyDescent="0.25">
      <c r="D38" s="5"/>
      <c r="E38" s="22" t="str">
        <f t="shared" si="0"/>
        <v/>
      </c>
      <c r="F38" s="22" t="str">
        <f t="shared" si="5"/>
        <v/>
      </c>
      <c r="G38" s="22" t="str">
        <f t="shared" si="6"/>
        <v/>
      </c>
      <c r="H38" t="str">
        <f t="shared" si="1"/>
        <v/>
      </c>
      <c r="I38" s="5" t="str">
        <f>IF($H38&lt;&gt;"",IF($D38="",DATE(YEAR($J$7),MONTH($J$7)+($A$1*($E38-1))+SUM($B$12:$B38),DAY($J$7)),$D38),"")</f>
        <v/>
      </c>
      <c r="J38" s="9" t="str">
        <f t="shared" si="7"/>
        <v/>
      </c>
      <c r="K38" s="3" t="str">
        <f t="shared" si="8"/>
        <v/>
      </c>
      <c r="L38" s="3" t="str">
        <f t="shared" si="2"/>
        <v/>
      </c>
      <c r="M38" s="3" t="str">
        <f t="shared" si="9"/>
        <v/>
      </c>
      <c r="N38" s="3" t="str">
        <f t="shared" si="10"/>
        <v/>
      </c>
      <c r="O38" s="8" t="str">
        <f t="shared" si="11"/>
        <v/>
      </c>
      <c r="P38" s="8" t="str">
        <f t="shared" si="12"/>
        <v/>
      </c>
      <c r="Q38" s="3" t="str">
        <f t="shared" si="13"/>
        <v/>
      </c>
      <c r="R38" s="3" t="str">
        <f t="shared" si="14"/>
        <v/>
      </c>
      <c r="S38" s="3" t="str">
        <f t="shared" si="15"/>
        <v/>
      </c>
      <c r="T38" s="3" t="str">
        <f t="shared" si="3"/>
        <v/>
      </c>
      <c r="U38" s="3" t="str">
        <f t="shared" si="4"/>
        <v/>
      </c>
      <c r="V38" s="3" t="str">
        <f>IF($H38&lt;&gt;"",IF($J38&gt;U$11,IF($J38&lt;V$11,$J38-U$11,30),0)*ROUND(($K38+$S37+SUM($U38:U38))*$Q$5/3000,2),"")</f>
        <v/>
      </c>
      <c r="W38" s="3"/>
      <c r="X38" s="3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</row>
    <row r="39" spans="4:81" x14ac:dyDescent="0.25">
      <c r="D39" s="5"/>
      <c r="E39" s="22" t="str">
        <f t="shared" si="0"/>
        <v/>
      </c>
      <c r="F39" s="22" t="str">
        <f t="shared" si="5"/>
        <v/>
      </c>
      <c r="G39" s="22" t="str">
        <f t="shared" si="6"/>
        <v/>
      </c>
      <c r="H39" t="str">
        <f t="shared" si="1"/>
        <v/>
      </c>
      <c r="I39" s="5" t="str">
        <f>IF($H39&lt;&gt;"",IF($D39="",DATE(YEAR($J$7),MONTH($J$7)+($A$1*($E39-1))+SUM($B$12:$B39),DAY($J$7)),$D39),"")</f>
        <v/>
      </c>
      <c r="J39" s="9" t="str">
        <f t="shared" si="7"/>
        <v/>
      </c>
      <c r="K39" s="3" t="str">
        <f t="shared" si="8"/>
        <v/>
      </c>
      <c r="L39" s="3" t="str">
        <f t="shared" si="2"/>
        <v/>
      </c>
      <c r="M39" s="3" t="str">
        <f t="shared" si="9"/>
        <v/>
      </c>
      <c r="N39" s="3" t="str">
        <f t="shared" si="10"/>
        <v/>
      </c>
      <c r="O39" s="8" t="str">
        <f t="shared" si="11"/>
        <v/>
      </c>
      <c r="P39" s="8" t="str">
        <f t="shared" si="12"/>
        <v/>
      </c>
      <c r="Q39" s="3" t="str">
        <f t="shared" si="13"/>
        <v/>
      </c>
      <c r="R39" s="3" t="str">
        <f t="shared" si="14"/>
        <v/>
      </c>
      <c r="S39" s="3" t="str">
        <f t="shared" si="15"/>
        <v/>
      </c>
      <c r="T39" s="3" t="str">
        <f t="shared" si="3"/>
        <v/>
      </c>
      <c r="U39" s="3" t="str">
        <f t="shared" si="4"/>
        <v/>
      </c>
      <c r="V39" s="3" t="str">
        <f>IF($H39&lt;&gt;"",IF($J39&gt;U$11,IF($J39&lt;V$11,$J39-U$11,30),0)*ROUND(($K39+$S38+SUM($U39:U39))*$Q$5/3000,2),"")</f>
        <v/>
      </c>
      <c r="W39" s="3"/>
      <c r="X39" s="3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</row>
    <row r="40" spans="4:81" x14ac:dyDescent="0.25">
      <c r="D40" s="5"/>
      <c r="E40" s="22" t="str">
        <f t="shared" si="0"/>
        <v/>
      </c>
      <c r="F40" s="22" t="str">
        <f t="shared" si="5"/>
        <v/>
      </c>
      <c r="G40" s="22" t="str">
        <f t="shared" si="6"/>
        <v/>
      </c>
      <c r="H40" t="str">
        <f t="shared" si="1"/>
        <v/>
      </c>
      <c r="I40" s="5" t="str">
        <f>IF($H40&lt;&gt;"",IF($D40="",DATE(YEAR($J$7),MONTH($J$7)+($A$1*($E40-1))+SUM($B$12:$B40),DAY($J$7)),$D40),"")</f>
        <v/>
      </c>
      <c r="J40" s="9" t="str">
        <f t="shared" si="7"/>
        <v/>
      </c>
      <c r="K40" s="3" t="str">
        <f t="shared" si="8"/>
        <v/>
      </c>
      <c r="L40" s="3" t="str">
        <f t="shared" si="2"/>
        <v/>
      </c>
      <c r="M40" s="3" t="str">
        <f t="shared" si="9"/>
        <v/>
      </c>
      <c r="N40" s="3" t="str">
        <f t="shared" si="10"/>
        <v/>
      </c>
      <c r="O40" s="8" t="str">
        <f t="shared" si="11"/>
        <v/>
      </c>
      <c r="P40" s="8" t="str">
        <f t="shared" si="12"/>
        <v/>
      </c>
      <c r="Q40" s="3" t="str">
        <f t="shared" si="13"/>
        <v/>
      </c>
      <c r="R40" s="3" t="str">
        <f t="shared" si="14"/>
        <v/>
      </c>
      <c r="S40" s="3" t="str">
        <f t="shared" si="15"/>
        <v/>
      </c>
      <c r="T40" s="3" t="str">
        <f t="shared" si="3"/>
        <v/>
      </c>
      <c r="U40" s="3" t="str">
        <f t="shared" si="4"/>
        <v/>
      </c>
      <c r="V40" s="3" t="str">
        <f>IF($H40&lt;&gt;"",IF($J40&gt;U$11,IF($J40&lt;V$11,$J40-U$11,30),0)*ROUND(($K40+$S39+SUM($U40:U40))*$Q$5/3000,2),"")</f>
        <v/>
      </c>
      <c r="W40" s="3"/>
      <c r="X40" s="3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</row>
    <row r="41" spans="4:81" x14ac:dyDescent="0.25">
      <c r="D41" s="5"/>
      <c r="E41" s="22" t="str">
        <f t="shared" si="0"/>
        <v/>
      </c>
      <c r="F41" s="22" t="str">
        <f t="shared" si="5"/>
        <v/>
      </c>
      <c r="G41" s="22" t="str">
        <f t="shared" si="6"/>
        <v/>
      </c>
      <c r="H41" t="str">
        <f t="shared" si="1"/>
        <v/>
      </c>
      <c r="I41" s="5" t="str">
        <f>IF($H41&lt;&gt;"",IF($D41="",DATE(YEAR($J$7),MONTH($J$7)+($A$1*($E41-1))+SUM($B$12:$B41),DAY($J$7)),$D41),"")</f>
        <v/>
      </c>
      <c r="J41" s="9" t="str">
        <f t="shared" si="7"/>
        <v/>
      </c>
      <c r="K41" s="3" t="str">
        <f t="shared" si="8"/>
        <v/>
      </c>
      <c r="L41" s="3" t="str">
        <f t="shared" si="2"/>
        <v/>
      </c>
      <c r="M41" s="3" t="str">
        <f t="shared" si="9"/>
        <v/>
      </c>
      <c r="N41" s="3" t="str">
        <f t="shared" si="10"/>
        <v/>
      </c>
      <c r="O41" s="8" t="str">
        <f t="shared" si="11"/>
        <v/>
      </c>
      <c r="P41" s="8" t="str">
        <f t="shared" si="12"/>
        <v/>
      </c>
      <c r="Q41" s="3" t="str">
        <f t="shared" si="13"/>
        <v/>
      </c>
      <c r="R41" s="3" t="str">
        <f t="shared" si="14"/>
        <v/>
      </c>
      <c r="S41" s="3" t="str">
        <f t="shared" si="15"/>
        <v/>
      </c>
      <c r="T41" s="3" t="str">
        <f t="shared" si="3"/>
        <v/>
      </c>
      <c r="U41" s="3" t="str">
        <f t="shared" si="4"/>
        <v/>
      </c>
      <c r="V41" s="3" t="str">
        <f>IF($H41&lt;&gt;"",IF($J41&gt;U$11,IF($J41&lt;V$11,$J41-U$11,30),0)*ROUND(($K41+$S40+SUM($U41:U41))*$Q$5/3000,2),"")</f>
        <v/>
      </c>
      <c r="W41" s="3"/>
      <c r="X41" s="3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</row>
    <row r="42" spans="4:81" x14ac:dyDescent="0.25">
      <c r="D42" s="5"/>
      <c r="E42" s="22" t="str">
        <f t="shared" si="0"/>
        <v/>
      </c>
      <c r="F42" s="22" t="str">
        <f t="shared" si="5"/>
        <v/>
      </c>
      <c r="G42" s="22" t="str">
        <f t="shared" si="6"/>
        <v/>
      </c>
      <c r="H42" t="str">
        <f t="shared" si="1"/>
        <v/>
      </c>
      <c r="I42" s="5" t="str">
        <f>IF($H42&lt;&gt;"",IF($D42="",DATE(YEAR($J$7),MONTH($J$7)+($A$1*($E42-1))+SUM($B$12:$B42),DAY($J$7)),$D42),"")</f>
        <v/>
      </c>
      <c r="J42" s="9" t="str">
        <f t="shared" si="7"/>
        <v/>
      </c>
      <c r="K42" s="3" t="str">
        <f t="shared" si="8"/>
        <v/>
      </c>
      <c r="L42" s="3" t="str">
        <f t="shared" si="2"/>
        <v/>
      </c>
      <c r="M42" s="3" t="str">
        <f t="shared" si="9"/>
        <v/>
      </c>
      <c r="N42" s="3" t="str">
        <f t="shared" si="10"/>
        <v/>
      </c>
      <c r="O42" s="8" t="str">
        <f t="shared" si="11"/>
        <v/>
      </c>
      <c r="P42" s="8" t="str">
        <f t="shared" si="12"/>
        <v/>
      </c>
      <c r="Q42" s="3" t="str">
        <f t="shared" si="13"/>
        <v/>
      </c>
      <c r="R42" s="3" t="str">
        <f t="shared" si="14"/>
        <v/>
      </c>
      <c r="S42" s="3" t="str">
        <f t="shared" si="15"/>
        <v/>
      </c>
      <c r="T42" s="3" t="str">
        <f t="shared" si="3"/>
        <v/>
      </c>
      <c r="U42" s="3" t="str">
        <f t="shared" si="4"/>
        <v/>
      </c>
      <c r="V42" s="3" t="str">
        <f>IF($H42&lt;&gt;"",IF($J42&gt;U$11,IF($J42&lt;V$11,$J42-U$11,30),0)*ROUND(($K42+$S41+SUM($U42:U42))*$Q$5/3000,2),"")</f>
        <v/>
      </c>
      <c r="W42" s="3"/>
      <c r="X42" s="3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</row>
    <row r="43" spans="4:81" x14ac:dyDescent="0.25">
      <c r="D43" s="5"/>
      <c r="E43" s="22" t="str">
        <f t="shared" si="0"/>
        <v/>
      </c>
      <c r="F43" s="22" t="str">
        <f t="shared" si="5"/>
        <v/>
      </c>
      <c r="G43" s="22" t="str">
        <f t="shared" si="6"/>
        <v/>
      </c>
      <c r="H43" t="str">
        <f t="shared" si="1"/>
        <v/>
      </c>
      <c r="I43" s="5" t="str">
        <f>IF($H43&lt;&gt;"",IF($D43="",DATE(YEAR($J$7),MONTH($J$7)+($A$1*($E43-1))+SUM($B$12:$B43),DAY($J$7)),$D43),"")</f>
        <v/>
      </c>
      <c r="J43" s="9" t="str">
        <f t="shared" si="7"/>
        <v/>
      </c>
      <c r="K43" s="3" t="str">
        <f t="shared" si="8"/>
        <v/>
      </c>
      <c r="L43" s="3" t="str">
        <f t="shared" si="2"/>
        <v/>
      </c>
      <c r="M43" s="3" t="str">
        <f t="shared" si="9"/>
        <v/>
      </c>
      <c r="N43" s="3" t="str">
        <f t="shared" si="10"/>
        <v/>
      </c>
      <c r="O43" s="8" t="str">
        <f t="shared" si="11"/>
        <v/>
      </c>
      <c r="P43" s="8" t="str">
        <f t="shared" si="12"/>
        <v/>
      </c>
      <c r="Q43" s="3" t="str">
        <f t="shared" si="13"/>
        <v/>
      </c>
      <c r="R43" s="3" t="str">
        <f t="shared" si="14"/>
        <v/>
      </c>
      <c r="S43" s="3" t="str">
        <f t="shared" si="15"/>
        <v/>
      </c>
      <c r="T43" s="3" t="str">
        <f t="shared" si="3"/>
        <v/>
      </c>
      <c r="U43" s="3" t="str">
        <f t="shared" si="4"/>
        <v/>
      </c>
      <c r="V43" s="3" t="str">
        <f>IF($H43&lt;&gt;"",IF($J43&gt;U$11,IF($J43&lt;V$11,$J43-U$11,30),0)*ROUND(($K43+$S42+SUM($U43:U43))*$Q$5/3000,2),"")</f>
        <v/>
      </c>
      <c r="W43" s="3"/>
      <c r="X43" s="3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</row>
    <row r="44" spans="4:81" x14ac:dyDescent="0.25">
      <c r="D44" s="5"/>
      <c r="E44" s="22" t="str">
        <f t="shared" ref="E44:E75" si="16">IF($H44&lt;&gt;"",IF($A44="Prepago",$E43,$E43+1),"")</f>
        <v/>
      </c>
      <c r="F44" s="22" t="str">
        <f t="shared" si="5"/>
        <v/>
      </c>
      <c r="G44" s="22" t="str">
        <f t="shared" ref="G44:G75" si="17">IF(H44&lt;&gt;"",IF(COUNTA($U44:$XFD44)*30&lt;$J44,1,0),"")</f>
        <v/>
      </c>
      <c r="H44" t="str">
        <f t="shared" ref="H44:H75" si="18">IF($H43&lt;NCUOTAS+CUOTAADICIONAL+PGRACIA,$H43+1,"")</f>
        <v/>
      </c>
      <c r="I44" s="5" t="str">
        <f>IF($H44&lt;&gt;"",IF($D44="",DATE(YEAR($J$7),MONTH($J$7)+($A$1*($E44-1))+SUM($B$12:$B44),DAY($J$7)),$D44),"")</f>
        <v/>
      </c>
      <c r="J44" s="9" t="str">
        <f t="shared" si="7"/>
        <v/>
      </c>
      <c r="K44" s="3" t="str">
        <f t="shared" si="8"/>
        <v/>
      </c>
      <c r="L44" s="3" t="str">
        <f t="shared" ref="L44:L75" si="19">IF($H44&lt;&gt;"",IF($A44="Gracia Parcial",$T44+$O44+$P44+$Q44,IF($A44="Gracia Total",0,IF($A44="Prepago",$C44,IF(ISNUMBER($C44),$C44*VALUE(MID($C$1,MONTH($I44),1)),$M$6*VALUE(MID($C$1,MONTH($I44),1))))))-IF($H45="",ARREGLO,0),"")</f>
        <v/>
      </c>
      <c r="M44" s="3" t="str">
        <f t="shared" si="9"/>
        <v/>
      </c>
      <c r="N44" s="3" t="str">
        <f t="shared" si="10"/>
        <v/>
      </c>
      <c r="O44" s="8" t="str">
        <f t="shared" si="11"/>
        <v/>
      </c>
      <c r="P44" s="8" t="str">
        <f t="shared" si="12"/>
        <v/>
      </c>
      <c r="Q44" s="3" t="str">
        <f t="shared" si="13"/>
        <v/>
      </c>
      <c r="R44" s="3" t="str">
        <f t="shared" si="14"/>
        <v/>
      </c>
      <c r="S44" s="3" t="str">
        <f t="shared" si="15"/>
        <v/>
      </c>
      <c r="T44" s="3" t="str">
        <f t="shared" ref="T44:T75" si="20">IF($H44&lt;&gt;"",SUM($U44:$XFD44),"")</f>
        <v/>
      </c>
      <c r="U44" s="3" t="str">
        <f t="shared" si="4"/>
        <v/>
      </c>
      <c r="V44" s="3" t="str">
        <f>IF($H44&lt;&gt;"",IF($J44&gt;U$11,IF($J44&lt;V$11,$J44-U$11,30),0)*ROUND(($K44+$S43+SUM($U44:U44))*$Q$5/3000,2),"")</f>
        <v/>
      </c>
      <c r="W44" s="3"/>
      <c r="X44" s="3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</row>
    <row r="45" spans="4:81" x14ac:dyDescent="0.25">
      <c r="D45" s="5"/>
      <c r="E45" s="22" t="str">
        <f t="shared" si="16"/>
        <v/>
      </c>
      <c r="F45" s="22" t="str">
        <f t="shared" si="5"/>
        <v/>
      </c>
      <c r="G45" s="22" t="str">
        <f t="shared" si="17"/>
        <v/>
      </c>
      <c r="H45" t="str">
        <f t="shared" si="18"/>
        <v/>
      </c>
      <c r="I45" s="5" t="str">
        <f>IF($H45&lt;&gt;"",IF($D45="",DATE(YEAR($J$7),MONTH($J$7)+($A$1*($E45-1))+SUM($B$12:$B45),DAY($J$7)),$D45),"")</f>
        <v/>
      </c>
      <c r="J45" s="9" t="str">
        <f t="shared" si="7"/>
        <v/>
      </c>
      <c r="K45" s="3" t="str">
        <f t="shared" si="8"/>
        <v/>
      </c>
      <c r="L45" s="3" t="str">
        <f t="shared" si="19"/>
        <v/>
      </c>
      <c r="M45" s="3" t="str">
        <f t="shared" si="9"/>
        <v/>
      </c>
      <c r="N45" s="3" t="str">
        <f t="shared" si="10"/>
        <v/>
      </c>
      <c r="O45" s="8" t="str">
        <f t="shared" si="11"/>
        <v/>
      </c>
      <c r="P45" s="8" t="str">
        <f t="shared" si="12"/>
        <v/>
      </c>
      <c r="Q45" s="3" t="str">
        <f t="shared" si="13"/>
        <v/>
      </c>
      <c r="R45" s="3" t="str">
        <f t="shared" si="14"/>
        <v/>
      </c>
      <c r="S45" s="3" t="str">
        <f t="shared" si="15"/>
        <v/>
      </c>
      <c r="T45" s="3" t="str">
        <f t="shared" si="20"/>
        <v/>
      </c>
      <c r="U45" s="3" t="str">
        <f t="shared" si="4"/>
        <v/>
      </c>
      <c r="V45" s="3" t="str">
        <f>IF($H45&lt;&gt;"",IF($J45&gt;U$11,IF($J45&lt;V$11,$J45-U$11,30),0)*ROUND(($K45+$S44+SUM($U45:U45))*$Q$5/3000,2),"")</f>
        <v/>
      </c>
      <c r="W45" s="3"/>
      <c r="X45" s="3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</row>
    <row r="46" spans="4:81" x14ac:dyDescent="0.25">
      <c r="D46" s="5"/>
      <c r="E46" s="22" t="str">
        <f t="shared" si="16"/>
        <v/>
      </c>
      <c r="F46" s="22" t="str">
        <f t="shared" si="5"/>
        <v/>
      </c>
      <c r="G46" s="22" t="str">
        <f t="shared" si="17"/>
        <v/>
      </c>
      <c r="H46" t="str">
        <f t="shared" si="18"/>
        <v/>
      </c>
      <c r="I46" s="5" t="str">
        <f>IF($H46&lt;&gt;"",IF($D46="",DATE(YEAR($J$7),MONTH($J$7)+($A$1*($E46-1))+SUM($B$12:$B46),DAY($J$7)),$D46),"")</f>
        <v/>
      </c>
      <c r="J46" s="9" t="str">
        <f t="shared" si="7"/>
        <v/>
      </c>
      <c r="K46" s="3" t="str">
        <f t="shared" si="8"/>
        <v/>
      </c>
      <c r="L46" s="3" t="str">
        <f t="shared" si="19"/>
        <v/>
      </c>
      <c r="M46" s="3" t="str">
        <f t="shared" si="9"/>
        <v/>
      </c>
      <c r="N46" s="3" t="str">
        <f t="shared" si="10"/>
        <v/>
      </c>
      <c r="O46" s="8" t="str">
        <f t="shared" si="11"/>
        <v/>
      </c>
      <c r="P46" s="8" t="str">
        <f t="shared" si="12"/>
        <v/>
      </c>
      <c r="Q46" s="3" t="str">
        <f t="shared" si="13"/>
        <v/>
      </c>
      <c r="R46" s="3" t="str">
        <f t="shared" si="14"/>
        <v/>
      </c>
      <c r="S46" s="3" t="str">
        <f t="shared" si="15"/>
        <v/>
      </c>
      <c r="T46" s="3" t="str">
        <f t="shared" si="20"/>
        <v/>
      </c>
      <c r="U46" s="3" t="str">
        <f t="shared" si="4"/>
        <v/>
      </c>
      <c r="V46" s="3" t="str">
        <f>IF($H46&lt;&gt;"",IF($J46&gt;U$11,IF($J46&lt;V$11,$J46-U$11,30),0)*ROUND(($K46+$S45+SUM($U46:U46))*$Q$5/3000,2),"")</f>
        <v/>
      </c>
      <c r="W46" s="3"/>
      <c r="X46" s="3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</row>
    <row r="47" spans="4:81" x14ac:dyDescent="0.25">
      <c r="D47" s="5"/>
      <c r="E47" s="22" t="str">
        <f t="shared" si="16"/>
        <v/>
      </c>
      <c r="F47" s="22" t="str">
        <f t="shared" si="5"/>
        <v/>
      </c>
      <c r="G47" s="22" t="str">
        <f t="shared" si="17"/>
        <v/>
      </c>
      <c r="H47" t="str">
        <f t="shared" si="18"/>
        <v/>
      </c>
      <c r="I47" s="5" t="str">
        <f>IF($H47&lt;&gt;"",IF($D47="",DATE(YEAR($J$7),MONTH($J$7)+($A$1*($E47-1))+SUM($B$12:$B47),DAY($J$7)),$D47),"")</f>
        <v/>
      </c>
      <c r="J47" s="9" t="str">
        <f t="shared" si="7"/>
        <v/>
      </c>
      <c r="K47" s="3" t="str">
        <f t="shared" si="8"/>
        <v/>
      </c>
      <c r="L47" s="3" t="str">
        <f t="shared" si="19"/>
        <v/>
      </c>
      <c r="M47" s="3" t="str">
        <f t="shared" si="9"/>
        <v/>
      </c>
      <c r="N47" s="3" t="str">
        <f t="shared" si="10"/>
        <v/>
      </c>
      <c r="O47" s="8" t="str">
        <f t="shared" si="11"/>
        <v/>
      </c>
      <c r="P47" s="8" t="str">
        <f t="shared" si="12"/>
        <v/>
      </c>
      <c r="Q47" s="3" t="str">
        <f t="shared" si="13"/>
        <v/>
      </c>
      <c r="R47" s="3" t="str">
        <f t="shared" si="14"/>
        <v/>
      </c>
      <c r="S47" s="3" t="str">
        <f t="shared" si="15"/>
        <v/>
      </c>
      <c r="T47" s="3" t="str">
        <f t="shared" si="20"/>
        <v/>
      </c>
      <c r="U47" s="3" t="str">
        <f t="shared" si="4"/>
        <v/>
      </c>
      <c r="V47" s="3" t="str">
        <f>IF($H47&lt;&gt;"",IF($J47&gt;U$11,IF($J47&lt;V$11,$J47-U$11,30),0)*ROUND(($K47+$S46+SUM($U47:U47))*$Q$5/3000,2),"")</f>
        <v/>
      </c>
      <c r="W47" s="3"/>
      <c r="X47" s="3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</row>
    <row r="48" spans="4:81" x14ac:dyDescent="0.25">
      <c r="D48" s="5"/>
      <c r="E48" s="22" t="str">
        <f t="shared" si="16"/>
        <v/>
      </c>
      <c r="F48" s="22" t="str">
        <f t="shared" si="5"/>
        <v/>
      </c>
      <c r="G48" s="22" t="str">
        <f t="shared" si="17"/>
        <v/>
      </c>
      <c r="H48" t="str">
        <f t="shared" si="18"/>
        <v/>
      </c>
      <c r="I48" s="5" t="str">
        <f>IF($H48&lt;&gt;"",IF($D48="",DATE(YEAR($J$7),MONTH($J$7)+($A$1*($E48-1))+SUM($B$12:$B48),DAY($J$7)),$D48),"")</f>
        <v/>
      </c>
      <c r="J48" s="9" t="str">
        <f t="shared" si="7"/>
        <v/>
      </c>
      <c r="K48" s="3" t="str">
        <f t="shared" si="8"/>
        <v/>
      </c>
      <c r="L48" s="3" t="str">
        <f t="shared" si="19"/>
        <v/>
      </c>
      <c r="M48" s="3" t="str">
        <f t="shared" si="9"/>
        <v/>
      </c>
      <c r="N48" s="3" t="str">
        <f t="shared" si="10"/>
        <v/>
      </c>
      <c r="O48" s="8" t="str">
        <f t="shared" si="11"/>
        <v/>
      </c>
      <c r="P48" s="8" t="str">
        <f t="shared" si="12"/>
        <v/>
      </c>
      <c r="Q48" s="3" t="str">
        <f t="shared" si="13"/>
        <v/>
      </c>
      <c r="R48" s="3" t="str">
        <f t="shared" si="14"/>
        <v/>
      </c>
      <c r="S48" s="3" t="str">
        <f t="shared" si="15"/>
        <v/>
      </c>
      <c r="T48" s="3" t="str">
        <f t="shared" si="20"/>
        <v/>
      </c>
      <c r="U48" s="3" t="str">
        <f t="shared" si="4"/>
        <v/>
      </c>
      <c r="V48" s="3" t="str">
        <f>IF($H48&lt;&gt;"",IF($J48&gt;U$11,IF($J48&lt;V$11,$J48-U$11,30),0)*ROUND(($K48+$S47+SUM($U48:U48))*$Q$5/3000,2),"")</f>
        <v/>
      </c>
      <c r="W48" s="3"/>
      <c r="X48" s="3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</row>
    <row r="49" spans="4:81" x14ac:dyDescent="0.25">
      <c r="D49" s="5"/>
      <c r="E49" s="22" t="str">
        <f t="shared" si="16"/>
        <v/>
      </c>
      <c r="F49" s="22" t="str">
        <f t="shared" si="5"/>
        <v/>
      </c>
      <c r="G49" s="22" t="str">
        <f t="shared" si="17"/>
        <v/>
      </c>
      <c r="H49" t="str">
        <f t="shared" si="18"/>
        <v/>
      </c>
      <c r="I49" s="5" t="str">
        <f>IF($H49&lt;&gt;"",IF($D49="",DATE(YEAR($J$7),MONTH($J$7)+($A$1*($E49-1))+SUM($B$12:$B49),DAY($J$7)),$D49),"")</f>
        <v/>
      </c>
      <c r="J49" s="9" t="str">
        <f t="shared" si="7"/>
        <v/>
      </c>
      <c r="K49" s="3" t="str">
        <f t="shared" si="8"/>
        <v/>
      </c>
      <c r="L49" s="3" t="str">
        <f t="shared" si="19"/>
        <v/>
      </c>
      <c r="M49" s="3" t="str">
        <f t="shared" si="9"/>
        <v/>
      </c>
      <c r="N49" s="3" t="str">
        <f t="shared" si="10"/>
        <v/>
      </c>
      <c r="O49" s="8" t="str">
        <f t="shared" si="11"/>
        <v/>
      </c>
      <c r="P49" s="8" t="str">
        <f t="shared" si="12"/>
        <v/>
      </c>
      <c r="Q49" s="3" t="str">
        <f t="shared" si="13"/>
        <v/>
      </c>
      <c r="R49" s="3" t="str">
        <f t="shared" si="14"/>
        <v/>
      </c>
      <c r="S49" s="3" t="str">
        <f t="shared" si="15"/>
        <v/>
      </c>
      <c r="T49" s="3" t="str">
        <f t="shared" si="20"/>
        <v/>
      </c>
      <c r="U49" s="3" t="str">
        <f t="shared" si="4"/>
        <v/>
      </c>
      <c r="V49" s="3" t="str">
        <f>IF($H49&lt;&gt;"",IF($J49&gt;U$11,IF($J49&lt;V$11,$J49-U$11,30),0)*ROUND(($K49+$S48+SUM($U49:U49))*$Q$5/3000,2),"")</f>
        <v/>
      </c>
      <c r="W49" s="3"/>
      <c r="X49" s="3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</row>
    <row r="50" spans="4:81" x14ac:dyDescent="0.25">
      <c r="D50" s="5"/>
      <c r="E50" s="22" t="str">
        <f t="shared" si="16"/>
        <v/>
      </c>
      <c r="F50" s="22" t="str">
        <f t="shared" si="5"/>
        <v/>
      </c>
      <c r="G50" s="22" t="str">
        <f t="shared" si="17"/>
        <v/>
      </c>
      <c r="H50" t="str">
        <f t="shared" si="18"/>
        <v/>
      </c>
      <c r="I50" s="5" t="str">
        <f>IF($H50&lt;&gt;"",IF($D50="",DATE(YEAR($J$7),MONTH($J$7)+($A$1*($E50-1))+SUM($B$12:$B50),DAY($J$7)),$D50),"")</f>
        <v/>
      </c>
      <c r="J50" s="9" t="str">
        <f t="shared" si="7"/>
        <v/>
      </c>
      <c r="K50" s="3" t="str">
        <f t="shared" si="8"/>
        <v/>
      </c>
      <c r="L50" s="3" t="str">
        <f t="shared" si="19"/>
        <v/>
      </c>
      <c r="M50" s="3" t="str">
        <f t="shared" si="9"/>
        <v/>
      </c>
      <c r="N50" s="3" t="str">
        <f t="shared" si="10"/>
        <v/>
      </c>
      <c r="O50" s="8" t="str">
        <f t="shared" si="11"/>
        <v/>
      </c>
      <c r="P50" s="8" t="str">
        <f t="shared" si="12"/>
        <v/>
      </c>
      <c r="Q50" s="3" t="str">
        <f t="shared" si="13"/>
        <v/>
      </c>
      <c r="R50" s="3" t="str">
        <f t="shared" si="14"/>
        <v/>
      </c>
      <c r="S50" s="3" t="str">
        <f t="shared" si="15"/>
        <v/>
      </c>
      <c r="T50" s="3" t="str">
        <f t="shared" si="20"/>
        <v/>
      </c>
      <c r="U50" s="3" t="str">
        <f t="shared" si="4"/>
        <v/>
      </c>
      <c r="V50" s="3" t="str">
        <f>IF($H50&lt;&gt;"",IF($J50&gt;U$11,IF($J50&lt;V$11,$J50-U$11,30),0)*ROUND(($K50+$S49+SUM($U50:U50))*$Q$5/3000,2),"")</f>
        <v/>
      </c>
      <c r="W50" s="3"/>
      <c r="X50" s="3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</row>
    <row r="51" spans="4:81" x14ac:dyDescent="0.25">
      <c r="D51" s="5"/>
      <c r="E51" s="22" t="str">
        <f t="shared" si="16"/>
        <v/>
      </c>
      <c r="F51" s="22" t="str">
        <f t="shared" si="5"/>
        <v/>
      </c>
      <c r="G51" s="22" t="str">
        <f t="shared" si="17"/>
        <v/>
      </c>
      <c r="H51" t="str">
        <f t="shared" si="18"/>
        <v/>
      </c>
      <c r="I51" s="5" t="str">
        <f>IF($H51&lt;&gt;"",IF($D51="",DATE(YEAR($J$7),MONTH($J$7)+($A$1*($E51-1))+SUM($B$12:$B51),DAY($J$7)),$D51),"")</f>
        <v/>
      </c>
      <c r="J51" s="9" t="str">
        <f t="shared" si="7"/>
        <v/>
      </c>
      <c r="K51" s="3" t="str">
        <f t="shared" si="8"/>
        <v/>
      </c>
      <c r="L51" s="3" t="str">
        <f t="shared" si="19"/>
        <v/>
      </c>
      <c r="M51" s="3" t="str">
        <f t="shared" si="9"/>
        <v/>
      </c>
      <c r="N51" s="3" t="str">
        <f t="shared" si="10"/>
        <v/>
      </c>
      <c r="O51" s="8" t="str">
        <f t="shared" si="11"/>
        <v/>
      </c>
      <c r="P51" s="8" t="str">
        <f t="shared" si="12"/>
        <v/>
      </c>
      <c r="Q51" s="3" t="str">
        <f t="shared" si="13"/>
        <v/>
      </c>
      <c r="R51" s="3" t="str">
        <f t="shared" si="14"/>
        <v/>
      </c>
      <c r="S51" s="3" t="str">
        <f t="shared" si="15"/>
        <v/>
      </c>
      <c r="T51" s="3" t="str">
        <f t="shared" si="20"/>
        <v/>
      </c>
      <c r="U51" s="3" t="str">
        <f t="shared" si="4"/>
        <v/>
      </c>
      <c r="V51" s="3" t="str">
        <f>IF($H51&lt;&gt;"",IF($J51&gt;U$11,IF($J51&lt;V$11,$J51-U$11,30),0)*ROUND(($K51+$S50+SUM($U51:U51))*$Q$5/3000,2),"")</f>
        <v/>
      </c>
      <c r="W51" s="3"/>
      <c r="X51" s="3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</row>
    <row r="52" spans="4:81" x14ac:dyDescent="0.25">
      <c r="D52" s="5"/>
      <c r="E52" s="22" t="str">
        <f t="shared" si="16"/>
        <v/>
      </c>
      <c r="F52" s="22" t="str">
        <f t="shared" si="5"/>
        <v/>
      </c>
      <c r="G52" s="22" t="str">
        <f t="shared" si="17"/>
        <v/>
      </c>
      <c r="H52" t="str">
        <f t="shared" si="18"/>
        <v/>
      </c>
      <c r="I52" s="5" t="str">
        <f>IF($H52&lt;&gt;"",IF($D52="",DATE(YEAR($J$7),MONTH($J$7)+($A$1*($E52-1))+SUM($B$12:$B52),DAY($J$7)),$D52),"")</f>
        <v/>
      </c>
      <c r="J52" s="9" t="str">
        <f t="shared" si="7"/>
        <v/>
      </c>
      <c r="K52" s="3" t="str">
        <f t="shared" si="8"/>
        <v/>
      </c>
      <c r="L52" s="3" t="str">
        <f t="shared" si="19"/>
        <v/>
      </c>
      <c r="M52" s="3" t="str">
        <f t="shared" si="9"/>
        <v/>
      </c>
      <c r="N52" s="3" t="str">
        <f t="shared" si="10"/>
        <v/>
      </c>
      <c r="O52" s="8" t="str">
        <f t="shared" si="11"/>
        <v/>
      </c>
      <c r="P52" s="8" t="str">
        <f t="shared" si="12"/>
        <v/>
      </c>
      <c r="Q52" s="3" t="str">
        <f t="shared" si="13"/>
        <v/>
      </c>
      <c r="R52" s="3" t="str">
        <f t="shared" si="14"/>
        <v/>
      </c>
      <c r="S52" s="3" t="str">
        <f t="shared" si="15"/>
        <v/>
      </c>
      <c r="T52" s="3" t="str">
        <f t="shared" si="20"/>
        <v/>
      </c>
      <c r="U52" s="3" t="str">
        <f t="shared" si="4"/>
        <v/>
      </c>
      <c r="V52" s="3" t="str">
        <f>IF($H52&lt;&gt;"",IF($J52&gt;U$11,IF($J52&lt;V$11,$J52-U$11,30),0)*ROUND(($K52+$S51+SUM($U52:U52))*$Q$5/3000,2),"")</f>
        <v/>
      </c>
      <c r="W52" s="3"/>
      <c r="X52" s="3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</row>
    <row r="53" spans="4:81" x14ac:dyDescent="0.25">
      <c r="D53" s="5"/>
      <c r="E53" s="22" t="str">
        <f t="shared" si="16"/>
        <v/>
      </c>
      <c r="F53" s="22" t="str">
        <f t="shared" si="5"/>
        <v/>
      </c>
      <c r="G53" s="22" t="str">
        <f t="shared" si="17"/>
        <v/>
      </c>
      <c r="H53" t="str">
        <f t="shared" si="18"/>
        <v/>
      </c>
      <c r="I53" s="5" t="str">
        <f>IF($H53&lt;&gt;"",IF($D53="",DATE(YEAR($J$7),MONTH($J$7)+($A$1*($E53-1))+SUM($B$12:$B53),DAY($J$7)),$D53),"")</f>
        <v/>
      </c>
      <c r="J53" s="9" t="str">
        <f t="shared" si="7"/>
        <v/>
      </c>
      <c r="K53" s="3" t="str">
        <f t="shared" si="8"/>
        <v/>
      </c>
      <c r="L53" s="3" t="str">
        <f t="shared" si="19"/>
        <v/>
      </c>
      <c r="M53" s="3" t="str">
        <f t="shared" si="9"/>
        <v/>
      </c>
      <c r="N53" s="3" t="str">
        <f t="shared" si="10"/>
        <v/>
      </c>
      <c r="O53" s="8" t="str">
        <f t="shared" si="11"/>
        <v/>
      </c>
      <c r="P53" s="8" t="str">
        <f t="shared" si="12"/>
        <v/>
      </c>
      <c r="Q53" s="3" t="str">
        <f t="shared" si="13"/>
        <v/>
      </c>
      <c r="R53" s="3" t="str">
        <f t="shared" si="14"/>
        <v/>
      </c>
      <c r="S53" s="3" t="str">
        <f t="shared" si="15"/>
        <v/>
      </c>
      <c r="T53" s="3" t="str">
        <f t="shared" si="20"/>
        <v/>
      </c>
      <c r="U53" s="3" t="str">
        <f t="shared" si="4"/>
        <v/>
      </c>
      <c r="V53" s="3" t="str">
        <f>IF($H53&lt;&gt;"",IF($J53&gt;U$11,IF($J53&lt;V$11,$J53-U$11,30),0)*ROUND(($K53+$S52+SUM($U53:U53))*$Q$5/3000,2),"")</f>
        <v/>
      </c>
      <c r="W53" s="3"/>
      <c r="X53" s="3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</row>
    <row r="54" spans="4:81" x14ac:dyDescent="0.25">
      <c r="D54" s="5"/>
      <c r="E54" s="22" t="str">
        <f t="shared" si="16"/>
        <v/>
      </c>
      <c r="F54" s="22" t="str">
        <f t="shared" si="5"/>
        <v/>
      </c>
      <c r="G54" s="22" t="str">
        <f t="shared" si="17"/>
        <v/>
      </c>
      <c r="H54" t="str">
        <f t="shared" si="18"/>
        <v/>
      </c>
      <c r="I54" s="5" t="str">
        <f>IF($H54&lt;&gt;"",IF($D54="",DATE(YEAR($J$7),MONTH($J$7)+($A$1*($E54-1))+SUM($B$12:$B54),DAY($J$7)),$D54),"")</f>
        <v/>
      </c>
      <c r="J54" s="9" t="str">
        <f t="shared" si="7"/>
        <v/>
      </c>
      <c r="K54" s="3" t="str">
        <f t="shared" si="8"/>
        <v/>
      </c>
      <c r="L54" s="3" t="str">
        <f t="shared" si="19"/>
        <v/>
      </c>
      <c r="M54" s="3" t="str">
        <f t="shared" si="9"/>
        <v/>
      </c>
      <c r="N54" s="3" t="str">
        <f t="shared" si="10"/>
        <v/>
      </c>
      <c r="O54" s="8" t="str">
        <f t="shared" si="11"/>
        <v/>
      </c>
      <c r="P54" s="8" t="str">
        <f t="shared" si="12"/>
        <v/>
      </c>
      <c r="Q54" s="3" t="str">
        <f t="shared" si="13"/>
        <v/>
      </c>
      <c r="R54" s="3" t="str">
        <f t="shared" si="14"/>
        <v/>
      </c>
      <c r="S54" s="3" t="str">
        <f t="shared" si="15"/>
        <v/>
      </c>
      <c r="T54" s="3" t="str">
        <f t="shared" si="20"/>
        <v/>
      </c>
      <c r="U54" s="3" t="str">
        <f t="shared" si="4"/>
        <v/>
      </c>
      <c r="V54" s="3" t="str">
        <f>IF($H54&lt;&gt;"",IF($J54&gt;U$11,IF($J54&lt;V$11,$J54-U$11,30),0)*ROUND(($K54+$S53+SUM($U54:U54))*$Q$5/3000,2),"")</f>
        <v/>
      </c>
      <c r="W54" s="3"/>
      <c r="X54" s="3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</row>
    <row r="55" spans="4:81" x14ac:dyDescent="0.25">
      <c r="D55" s="5"/>
      <c r="E55" s="22" t="str">
        <f t="shared" si="16"/>
        <v/>
      </c>
      <c r="F55" s="22" t="str">
        <f t="shared" si="5"/>
        <v/>
      </c>
      <c r="G55" s="22" t="str">
        <f t="shared" si="17"/>
        <v/>
      </c>
      <c r="H55" t="str">
        <f t="shared" si="18"/>
        <v/>
      </c>
      <c r="I55" s="5" t="str">
        <f>IF($H55&lt;&gt;"",IF($D55="",DATE(YEAR($J$7),MONTH($J$7)+($A$1*($E55-1))+SUM($B$12:$B55),DAY($J$7)),$D55),"")</f>
        <v/>
      </c>
      <c r="J55" s="9" t="str">
        <f t="shared" si="7"/>
        <v/>
      </c>
      <c r="K55" s="3" t="str">
        <f t="shared" si="8"/>
        <v/>
      </c>
      <c r="L55" s="3" t="str">
        <f t="shared" si="19"/>
        <v/>
      </c>
      <c r="M55" s="3" t="str">
        <f t="shared" si="9"/>
        <v/>
      </c>
      <c r="N55" s="3" t="str">
        <f t="shared" si="10"/>
        <v/>
      </c>
      <c r="O55" s="8" t="str">
        <f t="shared" si="11"/>
        <v/>
      </c>
      <c r="P55" s="8" t="str">
        <f t="shared" si="12"/>
        <v/>
      </c>
      <c r="Q55" s="3" t="str">
        <f t="shared" si="13"/>
        <v/>
      </c>
      <c r="R55" s="3" t="str">
        <f t="shared" si="14"/>
        <v/>
      </c>
      <c r="S55" s="3" t="str">
        <f t="shared" si="15"/>
        <v/>
      </c>
      <c r="T55" s="3" t="str">
        <f t="shared" si="20"/>
        <v/>
      </c>
      <c r="U55" s="3" t="str">
        <f t="shared" si="4"/>
        <v/>
      </c>
      <c r="V55" s="3" t="str">
        <f>IF($H55&lt;&gt;"",IF($J55&gt;U$11,IF($J55&lt;V$11,$J55-U$11,30),0)*ROUND(($K55+$S54+SUM($U55:U55))*$Q$5/3000,2),"")</f>
        <v/>
      </c>
      <c r="W55" s="3"/>
      <c r="X55" s="3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</row>
    <row r="56" spans="4:81" x14ac:dyDescent="0.25">
      <c r="D56" s="5"/>
      <c r="E56" s="22" t="str">
        <f t="shared" si="16"/>
        <v/>
      </c>
      <c r="F56" s="22" t="str">
        <f t="shared" si="5"/>
        <v/>
      </c>
      <c r="G56" s="22" t="str">
        <f t="shared" si="17"/>
        <v/>
      </c>
      <c r="H56" t="str">
        <f t="shared" si="18"/>
        <v/>
      </c>
      <c r="I56" s="5" t="str">
        <f>IF($H56&lt;&gt;"",IF($D56="",DATE(YEAR($J$7),MONTH($J$7)+($A$1*($E56-1))+SUM($B$12:$B56),DAY($J$7)),$D56),"")</f>
        <v/>
      </c>
      <c r="J56" s="9" t="str">
        <f t="shared" si="7"/>
        <v/>
      </c>
      <c r="K56" s="3" t="str">
        <f t="shared" si="8"/>
        <v/>
      </c>
      <c r="L56" s="3" t="str">
        <f t="shared" si="19"/>
        <v/>
      </c>
      <c r="M56" s="3" t="str">
        <f t="shared" si="9"/>
        <v/>
      </c>
      <c r="N56" s="3" t="str">
        <f t="shared" si="10"/>
        <v/>
      </c>
      <c r="O56" s="8" t="str">
        <f t="shared" si="11"/>
        <v/>
      </c>
      <c r="P56" s="8" t="str">
        <f t="shared" si="12"/>
        <v/>
      </c>
      <c r="Q56" s="3" t="str">
        <f t="shared" si="13"/>
        <v/>
      </c>
      <c r="R56" s="3" t="str">
        <f t="shared" si="14"/>
        <v/>
      </c>
      <c r="S56" s="3" t="str">
        <f t="shared" si="15"/>
        <v/>
      </c>
      <c r="T56" s="3" t="str">
        <f t="shared" si="20"/>
        <v/>
      </c>
      <c r="U56" s="3" t="str">
        <f t="shared" si="4"/>
        <v/>
      </c>
      <c r="V56" s="3" t="str">
        <f>IF($H56&lt;&gt;"",IF($J56&gt;U$11,IF($J56&lt;V$11,$J56-U$11,30),0)*ROUND(($K56+$S55+SUM($U56:U56))*$Q$5/3000,2),"")</f>
        <v/>
      </c>
      <c r="W56" s="3"/>
      <c r="X56" s="3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</row>
    <row r="57" spans="4:81" x14ac:dyDescent="0.25">
      <c r="D57" s="5"/>
      <c r="E57" s="22" t="str">
        <f t="shared" si="16"/>
        <v/>
      </c>
      <c r="F57" s="22" t="str">
        <f t="shared" si="5"/>
        <v/>
      </c>
      <c r="G57" s="22" t="str">
        <f t="shared" si="17"/>
        <v/>
      </c>
      <c r="H57" t="str">
        <f t="shared" si="18"/>
        <v/>
      </c>
      <c r="I57" s="5" t="str">
        <f>IF($H57&lt;&gt;"",IF($D57="",DATE(YEAR($J$7),MONTH($J$7)+($A$1*($E57-1))+SUM($B$12:$B57),DAY($J$7)),$D57),"")</f>
        <v/>
      </c>
      <c r="J57" s="9" t="str">
        <f t="shared" si="7"/>
        <v/>
      </c>
      <c r="K57" s="3" t="str">
        <f t="shared" si="8"/>
        <v/>
      </c>
      <c r="L57" s="3" t="str">
        <f t="shared" si="19"/>
        <v/>
      </c>
      <c r="M57" s="3" t="str">
        <f t="shared" si="9"/>
        <v/>
      </c>
      <c r="N57" s="3" t="str">
        <f t="shared" si="10"/>
        <v/>
      </c>
      <c r="O57" s="8" t="str">
        <f t="shared" si="11"/>
        <v/>
      </c>
      <c r="P57" s="8" t="str">
        <f t="shared" si="12"/>
        <v/>
      </c>
      <c r="Q57" s="3" t="str">
        <f t="shared" si="13"/>
        <v/>
      </c>
      <c r="R57" s="3" t="str">
        <f t="shared" si="14"/>
        <v/>
      </c>
      <c r="S57" s="3" t="str">
        <f t="shared" si="15"/>
        <v/>
      </c>
      <c r="T57" s="3" t="str">
        <f t="shared" si="20"/>
        <v/>
      </c>
      <c r="U57" s="3" t="str">
        <f t="shared" si="4"/>
        <v/>
      </c>
      <c r="V57" s="3" t="str">
        <f>IF($H57&lt;&gt;"",IF($J57&gt;U$11,IF($J57&lt;V$11,$J57-U$11,30),0)*ROUND(($K57+$S56+SUM($U57:U57))*$Q$5/3000,2),"")</f>
        <v/>
      </c>
      <c r="W57" s="3"/>
      <c r="X57" s="3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</row>
    <row r="58" spans="4:81" x14ac:dyDescent="0.25">
      <c r="D58" s="5"/>
      <c r="E58" s="22" t="str">
        <f t="shared" si="16"/>
        <v/>
      </c>
      <c r="F58" s="22" t="str">
        <f t="shared" si="5"/>
        <v/>
      </c>
      <c r="G58" s="22" t="str">
        <f t="shared" si="17"/>
        <v/>
      </c>
      <c r="H58" t="str">
        <f t="shared" si="18"/>
        <v/>
      </c>
      <c r="I58" s="5" t="str">
        <f>IF($H58&lt;&gt;"",IF($D58="",DATE(YEAR($J$7),MONTH($J$7)+($A$1*($E58-1))+SUM($B$12:$B58),DAY($J$7)),$D58),"")</f>
        <v/>
      </c>
      <c r="J58" s="9" t="str">
        <f t="shared" si="7"/>
        <v/>
      </c>
      <c r="K58" s="3" t="str">
        <f t="shared" si="8"/>
        <v/>
      </c>
      <c r="L58" s="3" t="str">
        <f t="shared" si="19"/>
        <v/>
      </c>
      <c r="M58" s="3" t="str">
        <f t="shared" si="9"/>
        <v/>
      </c>
      <c r="N58" s="3" t="str">
        <f t="shared" si="10"/>
        <v/>
      </c>
      <c r="O58" s="8" t="str">
        <f t="shared" si="11"/>
        <v/>
      </c>
      <c r="P58" s="8" t="str">
        <f t="shared" si="12"/>
        <v/>
      </c>
      <c r="Q58" s="3" t="str">
        <f t="shared" si="13"/>
        <v/>
      </c>
      <c r="R58" s="3" t="str">
        <f t="shared" si="14"/>
        <v/>
      </c>
      <c r="S58" s="3" t="str">
        <f t="shared" si="15"/>
        <v/>
      </c>
      <c r="T58" s="3" t="str">
        <f t="shared" si="20"/>
        <v/>
      </c>
      <c r="U58" s="3" t="str">
        <f t="shared" si="4"/>
        <v/>
      </c>
      <c r="V58" s="3" t="str">
        <f>IF($H58&lt;&gt;"",IF($J58&gt;U$11,IF($J58&lt;V$11,$J58-U$11,30),0)*ROUND(($K58+$S57+SUM($U58:U58))*$Q$5/3000,2),"")</f>
        <v/>
      </c>
      <c r="W58" s="3"/>
      <c r="X58" s="3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</row>
    <row r="59" spans="4:81" x14ac:dyDescent="0.25">
      <c r="D59" s="5"/>
      <c r="E59" s="22" t="str">
        <f t="shared" si="16"/>
        <v/>
      </c>
      <c r="F59" s="22" t="str">
        <f t="shared" si="5"/>
        <v/>
      </c>
      <c r="G59" s="22" t="str">
        <f t="shared" si="17"/>
        <v/>
      </c>
      <c r="H59" t="str">
        <f t="shared" si="18"/>
        <v/>
      </c>
      <c r="I59" s="5" t="str">
        <f>IF($H59&lt;&gt;"",IF($D59="",DATE(YEAR($J$7),MONTH($J$7)+($A$1*($E59-1))+SUM($B$12:$B59),DAY($J$7)),$D59),"")</f>
        <v/>
      </c>
      <c r="J59" s="9" t="str">
        <f t="shared" si="7"/>
        <v/>
      </c>
      <c r="K59" s="3" t="str">
        <f t="shared" si="8"/>
        <v/>
      </c>
      <c r="L59" s="3" t="str">
        <f t="shared" si="19"/>
        <v/>
      </c>
      <c r="M59" s="3" t="str">
        <f t="shared" si="9"/>
        <v/>
      </c>
      <c r="N59" s="3" t="str">
        <f t="shared" si="10"/>
        <v/>
      </c>
      <c r="O59" s="8" t="str">
        <f t="shared" si="11"/>
        <v/>
      </c>
      <c r="P59" s="8" t="str">
        <f t="shared" si="12"/>
        <v/>
      </c>
      <c r="Q59" s="3" t="str">
        <f t="shared" si="13"/>
        <v/>
      </c>
      <c r="R59" s="3" t="str">
        <f t="shared" si="14"/>
        <v/>
      </c>
      <c r="S59" s="3" t="str">
        <f t="shared" si="15"/>
        <v/>
      </c>
      <c r="T59" s="3" t="str">
        <f t="shared" si="20"/>
        <v/>
      </c>
      <c r="U59" s="3" t="str">
        <f t="shared" si="4"/>
        <v/>
      </c>
      <c r="V59" s="3" t="str">
        <f>IF($H59&lt;&gt;"",IF($J59&gt;U$11,IF($J59&lt;V$11,$J59-U$11,30),0)*ROUND(($K59+$S58+SUM($U59:U59))*$Q$5/3000,2),"")</f>
        <v/>
      </c>
      <c r="W59" s="3"/>
      <c r="X59" s="3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</row>
    <row r="60" spans="4:81" x14ac:dyDescent="0.25">
      <c r="D60" s="5"/>
      <c r="E60" s="22" t="str">
        <f t="shared" si="16"/>
        <v/>
      </c>
      <c r="F60" s="22" t="str">
        <f t="shared" si="5"/>
        <v/>
      </c>
      <c r="G60" s="22" t="str">
        <f t="shared" si="17"/>
        <v/>
      </c>
      <c r="H60" t="str">
        <f t="shared" si="18"/>
        <v/>
      </c>
      <c r="I60" s="5" t="str">
        <f>IF($H60&lt;&gt;"",IF($D60="",DATE(YEAR($J$7),MONTH($J$7)+($A$1*($E60-1))+SUM($B$12:$B60),DAY($J$7)),$D60),"")</f>
        <v/>
      </c>
      <c r="J60" s="9" t="str">
        <f t="shared" si="7"/>
        <v/>
      </c>
      <c r="K60" s="3" t="str">
        <f t="shared" si="8"/>
        <v/>
      </c>
      <c r="L60" s="3" t="str">
        <f t="shared" si="19"/>
        <v/>
      </c>
      <c r="M60" s="3" t="str">
        <f t="shared" si="9"/>
        <v/>
      </c>
      <c r="N60" s="3" t="str">
        <f t="shared" si="10"/>
        <v/>
      </c>
      <c r="O60" s="8" t="str">
        <f t="shared" si="11"/>
        <v/>
      </c>
      <c r="P60" s="8" t="str">
        <f t="shared" si="12"/>
        <v/>
      </c>
      <c r="Q60" s="3" t="str">
        <f t="shared" si="13"/>
        <v/>
      </c>
      <c r="R60" s="3" t="str">
        <f t="shared" si="14"/>
        <v/>
      </c>
      <c r="S60" s="3" t="str">
        <f t="shared" si="15"/>
        <v/>
      </c>
      <c r="T60" s="3" t="str">
        <f t="shared" si="20"/>
        <v/>
      </c>
      <c r="U60" s="3" t="str">
        <f t="shared" si="4"/>
        <v/>
      </c>
      <c r="V60" s="3" t="str">
        <f>IF($H60&lt;&gt;"",IF($J60&gt;U$11,IF($J60&lt;V$11,$J60-U$11,30),0)*ROUND(($K60+$S59+SUM($U60:U60))*$Q$5/3000,2),"")</f>
        <v/>
      </c>
      <c r="W60" s="3"/>
      <c r="X60" s="3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</row>
    <row r="61" spans="4:81" x14ac:dyDescent="0.25">
      <c r="D61" s="5"/>
      <c r="E61" s="22" t="str">
        <f t="shared" si="16"/>
        <v/>
      </c>
      <c r="F61" s="22" t="str">
        <f t="shared" si="5"/>
        <v/>
      </c>
      <c r="G61" s="22" t="str">
        <f t="shared" si="17"/>
        <v/>
      </c>
      <c r="H61" t="str">
        <f t="shared" si="18"/>
        <v/>
      </c>
      <c r="I61" s="5" t="str">
        <f>IF($H61&lt;&gt;"",IF($D61="",DATE(YEAR($J$7),MONTH($J$7)+($A$1*($E61-1))+SUM($B$12:$B61),DAY($J$7)),$D61),"")</f>
        <v/>
      </c>
      <c r="J61" s="9" t="str">
        <f t="shared" si="7"/>
        <v/>
      </c>
      <c r="K61" s="3" t="str">
        <f t="shared" si="8"/>
        <v/>
      </c>
      <c r="L61" s="3" t="str">
        <f t="shared" si="19"/>
        <v/>
      </c>
      <c r="M61" s="3" t="str">
        <f t="shared" si="9"/>
        <v/>
      </c>
      <c r="N61" s="3" t="str">
        <f t="shared" si="10"/>
        <v/>
      </c>
      <c r="O61" s="8" t="str">
        <f t="shared" si="11"/>
        <v/>
      </c>
      <c r="P61" s="8" t="str">
        <f t="shared" si="12"/>
        <v/>
      </c>
      <c r="Q61" s="3" t="str">
        <f t="shared" si="13"/>
        <v/>
      </c>
      <c r="R61" s="3" t="str">
        <f t="shared" si="14"/>
        <v/>
      </c>
      <c r="S61" s="3" t="str">
        <f t="shared" si="15"/>
        <v/>
      </c>
      <c r="T61" s="3" t="str">
        <f t="shared" si="20"/>
        <v/>
      </c>
      <c r="U61" s="3" t="str">
        <f t="shared" si="4"/>
        <v/>
      </c>
      <c r="V61" s="3" t="str">
        <f>IF($H61&lt;&gt;"",IF($J61&gt;U$11,IF($J61&lt;V$11,$J61-U$11,30),0)*ROUND(($K61+$S60+SUM($U61:U61))*$Q$5/3000,2),"")</f>
        <v/>
      </c>
      <c r="W61" s="3"/>
      <c r="X61" s="3"/>
    </row>
    <row r="62" spans="4:81" x14ac:dyDescent="0.25">
      <c r="D62" s="5"/>
      <c r="E62" s="22" t="str">
        <f t="shared" si="16"/>
        <v/>
      </c>
      <c r="F62" s="22" t="str">
        <f t="shared" si="5"/>
        <v/>
      </c>
      <c r="G62" s="22" t="str">
        <f t="shared" si="17"/>
        <v/>
      </c>
      <c r="H62" t="str">
        <f t="shared" si="18"/>
        <v/>
      </c>
      <c r="I62" s="5" t="str">
        <f>IF($H62&lt;&gt;"",IF($D62="",DATE(YEAR($J$7),MONTH($J$7)+($A$1*($E62-1))+SUM($B$12:$B62),DAY($J$7)),$D62),"")</f>
        <v/>
      </c>
      <c r="J62" s="9" t="str">
        <f t="shared" si="7"/>
        <v/>
      </c>
      <c r="K62" s="3" t="str">
        <f t="shared" si="8"/>
        <v/>
      </c>
      <c r="L62" s="3" t="str">
        <f t="shared" si="19"/>
        <v/>
      </c>
      <c r="M62" s="3" t="str">
        <f t="shared" si="9"/>
        <v/>
      </c>
      <c r="N62" s="3" t="str">
        <f t="shared" si="10"/>
        <v/>
      </c>
      <c r="O62" s="8" t="str">
        <f t="shared" si="11"/>
        <v/>
      </c>
      <c r="P62" s="8" t="str">
        <f t="shared" si="12"/>
        <v/>
      </c>
      <c r="Q62" s="3" t="str">
        <f t="shared" si="13"/>
        <v/>
      </c>
      <c r="R62" s="3" t="str">
        <f t="shared" si="14"/>
        <v/>
      </c>
      <c r="S62" s="3" t="str">
        <f t="shared" si="15"/>
        <v/>
      </c>
      <c r="T62" s="3" t="str">
        <f t="shared" si="20"/>
        <v/>
      </c>
      <c r="U62" s="3" t="str">
        <f t="shared" si="4"/>
        <v/>
      </c>
      <c r="V62" s="3" t="str">
        <f>IF($H62&lt;&gt;"",IF($J62&gt;U$11,IF($J62&lt;V$11,$J62-U$11,30),0)*ROUND(($K62+$S61+SUM($U62:U62))*$Q$5/3000,2),"")</f>
        <v/>
      </c>
      <c r="W62" s="3"/>
      <c r="X62" s="3"/>
    </row>
    <row r="63" spans="4:81" x14ac:dyDescent="0.25">
      <c r="D63" s="5"/>
      <c r="E63" s="22" t="str">
        <f t="shared" si="16"/>
        <v/>
      </c>
      <c r="F63" s="22" t="str">
        <f t="shared" si="5"/>
        <v/>
      </c>
      <c r="G63" s="22" t="str">
        <f t="shared" si="17"/>
        <v/>
      </c>
      <c r="H63" t="str">
        <f t="shared" si="18"/>
        <v/>
      </c>
      <c r="I63" s="5" t="str">
        <f>IF($H63&lt;&gt;"",IF($D63="",DATE(YEAR($J$7),MONTH($J$7)+($A$1*($E63-1))+SUM($B$12:$B63),DAY($J$7)),$D63),"")</f>
        <v/>
      </c>
      <c r="J63" s="9" t="str">
        <f t="shared" si="7"/>
        <v/>
      </c>
      <c r="K63" s="3" t="str">
        <f t="shared" si="8"/>
        <v/>
      </c>
      <c r="L63" s="3" t="str">
        <f t="shared" si="19"/>
        <v/>
      </c>
      <c r="M63" s="3" t="str">
        <f t="shared" si="9"/>
        <v/>
      </c>
      <c r="N63" s="3" t="str">
        <f t="shared" si="10"/>
        <v/>
      </c>
      <c r="O63" s="8" t="str">
        <f t="shared" si="11"/>
        <v/>
      </c>
      <c r="P63" s="8" t="str">
        <f t="shared" si="12"/>
        <v/>
      </c>
      <c r="Q63" s="3" t="str">
        <f t="shared" si="13"/>
        <v/>
      </c>
      <c r="R63" s="3" t="str">
        <f t="shared" si="14"/>
        <v/>
      </c>
      <c r="S63" s="3" t="str">
        <f t="shared" si="15"/>
        <v/>
      </c>
      <c r="T63" s="3" t="str">
        <f t="shared" si="20"/>
        <v/>
      </c>
      <c r="U63" s="3" t="str">
        <f t="shared" si="4"/>
        <v/>
      </c>
      <c r="V63" s="3" t="str">
        <f>IF($H63&lt;&gt;"",IF($J63&gt;U$11,IF($J63&lt;V$11,$J63-U$11,30),0)*ROUND(($K63+$S62+SUM($U63:U63))*$Q$5/3000,2),"")</f>
        <v/>
      </c>
      <c r="W63" s="3"/>
      <c r="X63" s="3"/>
    </row>
    <row r="64" spans="4:81" x14ac:dyDescent="0.25">
      <c r="D64" s="5"/>
      <c r="E64" s="22" t="str">
        <f t="shared" si="16"/>
        <v/>
      </c>
      <c r="F64" s="22" t="str">
        <f t="shared" si="5"/>
        <v/>
      </c>
      <c r="G64" s="22" t="str">
        <f t="shared" si="17"/>
        <v/>
      </c>
      <c r="H64" t="str">
        <f t="shared" si="18"/>
        <v/>
      </c>
      <c r="I64" s="5" t="str">
        <f>IF($H64&lt;&gt;"",IF($D64="",DATE(YEAR($J$7),MONTH($J$7)+($A$1*($E64-1))+SUM($B$12:$B64),DAY($J$7)),$D64),"")</f>
        <v/>
      </c>
      <c r="J64" s="9" t="str">
        <f t="shared" si="7"/>
        <v/>
      </c>
      <c r="K64" s="3" t="str">
        <f t="shared" si="8"/>
        <v/>
      </c>
      <c r="L64" s="3" t="str">
        <f t="shared" si="19"/>
        <v/>
      </c>
      <c r="M64" s="3" t="str">
        <f t="shared" si="9"/>
        <v/>
      </c>
      <c r="N64" s="3" t="str">
        <f t="shared" si="10"/>
        <v/>
      </c>
      <c r="O64" s="8" t="str">
        <f t="shared" si="11"/>
        <v/>
      </c>
      <c r="P64" s="8" t="str">
        <f t="shared" si="12"/>
        <v/>
      </c>
      <c r="Q64" s="3" t="str">
        <f t="shared" si="13"/>
        <v/>
      </c>
      <c r="R64" s="3" t="str">
        <f t="shared" si="14"/>
        <v/>
      </c>
      <c r="S64" s="3" t="str">
        <f t="shared" si="15"/>
        <v/>
      </c>
      <c r="T64" s="3" t="str">
        <f t="shared" si="20"/>
        <v/>
      </c>
      <c r="U64" s="3" t="str">
        <f t="shared" si="4"/>
        <v/>
      </c>
      <c r="V64" s="3" t="str">
        <f>IF($H64&lt;&gt;"",IF($J64&gt;U$11,IF($J64&lt;V$11,$J64-U$11,30),0)*ROUND(($K64+$S63+SUM($U64:U64))*$Q$5/3000,2),"")</f>
        <v/>
      </c>
      <c r="W64" s="3"/>
      <c r="X64" s="3"/>
    </row>
    <row r="65" spans="4:24" x14ac:dyDescent="0.25">
      <c r="D65" s="5"/>
      <c r="E65" s="22" t="str">
        <f t="shared" si="16"/>
        <v/>
      </c>
      <c r="F65" s="22" t="str">
        <f t="shared" si="5"/>
        <v/>
      </c>
      <c r="G65" s="22" t="str">
        <f t="shared" si="17"/>
        <v/>
      </c>
      <c r="H65" t="str">
        <f t="shared" si="18"/>
        <v/>
      </c>
      <c r="I65" s="5" t="str">
        <f>IF($H65&lt;&gt;"",IF($D65="",DATE(YEAR($J$7),MONTH($J$7)+($A$1*($E65-1))+SUM($B$12:$B65),DAY($J$7)),$D65),"")</f>
        <v/>
      </c>
      <c r="J65" s="9" t="str">
        <f t="shared" si="7"/>
        <v/>
      </c>
      <c r="K65" s="3" t="str">
        <f t="shared" si="8"/>
        <v/>
      </c>
      <c r="L65" s="3" t="str">
        <f t="shared" si="19"/>
        <v/>
      </c>
      <c r="M65" s="3" t="str">
        <f t="shared" si="9"/>
        <v/>
      </c>
      <c r="N65" s="3" t="str">
        <f t="shared" si="10"/>
        <v/>
      </c>
      <c r="O65" s="8" t="str">
        <f t="shared" si="11"/>
        <v/>
      </c>
      <c r="P65" s="8" t="str">
        <f t="shared" si="12"/>
        <v/>
      </c>
      <c r="Q65" s="3" t="str">
        <f t="shared" si="13"/>
        <v/>
      </c>
      <c r="R65" s="3" t="str">
        <f t="shared" si="14"/>
        <v/>
      </c>
      <c r="S65" s="3" t="str">
        <f t="shared" si="15"/>
        <v/>
      </c>
      <c r="T65" s="3" t="str">
        <f t="shared" si="20"/>
        <v/>
      </c>
      <c r="U65" s="3" t="str">
        <f t="shared" si="4"/>
        <v/>
      </c>
      <c r="V65" s="3" t="str">
        <f>IF($H65&lt;&gt;"",IF($J65&gt;U$11,IF($J65&lt;V$11,$J65-U$11,30),0)*ROUND(($K65+$S64+SUM($U65:U65))*$Q$5/3000,2),"")</f>
        <v/>
      </c>
      <c r="W65" s="3"/>
      <c r="X65" s="3"/>
    </row>
    <row r="66" spans="4:24" x14ac:dyDescent="0.25">
      <c r="D66" s="5"/>
      <c r="E66" s="22" t="str">
        <f t="shared" si="16"/>
        <v/>
      </c>
      <c r="F66" s="22" t="str">
        <f t="shared" si="5"/>
        <v/>
      </c>
      <c r="G66" s="22" t="str">
        <f t="shared" si="17"/>
        <v/>
      </c>
      <c r="H66" t="str">
        <f t="shared" si="18"/>
        <v/>
      </c>
      <c r="I66" s="5" t="str">
        <f>IF($H66&lt;&gt;"",IF($D66="",DATE(YEAR($J$7),MONTH($J$7)+($A$1*($E66-1))+SUM($B$12:$B66),DAY($J$7)),$D66),"")</f>
        <v/>
      </c>
      <c r="J66" s="9" t="str">
        <f t="shared" si="7"/>
        <v/>
      </c>
      <c r="K66" s="3" t="str">
        <f t="shared" si="8"/>
        <v/>
      </c>
      <c r="L66" s="3" t="str">
        <f t="shared" si="19"/>
        <v/>
      </c>
      <c r="M66" s="3" t="str">
        <f t="shared" si="9"/>
        <v/>
      </c>
      <c r="N66" s="3" t="str">
        <f t="shared" si="10"/>
        <v/>
      </c>
      <c r="O66" s="8" t="str">
        <f t="shared" si="11"/>
        <v/>
      </c>
      <c r="P66" s="8" t="str">
        <f t="shared" si="12"/>
        <v/>
      </c>
      <c r="Q66" s="3" t="str">
        <f t="shared" si="13"/>
        <v/>
      </c>
      <c r="R66" s="3" t="str">
        <f t="shared" si="14"/>
        <v/>
      </c>
      <c r="S66" s="3" t="str">
        <f t="shared" si="15"/>
        <v/>
      </c>
      <c r="T66" s="3" t="str">
        <f t="shared" si="20"/>
        <v/>
      </c>
      <c r="U66" s="3" t="str">
        <f t="shared" si="4"/>
        <v/>
      </c>
      <c r="V66" s="3" t="str">
        <f>IF($H66&lt;&gt;"",IF($J66&gt;U$11,IF($J66&lt;V$11,$J66-U$11,30),0)*ROUND(($K66+$S65+SUM($U66:U66))*$Q$5/3000,2),"")</f>
        <v/>
      </c>
      <c r="W66" s="3"/>
      <c r="X66" s="3"/>
    </row>
    <row r="67" spans="4:24" x14ac:dyDescent="0.25">
      <c r="D67" s="5"/>
      <c r="E67" s="22" t="str">
        <f t="shared" si="16"/>
        <v/>
      </c>
      <c r="F67" s="22" t="str">
        <f t="shared" si="5"/>
        <v/>
      </c>
      <c r="G67" s="22" t="str">
        <f t="shared" si="17"/>
        <v/>
      </c>
      <c r="H67" t="str">
        <f t="shared" si="18"/>
        <v/>
      </c>
      <c r="I67" s="5" t="str">
        <f>IF($H67&lt;&gt;"",IF($D67="",DATE(YEAR($J$7),MONTH($J$7)+($A$1*($E67-1))+SUM($B$12:$B67),DAY($J$7)),$D67),"")</f>
        <v/>
      </c>
      <c r="J67" s="9" t="str">
        <f t="shared" si="7"/>
        <v/>
      </c>
      <c r="K67" s="3" t="str">
        <f t="shared" si="8"/>
        <v/>
      </c>
      <c r="L67" s="3" t="str">
        <f t="shared" si="19"/>
        <v/>
      </c>
      <c r="M67" s="3" t="str">
        <f t="shared" si="9"/>
        <v/>
      </c>
      <c r="N67" s="3" t="str">
        <f t="shared" si="10"/>
        <v/>
      </c>
      <c r="O67" s="8" t="str">
        <f t="shared" si="11"/>
        <v/>
      </c>
      <c r="P67" s="8" t="str">
        <f t="shared" si="12"/>
        <v/>
      </c>
      <c r="Q67" s="3" t="str">
        <f t="shared" si="13"/>
        <v/>
      </c>
      <c r="R67" s="3" t="str">
        <f t="shared" si="14"/>
        <v/>
      </c>
      <c r="S67" s="3" t="str">
        <f t="shared" si="15"/>
        <v/>
      </c>
      <c r="T67" s="3" t="str">
        <f t="shared" si="20"/>
        <v/>
      </c>
      <c r="U67" s="3" t="str">
        <f t="shared" si="4"/>
        <v/>
      </c>
      <c r="V67" s="3" t="str">
        <f>IF($H67&lt;&gt;"",IF($J67&gt;U$11,IF($J67&lt;V$11,$J67-U$11,30),0)*ROUND(($K67+$S66+SUM($U67:U67))*$Q$5/3000,2),"")</f>
        <v/>
      </c>
      <c r="W67" s="3"/>
      <c r="X67" s="3"/>
    </row>
    <row r="68" spans="4:24" x14ac:dyDescent="0.25">
      <c r="D68" s="5"/>
      <c r="E68" s="22" t="str">
        <f t="shared" si="16"/>
        <v/>
      </c>
      <c r="F68" s="22" t="str">
        <f t="shared" si="5"/>
        <v/>
      </c>
      <c r="G68" s="22" t="str">
        <f t="shared" si="17"/>
        <v/>
      </c>
      <c r="H68" t="str">
        <f t="shared" si="18"/>
        <v/>
      </c>
      <c r="I68" s="5" t="str">
        <f>IF($H68&lt;&gt;"",IF($D68="",DATE(YEAR($J$7),MONTH($J$7)+($A$1*($E68-1))+SUM($B$12:$B68),DAY($J$7)),$D68),"")</f>
        <v/>
      </c>
      <c r="J68" s="9" t="str">
        <f t="shared" si="7"/>
        <v/>
      </c>
      <c r="K68" s="3" t="str">
        <f t="shared" si="8"/>
        <v/>
      </c>
      <c r="L68" s="3" t="str">
        <f t="shared" si="19"/>
        <v/>
      </c>
      <c r="M68" s="3" t="str">
        <f t="shared" si="9"/>
        <v/>
      </c>
      <c r="N68" s="3" t="str">
        <f t="shared" si="10"/>
        <v/>
      </c>
      <c r="O68" s="8" t="str">
        <f t="shared" si="11"/>
        <v/>
      </c>
      <c r="P68" s="8" t="str">
        <f t="shared" si="12"/>
        <v/>
      </c>
      <c r="Q68" s="3" t="str">
        <f t="shared" si="13"/>
        <v/>
      </c>
      <c r="R68" s="3" t="str">
        <f t="shared" si="14"/>
        <v/>
      </c>
      <c r="S68" s="3" t="str">
        <f t="shared" si="15"/>
        <v/>
      </c>
      <c r="T68" s="3" t="str">
        <f t="shared" si="20"/>
        <v/>
      </c>
      <c r="U68" s="3" t="str">
        <f t="shared" si="4"/>
        <v/>
      </c>
      <c r="V68" s="3" t="str">
        <f>IF($H68&lt;&gt;"",IF($J68&gt;U$11,IF($J68&lt;V$11,$J68-U$11,30),0)*ROUND(($K68+$S67+SUM($U68:U68))*$Q$5/3000,2),"")</f>
        <v/>
      </c>
      <c r="W68" s="3"/>
      <c r="X68" s="3"/>
    </row>
    <row r="69" spans="4:24" x14ac:dyDescent="0.25">
      <c r="D69" s="5"/>
      <c r="E69" s="22" t="str">
        <f t="shared" si="16"/>
        <v/>
      </c>
      <c r="F69" s="22" t="str">
        <f t="shared" si="5"/>
        <v/>
      </c>
      <c r="G69" s="22" t="str">
        <f t="shared" si="17"/>
        <v/>
      </c>
      <c r="H69" t="str">
        <f t="shared" si="18"/>
        <v/>
      </c>
      <c r="I69" s="5" t="str">
        <f>IF($H69&lt;&gt;"",IF($D69="",DATE(YEAR($J$7),MONTH($J$7)+($A$1*($E69-1))+SUM($B$12:$B69),DAY($J$7)),$D69),"")</f>
        <v/>
      </c>
      <c r="J69" s="9" t="str">
        <f t="shared" si="7"/>
        <v/>
      </c>
      <c r="K69" s="3" t="str">
        <f t="shared" si="8"/>
        <v/>
      </c>
      <c r="L69" s="3" t="str">
        <f t="shared" si="19"/>
        <v/>
      </c>
      <c r="M69" s="3" t="str">
        <f t="shared" si="9"/>
        <v/>
      </c>
      <c r="N69" s="3" t="str">
        <f t="shared" si="10"/>
        <v/>
      </c>
      <c r="O69" s="8" t="str">
        <f t="shared" si="11"/>
        <v/>
      </c>
      <c r="P69" s="8" t="str">
        <f t="shared" si="12"/>
        <v/>
      </c>
      <c r="Q69" s="3" t="str">
        <f t="shared" si="13"/>
        <v/>
      </c>
      <c r="R69" s="3" t="str">
        <f t="shared" si="14"/>
        <v/>
      </c>
      <c r="S69" s="3" t="str">
        <f t="shared" si="15"/>
        <v/>
      </c>
      <c r="T69" s="3" t="str">
        <f t="shared" si="20"/>
        <v/>
      </c>
      <c r="U69" s="3" t="str">
        <f t="shared" si="4"/>
        <v/>
      </c>
      <c r="V69" s="3" t="str">
        <f>IF($H69&lt;&gt;"",IF($J69&gt;U$11,IF($J69&lt;V$11,$J69-U$11,30),0)*ROUND(($K69+$S68+SUM($U69:U69))*$Q$5/3000,2),"")</f>
        <v/>
      </c>
      <c r="W69" s="3"/>
      <c r="X69" s="3"/>
    </row>
    <row r="70" spans="4:24" x14ac:dyDescent="0.25">
      <c r="D70" s="5"/>
      <c r="E70" s="22" t="str">
        <f t="shared" si="16"/>
        <v/>
      </c>
      <c r="F70" s="22" t="str">
        <f t="shared" si="5"/>
        <v/>
      </c>
      <c r="G70" s="22" t="str">
        <f t="shared" si="17"/>
        <v/>
      </c>
      <c r="H70" t="str">
        <f t="shared" si="18"/>
        <v/>
      </c>
      <c r="I70" s="5" t="str">
        <f>IF($H70&lt;&gt;"",IF($D70="",DATE(YEAR($J$7),MONTH($J$7)+($A$1*($E70-1))+SUM($B$12:$B70),DAY($J$7)),$D70),"")</f>
        <v/>
      </c>
      <c r="J70" s="9" t="str">
        <f t="shared" si="7"/>
        <v/>
      </c>
      <c r="K70" s="3" t="str">
        <f t="shared" si="8"/>
        <v/>
      </c>
      <c r="L70" s="3" t="str">
        <f t="shared" si="19"/>
        <v/>
      </c>
      <c r="M70" s="3" t="str">
        <f t="shared" si="9"/>
        <v/>
      </c>
      <c r="N70" s="3" t="str">
        <f t="shared" si="10"/>
        <v/>
      </c>
      <c r="O70" s="8" t="str">
        <f t="shared" si="11"/>
        <v/>
      </c>
      <c r="P70" s="8" t="str">
        <f t="shared" si="12"/>
        <v/>
      </c>
      <c r="Q70" s="3" t="str">
        <f t="shared" si="13"/>
        <v/>
      </c>
      <c r="R70" s="3" t="str">
        <f t="shared" si="14"/>
        <v/>
      </c>
      <c r="S70" s="3" t="str">
        <f t="shared" si="15"/>
        <v/>
      </c>
      <c r="T70" s="3" t="str">
        <f t="shared" si="20"/>
        <v/>
      </c>
      <c r="U70" s="3" t="str">
        <f t="shared" si="4"/>
        <v/>
      </c>
      <c r="V70" s="3" t="str">
        <f>IF($H70&lt;&gt;"",IF($J70&gt;U$11,IF($J70&lt;V$11,$J70-U$11,30),0)*ROUND(($K70+$S69+SUM($U70:U70))*$Q$5/3000,2),"")</f>
        <v/>
      </c>
      <c r="W70" s="3"/>
      <c r="X70" s="3"/>
    </row>
    <row r="71" spans="4:24" x14ac:dyDescent="0.25">
      <c r="D71" s="5"/>
      <c r="E71" s="22" t="str">
        <f t="shared" si="16"/>
        <v/>
      </c>
      <c r="F71" s="22" t="str">
        <f t="shared" si="5"/>
        <v/>
      </c>
      <c r="G71" s="22" t="str">
        <f t="shared" si="17"/>
        <v/>
      </c>
      <c r="H71" t="str">
        <f t="shared" si="18"/>
        <v/>
      </c>
      <c r="I71" s="5" t="str">
        <f>IF($H71&lt;&gt;"",IF($D71="",DATE(YEAR($J$7),MONTH($J$7)+($A$1*($E71-1))+SUM($B$12:$B71),DAY($J$7)),$D71),"")</f>
        <v/>
      </c>
      <c r="J71" s="9" t="str">
        <f t="shared" si="7"/>
        <v/>
      </c>
      <c r="K71" s="3" t="str">
        <f t="shared" si="8"/>
        <v/>
      </c>
      <c r="L71" s="3" t="str">
        <f t="shared" si="19"/>
        <v/>
      </c>
      <c r="M71" s="3" t="str">
        <f t="shared" si="9"/>
        <v/>
      </c>
      <c r="N71" s="3" t="str">
        <f t="shared" si="10"/>
        <v/>
      </c>
      <c r="O71" s="8" t="str">
        <f t="shared" si="11"/>
        <v/>
      </c>
      <c r="P71" s="8" t="str">
        <f t="shared" si="12"/>
        <v/>
      </c>
      <c r="Q71" s="3" t="str">
        <f t="shared" si="13"/>
        <v/>
      </c>
      <c r="R71" s="3" t="str">
        <f t="shared" si="14"/>
        <v/>
      </c>
      <c r="S71" s="3" t="str">
        <f t="shared" si="15"/>
        <v/>
      </c>
      <c r="T71" s="3" t="str">
        <f t="shared" si="20"/>
        <v/>
      </c>
      <c r="U71" s="3" t="str">
        <f t="shared" si="4"/>
        <v/>
      </c>
      <c r="V71" s="3" t="str">
        <f>IF($H71&lt;&gt;"",IF($J71&gt;U$11,IF($J71&lt;V$11,$J71-U$11,30),0)*ROUND(($K71+$S70+SUM($U71:U71))*$Q$5/3000,2),"")</f>
        <v/>
      </c>
      <c r="W71" s="3"/>
      <c r="X71" s="3"/>
    </row>
    <row r="72" spans="4:24" x14ac:dyDescent="0.25">
      <c r="D72" s="5"/>
      <c r="E72" s="22" t="str">
        <f t="shared" si="16"/>
        <v/>
      </c>
      <c r="F72" s="22" t="str">
        <f t="shared" si="5"/>
        <v/>
      </c>
      <c r="G72" s="22" t="str">
        <f t="shared" si="17"/>
        <v/>
      </c>
      <c r="H72" t="str">
        <f t="shared" si="18"/>
        <v/>
      </c>
      <c r="I72" s="5" t="str">
        <f>IF($H72&lt;&gt;"",IF($D72="",DATE(YEAR($J$7),MONTH($J$7)+($A$1*($E72-1))+SUM($B$12:$B72),DAY($J$7)),$D72),"")</f>
        <v/>
      </c>
      <c r="J72" s="9" t="str">
        <f t="shared" si="7"/>
        <v/>
      </c>
      <c r="K72" s="3" t="str">
        <f t="shared" si="8"/>
        <v/>
      </c>
      <c r="L72" s="3" t="str">
        <f t="shared" si="19"/>
        <v/>
      </c>
      <c r="M72" s="3" t="str">
        <f t="shared" si="9"/>
        <v/>
      </c>
      <c r="N72" s="3" t="str">
        <f t="shared" si="10"/>
        <v/>
      </c>
      <c r="O72" s="8" t="str">
        <f t="shared" si="11"/>
        <v/>
      </c>
      <c r="P72" s="8" t="str">
        <f t="shared" si="12"/>
        <v/>
      </c>
      <c r="Q72" s="3" t="str">
        <f t="shared" si="13"/>
        <v/>
      </c>
      <c r="R72" s="3" t="str">
        <f t="shared" si="14"/>
        <v/>
      </c>
      <c r="S72" s="3" t="str">
        <f t="shared" si="15"/>
        <v/>
      </c>
      <c r="T72" s="3" t="str">
        <f t="shared" si="20"/>
        <v/>
      </c>
      <c r="U72" s="3" t="str">
        <f t="shared" si="4"/>
        <v/>
      </c>
      <c r="V72" s="3" t="str">
        <f>IF($H72&lt;&gt;"",IF($J72&gt;U$11,IF($J72&lt;V$11,$J72-U$11,30),0)*ROUND(($K72+$S71+SUM($U72:U72))*$Q$5/3000,2),"")</f>
        <v/>
      </c>
      <c r="W72" s="3"/>
      <c r="X72" s="3"/>
    </row>
    <row r="73" spans="4:24" x14ac:dyDescent="0.25">
      <c r="D73" s="5"/>
      <c r="E73" s="22" t="str">
        <f t="shared" si="16"/>
        <v/>
      </c>
      <c r="F73" s="22" t="str">
        <f t="shared" si="5"/>
        <v/>
      </c>
      <c r="G73" s="22" t="str">
        <f t="shared" si="17"/>
        <v/>
      </c>
      <c r="H73" t="str">
        <f t="shared" si="18"/>
        <v/>
      </c>
      <c r="I73" s="5" t="str">
        <f>IF($H73&lt;&gt;"",IF($D73="",DATE(YEAR($J$7),MONTH($J$7)+($A$1*($E73-1))+SUM($B$12:$B73),DAY($J$7)),$D73),"")</f>
        <v/>
      </c>
      <c r="J73" s="9" t="str">
        <f t="shared" si="7"/>
        <v/>
      </c>
      <c r="K73" s="3" t="str">
        <f t="shared" si="8"/>
        <v/>
      </c>
      <c r="L73" s="3" t="str">
        <f t="shared" si="19"/>
        <v/>
      </c>
      <c r="M73" s="3" t="str">
        <f t="shared" si="9"/>
        <v/>
      </c>
      <c r="N73" s="3" t="str">
        <f t="shared" si="10"/>
        <v/>
      </c>
      <c r="O73" s="8" t="str">
        <f t="shared" si="11"/>
        <v/>
      </c>
      <c r="P73" s="8" t="str">
        <f t="shared" si="12"/>
        <v/>
      </c>
      <c r="Q73" s="3" t="str">
        <f t="shared" si="13"/>
        <v/>
      </c>
      <c r="R73" s="3" t="str">
        <f t="shared" si="14"/>
        <v/>
      </c>
      <c r="S73" s="3" t="str">
        <f t="shared" si="15"/>
        <v/>
      </c>
      <c r="T73" s="3" t="str">
        <f t="shared" si="20"/>
        <v/>
      </c>
      <c r="U73" s="3" t="str">
        <f t="shared" si="4"/>
        <v/>
      </c>
      <c r="V73" s="3" t="str">
        <f>IF($H73&lt;&gt;"",IF($J73&gt;U$11,IF($J73&lt;V$11,$J73-U$11,30),0)*ROUND(($K73+$S72+SUM($U73:U73))*$Q$5/3000,2),"")</f>
        <v/>
      </c>
      <c r="W73" s="3"/>
      <c r="X73" s="3"/>
    </row>
    <row r="74" spans="4:24" x14ac:dyDescent="0.25">
      <c r="D74" s="5"/>
      <c r="E74" s="22" t="str">
        <f t="shared" si="16"/>
        <v/>
      </c>
      <c r="F74" s="22" t="str">
        <f t="shared" si="5"/>
        <v/>
      </c>
      <c r="G74" s="22" t="str">
        <f t="shared" si="17"/>
        <v/>
      </c>
      <c r="H74" t="str">
        <f t="shared" si="18"/>
        <v/>
      </c>
      <c r="I74" s="5" t="str">
        <f>IF($H74&lt;&gt;"",IF($D74="",DATE(YEAR($J$7),MONTH($J$7)+($A$1*($E74-1))+SUM($B$12:$B74),DAY($J$7)),$D74),"")</f>
        <v/>
      </c>
      <c r="J74" s="9" t="str">
        <f t="shared" si="7"/>
        <v/>
      </c>
      <c r="K74" s="3" t="str">
        <f t="shared" si="8"/>
        <v/>
      </c>
      <c r="L74" s="3" t="str">
        <f t="shared" si="19"/>
        <v/>
      </c>
      <c r="M74" s="3" t="str">
        <f t="shared" si="9"/>
        <v/>
      </c>
      <c r="N74" s="3" t="str">
        <f t="shared" si="10"/>
        <v/>
      </c>
      <c r="O74" s="8" t="str">
        <f t="shared" si="11"/>
        <v/>
      </c>
      <c r="P74" s="8" t="str">
        <f t="shared" si="12"/>
        <v/>
      </c>
      <c r="Q74" s="3" t="str">
        <f t="shared" si="13"/>
        <v/>
      </c>
      <c r="R74" s="3" t="str">
        <f t="shared" si="14"/>
        <v/>
      </c>
      <c r="S74" s="3" t="str">
        <f t="shared" si="15"/>
        <v/>
      </c>
      <c r="T74" s="3" t="str">
        <f t="shared" si="20"/>
        <v/>
      </c>
      <c r="U74" s="3" t="str">
        <f t="shared" si="4"/>
        <v/>
      </c>
      <c r="V74" s="3" t="str">
        <f>IF($H74&lt;&gt;"",IF($J74&gt;U$11,IF($J74&lt;V$11,$J74-U$11,30),0)*ROUND(($K74+$S73+SUM($U74:U74))*$Q$5/3000,2),"")</f>
        <v/>
      </c>
      <c r="W74" s="3"/>
      <c r="X74" s="3"/>
    </row>
    <row r="75" spans="4:24" x14ac:dyDescent="0.25">
      <c r="D75" s="5"/>
      <c r="E75" s="22" t="str">
        <f t="shared" si="16"/>
        <v/>
      </c>
      <c r="F75" s="22" t="str">
        <f t="shared" si="5"/>
        <v/>
      </c>
      <c r="G75" s="22" t="str">
        <f t="shared" si="17"/>
        <v/>
      </c>
      <c r="H75" t="str">
        <f t="shared" si="18"/>
        <v/>
      </c>
      <c r="I75" s="5" t="str">
        <f>IF($H75&lt;&gt;"",IF($D75="",DATE(YEAR($J$7),MONTH($J$7)+($A$1*($E75-1))+SUM($B$12:$B75),DAY($J$7)),$D75),"")</f>
        <v/>
      </c>
      <c r="J75" s="9" t="str">
        <f t="shared" si="7"/>
        <v/>
      </c>
      <c r="K75" s="3" t="str">
        <f t="shared" si="8"/>
        <v/>
      </c>
      <c r="L75" s="3" t="str">
        <f t="shared" si="19"/>
        <v/>
      </c>
      <c r="M75" s="3" t="str">
        <f t="shared" si="9"/>
        <v/>
      </c>
      <c r="N75" s="3" t="str">
        <f t="shared" si="10"/>
        <v/>
      </c>
      <c r="O75" s="8" t="str">
        <f t="shared" si="11"/>
        <v/>
      </c>
      <c r="P75" s="8" t="str">
        <f t="shared" si="12"/>
        <v/>
      </c>
      <c r="Q75" s="3" t="str">
        <f t="shared" si="13"/>
        <v/>
      </c>
      <c r="R75" s="3" t="str">
        <f t="shared" si="14"/>
        <v/>
      </c>
      <c r="S75" s="3" t="str">
        <f t="shared" si="15"/>
        <v/>
      </c>
      <c r="T75" s="3" t="str">
        <f t="shared" si="20"/>
        <v/>
      </c>
      <c r="U75" s="3" t="str">
        <f t="shared" si="4"/>
        <v/>
      </c>
      <c r="V75" s="3" t="str">
        <f>IF($H75&lt;&gt;"",IF($J75&gt;U$11,IF($J75&lt;V$11,$J75-U$11,30),0)*ROUND(($K75+$S74+SUM($U75:U75))*$Q$5/3000,2),"")</f>
        <v/>
      </c>
      <c r="W75" s="3"/>
      <c r="X75" s="3"/>
    </row>
    <row r="76" spans="4:24" x14ac:dyDescent="0.25">
      <c r="D76" s="5"/>
      <c r="E76" s="22" t="str">
        <f t="shared" ref="E76:E107" si="21">IF($H76&lt;&gt;"",IF($A76="Prepago",$E75,$E75+1),"")</f>
        <v/>
      </c>
      <c r="F76" s="22" t="str">
        <f t="shared" si="5"/>
        <v/>
      </c>
      <c r="G76" s="22" t="str">
        <f t="shared" ref="G76:G107" si="22">IF(H76&lt;&gt;"",IF(COUNTA($U76:$XFD76)*30&lt;$J76,1,0),"")</f>
        <v/>
      </c>
      <c r="H76" t="str">
        <f t="shared" ref="H76:H107" si="23">IF($H75&lt;NCUOTAS+CUOTAADICIONAL+PGRACIA,$H75+1,"")</f>
        <v/>
      </c>
      <c r="I76" s="5" t="str">
        <f>IF($H76&lt;&gt;"",IF($D76="",DATE(YEAR($J$7),MONTH($J$7)+($A$1*($E76-1))+SUM($B$12:$B76),DAY($J$7)),$D76),"")</f>
        <v/>
      </c>
      <c r="J76" s="9" t="str">
        <f t="shared" si="7"/>
        <v/>
      </c>
      <c r="K76" s="3" t="str">
        <f t="shared" si="8"/>
        <v/>
      </c>
      <c r="L76" s="3" t="str">
        <f t="shared" ref="L76:L107" si="24">IF($H76&lt;&gt;"",IF($A76="Gracia Parcial",$T76+$O76+$P76+$Q76,IF($A76="Gracia Total",0,IF($A76="Prepago",$C76,IF(ISNUMBER($C76),$C76*VALUE(MID($C$1,MONTH($I76),1)),$M$6*VALUE(MID($C$1,MONTH($I76),1))))))-IF($H77="",ARREGLO,0),"")</f>
        <v/>
      </c>
      <c r="M76" s="3" t="str">
        <f t="shared" si="9"/>
        <v/>
      </c>
      <c r="N76" s="3" t="str">
        <f t="shared" si="10"/>
        <v/>
      </c>
      <c r="O76" s="8" t="str">
        <f t="shared" si="11"/>
        <v/>
      </c>
      <c r="P76" s="8" t="str">
        <f t="shared" si="12"/>
        <v/>
      </c>
      <c r="Q76" s="3" t="str">
        <f t="shared" si="13"/>
        <v/>
      </c>
      <c r="R76" s="3" t="str">
        <f t="shared" si="14"/>
        <v/>
      </c>
      <c r="S76" s="3" t="str">
        <f t="shared" si="15"/>
        <v/>
      </c>
      <c r="T76" s="3" t="str">
        <f t="shared" ref="T76:T107" si="25">IF($H76&lt;&gt;"",SUM($U76:$XFD76),"")</f>
        <v/>
      </c>
      <c r="U76" s="3" t="str">
        <f t="shared" ref="U76:U139" si="26">IF($H76&lt;&gt;"",IF($J76&gt;U$11,30,$J76)*ROUND(($K76+$S75)*$Q$5/3000,2),"")</f>
        <v/>
      </c>
      <c r="V76" s="3" t="str">
        <f>IF($H76&lt;&gt;"",IF($J76&gt;U$11,IF($J76&lt;V$11,$J76-U$11,30),0)*ROUND(($K76+$S75+SUM($U76:U76))*$Q$5/3000,2),"")</f>
        <v/>
      </c>
      <c r="W76" s="3"/>
      <c r="X76" s="3"/>
    </row>
    <row r="77" spans="4:24" x14ac:dyDescent="0.25">
      <c r="D77" s="5"/>
      <c r="E77" s="22" t="str">
        <f t="shared" si="21"/>
        <v/>
      </c>
      <c r="F77" s="22" t="str">
        <f t="shared" ref="F77:F140" si="27">IF($H77&lt;&gt;"",IF(ISNUMBER($C77),-$M77+$T77-$N77,ABS($T77)+$O77+$P77+$Q77),"")</f>
        <v/>
      </c>
      <c r="G77" s="22" t="str">
        <f t="shared" si="22"/>
        <v/>
      </c>
      <c r="H77" t="str">
        <f t="shared" si="23"/>
        <v/>
      </c>
      <c r="I77" s="5" t="str">
        <f>IF($H77&lt;&gt;"",IF($D77="",DATE(YEAR($J$7),MONTH($J$7)+($A$1*($E77-1))+SUM($B$12:$B77),DAY($J$7)),$D77),"")</f>
        <v/>
      </c>
      <c r="J77" s="9" t="str">
        <f t="shared" ref="J77:J140" si="28">IF($H77&lt;&gt;"",$I77-$I76,"")</f>
        <v/>
      </c>
      <c r="K77" s="3" t="str">
        <f t="shared" ref="K77:K140" si="29">IF($H77&lt;&gt;"",$R76,"")</f>
        <v/>
      </c>
      <c r="L77" s="3" t="str">
        <f t="shared" si="24"/>
        <v/>
      </c>
      <c r="M77" s="3" t="str">
        <f t="shared" ref="M77:M140" si="30">IF($H77&lt;&gt;"",IF($L77-$N77&gt;0,$L77-$N77-$O77-$P77-$Q77,0),"")</f>
        <v/>
      </c>
      <c r="N77" s="3" t="str">
        <f t="shared" ref="N77:N140" si="31">IF($H77&lt;&gt;"",IF($L77&gt;=$T77+$S76+$O77+$P77+$Q77,$T77+$S76,$L77-$O77-$P77-$Q77),"")</f>
        <v/>
      </c>
      <c r="O77" s="8" t="str">
        <f t="shared" ref="O77:O140" si="32">IF($H77&lt;&gt;"",IF($A77="Prepago",0,$P$6+$P$6*$B77),"")</f>
        <v/>
      </c>
      <c r="P77" s="8" t="str">
        <f t="shared" ref="P77:P140" si="33">IF($H77&lt;&gt;"",IF($A77="Prepago",0,$P$7+$P$7*$B77),"")</f>
        <v/>
      </c>
      <c r="Q77" s="3" t="str">
        <f t="shared" ref="Q77:Q140" si="34">IF($H77&lt;&gt;"",IF($A77="Prepago",0,$P$8+$P$8*$B77),"")</f>
        <v/>
      </c>
      <c r="R77" s="3" t="str">
        <f t="shared" ref="R77:R140" si="35">IF($H77&lt;&gt;"",$K77-$M77,"")</f>
        <v/>
      </c>
      <c r="S77" s="3" t="str">
        <f t="shared" ref="S77:S140" si="36">IF($H77&lt;&gt;"",+$S76+SUM($U77:$CC77)-$N77,"")</f>
        <v/>
      </c>
      <c r="T77" s="3" t="str">
        <f t="shared" si="25"/>
        <v/>
      </c>
      <c r="U77" s="3" t="str">
        <f t="shared" si="26"/>
        <v/>
      </c>
      <c r="V77" s="3" t="str">
        <f>IF($H77&lt;&gt;"",IF($J77&gt;U$11,IF($J77&lt;V$11,$J77-U$11,30),0)*ROUND(($K77+$S76+SUM($U77:U77))*$Q$5/3000,2),"")</f>
        <v/>
      </c>
      <c r="W77" s="3"/>
      <c r="X77" s="3"/>
    </row>
    <row r="78" spans="4:24" x14ac:dyDescent="0.25">
      <c r="D78" s="5"/>
      <c r="E78" s="22" t="str">
        <f t="shared" si="21"/>
        <v/>
      </c>
      <c r="F78" s="22" t="str">
        <f t="shared" si="27"/>
        <v/>
      </c>
      <c r="G78" s="22" t="str">
        <f t="shared" si="22"/>
        <v/>
      </c>
      <c r="H78" t="str">
        <f t="shared" si="23"/>
        <v/>
      </c>
      <c r="I78" s="5" t="str">
        <f>IF($H78&lt;&gt;"",IF($D78="",DATE(YEAR($J$7),MONTH($J$7)+($A$1*($E78-1))+SUM($B$12:$B78),DAY($J$7)),$D78),"")</f>
        <v/>
      </c>
      <c r="J78" s="9" t="str">
        <f t="shared" si="28"/>
        <v/>
      </c>
      <c r="K78" s="3" t="str">
        <f t="shared" si="29"/>
        <v/>
      </c>
      <c r="L78" s="3" t="str">
        <f t="shared" si="24"/>
        <v/>
      </c>
      <c r="M78" s="3" t="str">
        <f t="shared" si="30"/>
        <v/>
      </c>
      <c r="N78" s="3" t="str">
        <f t="shared" si="31"/>
        <v/>
      </c>
      <c r="O78" s="8" t="str">
        <f t="shared" si="32"/>
        <v/>
      </c>
      <c r="P78" s="8" t="str">
        <f t="shared" si="33"/>
        <v/>
      </c>
      <c r="Q78" s="3" t="str">
        <f t="shared" si="34"/>
        <v/>
      </c>
      <c r="R78" s="3" t="str">
        <f t="shared" si="35"/>
        <v/>
      </c>
      <c r="S78" s="3" t="str">
        <f t="shared" si="36"/>
        <v/>
      </c>
      <c r="T78" s="3" t="str">
        <f t="shared" si="25"/>
        <v/>
      </c>
      <c r="U78" s="3" t="str">
        <f t="shared" si="26"/>
        <v/>
      </c>
      <c r="V78" s="3" t="str">
        <f>IF($H78&lt;&gt;"",IF($J78&gt;U$11,IF($J78&lt;V$11,$J78-U$11,30),0)*ROUND(($K78+$S77+SUM($U78:U78))*$Q$5/3000,2),"")</f>
        <v/>
      </c>
      <c r="W78" s="3"/>
      <c r="X78" s="3"/>
    </row>
    <row r="79" spans="4:24" x14ac:dyDescent="0.25">
      <c r="D79" s="5"/>
      <c r="E79" s="22" t="str">
        <f t="shared" si="21"/>
        <v/>
      </c>
      <c r="F79" s="22" t="str">
        <f t="shared" si="27"/>
        <v/>
      </c>
      <c r="G79" s="22" t="str">
        <f t="shared" si="22"/>
        <v/>
      </c>
      <c r="H79" t="str">
        <f t="shared" si="23"/>
        <v/>
      </c>
      <c r="I79" s="5" t="str">
        <f>IF($H79&lt;&gt;"",IF($D79="",DATE(YEAR($J$7),MONTH($J$7)+($A$1*($E79-1))+SUM($B$12:$B79),DAY($J$7)),$D79),"")</f>
        <v/>
      </c>
      <c r="J79" s="9" t="str">
        <f t="shared" si="28"/>
        <v/>
      </c>
      <c r="K79" s="3" t="str">
        <f t="shared" si="29"/>
        <v/>
      </c>
      <c r="L79" s="3" t="str">
        <f t="shared" si="24"/>
        <v/>
      </c>
      <c r="M79" s="3" t="str">
        <f t="shared" si="30"/>
        <v/>
      </c>
      <c r="N79" s="3" t="str">
        <f t="shared" si="31"/>
        <v/>
      </c>
      <c r="O79" s="8" t="str">
        <f t="shared" si="32"/>
        <v/>
      </c>
      <c r="P79" s="8" t="str">
        <f t="shared" si="33"/>
        <v/>
      </c>
      <c r="Q79" s="3" t="str">
        <f t="shared" si="34"/>
        <v/>
      </c>
      <c r="R79" s="3" t="str">
        <f t="shared" si="35"/>
        <v/>
      </c>
      <c r="S79" s="3" t="str">
        <f t="shared" si="36"/>
        <v/>
      </c>
      <c r="T79" s="3" t="str">
        <f t="shared" si="25"/>
        <v/>
      </c>
      <c r="U79" s="3" t="str">
        <f t="shared" si="26"/>
        <v/>
      </c>
      <c r="V79" s="3" t="str">
        <f>IF($H79&lt;&gt;"",IF($J79&gt;U$11,IF($J79&lt;V$11,$J79-U$11,30),0)*ROUND(($K79+$S78+SUM($U79:U79))*$Q$5/3000,2),"")</f>
        <v/>
      </c>
      <c r="W79" s="3"/>
      <c r="X79" s="3"/>
    </row>
    <row r="80" spans="4:24" x14ac:dyDescent="0.25">
      <c r="D80" s="5"/>
      <c r="E80" s="22" t="str">
        <f t="shared" si="21"/>
        <v/>
      </c>
      <c r="F80" s="22" t="str">
        <f t="shared" si="27"/>
        <v/>
      </c>
      <c r="G80" s="22" t="str">
        <f t="shared" si="22"/>
        <v/>
      </c>
      <c r="H80" t="str">
        <f t="shared" si="23"/>
        <v/>
      </c>
      <c r="I80" s="5" t="str">
        <f>IF($H80&lt;&gt;"",IF($D80="",DATE(YEAR($J$7),MONTH($J$7)+($A$1*($E80-1))+SUM($B$12:$B80),DAY($J$7)),$D80),"")</f>
        <v/>
      </c>
      <c r="J80" s="9" t="str">
        <f t="shared" si="28"/>
        <v/>
      </c>
      <c r="K80" s="3" t="str">
        <f t="shared" si="29"/>
        <v/>
      </c>
      <c r="L80" s="3" t="str">
        <f t="shared" si="24"/>
        <v/>
      </c>
      <c r="M80" s="3" t="str">
        <f t="shared" si="30"/>
        <v/>
      </c>
      <c r="N80" s="3" t="str">
        <f t="shared" si="31"/>
        <v/>
      </c>
      <c r="O80" s="8" t="str">
        <f t="shared" si="32"/>
        <v/>
      </c>
      <c r="P80" s="8" t="str">
        <f t="shared" si="33"/>
        <v/>
      </c>
      <c r="Q80" s="3" t="str">
        <f t="shared" si="34"/>
        <v/>
      </c>
      <c r="R80" s="3" t="str">
        <f t="shared" si="35"/>
        <v/>
      </c>
      <c r="S80" s="3" t="str">
        <f t="shared" si="36"/>
        <v/>
      </c>
      <c r="T80" s="3" t="str">
        <f t="shared" si="25"/>
        <v/>
      </c>
      <c r="U80" s="3" t="str">
        <f t="shared" si="26"/>
        <v/>
      </c>
      <c r="V80" s="3" t="str">
        <f>IF($H80&lt;&gt;"",IF($J80&gt;U$11,IF($J80&lt;V$11,$J80-U$11,30),0)*ROUND(($K80+$S79+SUM($U80:U80))*$Q$5/3000,2),"")</f>
        <v/>
      </c>
      <c r="W80" s="3"/>
      <c r="X80" s="3"/>
    </row>
    <row r="81" spans="4:24" x14ac:dyDescent="0.25">
      <c r="D81" s="5"/>
      <c r="E81" s="22" t="str">
        <f t="shared" si="21"/>
        <v/>
      </c>
      <c r="F81" s="22" t="str">
        <f t="shared" si="27"/>
        <v/>
      </c>
      <c r="G81" s="22" t="str">
        <f t="shared" si="22"/>
        <v/>
      </c>
      <c r="H81" t="str">
        <f t="shared" si="23"/>
        <v/>
      </c>
      <c r="I81" s="5" t="str">
        <f>IF($H81&lt;&gt;"",IF($D81="",DATE(YEAR($J$7),MONTH($J$7)+($A$1*($E81-1))+SUM($B$12:$B81),DAY($J$7)),$D81),"")</f>
        <v/>
      </c>
      <c r="J81" s="9" t="str">
        <f t="shared" si="28"/>
        <v/>
      </c>
      <c r="K81" s="3" t="str">
        <f t="shared" si="29"/>
        <v/>
      </c>
      <c r="L81" s="3" t="str">
        <f t="shared" si="24"/>
        <v/>
      </c>
      <c r="M81" s="3" t="str">
        <f t="shared" si="30"/>
        <v/>
      </c>
      <c r="N81" s="3" t="str">
        <f t="shared" si="31"/>
        <v/>
      </c>
      <c r="O81" s="8" t="str">
        <f t="shared" si="32"/>
        <v/>
      </c>
      <c r="P81" s="8" t="str">
        <f t="shared" si="33"/>
        <v/>
      </c>
      <c r="Q81" s="3" t="str">
        <f t="shared" si="34"/>
        <v/>
      </c>
      <c r="R81" s="3" t="str">
        <f t="shared" si="35"/>
        <v/>
      </c>
      <c r="S81" s="3" t="str">
        <f t="shared" si="36"/>
        <v/>
      </c>
      <c r="T81" s="3" t="str">
        <f t="shared" si="25"/>
        <v/>
      </c>
      <c r="U81" s="3" t="str">
        <f t="shared" si="26"/>
        <v/>
      </c>
      <c r="V81" s="3" t="str">
        <f>IF($H81&lt;&gt;"",IF($J81&gt;U$11,IF($J81&lt;V$11,$J81-U$11,30),0)*ROUND(($K81+$S80+SUM($U81:U81))*$Q$5/3000,2),"")</f>
        <v/>
      </c>
      <c r="W81" s="3"/>
      <c r="X81" s="3"/>
    </row>
    <row r="82" spans="4:24" x14ac:dyDescent="0.25">
      <c r="D82" s="5"/>
      <c r="E82" s="22" t="str">
        <f t="shared" si="21"/>
        <v/>
      </c>
      <c r="F82" s="22" t="str">
        <f t="shared" si="27"/>
        <v/>
      </c>
      <c r="G82" s="22" t="str">
        <f t="shared" si="22"/>
        <v/>
      </c>
      <c r="H82" t="str">
        <f t="shared" si="23"/>
        <v/>
      </c>
      <c r="I82" s="5" t="str">
        <f>IF($H82&lt;&gt;"",IF($D82="",DATE(YEAR($J$7),MONTH($J$7)+($A$1*($E82-1))+SUM($B$12:$B82),DAY($J$7)),$D82),"")</f>
        <v/>
      </c>
      <c r="J82" s="9" t="str">
        <f t="shared" si="28"/>
        <v/>
      </c>
      <c r="K82" s="3" t="str">
        <f t="shared" si="29"/>
        <v/>
      </c>
      <c r="L82" s="3" t="str">
        <f t="shared" si="24"/>
        <v/>
      </c>
      <c r="M82" s="3" t="str">
        <f t="shared" si="30"/>
        <v/>
      </c>
      <c r="N82" s="3" t="str">
        <f t="shared" si="31"/>
        <v/>
      </c>
      <c r="O82" s="8" t="str">
        <f t="shared" si="32"/>
        <v/>
      </c>
      <c r="P82" s="8" t="str">
        <f t="shared" si="33"/>
        <v/>
      </c>
      <c r="Q82" s="3" t="str">
        <f t="shared" si="34"/>
        <v/>
      </c>
      <c r="R82" s="3" t="str">
        <f t="shared" si="35"/>
        <v/>
      </c>
      <c r="S82" s="3" t="str">
        <f t="shared" si="36"/>
        <v/>
      </c>
      <c r="T82" s="3" t="str">
        <f t="shared" si="25"/>
        <v/>
      </c>
      <c r="U82" s="3" t="str">
        <f t="shared" si="26"/>
        <v/>
      </c>
      <c r="V82" s="3" t="str">
        <f>IF($H82&lt;&gt;"",IF($J82&gt;U$11,IF($J82&lt;V$11,$J82-U$11,30),0)*ROUND(($K82+$S81+SUM($U82:U82))*$Q$5/3000,2),"")</f>
        <v/>
      </c>
      <c r="W82" s="3"/>
      <c r="X82" s="3"/>
    </row>
    <row r="83" spans="4:24" x14ac:dyDescent="0.25">
      <c r="D83" s="5"/>
      <c r="E83" s="22" t="str">
        <f t="shared" si="21"/>
        <v/>
      </c>
      <c r="F83" s="22" t="str">
        <f t="shared" si="27"/>
        <v/>
      </c>
      <c r="G83" s="22" t="str">
        <f t="shared" si="22"/>
        <v/>
      </c>
      <c r="H83" t="str">
        <f t="shared" si="23"/>
        <v/>
      </c>
      <c r="I83" s="5" t="str">
        <f>IF($H83&lt;&gt;"",IF($D83="",DATE(YEAR($J$7),MONTH($J$7)+($A$1*($E83-1))+SUM($B$12:$B83),DAY($J$7)),$D83),"")</f>
        <v/>
      </c>
      <c r="J83" s="9" t="str">
        <f t="shared" si="28"/>
        <v/>
      </c>
      <c r="K83" s="3" t="str">
        <f t="shared" si="29"/>
        <v/>
      </c>
      <c r="L83" s="3" t="str">
        <f t="shared" si="24"/>
        <v/>
      </c>
      <c r="M83" s="3" t="str">
        <f t="shared" si="30"/>
        <v/>
      </c>
      <c r="N83" s="3" t="str">
        <f t="shared" si="31"/>
        <v/>
      </c>
      <c r="O83" s="8" t="str">
        <f t="shared" si="32"/>
        <v/>
      </c>
      <c r="P83" s="8" t="str">
        <f t="shared" si="33"/>
        <v/>
      </c>
      <c r="Q83" s="3" t="str">
        <f t="shared" si="34"/>
        <v/>
      </c>
      <c r="R83" s="3" t="str">
        <f t="shared" si="35"/>
        <v/>
      </c>
      <c r="S83" s="3" t="str">
        <f t="shared" si="36"/>
        <v/>
      </c>
      <c r="T83" s="3" t="str">
        <f t="shared" si="25"/>
        <v/>
      </c>
      <c r="U83" s="3" t="str">
        <f t="shared" si="26"/>
        <v/>
      </c>
      <c r="V83" s="3" t="str">
        <f>IF($H83&lt;&gt;"",IF($J83&gt;U$11,IF($J83&lt;V$11,$J83-U$11,30),0)*ROUND(($K83+$S82+SUM($U83:U83))*$Q$5/3000,2),"")</f>
        <v/>
      </c>
      <c r="W83" s="3"/>
      <c r="X83" s="3"/>
    </row>
    <row r="84" spans="4:24" x14ac:dyDescent="0.25">
      <c r="D84" s="5"/>
      <c r="E84" s="22" t="str">
        <f t="shared" si="21"/>
        <v/>
      </c>
      <c r="F84" s="22" t="str">
        <f t="shared" si="27"/>
        <v/>
      </c>
      <c r="G84" s="22" t="str">
        <f t="shared" si="22"/>
        <v/>
      </c>
      <c r="H84" t="str">
        <f t="shared" si="23"/>
        <v/>
      </c>
      <c r="I84" s="5" t="str">
        <f>IF($H84&lt;&gt;"",IF($D84="",DATE(YEAR($J$7),MONTH($J$7)+($A$1*($E84-1))+SUM($B$12:$B84),DAY($J$7)),$D84),"")</f>
        <v/>
      </c>
      <c r="J84" s="9" t="str">
        <f t="shared" si="28"/>
        <v/>
      </c>
      <c r="K84" s="3" t="str">
        <f t="shared" si="29"/>
        <v/>
      </c>
      <c r="L84" s="3" t="str">
        <f t="shared" si="24"/>
        <v/>
      </c>
      <c r="M84" s="3" t="str">
        <f t="shared" si="30"/>
        <v/>
      </c>
      <c r="N84" s="3" t="str">
        <f t="shared" si="31"/>
        <v/>
      </c>
      <c r="O84" s="8" t="str">
        <f t="shared" si="32"/>
        <v/>
      </c>
      <c r="P84" s="8" t="str">
        <f t="shared" si="33"/>
        <v/>
      </c>
      <c r="Q84" s="3" t="str">
        <f t="shared" si="34"/>
        <v/>
      </c>
      <c r="R84" s="3" t="str">
        <f t="shared" si="35"/>
        <v/>
      </c>
      <c r="S84" s="3" t="str">
        <f t="shared" si="36"/>
        <v/>
      </c>
      <c r="T84" s="3" t="str">
        <f t="shared" si="25"/>
        <v/>
      </c>
      <c r="U84" s="3" t="str">
        <f t="shared" si="26"/>
        <v/>
      </c>
      <c r="V84" s="3" t="str">
        <f>IF($H84&lt;&gt;"",IF($J84&gt;U$11,IF($J84&lt;V$11,$J84-U$11,30),0)*ROUND(($K84+$S83+SUM($U84:U84))*$Q$5/3000,2),"")</f>
        <v/>
      </c>
      <c r="W84" s="3"/>
      <c r="X84" s="3"/>
    </row>
    <row r="85" spans="4:24" x14ac:dyDescent="0.25">
      <c r="D85" s="5"/>
      <c r="E85" s="22" t="str">
        <f t="shared" si="21"/>
        <v/>
      </c>
      <c r="F85" s="22" t="str">
        <f t="shared" si="27"/>
        <v/>
      </c>
      <c r="G85" s="22" t="str">
        <f t="shared" si="22"/>
        <v/>
      </c>
      <c r="H85" t="str">
        <f t="shared" si="23"/>
        <v/>
      </c>
      <c r="I85" s="5" t="str">
        <f>IF($H85&lt;&gt;"",IF($D85="",DATE(YEAR($J$7),MONTH($J$7)+($A$1*($E85-1))+SUM($B$12:$B85),DAY($J$7)),$D85),"")</f>
        <v/>
      </c>
      <c r="J85" s="9" t="str">
        <f t="shared" si="28"/>
        <v/>
      </c>
      <c r="K85" s="3" t="str">
        <f t="shared" si="29"/>
        <v/>
      </c>
      <c r="L85" s="3" t="str">
        <f t="shared" si="24"/>
        <v/>
      </c>
      <c r="M85" s="3" t="str">
        <f t="shared" si="30"/>
        <v/>
      </c>
      <c r="N85" s="3" t="str">
        <f t="shared" si="31"/>
        <v/>
      </c>
      <c r="O85" s="8" t="str">
        <f t="shared" si="32"/>
        <v/>
      </c>
      <c r="P85" s="8" t="str">
        <f t="shared" si="33"/>
        <v/>
      </c>
      <c r="Q85" s="3" t="str">
        <f t="shared" si="34"/>
        <v/>
      </c>
      <c r="R85" s="3" t="str">
        <f t="shared" si="35"/>
        <v/>
      </c>
      <c r="S85" s="3" t="str">
        <f t="shared" si="36"/>
        <v/>
      </c>
      <c r="T85" s="3" t="str">
        <f t="shared" si="25"/>
        <v/>
      </c>
      <c r="U85" s="3" t="str">
        <f t="shared" si="26"/>
        <v/>
      </c>
      <c r="V85" s="3" t="str">
        <f>IF($H85&lt;&gt;"",IF($J85&gt;U$11,IF($J85&lt;V$11,$J85-U$11,30),0)*ROUND(($K85+$S84+SUM($U85:U85))*$Q$5/3000,2),"")</f>
        <v/>
      </c>
      <c r="W85" s="3"/>
      <c r="X85" s="3"/>
    </row>
    <row r="86" spans="4:24" x14ac:dyDescent="0.25">
      <c r="D86" s="5"/>
      <c r="E86" s="22" t="str">
        <f t="shared" si="21"/>
        <v/>
      </c>
      <c r="F86" s="22" t="str">
        <f t="shared" si="27"/>
        <v/>
      </c>
      <c r="G86" s="22" t="str">
        <f t="shared" si="22"/>
        <v/>
      </c>
      <c r="H86" t="str">
        <f t="shared" si="23"/>
        <v/>
      </c>
      <c r="I86" s="5" t="str">
        <f>IF($H86&lt;&gt;"",IF($D86="",DATE(YEAR($J$7),MONTH($J$7)+($A$1*($E86-1))+SUM($B$12:$B86),DAY($J$7)),$D86),"")</f>
        <v/>
      </c>
      <c r="J86" s="9" t="str">
        <f t="shared" si="28"/>
        <v/>
      </c>
      <c r="K86" s="3" t="str">
        <f t="shared" si="29"/>
        <v/>
      </c>
      <c r="L86" s="3" t="str">
        <f t="shared" si="24"/>
        <v/>
      </c>
      <c r="M86" s="3" t="str">
        <f t="shared" si="30"/>
        <v/>
      </c>
      <c r="N86" s="3" t="str">
        <f t="shared" si="31"/>
        <v/>
      </c>
      <c r="O86" s="8" t="str">
        <f t="shared" si="32"/>
        <v/>
      </c>
      <c r="P86" s="8" t="str">
        <f t="shared" si="33"/>
        <v/>
      </c>
      <c r="Q86" s="3" t="str">
        <f t="shared" si="34"/>
        <v/>
      </c>
      <c r="R86" s="3" t="str">
        <f t="shared" si="35"/>
        <v/>
      </c>
      <c r="S86" s="3" t="str">
        <f t="shared" si="36"/>
        <v/>
      </c>
      <c r="T86" s="3" t="str">
        <f t="shared" si="25"/>
        <v/>
      </c>
      <c r="U86" s="3" t="str">
        <f t="shared" si="26"/>
        <v/>
      </c>
      <c r="V86" s="3" t="str">
        <f>IF($H86&lt;&gt;"",IF($J86&gt;U$11,IF($J86&lt;V$11,$J86-U$11,30),0)*ROUND(($K86+$S85+SUM($U86:U86))*$Q$5/3000,2),"")</f>
        <v/>
      </c>
      <c r="W86" s="3"/>
      <c r="X86" s="3"/>
    </row>
    <row r="87" spans="4:24" x14ac:dyDescent="0.25">
      <c r="D87" s="5"/>
      <c r="E87" s="22" t="str">
        <f t="shared" si="21"/>
        <v/>
      </c>
      <c r="F87" s="22" t="str">
        <f t="shared" si="27"/>
        <v/>
      </c>
      <c r="G87" s="22" t="str">
        <f t="shared" si="22"/>
        <v/>
      </c>
      <c r="H87" t="str">
        <f t="shared" si="23"/>
        <v/>
      </c>
      <c r="I87" s="5" t="str">
        <f>IF($H87&lt;&gt;"",IF($D87="",DATE(YEAR($J$7),MONTH($J$7)+($A$1*($E87-1))+SUM($B$12:$B87),DAY($J$7)),$D87),"")</f>
        <v/>
      </c>
      <c r="J87" s="9" t="str">
        <f t="shared" si="28"/>
        <v/>
      </c>
      <c r="K87" s="3" t="str">
        <f t="shared" si="29"/>
        <v/>
      </c>
      <c r="L87" s="3" t="str">
        <f t="shared" si="24"/>
        <v/>
      </c>
      <c r="M87" s="3" t="str">
        <f t="shared" si="30"/>
        <v/>
      </c>
      <c r="N87" s="3" t="str">
        <f t="shared" si="31"/>
        <v/>
      </c>
      <c r="O87" s="8" t="str">
        <f t="shared" si="32"/>
        <v/>
      </c>
      <c r="P87" s="8" t="str">
        <f t="shared" si="33"/>
        <v/>
      </c>
      <c r="Q87" s="3" t="str">
        <f t="shared" si="34"/>
        <v/>
      </c>
      <c r="R87" s="3" t="str">
        <f t="shared" si="35"/>
        <v/>
      </c>
      <c r="S87" s="3" t="str">
        <f t="shared" si="36"/>
        <v/>
      </c>
      <c r="T87" s="3" t="str">
        <f t="shared" si="25"/>
        <v/>
      </c>
      <c r="U87" s="3" t="str">
        <f t="shared" si="26"/>
        <v/>
      </c>
      <c r="V87" s="3" t="str">
        <f>IF($H87&lt;&gt;"",IF($J87&gt;U$11,IF($J87&lt;V$11,$J87-U$11,30),0)*ROUND(($K87+$S86+SUM($U87:U87))*$Q$5/3000,2),"")</f>
        <v/>
      </c>
      <c r="W87" s="3"/>
      <c r="X87" s="3"/>
    </row>
    <row r="88" spans="4:24" x14ac:dyDescent="0.25">
      <c r="D88" s="5"/>
      <c r="E88" s="22" t="str">
        <f t="shared" si="21"/>
        <v/>
      </c>
      <c r="F88" s="22" t="str">
        <f t="shared" si="27"/>
        <v/>
      </c>
      <c r="G88" s="22" t="str">
        <f t="shared" si="22"/>
        <v/>
      </c>
      <c r="H88" t="str">
        <f t="shared" si="23"/>
        <v/>
      </c>
      <c r="I88" s="5" t="str">
        <f>IF($H88&lt;&gt;"",IF($D88="",DATE(YEAR($J$7),MONTH($J$7)+($A$1*($E88-1))+SUM($B$12:$B88),DAY($J$7)),$D88),"")</f>
        <v/>
      </c>
      <c r="J88" s="9" t="str">
        <f t="shared" si="28"/>
        <v/>
      </c>
      <c r="K88" s="3" t="str">
        <f t="shared" si="29"/>
        <v/>
      </c>
      <c r="L88" s="3" t="str">
        <f t="shared" si="24"/>
        <v/>
      </c>
      <c r="M88" s="3" t="str">
        <f t="shared" si="30"/>
        <v/>
      </c>
      <c r="N88" s="3" t="str">
        <f t="shared" si="31"/>
        <v/>
      </c>
      <c r="O88" s="8" t="str">
        <f t="shared" si="32"/>
        <v/>
      </c>
      <c r="P88" s="8" t="str">
        <f t="shared" si="33"/>
        <v/>
      </c>
      <c r="Q88" s="3" t="str">
        <f t="shared" si="34"/>
        <v/>
      </c>
      <c r="R88" s="3" t="str">
        <f t="shared" si="35"/>
        <v/>
      </c>
      <c r="S88" s="3" t="str">
        <f t="shared" si="36"/>
        <v/>
      </c>
      <c r="T88" s="3" t="str">
        <f t="shared" si="25"/>
        <v/>
      </c>
      <c r="U88" s="3" t="str">
        <f t="shared" si="26"/>
        <v/>
      </c>
      <c r="V88" s="3" t="str">
        <f>IF($H88&lt;&gt;"",IF($J88&gt;U$11,IF($J88&lt;V$11,$J88-U$11,30),0)*ROUND(($K88+$S87+SUM($U88:U88))*$Q$5/3000,2),"")</f>
        <v/>
      </c>
      <c r="W88" s="3"/>
      <c r="X88" s="3"/>
    </row>
    <row r="89" spans="4:24" x14ac:dyDescent="0.25">
      <c r="D89" s="5"/>
      <c r="E89" s="22" t="str">
        <f t="shared" si="21"/>
        <v/>
      </c>
      <c r="F89" s="22" t="str">
        <f t="shared" si="27"/>
        <v/>
      </c>
      <c r="G89" s="22" t="str">
        <f t="shared" si="22"/>
        <v/>
      </c>
      <c r="H89" t="str">
        <f t="shared" si="23"/>
        <v/>
      </c>
      <c r="I89" s="5" t="str">
        <f>IF($H89&lt;&gt;"",IF($D89="",DATE(YEAR($J$7),MONTH($J$7)+($A$1*($E89-1))+SUM($B$12:$B89),DAY($J$7)),$D89),"")</f>
        <v/>
      </c>
      <c r="J89" s="9" t="str">
        <f t="shared" si="28"/>
        <v/>
      </c>
      <c r="K89" s="3" t="str">
        <f t="shared" si="29"/>
        <v/>
      </c>
      <c r="L89" s="3" t="str">
        <f t="shared" si="24"/>
        <v/>
      </c>
      <c r="M89" s="3" t="str">
        <f t="shared" si="30"/>
        <v/>
      </c>
      <c r="N89" s="3" t="str">
        <f t="shared" si="31"/>
        <v/>
      </c>
      <c r="O89" s="8" t="str">
        <f t="shared" si="32"/>
        <v/>
      </c>
      <c r="P89" s="8" t="str">
        <f t="shared" si="33"/>
        <v/>
      </c>
      <c r="Q89" s="3" t="str">
        <f t="shared" si="34"/>
        <v/>
      </c>
      <c r="R89" s="3" t="str">
        <f t="shared" si="35"/>
        <v/>
      </c>
      <c r="S89" s="3" t="str">
        <f t="shared" si="36"/>
        <v/>
      </c>
      <c r="T89" s="3" t="str">
        <f t="shared" si="25"/>
        <v/>
      </c>
      <c r="U89" s="3" t="str">
        <f t="shared" si="26"/>
        <v/>
      </c>
      <c r="V89" s="3" t="str">
        <f>IF($H89&lt;&gt;"",IF($J89&gt;U$11,IF($J89&lt;V$11,$J89-U$11,30),0)*ROUND(($K89+$S88+SUM($U89:U89))*$Q$5/3000,2),"")</f>
        <v/>
      </c>
      <c r="W89" s="3"/>
      <c r="X89" s="3"/>
    </row>
    <row r="90" spans="4:24" x14ac:dyDescent="0.25">
      <c r="D90" s="5"/>
      <c r="E90" s="22" t="str">
        <f t="shared" si="21"/>
        <v/>
      </c>
      <c r="F90" s="22" t="str">
        <f t="shared" si="27"/>
        <v/>
      </c>
      <c r="G90" s="22" t="str">
        <f t="shared" si="22"/>
        <v/>
      </c>
      <c r="H90" t="str">
        <f t="shared" si="23"/>
        <v/>
      </c>
      <c r="I90" s="5" t="str">
        <f>IF($H90&lt;&gt;"",IF($D90="",DATE(YEAR($J$7),MONTH($J$7)+($A$1*($E90-1))+SUM($B$12:$B90),DAY($J$7)),$D90),"")</f>
        <v/>
      </c>
      <c r="J90" s="9" t="str">
        <f t="shared" si="28"/>
        <v/>
      </c>
      <c r="K90" s="3" t="str">
        <f t="shared" si="29"/>
        <v/>
      </c>
      <c r="L90" s="3" t="str">
        <f t="shared" si="24"/>
        <v/>
      </c>
      <c r="M90" s="3" t="str">
        <f t="shared" si="30"/>
        <v/>
      </c>
      <c r="N90" s="3" t="str">
        <f t="shared" si="31"/>
        <v/>
      </c>
      <c r="O90" s="8" t="str">
        <f t="shared" si="32"/>
        <v/>
      </c>
      <c r="P90" s="8" t="str">
        <f t="shared" si="33"/>
        <v/>
      </c>
      <c r="Q90" s="3" t="str">
        <f t="shared" si="34"/>
        <v/>
      </c>
      <c r="R90" s="3" t="str">
        <f t="shared" si="35"/>
        <v/>
      </c>
      <c r="S90" s="3" t="str">
        <f t="shared" si="36"/>
        <v/>
      </c>
      <c r="T90" s="3" t="str">
        <f t="shared" si="25"/>
        <v/>
      </c>
      <c r="U90" s="3" t="str">
        <f t="shared" si="26"/>
        <v/>
      </c>
      <c r="V90" s="3" t="str">
        <f>IF($H90&lt;&gt;"",IF($J90&gt;U$11,IF($J90&lt;V$11,$J90-U$11,30),0)*ROUND(($K90+$S89+SUM($U90:U90))*$Q$5/3000,2),"")</f>
        <v/>
      </c>
      <c r="W90" s="3"/>
      <c r="X90" s="3"/>
    </row>
    <row r="91" spans="4:24" x14ac:dyDescent="0.25">
      <c r="D91" s="5"/>
      <c r="E91" s="22" t="str">
        <f t="shared" si="21"/>
        <v/>
      </c>
      <c r="F91" s="22" t="str">
        <f t="shared" si="27"/>
        <v/>
      </c>
      <c r="G91" s="22" t="str">
        <f t="shared" si="22"/>
        <v/>
      </c>
      <c r="H91" t="str">
        <f t="shared" si="23"/>
        <v/>
      </c>
      <c r="I91" s="5" t="str">
        <f>IF($H91&lt;&gt;"",IF($D91="",DATE(YEAR($J$7),MONTH($J$7)+($A$1*($E91-1))+SUM($B$12:$B91),DAY($J$7)),$D91),"")</f>
        <v/>
      </c>
      <c r="J91" s="9" t="str">
        <f t="shared" si="28"/>
        <v/>
      </c>
      <c r="K91" s="3" t="str">
        <f t="shared" si="29"/>
        <v/>
      </c>
      <c r="L91" s="3" t="str">
        <f t="shared" si="24"/>
        <v/>
      </c>
      <c r="M91" s="3" t="str">
        <f t="shared" si="30"/>
        <v/>
      </c>
      <c r="N91" s="3" t="str">
        <f t="shared" si="31"/>
        <v/>
      </c>
      <c r="O91" s="8" t="str">
        <f t="shared" si="32"/>
        <v/>
      </c>
      <c r="P91" s="8" t="str">
        <f t="shared" si="33"/>
        <v/>
      </c>
      <c r="Q91" s="3" t="str">
        <f t="shared" si="34"/>
        <v/>
      </c>
      <c r="R91" s="3" t="str">
        <f t="shared" si="35"/>
        <v/>
      </c>
      <c r="S91" s="3" t="str">
        <f t="shared" si="36"/>
        <v/>
      </c>
      <c r="T91" s="3" t="str">
        <f t="shared" si="25"/>
        <v/>
      </c>
      <c r="U91" s="3" t="str">
        <f t="shared" si="26"/>
        <v/>
      </c>
      <c r="V91" s="3" t="str">
        <f>IF($H91&lt;&gt;"",IF($J91&gt;U$11,IF($J91&lt;V$11,$J91-U$11,30),0)*ROUND(($K91+$S90+SUM($U91:U91))*$Q$5/3000,2),"")</f>
        <v/>
      </c>
      <c r="W91" s="3"/>
      <c r="X91" s="3"/>
    </row>
    <row r="92" spans="4:24" x14ac:dyDescent="0.25">
      <c r="D92" s="5"/>
      <c r="E92" s="22" t="str">
        <f t="shared" si="21"/>
        <v/>
      </c>
      <c r="F92" s="22" t="str">
        <f t="shared" si="27"/>
        <v/>
      </c>
      <c r="G92" s="22" t="str">
        <f t="shared" si="22"/>
        <v/>
      </c>
      <c r="H92" t="str">
        <f t="shared" si="23"/>
        <v/>
      </c>
      <c r="I92" s="5" t="str">
        <f>IF($H92&lt;&gt;"",IF($D92="",DATE(YEAR($J$7),MONTH($J$7)+($A$1*($E92-1))+SUM($B$12:$B92),DAY($J$7)),$D92),"")</f>
        <v/>
      </c>
      <c r="J92" s="9" t="str">
        <f t="shared" si="28"/>
        <v/>
      </c>
      <c r="K92" s="3" t="str">
        <f t="shared" si="29"/>
        <v/>
      </c>
      <c r="L92" s="3" t="str">
        <f t="shared" si="24"/>
        <v/>
      </c>
      <c r="M92" s="3" t="str">
        <f t="shared" si="30"/>
        <v/>
      </c>
      <c r="N92" s="3" t="str">
        <f t="shared" si="31"/>
        <v/>
      </c>
      <c r="O92" s="8" t="str">
        <f t="shared" si="32"/>
        <v/>
      </c>
      <c r="P92" s="8" t="str">
        <f t="shared" si="33"/>
        <v/>
      </c>
      <c r="Q92" s="3" t="str">
        <f t="shared" si="34"/>
        <v/>
      </c>
      <c r="R92" s="3" t="str">
        <f t="shared" si="35"/>
        <v/>
      </c>
      <c r="S92" s="3" t="str">
        <f t="shared" si="36"/>
        <v/>
      </c>
      <c r="T92" s="3" t="str">
        <f t="shared" si="25"/>
        <v/>
      </c>
      <c r="U92" s="3" t="str">
        <f t="shared" si="26"/>
        <v/>
      </c>
      <c r="V92" s="3" t="str">
        <f>IF($H92&lt;&gt;"",IF($J92&gt;U$11,IF($J92&lt;V$11,$J92-U$11,30),0)*ROUND(($K92+$S91+SUM($U92:U92))*$Q$5/3000,2),"")</f>
        <v/>
      </c>
      <c r="W92" s="3"/>
      <c r="X92" s="3"/>
    </row>
    <row r="93" spans="4:24" x14ac:dyDescent="0.25">
      <c r="D93" s="5"/>
      <c r="E93" s="22" t="str">
        <f t="shared" si="21"/>
        <v/>
      </c>
      <c r="F93" s="22" t="str">
        <f t="shared" si="27"/>
        <v/>
      </c>
      <c r="G93" s="22" t="str">
        <f t="shared" si="22"/>
        <v/>
      </c>
      <c r="H93" t="str">
        <f t="shared" si="23"/>
        <v/>
      </c>
      <c r="I93" s="5" t="str">
        <f>IF($H93&lt;&gt;"",IF($D93="",DATE(YEAR($J$7),MONTH($J$7)+($A$1*($E93-1))+SUM($B$12:$B93),DAY($J$7)),$D93),"")</f>
        <v/>
      </c>
      <c r="J93" s="9" t="str">
        <f t="shared" si="28"/>
        <v/>
      </c>
      <c r="K93" s="3" t="str">
        <f t="shared" si="29"/>
        <v/>
      </c>
      <c r="L93" s="3" t="str">
        <f t="shared" si="24"/>
        <v/>
      </c>
      <c r="M93" s="3" t="str">
        <f t="shared" si="30"/>
        <v/>
      </c>
      <c r="N93" s="3" t="str">
        <f t="shared" si="31"/>
        <v/>
      </c>
      <c r="O93" s="8" t="str">
        <f t="shared" si="32"/>
        <v/>
      </c>
      <c r="P93" s="8" t="str">
        <f t="shared" si="33"/>
        <v/>
      </c>
      <c r="Q93" s="3" t="str">
        <f t="shared" si="34"/>
        <v/>
      </c>
      <c r="R93" s="3" t="str">
        <f t="shared" si="35"/>
        <v/>
      </c>
      <c r="S93" s="3" t="str">
        <f t="shared" si="36"/>
        <v/>
      </c>
      <c r="T93" s="3" t="str">
        <f t="shared" si="25"/>
        <v/>
      </c>
      <c r="U93" s="3" t="str">
        <f t="shared" si="26"/>
        <v/>
      </c>
      <c r="V93" s="3" t="str">
        <f>IF($H93&lt;&gt;"",IF($J93&gt;U$11,IF($J93&lt;V$11,$J93-U$11,30),0)*ROUND(($K93+$S92+SUM($U93:U93))*$Q$5/3000,2),"")</f>
        <v/>
      </c>
      <c r="W93" s="3"/>
      <c r="X93" s="3"/>
    </row>
    <row r="94" spans="4:24" x14ac:dyDescent="0.25">
      <c r="D94" s="5"/>
      <c r="E94" s="22" t="str">
        <f t="shared" si="21"/>
        <v/>
      </c>
      <c r="F94" s="22" t="str">
        <f t="shared" si="27"/>
        <v/>
      </c>
      <c r="G94" s="22" t="str">
        <f t="shared" si="22"/>
        <v/>
      </c>
      <c r="H94" t="str">
        <f t="shared" si="23"/>
        <v/>
      </c>
      <c r="I94" s="5" t="str">
        <f>IF($H94&lt;&gt;"",IF($D94="",DATE(YEAR($J$7),MONTH($J$7)+($A$1*($E94-1))+SUM($B$12:$B94),DAY($J$7)),$D94),"")</f>
        <v/>
      </c>
      <c r="J94" s="9" t="str">
        <f t="shared" si="28"/>
        <v/>
      </c>
      <c r="K94" s="3" t="str">
        <f t="shared" si="29"/>
        <v/>
      </c>
      <c r="L94" s="3" t="str">
        <f t="shared" si="24"/>
        <v/>
      </c>
      <c r="M94" s="3" t="str">
        <f t="shared" si="30"/>
        <v/>
      </c>
      <c r="N94" s="3" t="str">
        <f t="shared" si="31"/>
        <v/>
      </c>
      <c r="O94" s="8" t="str">
        <f t="shared" si="32"/>
        <v/>
      </c>
      <c r="P94" s="8" t="str">
        <f t="shared" si="33"/>
        <v/>
      </c>
      <c r="Q94" s="3" t="str">
        <f t="shared" si="34"/>
        <v/>
      </c>
      <c r="R94" s="3" t="str">
        <f t="shared" si="35"/>
        <v/>
      </c>
      <c r="S94" s="3" t="str">
        <f t="shared" si="36"/>
        <v/>
      </c>
      <c r="T94" s="3" t="str">
        <f t="shared" si="25"/>
        <v/>
      </c>
      <c r="U94" s="3" t="str">
        <f t="shared" si="26"/>
        <v/>
      </c>
      <c r="V94" s="3" t="str">
        <f>IF($H94&lt;&gt;"",IF($J94&gt;U$11,IF($J94&lt;V$11,$J94-U$11,30),0)*ROUND(($K94+$S93+SUM($U94:U94))*$Q$5/3000,2),"")</f>
        <v/>
      </c>
      <c r="W94" s="3"/>
      <c r="X94" s="3"/>
    </row>
    <row r="95" spans="4:24" x14ac:dyDescent="0.25">
      <c r="D95" s="5"/>
      <c r="E95" s="22" t="str">
        <f t="shared" si="21"/>
        <v/>
      </c>
      <c r="F95" s="22" t="str">
        <f t="shared" si="27"/>
        <v/>
      </c>
      <c r="G95" s="22" t="str">
        <f t="shared" si="22"/>
        <v/>
      </c>
      <c r="H95" t="str">
        <f t="shared" si="23"/>
        <v/>
      </c>
      <c r="I95" s="5" t="str">
        <f>IF($H95&lt;&gt;"",IF($D95="",DATE(YEAR($J$7),MONTH($J$7)+($A$1*($E95-1))+SUM($B$12:$B95),DAY($J$7)),$D95),"")</f>
        <v/>
      </c>
      <c r="J95" s="9" t="str">
        <f t="shared" si="28"/>
        <v/>
      </c>
      <c r="K95" s="3" t="str">
        <f t="shared" si="29"/>
        <v/>
      </c>
      <c r="L95" s="3" t="str">
        <f t="shared" si="24"/>
        <v/>
      </c>
      <c r="M95" s="3" t="str">
        <f t="shared" si="30"/>
        <v/>
      </c>
      <c r="N95" s="3" t="str">
        <f t="shared" si="31"/>
        <v/>
      </c>
      <c r="O95" s="8" t="str">
        <f t="shared" si="32"/>
        <v/>
      </c>
      <c r="P95" s="8" t="str">
        <f t="shared" si="33"/>
        <v/>
      </c>
      <c r="Q95" s="3" t="str">
        <f t="shared" si="34"/>
        <v/>
      </c>
      <c r="R95" s="3" t="str">
        <f t="shared" si="35"/>
        <v/>
      </c>
      <c r="S95" s="3" t="str">
        <f t="shared" si="36"/>
        <v/>
      </c>
      <c r="T95" s="3" t="str">
        <f t="shared" si="25"/>
        <v/>
      </c>
      <c r="U95" s="3" t="str">
        <f t="shared" si="26"/>
        <v/>
      </c>
      <c r="V95" s="3" t="str">
        <f>IF($H95&lt;&gt;"",IF($J95&gt;U$11,IF($J95&lt;V$11,$J95-U$11,30),0)*ROUND(($K95+$S94+SUM($U95:U95))*$Q$5/3000,2),"")</f>
        <v/>
      </c>
      <c r="W95" s="3"/>
      <c r="X95" s="3"/>
    </row>
    <row r="96" spans="4:24" x14ac:dyDescent="0.25">
      <c r="D96" s="5"/>
      <c r="E96" s="22" t="str">
        <f t="shared" si="21"/>
        <v/>
      </c>
      <c r="F96" s="22" t="str">
        <f t="shared" si="27"/>
        <v/>
      </c>
      <c r="G96" s="22" t="str">
        <f t="shared" si="22"/>
        <v/>
      </c>
      <c r="H96" t="str">
        <f t="shared" si="23"/>
        <v/>
      </c>
      <c r="I96" s="5" t="str">
        <f>IF($H96&lt;&gt;"",IF($D96="",DATE(YEAR($J$7),MONTH($J$7)+($A$1*($E96-1))+SUM($B$12:$B96),DAY($J$7)),$D96),"")</f>
        <v/>
      </c>
      <c r="J96" s="9" t="str">
        <f t="shared" si="28"/>
        <v/>
      </c>
      <c r="K96" s="3" t="str">
        <f t="shared" si="29"/>
        <v/>
      </c>
      <c r="L96" s="3" t="str">
        <f t="shared" si="24"/>
        <v/>
      </c>
      <c r="M96" s="3" t="str">
        <f t="shared" si="30"/>
        <v/>
      </c>
      <c r="N96" s="3" t="str">
        <f t="shared" si="31"/>
        <v/>
      </c>
      <c r="O96" s="8" t="str">
        <f t="shared" si="32"/>
        <v/>
      </c>
      <c r="P96" s="8" t="str">
        <f t="shared" si="33"/>
        <v/>
      </c>
      <c r="Q96" s="3" t="str">
        <f t="shared" si="34"/>
        <v/>
      </c>
      <c r="R96" s="3" t="str">
        <f t="shared" si="35"/>
        <v/>
      </c>
      <c r="S96" s="3" t="str">
        <f t="shared" si="36"/>
        <v/>
      </c>
      <c r="T96" s="3" t="str">
        <f t="shared" si="25"/>
        <v/>
      </c>
      <c r="U96" s="3" t="str">
        <f t="shared" si="26"/>
        <v/>
      </c>
      <c r="V96" s="3" t="str">
        <f>IF($H96&lt;&gt;"",IF($J96&gt;U$11,IF($J96&lt;V$11,$J96-U$11,30),0)*ROUND(($K96+$S95+SUM($U96:U96))*$Q$5/3000,2),"")</f>
        <v/>
      </c>
      <c r="W96" s="3"/>
      <c r="X96" s="3"/>
    </row>
    <row r="97" spans="4:24" x14ac:dyDescent="0.25">
      <c r="D97" s="5"/>
      <c r="E97" s="22" t="str">
        <f t="shared" si="21"/>
        <v/>
      </c>
      <c r="F97" s="22" t="str">
        <f t="shared" si="27"/>
        <v/>
      </c>
      <c r="G97" s="22" t="str">
        <f t="shared" si="22"/>
        <v/>
      </c>
      <c r="H97" t="str">
        <f t="shared" si="23"/>
        <v/>
      </c>
      <c r="I97" s="5" t="str">
        <f>IF($H97&lt;&gt;"",IF($D97="",DATE(YEAR($J$7),MONTH($J$7)+($A$1*($E97-1))+SUM($B$12:$B97),DAY($J$7)),$D97),"")</f>
        <v/>
      </c>
      <c r="J97" s="9" t="str">
        <f t="shared" si="28"/>
        <v/>
      </c>
      <c r="K97" s="3" t="str">
        <f t="shared" si="29"/>
        <v/>
      </c>
      <c r="L97" s="3" t="str">
        <f t="shared" si="24"/>
        <v/>
      </c>
      <c r="M97" s="3" t="str">
        <f t="shared" si="30"/>
        <v/>
      </c>
      <c r="N97" s="3" t="str">
        <f t="shared" si="31"/>
        <v/>
      </c>
      <c r="O97" s="8" t="str">
        <f t="shared" si="32"/>
        <v/>
      </c>
      <c r="P97" s="8" t="str">
        <f t="shared" si="33"/>
        <v/>
      </c>
      <c r="Q97" s="3" t="str">
        <f t="shared" si="34"/>
        <v/>
      </c>
      <c r="R97" s="3" t="str">
        <f t="shared" si="35"/>
        <v/>
      </c>
      <c r="S97" s="3" t="str">
        <f t="shared" si="36"/>
        <v/>
      </c>
      <c r="T97" s="3" t="str">
        <f t="shared" si="25"/>
        <v/>
      </c>
      <c r="U97" s="3" t="str">
        <f t="shared" si="26"/>
        <v/>
      </c>
      <c r="V97" s="3" t="str">
        <f>IF($H97&lt;&gt;"",IF($J97&gt;U$11,IF($J97&lt;V$11,$J97-U$11,30),0)*ROUND(($K97+$S96+SUM($U97:U97))*$Q$5/3000,2),"")</f>
        <v/>
      </c>
      <c r="W97" s="3"/>
      <c r="X97" s="3"/>
    </row>
    <row r="98" spans="4:24" x14ac:dyDescent="0.25">
      <c r="D98" s="5"/>
      <c r="E98" s="22" t="str">
        <f t="shared" si="21"/>
        <v/>
      </c>
      <c r="F98" s="22" t="str">
        <f t="shared" si="27"/>
        <v/>
      </c>
      <c r="G98" s="22" t="str">
        <f t="shared" si="22"/>
        <v/>
      </c>
      <c r="H98" t="str">
        <f t="shared" si="23"/>
        <v/>
      </c>
      <c r="I98" s="5" t="str">
        <f>IF($H98&lt;&gt;"",IF($D98="",DATE(YEAR($J$7),MONTH($J$7)+($A$1*($E98-1))+SUM($B$12:$B98),DAY($J$7)),$D98),"")</f>
        <v/>
      </c>
      <c r="J98" s="9" t="str">
        <f t="shared" si="28"/>
        <v/>
      </c>
      <c r="K98" s="3" t="str">
        <f t="shared" si="29"/>
        <v/>
      </c>
      <c r="L98" s="3" t="str">
        <f t="shared" si="24"/>
        <v/>
      </c>
      <c r="M98" s="3" t="str">
        <f t="shared" si="30"/>
        <v/>
      </c>
      <c r="N98" s="3" t="str">
        <f t="shared" si="31"/>
        <v/>
      </c>
      <c r="O98" s="8" t="str">
        <f t="shared" si="32"/>
        <v/>
      </c>
      <c r="P98" s="8" t="str">
        <f t="shared" si="33"/>
        <v/>
      </c>
      <c r="Q98" s="3" t="str">
        <f t="shared" si="34"/>
        <v/>
      </c>
      <c r="R98" s="3" t="str">
        <f t="shared" si="35"/>
        <v/>
      </c>
      <c r="S98" s="3" t="str">
        <f t="shared" si="36"/>
        <v/>
      </c>
      <c r="T98" s="3" t="str">
        <f t="shared" si="25"/>
        <v/>
      </c>
      <c r="U98" s="3" t="str">
        <f t="shared" si="26"/>
        <v/>
      </c>
      <c r="V98" s="3" t="str">
        <f>IF($H98&lt;&gt;"",IF($J98&gt;U$11,IF($J98&lt;V$11,$J98-U$11,30),0)*ROUND(($K98+$S97+SUM($U98:U98))*$Q$5/3000,2),"")</f>
        <v/>
      </c>
      <c r="W98" s="3"/>
      <c r="X98" s="3"/>
    </row>
    <row r="99" spans="4:24" x14ac:dyDescent="0.25">
      <c r="D99" s="5"/>
      <c r="E99" s="22" t="str">
        <f t="shared" si="21"/>
        <v/>
      </c>
      <c r="F99" s="22" t="str">
        <f t="shared" si="27"/>
        <v/>
      </c>
      <c r="G99" s="22" t="str">
        <f t="shared" si="22"/>
        <v/>
      </c>
      <c r="H99" t="str">
        <f t="shared" si="23"/>
        <v/>
      </c>
      <c r="I99" s="5" t="str">
        <f>IF($H99&lt;&gt;"",IF($D99="",DATE(YEAR($J$7),MONTH($J$7)+($A$1*($E99-1))+SUM($B$12:$B99),DAY($J$7)),$D99),"")</f>
        <v/>
      </c>
      <c r="J99" s="9" t="str">
        <f t="shared" si="28"/>
        <v/>
      </c>
      <c r="K99" s="3" t="str">
        <f t="shared" si="29"/>
        <v/>
      </c>
      <c r="L99" s="3" t="str">
        <f t="shared" si="24"/>
        <v/>
      </c>
      <c r="M99" s="3" t="str">
        <f t="shared" si="30"/>
        <v/>
      </c>
      <c r="N99" s="3" t="str">
        <f t="shared" si="31"/>
        <v/>
      </c>
      <c r="O99" s="8" t="str">
        <f t="shared" si="32"/>
        <v/>
      </c>
      <c r="P99" s="8" t="str">
        <f t="shared" si="33"/>
        <v/>
      </c>
      <c r="Q99" s="3" t="str">
        <f t="shared" si="34"/>
        <v/>
      </c>
      <c r="R99" s="3" t="str">
        <f t="shared" si="35"/>
        <v/>
      </c>
      <c r="S99" s="3" t="str">
        <f t="shared" si="36"/>
        <v/>
      </c>
      <c r="T99" s="3" t="str">
        <f t="shared" si="25"/>
        <v/>
      </c>
      <c r="U99" s="3" t="str">
        <f t="shared" si="26"/>
        <v/>
      </c>
      <c r="V99" s="3" t="str">
        <f>IF($H99&lt;&gt;"",IF($J99&gt;U$11,IF($J99&lt;V$11,$J99-U$11,30),0)*ROUND(($K99+$S98+SUM($U99:U99))*$Q$5/3000,2),"")</f>
        <v/>
      </c>
      <c r="W99" s="3"/>
      <c r="X99" s="3"/>
    </row>
    <row r="100" spans="4:24" x14ac:dyDescent="0.25">
      <c r="D100" s="5"/>
      <c r="E100" s="22" t="str">
        <f t="shared" si="21"/>
        <v/>
      </c>
      <c r="F100" s="22" t="str">
        <f t="shared" si="27"/>
        <v/>
      </c>
      <c r="G100" s="22" t="str">
        <f t="shared" si="22"/>
        <v/>
      </c>
      <c r="H100" t="str">
        <f t="shared" si="23"/>
        <v/>
      </c>
      <c r="I100" s="5" t="str">
        <f>IF($H100&lt;&gt;"",IF($D100="",DATE(YEAR($J$7),MONTH($J$7)+($A$1*($E100-1))+SUM($B$12:$B100),DAY($J$7)),$D100),"")</f>
        <v/>
      </c>
      <c r="J100" s="9" t="str">
        <f t="shared" si="28"/>
        <v/>
      </c>
      <c r="K100" s="3" t="str">
        <f t="shared" si="29"/>
        <v/>
      </c>
      <c r="L100" s="3" t="str">
        <f t="shared" si="24"/>
        <v/>
      </c>
      <c r="M100" s="3" t="str">
        <f t="shared" si="30"/>
        <v/>
      </c>
      <c r="N100" s="3" t="str">
        <f t="shared" si="31"/>
        <v/>
      </c>
      <c r="O100" s="8" t="str">
        <f t="shared" si="32"/>
        <v/>
      </c>
      <c r="P100" s="8" t="str">
        <f t="shared" si="33"/>
        <v/>
      </c>
      <c r="Q100" s="3" t="str">
        <f t="shared" si="34"/>
        <v/>
      </c>
      <c r="R100" s="3" t="str">
        <f t="shared" si="35"/>
        <v/>
      </c>
      <c r="S100" s="3" t="str">
        <f t="shared" si="36"/>
        <v/>
      </c>
      <c r="T100" s="3" t="str">
        <f t="shared" si="25"/>
        <v/>
      </c>
      <c r="U100" s="3" t="str">
        <f t="shared" si="26"/>
        <v/>
      </c>
      <c r="V100" s="3" t="str">
        <f>IF($H100&lt;&gt;"",IF($J100&gt;U$11,IF($J100&lt;V$11,$J100-U$11,30),0)*ROUND(($K100+$S99+SUM($U100:U100))*$Q$5/3000,2),"")</f>
        <v/>
      </c>
      <c r="W100" s="3"/>
      <c r="X100" s="3"/>
    </row>
    <row r="101" spans="4:24" x14ac:dyDescent="0.25">
      <c r="D101" s="5"/>
      <c r="E101" s="22" t="str">
        <f t="shared" si="21"/>
        <v/>
      </c>
      <c r="F101" s="22" t="str">
        <f t="shared" si="27"/>
        <v/>
      </c>
      <c r="G101" s="22" t="str">
        <f t="shared" si="22"/>
        <v/>
      </c>
      <c r="H101" t="str">
        <f t="shared" si="23"/>
        <v/>
      </c>
      <c r="I101" s="5" t="str">
        <f>IF($H101&lt;&gt;"",IF($D101="",DATE(YEAR($J$7),MONTH($J$7)+($A$1*($E101-1))+SUM($B$12:$B101),DAY($J$7)),$D101),"")</f>
        <v/>
      </c>
      <c r="J101" s="9" t="str">
        <f t="shared" si="28"/>
        <v/>
      </c>
      <c r="K101" s="3" t="str">
        <f t="shared" si="29"/>
        <v/>
      </c>
      <c r="L101" s="3" t="str">
        <f t="shared" si="24"/>
        <v/>
      </c>
      <c r="M101" s="3" t="str">
        <f t="shared" si="30"/>
        <v/>
      </c>
      <c r="N101" s="3" t="str">
        <f t="shared" si="31"/>
        <v/>
      </c>
      <c r="O101" s="8" t="str">
        <f t="shared" si="32"/>
        <v/>
      </c>
      <c r="P101" s="8" t="str">
        <f t="shared" si="33"/>
        <v/>
      </c>
      <c r="Q101" s="3" t="str">
        <f t="shared" si="34"/>
        <v/>
      </c>
      <c r="R101" s="3" t="str">
        <f t="shared" si="35"/>
        <v/>
      </c>
      <c r="S101" s="3" t="str">
        <f t="shared" si="36"/>
        <v/>
      </c>
      <c r="T101" s="3" t="str">
        <f t="shared" si="25"/>
        <v/>
      </c>
      <c r="U101" s="3" t="str">
        <f t="shared" si="26"/>
        <v/>
      </c>
      <c r="V101" s="3" t="str">
        <f>IF($H101&lt;&gt;"",IF($J101&gt;U$11,IF($J101&lt;V$11,$J101-U$11,30),0)*ROUND(($K101+$S100+SUM($U101:U101))*$Q$5/3000,2),"")</f>
        <v/>
      </c>
      <c r="W101" s="3"/>
      <c r="X101" s="3"/>
    </row>
    <row r="102" spans="4:24" x14ac:dyDescent="0.25">
      <c r="D102" s="5"/>
      <c r="E102" s="22" t="str">
        <f t="shared" si="21"/>
        <v/>
      </c>
      <c r="F102" s="22" t="str">
        <f t="shared" si="27"/>
        <v/>
      </c>
      <c r="G102" s="22" t="str">
        <f t="shared" si="22"/>
        <v/>
      </c>
      <c r="H102" t="str">
        <f t="shared" si="23"/>
        <v/>
      </c>
      <c r="I102" s="5" t="str">
        <f>IF($H102&lt;&gt;"",IF($D102="",DATE(YEAR($J$7),MONTH($J$7)+($A$1*($E102-1))+SUM($B$12:$B102),DAY($J$7)),$D102),"")</f>
        <v/>
      </c>
      <c r="J102" s="9" t="str">
        <f t="shared" si="28"/>
        <v/>
      </c>
      <c r="K102" s="3" t="str">
        <f t="shared" si="29"/>
        <v/>
      </c>
      <c r="L102" s="3" t="str">
        <f t="shared" si="24"/>
        <v/>
      </c>
      <c r="M102" s="3" t="str">
        <f t="shared" si="30"/>
        <v/>
      </c>
      <c r="N102" s="3" t="str">
        <f t="shared" si="31"/>
        <v/>
      </c>
      <c r="O102" s="8" t="str">
        <f t="shared" si="32"/>
        <v/>
      </c>
      <c r="P102" s="8" t="str">
        <f t="shared" si="33"/>
        <v/>
      </c>
      <c r="Q102" s="3" t="str">
        <f t="shared" si="34"/>
        <v/>
      </c>
      <c r="R102" s="3" t="str">
        <f t="shared" si="35"/>
        <v/>
      </c>
      <c r="S102" s="3" t="str">
        <f t="shared" si="36"/>
        <v/>
      </c>
      <c r="T102" s="3" t="str">
        <f t="shared" si="25"/>
        <v/>
      </c>
      <c r="U102" s="3" t="str">
        <f t="shared" si="26"/>
        <v/>
      </c>
      <c r="V102" s="3" t="str">
        <f>IF($H102&lt;&gt;"",IF($J102&gt;U$11,IF($J102&lt;V$11,$J102-U$11,30),0)*ROUND(($K102+$S101+SUM($U102:U102))*$Q$5/3000,2),"")</f>
        <v/>
      </c>
      <c r="W102" s="3"/>
      <c r="X102" s="3"/>
    </row>
    <row r="103" spans="4:24" x14ac:dyDescent="0.25">
      <c r="D103" s="5"/>
      <c r="E103" s="22" t="str">
        <f t="shared" si="21"/>
        <v/>
      </c>
      <c r="F103" s="22" t="str">
        <f t="shared" si="27"/>
        <v/>
      </c>
      <c r="G103" s="22" t="str">
        <f t="shared" si="22"/>
        <v/>
      </c>
      <c r="H103" t="str">
        <f t="shared" si="23"/>
        <v/>
      </c>
      <c r="I103" s="5" t="str">
        <f>IF($H103&lt;&gt;"",IF($D103="",DATE(YEAR($J$7),MONTH($J$7)+($A$1*($E103-1))+SUM($B$12:$B103),DAY($J$7)),$D103),"")</f>
        <v/>
      </c>
      <c r="J103" s="9" t="str">
        <f t="shared" si="28"/>
        <v/>
      </c>
      <c r="K103" s="3" t="str">
        <f t="shared" si="29"/>
        <v/>
      </c>
      <c r="L103" s="3" t="str">
        <f t="shared" si="24"/>
        <v/>
      </c>
      <c r="M103" s="3" t="str">
        <f t="shared" si="30"/>
        <v/>
      </c>
      <c r="N103" s="3" t="str">
        <f t="shared" si="31"/>
        <v/>
      </c>
      <c r="O103" s="8" t="str">
        <f t="shared" si="32"/>
        <v/>
      </c>
      <c r="P103" s="8" t="str">
        <f t="shared" si="33"/>
        <v/>
      </c>
      <c r="Q103" s="3" t="str">
        <f t="shared" si="34"/>
        <v/>
      </c>
      <c r="R103" s="3" t="str">
        <f t="shared" si="35"/>
        <v/>
      </c>
      <c r="S103" s="3" t="str">
        <f t="shared" si="36"/>
        <v/>
      </c>
      <c r="T103" s="3" t="str">
        <f t="shared" si="25"/>
        <v/>
      </c>
      <c r="U103" s="3" t="str">
        <f t="shared" si="26"/>
        <v/>
      </c>
      <c r="V103" s="3" t="str">
        <f>IF($H103&lt;&gt;"",IF($J103&gt;U$11,IF($J103&lt;V$11,$J103-U$11,30),0)*ROUND(($K103+$S102+SUM($U103:U103))*$Q$5/3000,2),"")</f>
        <v/>
      </c>
      <c r="W103" s="3"/>
      <c r="X103" s="3"/>
    </row>
    <row r="104" spans="4:24" x14ac:dyDescent="0.25">
      <c r="D104" s="5"/>
      <c r="E104" s="22" t="str">
        <f t="shared" si="21"/>
        <v/>
      </c>
      <c r="F104" s="22" t="str">
        <f t="shared" si="27"/>
        <v/>
      </c>
      <c r="G104" s="22" t="str">
        <f t="shared" si="22"/>
        <v/>
      </c>
      <c r="H104" t="str">
        <f t="shared" si="23"/>
        <v/>
      </c>
      <c r="I104" s="5" t="str">
        <f>IF($H104&lt;&gt;"",IF($D104="",DATE(YEAR($J$7),MONTH($J$7)+($A$1*($E104-1))+SUM($B$12:$B104),DAY($J$7)),$D104),"")</f>
        <v/>
      </c>
      <c r="J104" s="9" t="str">
        <f t="shared" si="28"/>
        <v/>
      </c>
      <c r="K104" s="3" t="str">
        <f t="shared" si="29"/>
        <v/>
      </c>
      <c r="L104" s="3" t="str">
        <f t="shared" si="24"/>
        <v/>
      </c>
      <c r="M104" s="3" t="str">
        <f t="shared" si="30"/>
        <v/>
      </c>
      <c r="N104" s="3" t="str">
        <f t="shared" si="31"/>
        <v/>
      </c>
      <c r="O104" s="8" t="str">
        <f t="shared" si="32"/>
        <v/>
      </c>
      <c r="P104" s="8" t="str">
        <f t="shared" si="33"/>
        <v/>
      </c>
      <c r="Q104" s="3" t="str">
        <f t="shared" si="34"/>
        <v/>
      </c>
      <c r="R104" s="3" t="str">
        <f t="shared" si="35"/>
        <v/>
      </c>
      <c r="S104" s="3" t="str">
        <f t="shared" si="36"/>
        <v/>
      </c>
      <c r="T104" s="3" t="str">
        <f t="shared" si="25"/>
        <v/>
      </c>
      <c r="U104" s="3" t="str">
        <f t="shared" si="26"/>
        <v/>
      </c>
      <c r="V104" s="3" t="str">
        <f>IF($H104&lt;&gt;"",IF($J104&gt;U$11,IF($J104&lt;V$11,$J104-U$11,30),0)*ROUND(($K104+$S103+SUM($U104:U104))*$Q$5/3000,2),"")</f>
        <v/>
      </c>
      <c r="W104" s="3"/>
      <c r="X104" s="3"/>
    </row>
    <row r="105" spans="4:24" x14ac:dyDescent="0.25">
      <c r="D105" s="5"/>
      <c r="E105" s="22" t="str">
        <f t="shared" si="21"/>
        <v/>
      </c>
      <c r="F105" s="22" t="str">
        <f t="shared" si="27"/>
        <v/>
      </c>
      <c r="G105" s="22" t="str">
        <f t="shared" si="22"/>
        <v/>
      </c>
      <c r="H105" t="str">
        <f t="shared" si="23"/>
        <v/>
      </c>
      <c r="I105" s="5" t="str">
        <f>IF($H105&lt;&gt;"",IF($D105="",DATE(YEAR($J$7),MONTH($J$7)+($A$1*($E105-1))+SUM($B$12:$B105),DAY($J$7)),$D105),"")</f>
        <v/>
      </c>
      <c r="J105" s="9" t="str">
        <f t="shared" si="28"/>
        <v/>
      </c>
      <c r="K105" s="3" t="str">
        <f t="shared" si="29"/>
        <v/>
      </c>
      <c r="L105" s="3" t="str">
        <f t="shared" si="24"/>
        <v/>
      </c>
      <c r="M105" s="3" t="str">
        <f t="shared" si="30"/>
        <v/>
      </c>
      <c r="N105" s="3" t="str">
        <f t="shared" si="31"/>
        <v/>
      </c>
      <c r="O105" s="8" t="str">
        <f t="shared" si="32"/>
        <v/>
      </c>
      <c r="P105" s="8" t="str">
        <f t="shared" si="33"/>
        <v/>
      </c>
      <c r="Q105" s="3" t="str">
        <f t="shared" si="34"/>
        <v/>
      </c>
      <c r="R105" s="3" t="str">
        <f t="shared" si="35"/>
        <v/>
      </c>
      <c r="S105" s="3" t="str">
        <f t="shared" si="36"/>
        <v/>
      </c>
      <c r="T105" s="3" t="str">
        <f t="shared" si="25"/>
        <v/>
      </c>
      <c r="U105" s="3" t="str">
        <f t="shared" si="26"/>
        <v/>
      </c>
      <c r="V105" s="3" t="str">
        <f>IF($H105&lt;&gt;"",IF($J105&gt;U$11,IF($J105&lt;V$11,$J105-U$11,30),0)*ROUND(($K105+$S104+SUM($U105:U105))*$Q$5/3000,2),"")</f>
        <v/>
      </c>
      <c r="W105" s="3"/>
      <c r="X105" s="3"/>
    </row>
    <row r="106" spans="4:24" x14ac:dyDescent="0.25">
      <c r="D106" s="5"/>
      <c r="E106" s="22" t="str">
        <f t="shared" si="21"/>
        <v/>
      </c>
      <c r="F106" s="22" t="str">
        <f t="shared" si="27"/>
        <v/>
      </c>
      <c r="G106" s="22" t="str">
        <f t="shared" si="22"/>
        <v/>
      </c>
      <c r="H106" t="str">
        <f t="shared" si="23"/>
        <v/>
      </c>
      <c r="I106" s="5" t="str">
        <f>IF($H106&lt;&gt;"",IF($D106="",DATE(YEAR($J$7),MONTH($J$7)+($A$1*($E106-1))+SUM($B$12:$B106),DAY($J$7)),$D106),"")</f>
        <v/>
      </c>
      <c r="J106" s="9" t="str">
        <f t="shared" si="28"/>
        <v/>
      </c>
      <c r="K106" s="3" t="str">
        <f t="shared" si="29"/>
        <v/>
      </c>
      <c r="L106" s="3" t="str">
        <f t="shared" si="24"/>
        <v/>
      </c>
      <c r="M106" s="3" t="str">
        <f t="shared" si="30"/>
        <v/>
      </c>
      <c r="N106" s="3" t="str">
        <f t="shared" si="31"/>
        <v/>
      </c>
      <c r="O106" s="8" t="str">
        <f t="shared" si="32"/>
        <v/>
      </c>
      <c r="P106" s="8" t="str">
        <f t="shared" si="33"/>
        <v/>
      </c>
      <c r="Q106" s="3" t="str">
        <f t="shared" si="34"/>
        <v/>
      </c>
      <c r="R106" s="3" t="str">
        <f t="shared" si="35"/>
        <v/>
      </c>
      <c r="S106" s="3" t="str">
        <f t="shared" si="36"/>
        <v/>
      </c>
      <c r="T106" s="3" t="str">
        <f t="shared" si="25"/>
        <v/>
      </c>
      <c r="U106" s="3" t="str">
        <f t="shared" si="26"/>
        <v/>
      </c>
      <c r="V106" s="3" t="str">
        <f>IF($H106&lt;&gt;"",IF($J106&gt;U$11,IF($J106&lt;V$11,$J106-U$11,30),0)*ROUND(($K106+$S105+SUM($U106:U106))*$Q$5/3000,2),"")</f>
        <v/>
      </c>
      <c r="W106" s="3"/>
      <c r="X106" s="3"/>
    </row>
    <row r="107" spans="4:24" x14ac:dyDescent="0.25">
      <c r="D107" s="5"/>
      <c r="E107" s="22" t="str">
        <f t="shared" si="21"/>
        <v/>
      </c>
      <c r="F107" s="22" t="str">
        <f t="shared" si="27"/>
        <v/>
      </c>
      <c r="G107" s="22" t="str">
        <f t="shared" si="22"/>
        <v/>
      </c>
      <c r="H107" t="str">
        <f t="shared" si="23"/>
        <v/>
      </c>
      <c r="I107" s="5" t="str">
        <f>IF($H107&lt;&gt;"",IF($D107="",DATE(YEAR($J$7),MONTH($J$7)+($A$1*($E107-1))+SUM($B$12:$B107),DAY($J$7)),$D107),"")</f>
        <v/>
      </c>
      <c r="J107" s="9" t="str">
        <f t="shared" si="28"/>
        <v/>
      </c>
      <c r="K107" s="3" t="str">
        <f t="shared" si="29"/>
        <v/>
      </c>
      <c r="L107" s="3" t="str">
        <f t="shared" si="24"/>
        <v/>
      </c>
      <c r="M107" s="3" t="str">
        <f t="shared" si="30"/>
        <v/>
      </c>
      <c r="N107" s="3" t="str">
        <f t="shared" si="31"/>
        <v/>
      </c>
      <c r="O107" s="8" t="str">
        <f t="shared" si="32"/>
        <v/>
      </c>
      <c r="P107" s="8" t="str">
        <f t="shared" si="33"/>
        <v/>
      </c>
      <c r="Q107" s="3" t="str">
        <f t="shared" si="34"/>
        <v/>
      </c>
      <c r="R107" s="3" t="str">
        <f t="shared" si="35"/>
        <v/>
      </c>
      <c r="S107" s="3" t="str">
        <f t="shared" si="36"/>
        <v/>
      </c>
      <c r="T107" s="3" t="str">
        <f t="shared" si="25"/>
        <v/>
      </c>
      <c r="U107" s="3" t="str">
        <f t="shared" si="26"/>
        <v/>
      </c>
      <c r="V107" s="3" t="str">
        <f>IF($H107&lt;&gt;"",IF($J107&gt;U$11,IF($J107&lt;V$11,$J107-U$11,30),0)*ROUND(($K107+$S106+SUM($U107:U107))*$Q$5/3000,2),"")</f>
        <v/>
      </c>
      <c r="W107" s="3"/>
      <c r="X107" s="3"/>
    </row>
    <row r="108" spans="4:24" x14ac:dyDescent="0.25">
      <c r="D108" s="5"/>
      <c r="E108" s="22" t="str">
        <f t="shared" ref="E108:E139" si="37">IF($H108&lt;&gt;"",IF($A108="Prepago",$E107,$E107+1),"")</f>
        <v/>
      </c>
      <c r="F108" s="22" t="str">
        <f t="shared" si="27"/>
        <v/>
      </c>
      <c r="G108" s="22" t="str">
        <f t="shared" ref="G108:G139" si="38">IF(H108&lt;&gt;"",IF(COUNTA($U108:$XFD108)*30&lt;$J108,1,0),"")</f>
        <v/>
      </c>
      <c r="H108" t="str">
        <f t="shared" ref="H108:H139" si="39">IF($H107&lt;NCUOTAS+CUOTAADICIONAL+PGRACIA,$H107+1,"")</f>
        <v/>
      </c>
      <c r="I108" s="5" t="str">
        <f>IF($H108&lt;&gt;"",IF($D108="",DATE(YEAR($J$7),MONTH($J$7)+($A$1*($E108-1))+SUM($B$12:$B108),DAY($J$7)),$D108),"")</f>
        <v/>
      </c>
      <c r="J108" s="9" t="str">
        <f t="shared" si="28"/>
        <v/>
      </c>
      <c r="K108" s="3" t="str">
        <f t="shared" si="29"/>
        <v/>
      </c>
      <c r="L108" s="3" t="str">
        <f t="shared" ref="L108:L139" si="40">IF($H108&lt;&gt;"",IF($A108="Gracia Parcial",$T108+$O108+$P108+$Q108,IF($A108="Gracia Total",0,IF($A108="Prepago",$C108,IF(ISNUMBER($C108),$C108*VALUE(MID($C$1,MONTH($I108),1)),$M$6*VALUE(MID($C$1,MONTH($I108),1))))))-IF($H109="",ARREGLO,0),"")</f>
        <v/>
      </c>
      <c r="M108" s="3" t="str">
        <f t="shared" si="30"/>
        <v/>
      </c>
      <c r="N108" s="3" t="str">
        <f t="shared" si="31"/>
        <v/>
      </c>
      <c r="O108" s="8" t="str">
        <f t="shared" si="32"/>
        <v/>
      </c>
      <c r="P108" s="8" t="str">
        <f t="shared" si="33"/>
        <v/>
      </c>
      <c r="Q108" s="3" t="str">
        <f t="shared" si="34"/>
        <v/>
      </c>
      <c r="R108" s="3" t="str">
        <f t="shared" si="35"/>
        <v/>
      </c>
      <c r="S108" s="3" t="str">
        <f t="shared" si="36"/>
        <v/>
      </c>
      <c r="T108" s="3" t="str">
        <f t="shared" ref="T108:T139" si="41">IF($H108&lt;&gt;"",SUM($U108:$XFD108),"")</f>
        <v/>
      </c>
      <c r="U108" s="3" t="str">
        <f t="shared" si="26"/>
        <v/>
      </c>
      <c r="V108" s="3" t="str">
        <f>IF($H108&lt;&gt;"",IF($J108&gt;U$11,IF($J108&lt;V$11,$J108-U$11,30),0)*ROUND(($K108+$S107+SUM($U108:U108))*$Q$5/3000,2),"")</f>
        <v/>
      </c>
      <c r="W108" s="3"/>
      <c r="X108" s="3"/>
    </row>
    <row r="109" spans="4:24" x14ac:dyDescent="0.25">
      <c r="D109" s="5"/>
      <c r="E109" s="22" t="str">
        <f t="shared" si="37"/>
        <v/>
      </c>
      <c r="F109" s="22" t="str">
        <f t="shared" si="27"/>
        <v/>
      </c>
      <c r="G109" s="22" t="str">
        <f t="shared" si="38"/>
        <v/>
      </c>
      <c r="H109" t="str">
        <f t="shared" si="39"/>
        <v/>
      </c>
      <c r="I109" s="5" t="str">
        <f>IF($H109&lt;&gt;"",IF($D109="",DATE(YEAR($J$7),MONTH($J$7)+($A$1*($E109-1))+SUM($B$12:$B109),DAY($J$7)),$D109),"")</f>
        <v/>
      </c>
      <c r="J109" s="9" t="str">
        <f t="shared" si="28"/>
        <v/>
      </c>
      <c r="K109" s="3" t="str">
        <f t="shared" si="29"/>
        <v/>
      </c>
      <c r="L109" s="3" t="str">
        <f t="shared" si="40"/>
        <v/>
      </c>
      <c r="M109" s="3" t="str">
        <f t="shared" si="30"/>
        <v/>
      </c>
      <c r="N109" s="3" t="str">
        <f t="shared" si="31"/>
        <v/>
      </c>
      <c r="O109" s="8" t="str">
        <f t="shared" si="32"/>
        <v/>
      </c>
      <c r="P109" s="8" t="str">
        <f t="shared" si="33"/>
        <v/>
      </c>
      <c r="Q109" s="3" t="str">
        <f t="shared" si="34"/>
        <v/>
      </c>
      <c r="R109" s="3" t="str">
        <f t="shared" si="35"/>
        <v/>
      </c>
      <c r="S109" s="3" t="str">
        <f t="shared" si="36"/>
        <v/>
      </c>
      <c r="T109" s="3" t="str">
        <f t="shared" si="41"/>
        <v/>
      </c>
      <c r="U109" s="3" t="str">
        <f t="shared" si="26"/>
        <v/>
      </c>
      <c r="V109" s="3" t="str">
        <f>IF($H109&lt;&gt;"",IF($J109&gt;U$11,IF($J109&lt;V$11,$J109-U$11,30),0)*ROUND(($K109+$S108+SUM($U109:U109))*$Q$5/3000,2),"")</f>
        <v/>
      </c>
      <c r="W109" s="3"/>
      <c r="X109" s="3"/>
    </row>
    <row r="110" spans="4:24" x14ac:dyDescent="0.25">
      <c r="D110" s="5"/>
      <c r="E110" s="22" t="str">
        <f t="shared" si="37"/>
        <v/>
      </c>
      <c r="F110" s="22" t="str">
        <f t="shared" si="27"/>
        <v/>
      </c>
      <c r="G110" s="22" t="str">
        <f t="shared" si="38"/>
        <v/>
      </c>
      <c r="H110" t="str">
        <f t="shared" si="39"/>
        <v/>
      </c>
      <c r="I110" s="5" t="str">
        <f>IF($H110&lt;&gt;"",IF($D110="",DATE(YEAR($J$7),MONTH($J$7)+($A$1*($E110-1))+SUM($B$12:$B110),DAY($J$7)),$D110),"")</f>
        <v/>
      </c>
      <c r="J110" s="9" t="str">
        <f t="shared" si="28"/>
        <v/>
      </c>
      <c r="K110" s="3" t="str">
        <f t="shared" si="29"/>
        <v/>
      </c>
      <c r="L110" s="3" t="str">
        <f t="shared" si="40"/>
        <v/>
      </c>
      <c r="M110" s="3" t="str">
        <f t="shared" si="30"/>
        <v/>
      </c>
      <c r="N110" s="3" t="str">
        <f t="shared" si="31"/>
        <v/>
      </c>
      <c r="O110" s="8" t="str">
        <f t="shared" si="32"/>
        <v/>
      </c>
      <c r="P110" s="8" t="str">
        <f t="shared" si="33"/>
        <v/>
      </c>
      <c r="Q110" s="3" t="str">
        <f t="shared" si="34"/>
        <v/>
      </c>
      <c r="R110" s="3" t="str">
        <f t="shared" si="35"/>
        <v/>
      </c>
      <c r="S110" s="3" t="str">
        <f t="shared" si="36"/>
        <v/>
      </c>
      <c r="T110" s="3" t="str">
        <f t="shared" si="41"/>
        <v/>
      </c>
      <c r="U110" s="3" t="str">
        <f t="shared" si="26"/>
        <v/>
      </c>
      <c r="V110" s="3" t="str">
        <f>IF($H110&lt;&gt;"",IF($J110&gt;U$11,IF($J110&lt;V$11,$J110-U$11,30),0)*ROUND(($K110+$S109+SUM($U110:U110))*$Q$5/3000,2),"")</f>
        <v/>
      </c>
      <c r="W110" s="3"/>
      <c r="X110" s="3"/>
    </row>
    <row r="111" spans="4:24" x14ac:dyDescent="0.25">
      <c r="D111" s="5"/>
      <c r="E111" s="22" t="str">
        <f t="shared" si="37"/>
        <v/>
      </c>
      <c r="F111" s="22" t="str">
        <f t="shared" si="27"/>
        <v/>
      </c>
      <c r="G111" s="22" t="str">
        <f t="shared" si="38"/>
        <v/>
      </c>
      <c r="H111" t="str">
        <f t="shared" si="39"/>
        <v/>
      </c>
      <c r="I111" s="5" t="str">
        <f>IF($H111&lt;&gt;"",IF($D111="",DATE(YEAR($J$7),MONTH($J$7)+($A$1*($E111-1))+SUM($B$12:$B111),DAY($J$7)),$D111),"")</f>
        <v/>
      </c>
      <c r="J111" s="9" t="str">
        <f t="shared" si="28"/>
        <v/>
      </c>
      <c r="K111" s="3" t="str">
        <f t="shared" si="29"/>
        <v/>
      </c>
      <c r="L111" s="3" t="str">
        <f t="shared" si="40"/>
        <v/>
      </c>
      <c r="M111" s="3" t="str">
        <f t="shared" si="30"/>
        <v/>
      </c>
      <c r="N111" s="3" t="str">
        <f t="shared" si="31"/>
        <v/>
      </c>
      <c r="O111" s="8" t="str">
        <f t="shared" si="32"/>
        <v/>
      </c>
      <c r="P111" s="8" t="str">
        <f t="shared" si="33"/>
        <v/>
      </c>
      <c r="Q111" s="3" t="str">
        <f t="shared" si="34"/>
        <v/>
      </c>
      <c r="R111" s="3" t="str">
        <f t="shared" si="35"/>
        <v/>
      </c>
      <c r="S111" s="3" t="str">
        <f t="shared" si="36"/>
        <v/>
      </c>
      <c r="T111" s="3" t="str">
        <f t="shared" si="41"/>
        <v/>
      </c>
      <c r="U111" s="3" t="str">
        <f t="shared" si="26"/>
        <v/>
      </c>
      <c r="V111" s="3" t="str">
        <f>IF($H111&lt;&gt;"",IF($J111&gt;U$11,IF($J111&lt;V$11,$J111-U$11,30),0)*ROUND(($K111+$S110+SUM($U111:U111))*$Q$5/3000,2),"")</f>
        <v/>
      </c>
      <c r="W111" s="3"/>
      <c r="X111" s="3"/>
    </row>
    <row r="112" spans="4:24" x14ac:dyDescent="0.25">
      <c r="D112" s="5"/>
      <c r="E112" s="22" t="str">
        <f t="shared" si="37"/>
        <v/>
      </c>
      <c r="F112" s="22" t="str">
        <f t="shared" si="27"/>
        <v/>
      </c>
      <c r="G112" s="22" t="str">
        <f t="shared" si="38"/>
        <v/>
      </c>
      <c r="H112" t="str">
        <f t="shared" si="39"/>
        <v/>
      </c>
      <c r="I112" s="5" t="str">
        <f>IF($H112&lt;&gt;"",IF($D112="",DATE(YEAR($J$7),MONTH($J$7)+($A$1*($E112-1))+SUM($B$12:$B112),DAY($J$7)),$D112),"")</f>
        <v/>
      </c>
      <c r="J112" s="9" t="str">
        <f t="shared" si="28"/>
        <v/>
      </c>
      <c r="K112" s="3" t="str">
        <f t="shared" si="29"/>
        <v/>
      </c>
      <c r="L112" s="3" t="str">
        <f t="shared" si="40"/>
        <v/>
      </c>
      <c r="M112" s="3" t="str">
        <f t="shared" si="30"/>
        <v/>
      </c>
      <c r="N112" s="3" t="str">
        <f t="shared" si="31"/>
        <v/>
      </c>
      <c r="O112" s="8" t="str">
        <f t="shared" si="32"/>
        <v/>
      </c>
      <c r="P112" s="8" t="str">
        <f t="shared" si="33"/>
        <v/>
      </c>
      <c r="Q112" s="3" t="str">
        <f t="shared" si="34"/>
        <v/>
      </c>
      <c r="R112" s="3" t="str">
        <f t="shared" si="35"/>
        <v/>
      </c>
      <c r="S112" s="3" t="str">
        <f t="shared" si="36"/>
        <v/>
      </c>
      <c r="T112" s="3" t="str">
        <f t="shared" si="41"/>
        <v/>
      </c>
      <c r="U112" s="3" t="str">
        <f t="shared" si="26"/>
        <v/>
      </c>
      <c r="V112" s="3" t="str">
        <f>IF($H112&lt;&gt;"",IF($J112&gt;U$11,IF($J112&lt;V$11,$J112-U$11,30),0)*ROUND(($K112+$S111+SUM($U112:U112))*$Q$5/3000,2),"")</f>
        <v/>
      </c>
      <c r="W112" s="3"/>
      <c r="X112" s="3"/>
    </row>
    <row r="113" spans="4:24" x14ac:dyDescent="0.25">
      <c r="D113" s="5"/>
      <c r="E113" s="22" t="str">
        <f t="shared" si="37"/>
        <v/>
      </c>
      <c r="F113" s="22" t="str">
        <f t="shared" si="27"/>
        <v/>
      </c>
      <c r="G113" s="22" t="str">
        <f t="shared" si="38"/>
        <v/>
      </c>
      <c r="H113" t="str">
        <f t="shared" si="39"/>
        <v/>
      </c>
      <c r="I113" s="5" t="str">
        <f>IF($H113&lt;&gt;"",IF($D113="",DATE(YEAR($J$7),MONTH($J$7)+($A$1*($E113-1))+SUM($B$12:$B113),DAY($J$7)),$D113),"")</f>
        <v/>
      </c>
      <c r="J113" s="9" t="str">
        <f t="shared" si="28"/>
        <v/>
      </c>
      <c r="K113" s="3" t="str">
        <f t="shared" si="29"/>
        <v/>
      </c>
      <c r="L113" s="3" t="str">
        <f t="shared" si="40"/>
        <v/>
      </c>
      <c r="M113" s="3" t="str">
        <f t="shared" si="30"/>
        <v/>
      </c>
      <c r="N113" s="3" t="str">
        <f t="shared" si="31"/>
        <v/>
      </c>
      <c r="O113" s="8" t="str">
        <f t="shared" si="32"/>
        <v/>
      </c>
      <c r="P113" s="8" t="str">
        <f t="shared" si="33"/>
        <v/>
      </c>
      <c r="Q113" s="3" t="str">
        <f t="shared" si="34"/>
        <v/>
      </c>
      <c r="R113" s="3" t="str">
        <f t="shared" si="35"/>
        <v/>
      </c>
      <c r="S113" s="3" t="str">
        <f t="shared" si="36"/>
        <v/>
      </c>
      <c r="T113" s="3" t="str">
        <f t="shared" si="41"/>
        <v/>
      </c>
      <c r="U113" s="3" t="str">
        <f t="shared" si="26"/>
        <v/>
      </c>
      <c r="V113" s="3" t="str">
        <f>IF($H113&lt;&gt;"",IF($J113&gt;U$11,IF($J113&lt;V$11,$J113-U$11,30),0)*ROUND(($K113+$S112+SUM($U113:U113))*$Q$5/3000,2),"")</f>
        <v/>
      </c>
      <c r="W113" s="3"/>
      <c r="X113" s="3"/>
    </row>
    <row r="114" spans="4:24" x14ac:dyDescent="0.25">
      <c r="D114" s="5"/>
      <c r="E114" s="22" t="str">
        <f t="shared" si="37"/>
        <v/>
      </c>
      <c r="F114" s="22" t="str">
        <f t="shared" si="27"/>
        <v/>
      </c>
      <c r="G114" s="22" t="str">
        <f t="shared" si="38"/>
        <v/>
      </c>
      <c r="H114" t="str">
        <f t="shared" si="39"/>
        <v/>
      </c>
      <c r="I114" s="5" t="str">
        <f>IF($H114&lt;&gt;"",IF($D114="",DATE(YEAR($J$7),MONTH($J$7)+($A$1*($E114-1))+SUM($B$12:$B114),DAY($J$7)),$D114),"")</f>
        <v/>
      </c>
      <c r="J114" s="9" t="str">
        <f t="shared" si="28"/>
        <v/>
      </c>
      <c r="K114" s="3" t="str">
        <f t="shared" si="29"/>
        <v/>
      </c>
      <c r="L114" s="3" t="str">
        <f t="shared" si="40"/>
        <v/>
      </c>
      <c r="M114" s="3" t="str">
        <f t="shared" si="30"/>
        <v/>
      </c>
      <c r="N114" s="3" t="str">
        <f t="shared" si="31"/>
        <v/>
      </c>
      <c r="O114" s="8" t="str">
        <f t="shared" si="32"/>
        <v/>
      </c>
      <c r="P114" s="8" t="str">
        <f t="shared" si="33"/>
        <v/>
      </c>
      <c r="Q114" s="3" t="str">
        <f t="shared" si="34"/>
        <v/>
      </c>
      <c r="R114" s="3" t="str">
        <f t="shared" si="35"/>
        <v/>
      </c>
      <c r="S114" s="3" t="str">
        <f t="shared" si="36"/>
        <v/>
      </c>
      <c r="T114" s="3" t="str">
        <f t="shared" si="41"/>
        <v/>
      </c>
      <c r="U114" s="3" t="str">
        <f t="shared" si="26"/>
        <v/>
      </c>
      <c r="V114" s="3" t="str">
        <f>IF($H114&lt;&gt;"",IF($J114&gt;U$11,IF($J114&lt;V$11,$J114-U$11,30),0)*ROUND(($K114+$S113+SUM($U114:U114))*$Q$5/3000,2),"")</f>
        <v/>
      </c>
      <c r="W114" s="3"/>
      <c r="X114" s="3"/>
    </row>
    <row r="115" spans="4:24" x14ac:dyDescent="0.25">
      <c r="D115" s="5"/>
      <c r="E115" s="22" t="str">
        <f t="shared" si="37"/>
        <v/>
      </c>
      <c r="F115" s="22" t="str">
        <f t="shared" si="27"/>
        <v/>
      </c>
      <c r="G115" s="22" t="str">
        <f t="shared" si="38"/>
        <v/>
      </c>
      <c r="H115" t="str">
        <f t="shared" si="39"/>
        <v/>
      </c>
      <c r="I115" s="5" t="str">
        <f>IF($H115&lt;&gt;"",IF($D115="",DATE(YEAR($J$7),MONTH($J$7)+($A$1*($E115-1))+SUM($B$12:$B115),DAY($J$7)),$D115),"")</f>
        <v/>
      </c>
      <c r="J115" s="9" t="str">
        <f t="shared" si="28"/>
        <v/>
      </c>
      <c r="K115" s="3" t="str">
        <f t="shared" si="29"/>
        <v/>
      </c>
      <c r="L115" s="3" t="str">
        <f t="shared" si="40"/>
        <v/>
      </c>
      <c r="M115" s="3" t="str">
        <f t="shared" si="30"/>
        <v/>
      </c>
      <c r="N115" s="3" t="str">
        <f t="shared" si="31"/>
        <v/>
      </c>
      <c r="O115" s="8" t="str">
        <f t="shared" si="32"/>
        <v/>
      </c>
      <c r="P115" s="8" t="str">
        <f t="shared" si="33"/>
        <v/>
      </c>
      <c r="Q115" s="3" t="str">
        <f t="shared" si="34"/>
        <v/>
      </c>
      <c r="R115" s="3" t="str">
        <f t="shared" si="35"/>
        <v/>
      </c>
      <c r="S115" s="3" t="str">
        <f t="shared" si="36"/>
        <v/>
      </c>
      <c r="T115" s="3" t="str">
        <f t="shared" si="41"/>
        <v/>
      </c>
      <c r="U115" s="3" t="str">
        <f t="shared" si="26"/>
        <v/>
      </c>
      <c r="V115" s="3" t="str">
        <f>IF($H115&lt;&gt;"",IF($J115&gt;U$11,IF($J115&lt;V$11,$J115-U$11,30),0)*ROUND(($K115+$S114+SUM($U115:U115))*$Q$5/3000,2),"")</f>
        <v/>
      </c>
      <c r="W115" s="3"/>
      <c r="X115" s="3"/>
    </row>
    <row r="116" spans="4:24" x14ac:dyDescent="0.25">
      <c r="D116" s="5"/>
      <c r="E116" s="22" t="str">
        <f t="shared" si="37"/>
        <v/>
      </c>
      <c r="F116" s="22" t="str">
        <f t="shared" si="27"/>
        <v/>
      </c>
      <c r="G116" s="22" t="str">
        <f t="shared" si="38"/>
        <v/>
      </c>
      <c r="H116" t="str">
        <f t="shared" si="39"/>
        <v/>
      </c>
      <c r="I116" s="5" t="str">
        <f>IF($H116&lt;&gt;"",IF($D116="",DATE(YEAR($J$7),MONTH($J$7)+($A$1*($E116-1))+SUM($B$12:$B116),DAY($J$7)),$D116),"")</f>
        <v/>
      </c>
      <c r="J116" s="9" t="str">
        <f t="shared" si="28"/>
        <v/>
      </c>
      <c r="K116" s="3" t="str">
        <f t="shared" si="29"/>
        <v/>
      </c>
      <c r="L116" s="3" t="str">
        <f t="shared" si="40"/>
        <v/>
      </c>
      <c r="M116" s="3" t="str">
        <f t="shared" si="30"/>
        <v/>
      </c>
      <c r="N116" s="3" t="str">
        <f t="shared" si="31"/>
        <v/>
      </c>
      <c r="O116" s="8" t="str">
        <f t="shared" si="32"/>
        <v/>
      </c>
      <c r="P116" s="8" t="str">
        <f t="shared" si="33"/>
        <v/>
      </c>
      <c r="Q116" s="3" t="str">
        <f t="shared" si="34"/>
        <v/>
      </c>
      <c r="R116" s="3" t="str">
        <f t="shared" si="35"/>
        <v/>
      </c>
      <c r="S116" s="3" t="str">
        <f t="shared" si="36"/>
        <v/>
      </c>
      <c r="T116" s="3" t="str">
        <f t="shared" si="41"/>
        <v/>
      </c>
      <c r="U116" s="3" t="str">
        <f t="shared" si="26"/>
        <v/>
      </c>
      <c r="V116" s="3" t="str">
        <f>IF($H116&lt;&gt;"",IF($J116&gt;U$11,IF($J116&lt;V$11,$J116-U$11,30),0)*ROUND(($K116+$S115+SUM($U116:U116))*$Q$5/3000,2),"")</f>
        <v/>
      </c>
      <c r="W116" s="3"/>
      <c r="X116" s="3"/>
    </row>
    <row r="117" spans="4:24" x14ac:dyDescent="0.25">
      <c r="D117" s="5"/>
      <c r="E117" s="22" t="str">
        <f t="shared" si="37"/>
        <v/>
      </c>
      <c r="F117" s="22" t="str">
        <f t="shared" si="27"/>
        <v/>
      </c>
      <c r="G117" s="22" t="str">
        <f t="shared" si="38"/>
        <v/>
      </c>
      <c r="H117" t="str">
        <f t="shared" si="39"/>
        <v/>
      </c>
      <c r="I117" s="5" t="str">
        <f>IF($H117&lt;&gt;"",IF($D117="",DATE(YEAR($J$7),MONTH($J$7)+($A$1*($E117-1))+SUM($B$12:$B117),DAY($J$7)),$D117),"")</f>
        <v/>
      </c>
      <c r="J117" s="9" t="str">
        <f t="shared" si="28"/>
        <v/>
      </c>
      <c r="K117" s="3" t="str">
        <f t="shared" si="29"/>
        <v/>
      </c>
      <c r="L117" s="3" t="str">
        <f t="shared" si="40"/>
        <v/>
      </c>
      <c r="M117" s="3" t="str">
        <f t="shared" si="30"/>
        <v/>
      </c>
      <c r="N117" s="3" t="str">
        <f t="shared" si="31"/>
        <v/>
      </c>
      <c r="O117" s="8" t="str">
        <f t="shared" si="32"/>
        <v/>
      </c>
      <c r="P117" s="8" t="str">
        <f t="shared" si="33"/>
        <v/>
      </c>
      <c r="Q117" s="3" t="str">
        <f t="shared" si="34"/>
        <v/>
      </c>
      <c r="R117" s="3" t="str">
        <f t="shared" si="35"/>
        <v/>
      </c>
      <c r="S117" s="3" t="str">
        <f t="shared" si="36"/>
        <v/>
      </c>
      <c r="T117" s="3" t="str">
        <f t="shared" si="41"/>
        <v/>
      </c>
      <c r="U117" s="3" t="str">
        <f t="shared" si="26"/>
        <v/>
      </c>
      <c r="V117" s="3" t="str">
        <f>IF($H117&lt;&gt;"",IF($J117&gt;U$11,IF($J117&lt;V$11,$J117-U$11,30),0)*ROUND(($K117+$S116+SUM($U117:U117))*$Q$5/3000,2),"")</f>
        <v/>
      </c>
      <c r="W117" s="3"/>
      <c r="X117" s="3"/>
    </row>
    <row r="118" spans="4:24" x14ac:dyDescent="0.25">
      <c r="D118" s="5"/>
      <c r="E118" s="22" t="str">
        <f t="shared" si="37"/>
        <v/>
      </c>
      <c r="F118" s="22" t="str">
        <f t="shared" si="27"/>
        <v/>
      </c>
      <c r="G118" s="22" t="str">
        <f t="shared" si="38"/>
        <v/>
      </c>
      <c r="H118" t="str">
        <f t="shared" si="39"/>
        <v/>
      </c>
      <c r="I118" s="5" t="str">
        <f>IF($H118&lt;&gt;"",IF($D118="",DATE(YEAR($J$7),MONTH($J$7)+($A$1*($E118-1))+SUM($B$12:$B118),DAY($J$7)),$D118),"")</f>
        <v/>
      </c>
      <c r="J118" s="9" t="str">
        <f t="shared" si="28"/>
        <v/>
      </c>
      <c r="K118" s="3" t="str">
        <f t="shared" si="29"/>
        <v/>
      </c>
      <c r="L118" s="3" t="str">
        <f t="shared" si="40"/>
        <v/>
      </c>
      <c r="M118" s="3" t="str">
        <f t="shared" si="30"/>
        <v/>
      </c>
      <c r="N118" s="3" t="str">
        <f t="shared" si="31"/>
        <v/>
      </c>
      <c r="O118" s="8" t="str">
        <f t="shared" si="32"/>
        <v/>
      </c>
      <c r="P118" s="8" t="str">
        <f t="shared" si="33"/>
        <v/>
      </c>
      <c r="Q118" s="3" t="str">
        <f t="shared" si="34"/>
        <v/>
      </c>
      <c r="R118" s="3" t="str">
        <f t="shared" si="35"/>
        <v/>
      </c>
      <c r="S118" s="3" t="str">
        <f t="shared" si="36"/>
        <v/>
      </c>
      <c r="T118" s="3" t="str">
        <f t="shared" si="41"/>
        <v/>
      </c>
      <c r="U118" s="3" t="str">
        <f t="shared" si="26"/>
        <v/>
      </c>
      <c r="V118" s="3" t="str">
        <f>IF($H118&lt;&gt;"",IF($J118&gt;U$11,IF($J118&lt;V$11,$J118-U$11,30),0)*ROUND(($K118+$S117+SUM($U118:U118))*$Q$5/3000,2),"")</f>
        <v/>
      </c>
      <c r="W118" s="3"/>
      <c r="X118" s="3"/>
    </row>
    <row r="119" spans="4:24" x14ac:dyDescent="0.25">
      <c r="D119" s="5"/>
      <c r="E119" s="22" t="str">
        <f t="shared" si="37"/>
        <v/>
      </c>
      <c r="F119" s="22" t="str">
        <f t="shared" si="27"/>
        <v/>
      </c>
      <c r="G119" s="22" t="str">
        <f t="shared" si="38"/>
        <v/>
      </c>
      <c r="H119" t="str">
        <f t="shared" si="39"/>
        <v/>
      </c>
      <c r="I119" s="5" t="str">
        <f>IF($H119&lt;&gt;"",IF($D119="",DATE(YEAR($J$7),MONTH($J$7)+($A$1*($E119-1))+SUM($B$12:$B119),DAY($J$7)),$D119),"")</f>
        <v/>
      </c>
      <c r="J119" s="9" t="str">
        <f t="shared" si="28"/>
        <v/>
      </c>
      <c r="K119" s="3" t="str">
        <f t="shared" si="29"/>
        <v/>
      </c>
      <c r="L119" s="3" t="str">
        <f t="shared" si="40"/>
        <v/>
      </c>
      <c r="M119" s="3" t="str">
        <f t="shared" si="30"/>
        <v/>
      </c>
      <c r="N119" s="3" t="str">
        <f t="shared" si="31"/>
        <v/>
      </c>
      <c r="O119" s="8" t="str">
        <f t="shared" si="32"/>
        <v/>
      </c>
      <c r="P119" s="8" t="str">
        <f t="shared" si="33"/>
        <v/>
      </c>
      <c r="Q119" s="3" t="str">
        <f t="shared" si="34"/>
        <v/>
      </c>
      <c r="R119" s="3" t="str">
        <f t="shared" si="35"/>
        <v/>
      </c>
      <c r="S119" s="3" t="str">
        <f t="shared" si="36"/>
        <v/>
      </c>
      <c r="T119" s="3" t="str">
        <f t="shared" si="41"/>
        <v/>
      </c>
      <c r="U119" s="3" t="str">
        <f t="shared" si="26"/>
        <v/>
      </c>
      <c r="V119" s="3" t="str">
        <f>IF($H119&lt;&gt;"",IF($J119&gt;U$11,IF($J119&lt;V$11,$J119-U$11,30),0)*ROUND(($K119+$S118+SUM($U119:U119))*$Q$5/3000,2),"")</f>
        <v/>
      </c>
      <c r="W119" s="3"/>
      <c r="X119" s="3"/>
    </row>
    <row r="120" spans="4:24" x14ac:dyDescent="0.25">
      <c r="D120" s="5"/>
      <c r="E120" s="22" t="str">
        <f t="shared" si="37"/>
        <v/>
      </c>
      <c r="F120" s="22" t="str">
        <f t="shared" si="27"/>
        <v/>
      </c>
      <c r="G120" s="22" t="str">
        <f t="shared" si="38"/>
        <v/>
      </c>
      <c r="H120" t="str">
        <f t="shared" si="39"/>
        <v/>
      </c>
      <c r="I120" s="5" t="str">
        <f>IF($H120&lt;&gt;"",IF($D120="",DATE(YEAR($J$7),MONTH($J$7)+($A$1*($E120-1))+SUM($B$12:$B120),DAY($J$7)),$D120),"")</f>
        <v/>
      </c>
      <c r="J120" s="9" t="str">
        <f t="shared" si="28"/>
        <v/>
      </c>
      <c r="K120" s="3" t="str">
        <f t="shared" si="29"/>
        <v/>
      </c>
      <c r="L120" s="3" t="str">
        <f t="shared" si="40"/>
        <v/>
      </c>
      <c r="M120" s="3" t="str">
        <f t="shared" si="30"/>
        <v/>
      </c>
      <c r="N120" s="3" t="str">
        <f t="shared" si="31"/>
        <v/>
      </c>
      <c r="O120" s="8" t="str">
        <f t="shared" si="32"/>
        <v/>
      </c>
      <c r="P120" s="8" t="str">
        <f t="shared" si="33"/>
        <v/>
      </c>
      <c r="Q120" s="3" t="str">
        <f t="shared" si="34"/>
        <v/>
      </c>
      <c r="R120" s="3" t="str">
        <f t="shared" si="35"/>
        <v/>
      </c>
      <c r="S120" s="3" t="str">
        <f t="shared" si="36"/>
        <v/>
      </c>
      <c r="T120" s="3" t="str">
        <f t="shared" si="41"/>
        <v/>
      </c>
      <c r="U120" s="3" t="str">
        <f t="shared" si="26"/>
        <v/>
      </c>
      <c r="V120" s="3" t="str">
        <f>IF($H120&lt;&gt;"",IF($J120&gt;U$11,IF($J120&lt;V$11,$J120-U$11,30),0)*ROUND(($K120+$S119+SUM($U120:U120))*$Q$5/3000,2),"")</f>
        <v/>
      </c>
      <c r="W120" s="3"/>
      <c r="X120" s="3"/>
    </row>
    <row r="121" spans="4:24" x14ac:dyDescent="0.25">
      <c r="D121" s="5"/>
      <c r="E121" s="22" t="str">
        <f t="shared" si="37"/>
        <v/>
      </c>
      <c r="F121" s="22" t="str">
        <f t="shared" si="27"/>
        <v/>
      </c>
      <c r="G121" s="22" t="str">
        <f t="shared" si="38"/>
        <v/>
      </c>
      <c r="H121" t="str">
        <f t="shared" si="39"/>
        <v/>
      </c>
      <c r="I121" s="5" t="str">
        <f>IF($H121&lt;&gt;"",IF($D121="",DATE(YEAR($J$7),MONTH($J$7)+($A$1*($E121-1))+SUM($B$12:$B121),DAY($J$7)),$D121),"")</f>
        <v/>
      </c>
      <c r="J121" s="9" t="str">
        <f t="shared" si="28"/>
        <v/>
      </c>
      <c r="K121" s="3" t="str">
        <f t="shared" si="29"/>
        <v/>
      </c>
      <c r="L121" s="3" t="str">
        <f t="shared" si="40"/>
        <v/>
      </c>
      <c r="M121" s="3" t="str">
        <f t="shared" si="30"/>
        <v/>
      </c>
      <c r="N121" s="3" t="str">
        <f t="shared" si="31"/>
        <v/>
      </c>
      <c r="O121" s="8" t="str">
        <f t="shared" si="32"/>
        <v/>
      </c>
      <c r="P121" s="8" t="str">
        <f t="shared" si="33"/>
        <v/>
      </c>
      <c r="Q121" s="3" t="str">
        <f t="shared" si="34"/>
        <v/>
      </c>
      <c r="R121" s="3" t="str">
        <f t="shared" si="35"/>
        <v/>
      </c>
      <c r="S121" s="3" t="str">
        <f t="shared" si="36"/>
        <v/>
      </c>
      <c r="T121" s="3" t="str">
        <f t="shared" si="41"/>
        <v/>
      </c>
      <c r="U121" s="3" t="str">
        <f t="shared" si="26"/>
        <v/>
      </c>
      <c r="V121" s="3" t="str">
        <f>IF($H121&lt;&gt;"",IF($J121&gt;U$11,IF($J121&lt;V$11,$J121-U$11,30),0)*ROUND(($K121+$S120+SUM($U121:U121))*$Q$5/3000,2),"")</f>
        <v/>
      </c>
      <c r="W121" s="3"/>
      <c r="X121" s="3"/>
    </row>
    <row r="122" spans="4:24" x14ac:dyDescent="0.25">
      <c r="D122" s="5"/>
      <c r="E122" s="22" t="str">
        <f t="shared" si="37"/>
        <v/>
      </c>
      <c r="F122" s="22" t="str">
        <f t="shared" si="27"/>
        <v/>
      </c>
      <c r="G122" s="22" t="str">
        <f t="shared" si="38"/>
        <v/>
      </c>
      <c r="H122" t="str">
        <f t="shared" si="39"/>
        <v/>
      </c>
      <c r="I122" s="5" t="str">
        <f>IF($H122&lt;&gt;"",IF($D122="",DATE(YEAR($J$7),MONTH($J$7)+($A$1*($E122-1))+SUM($B$12:$B122),DAY($J$7)),$D122),"")</f>
        <v/>
      </c>
      <c r="J122" s="9" t="str">
        <f t="shared" si="28"/>
        <v/>
      </c>
      <c r="K122" s="3" t="str">
        <f t="shared" si="29"/>
        <v/>
      </c>
      <c r="L122" s="3" t="str">
        <f t="shared" si="40"/>
        <v/>
      </c>
      <c r="M122" s="3" t="str">
        <f t="shared" si="30"/>
        <v/>
      </c>
      <c r="N122" s="3" t="str">
        <f t="shared" si="31"/>
        <v/>
      </c>
      <c r="O122" s="8" t="str">
        <f t="shared" si="32"/>
        <v/>
      </c>
      <c r="P122" s="8" t="str">
        <f t="shared" si="33"/>
        <v/>
      </c>
      <c r="Q122" s="3" t="str">
        <f t="shared" si="34"/>
        <v/>
      </c>
      <c r="R122" s="3" t="str">
        <f t="shared" si="35"/>
        <v/>
      </c>
      <c r="S122" s="3" t="str">
        <f t="shared" si="36"/>
        <v/>
      </c>
      <c r="T122" s="3" t="str">
        <f t="shared" si="41"/>
        <v/>
      </c>
      <c r="U122" s="3" t="str">
        <f t="shared" si="26"/>
        <v/>
      </c>
      <c r="V122" s="3" t="str">
        <f>IF($H122&lt;&gt;"",IF($J122&gt;U$11,IF($J122&lt;V$11,$J122-U$11,30),0)*ROUND(($K122+$S121+SUM($U122:U122))*$Q$5/3000,2),"")</f>
        <v/>
      </c>
      <c r="W122" s="3"/>
      <c r="X122" s="3"/>
    </row>
    <row r="123" spans="4:24" x14ac:dyDescent="0.25">
      <c r="D123" s="5"/>
      <c r="E123" s="22" t="str">
        <f t="shared" si="37"/>
        <v/>
      </c>
      <c r="F123" s="22" t="str">
        <f t="shared" si="27"/>
        <v/>
      </c>
      <c r="G123" s="22" t="str">
        <f t="shared" si="38"/>
        <v/>
      </c>
      <c r="H123" t="str">
        <f t="shared" si="39"/>
        <v/>
      </c>
      <c r="I123" s="5" t="str">
        <f>IF($H123&lt;&gt;"",IF($D123="",DATE(YEAR($J$7),MONTH($J$7)+($A$1*($E123-1))+SUM($B$12:$B123),DAY($J$7)),$D123),"")</f>
        <v/>
      </c>
      <c r="J123" s="9" t="str">
        <f t="shared" si="28"/>
        <v/>
      </c>
      <c r="K123" s="3" t="str">
        <f t="shared" si="29"/>
        <v/>
      </c>
      <c r="L123" s="3" t="str">
        <f t="shared" si="40"/>
        <v/>
      </c>
      <c r="M123" s="3" t="str">
        <f t="shared" si="30"/>
        <v/>
      </c>
      <c r="N123" s="3" t="str">
        <f t="shared" si="31"/>
        <v/>
      </c>
      <c r="O123" s="8" t="str">
        <f t="shared" si="32"/>
        <v/>
      </c>
      <c r="P123" s="8" t="str">
        <f t="shared" si="33"/>
        <v/>
      </c>
      <c r="Q123" s="3" t="str">
        <f t="shared" si="34"/>
        <v/>
      </c>
      <c r="R123" s="3" t="str">
        <f t="shared" si="35"/>
        <v/>
      </c>
      <c r="S123" s="3" t="str">
        <f t="shared" si="36"/>
        <v/>
      </c>
      <c r="T123" s="3" t="str">
        <f t="shared" si="41"/>
        <v/>
      </c>
      <c r="U123" s="3" t="str">
        <f t="shared" si="26"/>
        <v/>
      </c>
      <c r="V123" s="3" t="str">
        <f>IF($H123&lt;&gt;"",IF($J123&gt;U$11,IF($J123&lt;V$11,$J123-U$11,30),0)*ROUND(($K123+$S122+SUM($U123:U123))*$Q$5/3000,2),"")</f>
        <v/>
      </c>
      <c r="W123" s="3"/>
      <c r="X123" s="3"/>
    </row>
    <row r="124" spans="4:24" x14ac:dyDescent="0.25">
      <c r="D124" s="5"/>
      <c r="E124" s="22" t="str">
        <f t="shared" si="37"/>
        <v/>
      </c>
      <c r="F124" s="22" t="str">
        <f t="shared" si="27"/>
        <v/>
      </c>
      <c r="G124" s="22" t="str">
        <f t="shared" si="38"/>
        <v/>
      </c>
      <c r="H124" t="str">
        <f t="shared" si="39"/>
        <v/>
      </c>
      <c r="I124" s="5" t="str">
        <f>IF($H124&lt;&gt;"",IF($D124="",DATE(YEAR($J$7),MONTH($J$7)+($A$1*($E124-1))+SUM($B$12:$B124),DAY($J$7)),$D124),"")</f>
        <v/>
      </c>
      <c r="J124" s="9" t="str">
        <f t="shared" si="28"/>
        <v/>
      </c>
      <c r="K124" s="3" t="str">
        <f t="shared" si="29"/>
        <v/>
      </c>
      <c r="L124" s="3" t="str">
        <f t="shared" si="40"/>
        <v/>
      </c>
      <c r="M124" s="3" t="str">
        <f t="shared" si="30"/>
        <v/>
      </c>
      <c r="N124" s="3" t="str">
        <f t="shared" si="31"/>
        <v/>
      </c>
      <c r="O124" s="8" t="str">
        <f t="shared" si="32"/>
        <v/>
      </c>
      <c r="P124" s="8" t="str">
        <f t="shared" si="33"/>
        <v/>
      </c>
      <c r="Q124" s="3" t="str">
        <f t="shared" si="34"/>
        <v/>
      </c>
      <c r="R124" s="3" t="str">
        <f t="shared" si="35"/>
        <v/>
      </c>
      <c r="S124" s="3" t="str">
        <f t="shared" si="36"/>
        <v/>
      </c>
      <c r="T124" s="3" t="str">
        <f t="shared" si="41"/>
        <v/>
      </c>
      <c r="U124" s="3" t="str">
        <f t="shared" si="26"/>
        <v/>
      </c>
      <c r="V124" s="3" t="str">
        <f>IF($H124&lt;&gt;"",IF($J124&gt;U$11,IF($J124&lt;V$11,$J124-U$11,30),0)*ROUND(($K124+$S123+SUM($U124:U124))*$Q$5/3000,2),"")</f>
        <v/>
      </c>
      <c r="W124" s="3"/>
      <c r="X124" s="3"/>
    </row>
    <row r="125" spans="4:24" x14ac:dyDescent="0.25">
      <c r="D125" s="5"/>
      <c r="E125" s="22" t="str">
        <f t="shared" si="37"/>
        <v/>
      </c>
      <c r="F125" s="22" t="str">
        <f t="shared" si="27"/>
        <v/>
      </c>
      <c r="G125" s="22" t="str">
        <f t="shared" si="38"/>
        <v/>
      </c>
      <c r="H125" t="str">
        <f t="shared" si="39"/>
        <v/>
      </c>
      <c r="I125" s="5" t="str">
        <f>IF($H125&lt;&gt;"",IF($D125="",DATE(YEAR($J$7),MONTH($J$7)+($A$1*($E125-1))+SUM($B$12:$B125),DAY($J$7)),$D125),"")</f>
        <v/>
      </c>
      <c r="J125" s="9" t="str">
        <f t="shared" si="28"/>
        <v/>
      </c>
      <c r="K125" s="3" t="str">
        <f t="shared" si="29"/>
        <v/>
      </c>
      <c r="L125" s="3" t="str">
        <f t="shared" si="40"/>
        <v/>
      </c>
      <c r="M125" s="3" t="str">
        <f t="shared" si="30"/>
        <v/>
      </c>
      <c r="N125" s="3" t="str">
        <f t="shared" si="31"/>
        <v/>
      </c>
      <c r="O125" s="8" t="str">
        <f t="shared" si="32"/>
        <v/>
      </c>
      <c r="P125" s="8" t="str">
        <f t="shared" si="33"/>
        <v/>
      </c>
      <c r="Q125" s="3" t="str">
        <f t="shared" si="34"/>
        <v/>
      </c>
      <c r="R125" s="3" t="str">
        <f t="shared" si="35"/>
        <v/>
      </c>
      <c r="S125" s="3" t="str">
        <f t="shared" si="36"/>
        <v/>
      </c>
      <c r="T125" s="3" t="str">
        <f t="shared" si="41"/>
        <v/>
      </c>
      <c r="U125" s="3" t="str">
        <f t="shared" si="26"/>
        <v/>
      </c>
      <c r="V125" s="3" t="str">
        <f>IF($H125&lt;&gt;"",IF($J125&gt;U$11,IF($J125&lt;V$11,$J125-U$11,30),0)*ROUND(($K125+$S124+SUM($U125:U125))*$Q$5/3000,2),"")</f>
        <v/>
      </c>
      <c r="W125" s="3"/>
      <c r="X125" s="3"/>
    </row>
    <row r="126" spans="4:24" x14ac:dyDescent="0.25">
      <c r="D126" s="5"/>
      <c r="E126" s="22" t="str">
        <f t="shared" si="37"/>
        <v/>
      </c>
      <c r="F126" s="22" t="str">
        <f t="shared" si="27"/>
        <v/>
      </c>
      <c r="G126" s="22" t="str">
        <f t="shared" si="38"/>
        <v/>
      </c>
      <c r="H126" t="str">
        <f t="shared" si="39"/>
        <v/>
      </c>
      <c r="I126" s="5" t="str">
        <f>IF($H126&lt;&gt;"",IF($D126="",DATE(YEAR($J$7),MONTH($J$7)+($A$1*($E126-1))+SUM($B$12:$B126),DAY($J$7)),$D126),"")</f>
        <v/>
      </c>
      <c r="J126" s="9" t="str">
        <f t="shared" si="28"/>
        <v/>
      </c>
      <c r="K126" s="3" t="str">
        <f t="shared" si="29"/>
        <v/>
      </c>
      <c r="L126" s="3" t="str">
        <f t="shared" si="40"/>
        <v/>
      </c>
      <c r="M126" s="3" t="str">
        <f t="shared" si="30"/>
        <v/>
      </c>
      <c r="N126" s="3" t="str">
        <f t="shared" si="31"/>
        <v/>
      </c>
      <c r="O126" s="8" t="str">
        <f t="shared" si="32"/>
        <v/>
      </c>
      <c r="P126" s="8" t="str">
        <f t="shared" si="33"/>
        <v/>
      </c>
      <c r="Q126" s="3" t="str">
        <f t="shared" si="34"/>
        <v/>
      </c>
      <c r="R126" s="3" t="str">
        <f t="shared" si="35"/>
        <v/>
      </c>
      <c r="S126" s="3" t="str">
        <f t="shared" si="36"/>
        <v/>
      </c>
      <c r="T126" s="3" t="str">
        <f t="shared" si="41"/>
        <v/>
      </c>
      <c r="U126" s="3" t="str">
        <f t="shared" si="26"/>
        <v/>
      </c>
      <c r="V126" s="3" t="str">
        <f>IF($H126&lt;&gt;"",IF($J126&gt;U$11,IF($J126&lt;V$11,$J126-U$11,30),0)*ROUND(($K126+$S125+SUM($U126:U126))*$Q$5/3000,2),"")</f>
        <v/>
      </c>
      <c r="W126" s="3"/>
      <c r="X126" s="3"/>
    </row>
    <row r="127" spans="4:24" x14ac:dyDescent="0.25">
      <c r="D127" s="5"/>
      <c r="E127" s="22" t="str">
        <f t="shared" si="37"/>
        <v/>
      </c>
      <c r="F127" s="22" t="str">
        <f t="shared" si="27"/>
        <v/>
      </c>
      <c r="G127" s="22" t="str">
        <f t="shared" si="38"/>
        <v/>
      </c>
      <c r="H127" t="str">
        <f t="shared" si="39"/>
        <v/>
      </c>
      <c r="I127" s="5" t="str">
        <f>IF($H127&lt;&gt;"",IF($D127="",DATE(YEAR($J$7),MONTH($J$7)+($A$1*($E127-1))+SUM($B$12:$B127),DAY($J$7)),$D127),"")</f>
        <v/>
      </c>
      <c r="J127" s="9" t="str">
        <f t="shared" si="28"/>
        <v/>
      </c>
      <c r="K127" s="3" t="str">
        <f t="shared" si="29"/>
        <v/>
      </c>
      <c r="L127" s="3" t="str">
        <f t="shared" si="40"/>
        <v/>
      </c>
      <c r="M127" s="3" t="str">
        <f t="shared" si="30"/>
        <v/>
      </c>
      <c r="N127" s="3" t="str">
        <f t="shared" si="31"/>
        <v/>
      </c>
      <c r="O127" s="8" t="str">
        <f t="shared" si="32"/>
        <v/>
      </c>
      <c r="P127" s="8" t="str">
        <f t="shared" si="33"/>
        <v/>
      </c>
      <c r="Q127" s="3" t="str">
        <f t="shared" si="34"/>
        <v/>
      </c>
      <c r="R127" s="3" t="str">
        <f t="shared" si="35"/>
        <v/>
      </c>
      <c r="S127" s="3" t="str">
        <f t="shared" si="36"/>
        <v/>
      </c>
      <c r="T127" s="3" t="str">
        <f t="shared" si="41"/>
        <v/>
      </c>
      <c r="U127" s="3" t="str">
        <f t="shared" si="26"/>
        <v/>
      </c>
      <c r="V127" s="3" t="str">
        <f>IF($H127&lt;&gt;"",IF($J127&gt;U$11,IF($J127&lt;V$11,$J127-U$11,30),0)*ROUND(($K127+$S126+SUM($U127:U127))*$Q$5/3000,2),"")</f>
        <v/>
      </c>
      <c r="W127" s="3"/>
      <c r="X127" s="3"/>
    </row>
    <row r="128" spans="4:24" x14ac:dyDescent="0.25">
      <c r="D128" s="5"/>
      <c r="E128" s="22" t="str">
        <f t="shared" si="37"/>
        <v/>
      </c>
      <c r="F128" s="22" t="str">
        <f t="shared" si="27"/>
        <v/>
      </c>
      <c r="G128" s="22" t="str">
        <f t="shared" si="38"/>
        <v/>
      </c>
      <c r="H128" t="str">
        <f t="shared" si="39"/>
        <v/>
      </c>
      <c r="I128" s="5" t="str">
        <f>IF($H128&lt;&gt;"",IF($D128="",DATE(YEAR($J$7),MONTH($J$7)+($A$1*($E128-1))+SUM($B$12:$B128),DAY($J$7)),$D128),"")</f>
        <v/>
      </c>
      <c r="J128" s="9" t="str">
        <f t="shared" si="28"/>
        <v/>
      </c>
      <c r="K128" s="3" t="str">
        <f t="shared" si="29"/>
        <v/>
      </c>
      <c r="L128" s="3" t="str">
        <f t="shared" si="40"/>
        <v/>
      </c>
      <c r="M128" s="3" t="str">
        <f t="shared" si="30"/>
        <v/>
      </c>
      <c r="N128" s="3" t="str">
        <f t="shared" si="31"/>
        <v/>
      </c>
      <c r="O128" s="8" t="str">
        <f t="shared" si="32"/>
        <v/>
      </c>
      <c r="P128" s="8" t="str">
        <f t="shared" si="33"/>
        <v/>
      </c>
      <c r="Q128" s="3" t="str">
        <f t="shared" si="34"/>
        <v/>
      </c>
      <c r="R128" s="3" t="str">
        <f t="shared" si="35"/>
        <v/>
      </c>
      <c r="S128" s="3" t="str">
        <f t="shared" si="36"/>
        <v/>
      </c>
      <c r="T128" s="3" t="str">
        <f t="shared" si="41"/>
        <v/>
      </c>
      <c r="U128" s="3" t="str">
        <f t="shared" si="26"/>
        <v/>
      </c>
      <c r="V128" s="3" t="str">
        <f>IF($H128&lt;&gt;"",IF($J128&gt;U$11,IF($J128&lt;V$11,$J128-U$11,30),0)*ROUND(($K128+$S127+SUM($U128:U128))*$Q$5/3000,2),"")</f>
        <v/>
      </c>
      <c r="W128" s="3"/>
      <c r="X128" s="3"/>
    </row>
    <row r="129" spans="4:24" x14ac:dyDescent="0.25">
      <c r="D129" s="5"/>
      <c r="E129" s="22" t="str">
        <f t="shared" si="37"/>
        <v/>
      </c>
      <c r="F129" s="22" t="str">
        <f t="shared" si="27"/>
        <v/>
      </c>
      <c r="G129" s="22" t="str">
        <f t="shared" si="38"/>
        <v/>
      </c>
      <c r="H129" t="str">
        <f t="shared" si="39"/>
        <v/>
      </c>
      <c r="I129" s="5" t="str">
        <f>IF($H129&lt;&gt;"",IF($D129="",DATE(YEAR($J$7),MONTH($J$7)+($A$1*($E129-1))+SUM($B$12:$B129),DAY($J$7)),$D129),"")</f>
        <v/>
      </c>
      <c r="J129" s="9" t="str">
        <f t="shared" si="28"/>
        <v/>
      </c>
      <c r="K129" s="3" t="str">
        <f t="shared" si="29"/>
        <v/>
      </c>
      <c r="L129" s="3" t="str">
        <f t="shared" si="40"/>
        <v/>
      </c>
      <c r="M129" s="3" t="str">
        <f t="shared" si="30"/>
        <v/>
      </c>
      <c r="N129" s="3" t="str">
        <f t="shared" si="31"/>
        <v/>
      </c>
      <c r="O129" s="8" t="str">
        <f t="shared" si="32"/>
        <v/>
      </c>
      <c r="P129" s="8" t="str">
        <f t="shared" si="33"/>
        <v/>
      </c>
      <c r="Q129" s="3" t="str">
        <f t="shared" si="34"/>
        <v/>
      </c>
      <c r="R129" s="3" t="str">
        <f t="shared" si="35"/>
        <v/>
      </c>
      <c r="S129" s="3" t="str">
        <f t="shared" si="36"/>
        <v/>
      </c>
      <c r="T129" s="3" t="str">
        <f t="shared" si="41"/>
        <v/>
      </c>
      <c r="U129" s="3" t="str">
        <f t="shared" si="26"/>
        <v/>
      </c>
      <c r="V129" s="3" t="str">
        <f>IF($H129&lt;&gt;"",IF($J129&gt;U$11,IF($J129&lt;V$11,$J129-U$11,30),0)*ROUND(($K129+$S128+SUM($U129:U129))*$Q$5/3000,2),"")</f>
        <v/>
      </c>
      <c r="W129" s="3"/>
      <c r="X129" s="3"/>
    </row>
    <row r="130" spans="4:24" x14ac:dyDescent="0.25">
      <c r="D130" s="5"/>
      <c r="E130" s="22" t="str">
        <f t="shared" si="37"/>
        <v/>
      </c>
      <c r="F130" s="22" t="str">
        <f t="shared" si="27"/>
        <v/>
      </c>
      <c r="G130" s="22" t="str">
        <f t="shared" si="38"/>
        <v/>
      </c>
      <c r="H130" t="str">
        <f t="shared" si="39"/>
        <v/>
      </c>
      <c r="I130" s="5" t="str">
        <f>IF($H130&lt;&gt;"",IF($D130="",DATE(YEAR($J$7),MONTH($J$7)+($A$1*($E130-1))+SUM($B$12:$B130),DAY($J$7)),$D130),"")</f>
        <v/>
      </c>
      <c r="J130" s="9" t="str">
        <f t="shared" si="28"/>
        <v/>
      </c>
      <c r="K130" s="3" t="str">
        <f t="shared" si="29"/>
        <v/>
      </c>
      <c r="L130" s="3" t="str">
        <f t="shared" si="40"/>
        <v/>
      </c>
      <c r="M130" s="3" t="str">
        <f t="shared" si="30"/>
        <v/>
      </c>
      <c r="N130" s="3" t="str">
        <f t="shared" si="31"/>
        <v/>
      </c>
      <c r="O130" s="8" t="str">
        <f t="shared" si="32"/>
        <v/>
      </c>
      <c r="P130" s="8" t="str">
        <f t="shared" si="33"/>
        <v/>
      </c>
      <c r="Q130" s="3" t="str">
        <f t="shared" si="34"/>
        <v/>
      </c>
      <c r="R130" s="3" t="str">
        <f t="shared" si="35"/>
        <v/>
      </c>
      <c r="S130" s="3" t="str">
        <f t="shared" si="36"/>
        <v/>
      </c>
      <c r="T130" s="3" t="str">
        <f t="shared" si="41"/>
        <v/>
      </c>
      <c r="U130" s="3" t="str">
        <f t="shared" si="26"/>
        <v/>
      </c>
      <c r="V130" s="3" t="str">
        <f>IF($H130&lt;&gt;"",IF($J130&gt;U$11,IF($J130&lt;V$11,$J130-U$11,30),0)*ROUND(($K130+$S129+SUM($U130:U130))*$Q$5/3000,2),"")</f>
        <v/>
      </c>
      <c r="W130" s="3"/>
      <c r="X130" s="3"/>
    </row>
    <row r="131" spans="4:24" x14ac:dyDescent="0.25">
      <c r="D131" s="5"/>
      <c r="E131" s="22" t="str">
        <f t="shared" si="37"/>
        <v/>
      </c>
      <c r="F131" s="22" t="str">
        <f t="shared" si="27"/>
        <v/>
      </c>
      <c r="G131" s="22" t="str">
        <f t="shared" si="38"/>
        <v/>
      </c>
      <c r="H131" t="str">
        <f t="shared" si="39"/>
        <v/>
      </c>
      <c r="I131" s="5" t="str">
        <f>IF($H131&lt;&gt;"",IF($D131="",DATE(YEAR($J$7),MONTH($J$7)+($A$1*($E131-1))+SUM($B$12:$B131),DAY($J$7)),$D131),"")</f>
        <v/>
      </c>
      <c r="J131" s="9" t="str">
        <f t="shared" si="28"/>
        <v/>
      </c>
      <c r="K131" s="3" t="str">
        <f t="shared" si="29"/>
        <v/>
      </c>
      <c r="L131" s="3" t="str">
        <f t="shared" si="40"/>
        <v/>
      </c>
      <c r="M131" s="3" t="str">
        <f t="shared" si="30"/>
        <v/>
      </c>
      <c r="N131" s="3" t="str">
        <f t="shared" si="31"/>
        <v/>
      </c>
      <c r="O131" s="8" t="str">
        <f t="shared" si="32"/>
        <v/>
      </c>
      <c r="P131" s="8" t="str">
        <f t="shared" si="33"/>
        <v/>
      </c>
      <c r="Q131" s="3" t="str">
        <f t="shared" si="34"/>
        <v/>
      </c>
      <c r="R131" s="3" t="str">
        <f t="shared" si="35"/>
        <v/>
      </c>
      <c r="S131" s="3" t="str">
        <f t="shared" si="36"/>
        <v/>
      </c>
      <c r="T131" s="3" t="str">
        <f t="shared" si="41"/>
        <v/>
      </c>
      <c r="U131" s="3" t="str">
        <f t="shared" si="26"/>
        <v/>
      </c>
      <c r="V131" s="3" t="str">
        <f>IF($H131&lt;&gt;"",IF($J131&gt;U$11,IF($J131&lt;V$11,$J131-U$11,30),0)*ROUND(($K131+$S130+SUM($U131:U131))*$Q$5/3000,2),"")</f>
        <v/>
      </c>
      <c r="W131" s="3"/>
      <c r="X131" s="3"/>
    </row>
    <row r="132" spans="4:24" x14ac:dyDescent="0.25">
      <c r="D132" s="5"/>
      <c r="E132" s="22" t="str">
        <f t="shared" si="37"/>
        <v/>
      </c>
      <c r="F132" s="22" t="str">
        <f t="shared" si="27"/>
        <v/>
      </c>
      <c r="G132" s="22" t="str">
        <f t="shared" si="38"/>
        <v/>
      </c>
      <c r="H132" t="str">
        <f t="shared" si="39"/>
        <v/>
      </c>
      <c r="I132" s="5" t="str">
        <f>IF($H132&lt;&gt;"",IF($D132="",DATE(YEAR($J$7),MONTH($J$7)+($A$1*($E132-1))+SUM($B$12:$B132),DAY($J$7)),$D132),"")</f>
        <v/>
      </c>
      <c r="J132" s="9" t="str">
        <f t="shared" si="28"/>
        <v/>
      </c>
      <c r="K132" s="3" t="str">
        <f t="shared" si="29"/>
        <v/>
      </c>
      <c r="L132" s="3" t="str">
        <f t="shared" si="40"/>
        <v/>
      </c>
      <c r="M132" s="3" t="str">
        <f t="shared" si="30"/>
        <v/>
      </c>
      <c r="N132" s="3" t="str">
        <f t="shared" si="31"/>
        <v/>
      </c>
      <c r="O132" s="8" t="str">
        <f t="shared" si="32"/>
        <v/>
      </c>
      <c r="P132" s="8" t="str">
        <f t="shared" si="33"/>
        <v/>
      </c>
      <c r="Q132" s="3" t="str">
        <f t="shared" si="34"/>
        <v/>
      </c>
      <c r="R132" s="3" t="str">
        <f t="shared" si="35"/>
        <v/>
      </c>
      <c r="S132" s="3" t="str">
        <f t="shared" si="36"/>
        <v/>
      </c>
      <c r="T132" s="3" t="str">
        <f t="shared" si="41"/>
        <v/>
      </c>
      <c r="U132" s="3" t="str">
        <f t="shared" si="26"/>
        <v/>
      </c>
      <c r="V132" s="3" t="str">
        <f>IF($H132&lt;&gt;"",IF($J132&gt;U$11,IF($J132&lt;V$11,$J132-U$11,30),0)*ROUND(($K132+$S131+SUM($U132:U132))*$Q$5/3000,2),"")</f>
        <v/>
      </c>
      <c r="W132" s="3"/>
      <c r="X132" s="3"/>
    </row>
    <row r="133" spans="4:24" x14ac:dyDescent="0.25">
      <c r="D133" s="5"/>
      <c r="E133" s="22" t="str">
        <f t="shared" si="37"/>
        <v/>
      </c>
      <c r="F133" s="22" t="str">
        <f t="shared" si="27"/>
        <v/>
      </c>
      <c r="G133" s="22" t="str">
        <f t="shared" si="38"/>
        <v/>
      </c>
      <c r="H133" t="str">
        <f t="shared" si="39"/>
        <v/>
      </c>
      <c r="I133" s="5" t="str">
        <f>IF($H133&lt;&gt;"",IF($D133="",DATE(YEAR($J$7),MONTH($J$7)+($A$1*($E133-1))+SUM($B$12:$B133),DAY($J$7)),$D133),"")</f>
        <v/>
      </c>
      <c r="J133" s="9" t="str">
        <f t="shared" si="28"/>
        <v/>
      </c>
      <c r="K133" s="3" t="str">
        <f t="shared" si="29"/>
        <v/>
      </c>
      <c r="L133" s="3" t="str">
        <f t="shared" si="40"/>
        <v/>
      </c>
      <c r="M133" s="3" t="str">
        <f t="shared" si="30"/>
        <v/>
      </c>
      <c r="N133" s="3" t="str">
        <f t="shared" si="31"/>
        <v/>
      </c>
      <c r="O133" s="8" t="str">
        <f t="shared" si="32"/>
        <v/>
      </c>
      <c r="P133" s="8" t="str">
        <f t="shared" si="33"/>
        <v/>
      </c>
      <c r="Q133" s="3" t="str">
        <f t="shared" si="34"/>
        <v/>
      </c>
      <c r="R133" s="3" t="str">
        <f t="shared" si="35"/>
        <v/>
      </c>
      <c r="S133" s="3" t="str">
        <f t="shared" si="36"/>
        <v/>
      </c>
      <c r="T133" s="3" t="str">
        <f t="shared" si="41"/>
        <v/>
      </c>
      <c r="U133" s="3" t="str">
        <f t="shared" si="26"/>
        <v/>
      </c>
      <c r="V133" s="3" t="str">
        <f>IF($H133&lt;&gt;"",IF($J133&gt;U$11,IF($J133&lt;V$11,$J133-U$11,30),0)*ROUND(($K133+$S132+SUM($U133:U133))*$Q$5/3000,2),"")</f>
        <v/>
      </c>
      <c r="W133" s="3"/>
      <c r="X133" s="3"/>
    </row>
    <row r="134" spans="4:24" x14ac:dyDescent="0.25">
      <c r="D134" s="5"/>
      <c r="E134" s="22" t="str">
        <f t="shared" si="37"/>
        <v/>
      </c>
      <c r="F134" s="22" t="str">
        <f t="shared" si="27"/>
        <v/>
      </c>
      <c r="G134" s="22" t="str">
        <f t="shared" si="38"/>
        <v/>
      </c>
      <c r="H134" t="str">
        <f t="shared" si="39"/>
        <v/>
      </c>
      <c r="I134" s="5" t="str">
        <f>IF($H134&lt;&gt;"",IF($D134="",DATE(YEAR($J$7),MONTH($J$7)+($A$1*($E134-1))+SUM($B$12:$B134),DAY($J$7)),$D134),"")</f>
        <v/>
      </c>
      <c r="J134" s="9" t="str">
        <f t="shared" si="28"/>
        <v/>
      </c>
      <c r="K134" s="3" t="str">
        <f t="shared" si="29"/>
        <v/>
      </c>
      <c r="L134" s="3" t="str">
        <f t="shared" si="40"/>
        <v/>
      </c>
      <c r="M134" s="3" t="str">
        <f t="shared" si="30"/>
        <v/>
      </c>
      <c r="N134" s="3" t="str">
        <f t="shared" si="31"/>
        <v/>
      </c>
      <c r="O134" s="8" t="str">
        <f t="shared" si="32"/>
        <v/>
      </c>
      <c r="P134" s="8" t="str">
        <f t="shared" si="33"/>
        <v/>
      </c>
      <c r="Q134" s="3" t="str">
        <f t="shared" si="34"/>
        <v/>
      </c>
      <c r="R134" s="3" t="str">
        <f t="shared" si="35"/>
        <v/>
      </c>
      <c r="S134" s="3" t="str">
        <f t="shared" si="36"/>
        <v/>
      </c>
      <c r="T134" s="3" t="str">
        <f t="shared" si="41"/>
        <v/>
      </c>
      <c r="U134" s="3" t="str">
        <f t="shared" si="26"/>
        <v/>
      </c>
      <c r="V134" s="3" t="str">
        <f>IF($H134&lt;&gt;"",IF($J134&gt;U$11,IF($J134&lt;V$11,$J134-U$11,30),0)*ROUND(($K134+$S133+SUM($U134:U134))*$Q$5/3000,2),"")</f>
        <v/>
      </c>
      <c r="W134" s="3"/>
      <c r="X134" s="3"/>
    </row>
    <row r="135" spans="4:24" x14ac:dyDescent="0.25">
      <c r="D135" s="5"/>
      <c r="E135" s="22" t="str">
        <f t="shared" si="37"/>
        <v/>
      </c>
      <c r="F135" s="22" t="str">
        <f t="shared" si="27"/>
        <v/>
      </c>
      <c r="G135" s="22" t="str">
        <f t="shared" si="38"/>
        <v/>
      </c>
      <c r="H135" t="str">
        <f t="shared" si="39"/>
        <v/>
      </c>
      <c r="I135" s="5" t="str">
        <f>IF($H135&lt;&gt;"",IF($D135="",DATE(YEAR($J$7),MONTH($J$7)+($A$1*($E135-1))+SUM($B$12:$B135),DAY($J$7)),$D135),"")</f>
        <v/>
      </c>
      <c r="J135" s="9" t="str">
        <f t="shared" si="28"/>
        <v/>
      </c>
      <c r="K135" s="3" t="str">
        <f t="shared" si="29"/>
        <v/>
      </c>
      <c r="L135" s="3" t="str">
        <f t="shared" si="40"/>
        <v/>
      </c>
      <c r="M135" s="3" t="str">
        <f t="shared" si="30"/>
        <v/>
      </c>
      <c r="N135" s="3" t="str">
        <f t="shared" si="31"/>
        <v/>
      </c>
      <c r="O135" s="8" t="str">
        <f t="shared" si="32"/>
        <v/>
      </c>
      <c r="P135" s="8" t="str">
        <f t="shared" si="33"/>
        <v/>
      </c>
      <c r="Q135" s="3" t="str">
        <f t="shared" si="34"/>
        <v/>
      </c>
      <c r="R135" s="3" t="str">
        <f t="shared" si="35"/>
        <v/>
      </c>
      <c r="S135" s="3" t="str">
        <f t="shared" si="36"/>
        <v/>
      </c>
      <c r="T135" s="3" t="str">
        <f t="shared" si="41"/>
        <v/>
      </c>
      <c r="U135" s="3" t="str">
        <f t="shared" si="26"/>
        <v/>
      </c>
      <c r="V135" s="3" t="str">
        <f>IF($H135&lt;&gt;"",IF($J135&gt;U$11,IF($J135&lt;V$11,$J135-U$11,30),0)*ROUND(($K135+$S134+SUM($U135:U135))*$Q$5/3000,2),"")</f>
        <v/>
      </c>
      <c r="W135" s="3"/>
      <c r="X135" s="3"/>
    </row>
    <row r="136" spans="4:24" x14ac:dyDescent="0.25">
      <c r="D136" s="5"/>
      <c r="E136" s="22" t="str">
        <f t="shared" si="37"/>
        <v/>
      </c>
      <c r="F136" s="22" t="str">
        <f t="shared" si="27"/>
        <v/>
      </c>
      <c r="G136" s="22" t="str">
        <f t="shared" si="38"/>
        <v/>
      </c>
      <c r="H136" t="str">
        <f t="shared" si="39"/>
        <v/>
      </c>
      <c r="I136" s="5" t="str">
        <f>IF($H136&lt;&gt;"",IF($D136="",DATE(YEAR($J$7),MONTH($J$7)+($A$1*($E136-1))+SUM($B$12:$B136),DAY($J$7)),$D136),"")</f>
        <v/>
      </c>
      <c r="J136" s="9" t="str">
        <f t="shared" si="28"/>
        <v/>
      </c>
      <c r="K136" s="3" t="str">
        <f t="shared" si="29"/>
        <v/>
      </c>
      <c r="L136" s="3" t="str">
        <f t="shared" si="40"/>
        <v/>
      </c>
      <c r="M136" s="3" t="str">
        <f t="shared" si="30"/>
        <v/>
      </c>
      <c r="N136" s="3" t="str">
        <f t="shared" si="31"/>
        <v/>
      </c>
      <c r="O136" s="8" t="str">
        <f t="shared" si="32"/>
        <v/>
      </c>
      <c r="P136" s="8" t="str">
        <f t="shared" si="33"/>
        <v/>
      </c>
      <c r="Q136" s="3" t="str">
        <f t="shared" si="34"/>
        <v/>
      </c>
      <c r="R136" s="3" t="str">
        <f t="shared" si="35"/>
        <v/>
      </c>
      <c r="S136" s="3" t="str">
        <f t="shared" si="36"/>
        <v/>
      </c>
      <c r="T136" s="3" t="str">
        <f t="shared" si="41"/>
        <v/>
      </c>
      <c r="U136" s="3" t="str">
        <f t="shared" si="26"/>
        <v/>
      </c>
      <c r="V136" s="3" t="str">
        <f>IF($H136&lt;&gt;"",IF($J136&gt;U$11,IF($J136&lt;V$11,$J136-U$11,30),0)*ROUND(($K136+$S135+SUM($U136:U136))*$Q$5/3000,2),"")</f>
        <v/>
      </c>
      <c r="W136" s="3"/>
      <c r="X136" s="3"/>
    </row>
    <row r="137" spans="4:24" x14ac:dyDescent="0.25">
      <c r="D137" s="5"/>
      <c r="E137" s="22" t="str">
        <f t="shared" si="37"/>
        <v/>
      </c>
      <c r="F137" s="22" t="str">
        <f t="shared" si="27"/>
        <v/>
      </c>
      <c r="G137" s="22" t="str">
        <f t="shared" si="38"/>
        <v/>
      </c>
      <c r="H137" t="str">
        <f t="shared" si="39"/>
        <v/>
      </c>
      <c r="I137" s="5" t="str">
        <f>IF($H137&lt;&gt;"",IF($D137="",DATE(YEAR($J$7),MONTH($J$7)+($A$1*($E137-1))+SUM($B$12:$B137),DAY($J$7)),$D137),"")</f>
        <v/>
      </c>
      <c r="J137" s="9" t="str">
        <f t="shared" si="28"/>
        <v/>
      </c>
      <c r="K137" s="3" t="str">
        <f t="shared" si="29"/>
        <v/>
      </c>
      <c r="L137" s="3" t="str">
        <f t="shared" si="40"/>
        <v/>
      </c>
      <c r="M137" s="3" t="str">
        <f t="shared" si="30"/>
        <v/>
      </c>
      <c r="N137" s="3" t="str">
        <f t="shared" si="31"/>
        <v/>
      </c>
      <c r="O137" s="8" t="str">
        <f t="shared" si="32"/>
        <v/>
      </c>
      <c r="P137" s="8" t="str">
        <f t="shared" si="33"/>
        <v/>
      </c>
      <c r="Q137" s="3" t="str">
        <f t="shared" si="34"/>
        <v/>
      </c>
      <c r="R137" s="3" t="str">
        <f t="shared" si="35"/>
        <v/>
      </c>
      <c r="S137" s="3" t="str">
        <f t="shared" si="36"/>
        <v/>
      </c>
      <c r="T137" s="3" t="str">
        <f t="shared" si="41"/>
        <v/>
      </c>
      <c r="U137" s="3" t="str">
        <f t="shared" si="26"/>
        <v/>
      </c>
      <c r="V137" s="3" t="str">
        <f>IF($H137&lt;&gt;"",IF($J137&gt;U$11,IF($J137&lt;V$11,$J137-U$11,30),0)*ROUND(($K137+$S136+SUM($U137:U137))*$Q$5/3000,2),"")</f>
        <v/>
      </c>
      <c r="W137" s="3"/>
      <c r="X137" s="3"/>
    </row>
    <row r="138" spans="4:24" x14ac:dyDescent="0.25">
      <c r="D138" s="5"/>
      <c r="E138" s="22" t="str">
        <f t="shared" si="37"/>
        <v/>
      </c>
      <c r="F138" s="22" t="str">
        <f t="shared" si="27"/>
        <v/>
      </c>
      <c r="G138" s="22" t="str">
        <f t="shared" si="38"/>
        <v/>
      </c>
      <c r="H138" t="str">
        <f t="shared" si="39"/>
        <v/>
      </c>
      <c r="I138" s="5" t="str">
        <f>IF($H138&lt;&gt;"",IF($D138="",DATE(YEAR($J$7),MONTH($J$7)+($A$1*($E138-1))+SUM($B$12:$B138),DAY($J$7)),$D138),"")</f>
        <v/>
      </c>
      <c r="J138" s="9" t="str">
        <f t="shared" si="28"/>
        <v/>
      </c>
      <c r="K138" s="3" t="str">
        <f t="shared" si="29"/>
        <v/>
      </c>
      <c r="L138" s="3" t="str">
        <f t="shared" si="40"/>
        <v/>
      </c>
      <c r="M138" s="3" t="str">
        <f t="shared" si="30"/>
        <v/>
      </c>
      <c r="N138" s="3" t="str">
        <f t="shared" si="31"/>
        <v/>
      </c>
      <c r="O138" s="8" t="str">
        <f t="shared" si="32"/>
        <v/>
      </c>
      <c r="P138" s="8" t="str">
        <f t="shared" si="33"/>
        <v/>
      </c>
      <c r="Q138" s="3" t="str">
        <f t="shared" si="34"/>
        <v/>
      </c>
      <c r="R138" s="3" t="str">
        <f t="shared" si="35"/>
        <v/>
      </c>
      <c r="S138" s="3" t="str">
        <f t="shared" si="36"/>
        <v/>
      </c>
      <c r="T138" s="3" t="str">
        <f t="shared" si="41"/>
        <v/>
      </c>
      <c r="U138" s="3" t="str">
        <f t="shared" si="26"/>
        <v/>
      </c>
      <c r="V138" s="3" t="str">
        <f>IF($H138&lt;&gt;"",IF($J138&gt;U$11,IF($J138&lt;V$11,$J138-U$11,30),0)*ROUND(($K138+$S137+SUM($U138:U138))*$Q$5/3000,2),"")</f>
        <v/>
      </c>
      <c r="W138" s="3"/>
      <c r="X138" s="3"/>
    </row>
    <row r="139" spans="4:24" x14ac:dyDescent="0.25">
      <c r="D139" s="5"/>
      <c r="E139" s="22" t="str">
        <f t="shared" si="37"/>
        <v/>
      </c>
      <c r="F139" s="22" t="str">
        <f t="shared" si="27"/>
        <v/>
      </c>
      <c r="G139" s="22" t="str">
        <f t="shared" si="38"/>
        <v/>
      </c>
      <c r="H139" t="str">
        <f t="shared" si="39"/>
        <v/>
      </c>
      <c r="I139" s="5" t="str">
        <f>IF($H139&lt;&gt;"",IF($D139="",DATE(YEAR($J$7),MONTH($J$7)+($A$1*($E139-1))+SUM($B$12:$B139),DAY($J$7)),$D139),"")</f>
        <v/>
      </c>
      <c r="J139" s="9" t="str">
        <f t="shared" si="28"/>
        <v/>
      </c>
      <c r="K139" s="3" t="str">
        <f t="shared" si="29"/>
        <v/>
      </c>
      <c r="L139" s="3" t="str">
        <f t="shared" si="40"/>
        <v/>
      </c>
      <c r="M139" s="3" t="str">
        <f t="shared" si="30"/>
        <v/>
      </c>
      <c r="N139" s="3" t="str">
        <f t="shared" si="31"/>
        <v/>
      </c>
      <c r="O139" s="8" t="str">
        <f t="shared" si="32"/>
        <v/>
      </c>
      <c r="P139" s="8" t="str">
        <f t="shared" si="33"/>
        <v/>
      </c>
      <c r="Q139" s="3" t="str">
        <f t="shared" si="34"/>
        <v/>
      </c>
      <c r="R139" s="3" t="str">
        <f t="shared" si="35"/>
        <v/>
      </c>
      <c r="S139" s="3" t="str">
        <f t="shared" si="36"/>
        <v/>
      </c>
      <c r="T139" s="3" t="str">
        <f t="shared" si="41"/>
        <v/>
      </c>
      <c r="U139" s="3" t="str">
        <f t="shared" si="26"/>
        <v/>
      </c>
      <c r="V139" s="3" t="str">
        <f>IF($H139&lt;&gt;"",IF($J139&gt;U$11,IF($J139&lt;V$11,$J139-U$11,30),0)*ROUND(($K139+$S138+SUM($U139:U139))*$Q$5/3000,2),"")</f>
        <v/>
      </c>
      <c r="W139" s="3"/>
      <c r="X139" s="3"/>
    </row>
    <row r="140" spans="4:24" x14ac:dyDescent="0.25">
      <c r="D140" s="5"/>
      <c r="E140" s="22" t="str">
        <f t="shared" ref="E140:E171" si="42">IF($H140&lt;&gt;"",IF($A140="Prepago",$E139,$E139+1),"")</f>
        <v/>
      </c>
      <c r="F140" s="22" t="str">
        <f t="shared" si="27"/>
        <v/>
      </c>
      <c r="G140" s="22" t="str">
        <f t="shared" ref="G140:G171" si="43">IF(H140&lt;&gt;"",IF(COUNTA($U140:$XFD140)*30&lt;$J140,1,0),"")</f>
        <v/>
      </c>
      <c r="H140" t="str">
        <f t="shared" ref="H140:H171" si="44">IF($H139&lt;NCUOTAS+CUOTAADICIONAL+PGRACIA,$H139+1,"")</f>
        <v/>
      </c>
      <c r="I140" s="5" t="str">
        <f>IF($H140&lt;&gt;"",IF($D140="",DATE(YEAR($J$7),MONTH($J$7)+($A$1*($E140-1))+SUM($B$12:$B140),DAY($J$7)),$D140),"")</f>
        <v/>
      </c>
      <c r="J140" s="9" t="str">
        <f t="shared" si="28"/>
        <v/>
      </c>
      <c r="K140" s="3" t="str">
        <f t="shared" si="29"/>
        <v/>
      </c>
      <c r="L140" s="3" t="str">
        <f t="shared" ref="L140:L171" si="45">IF($H140&lt;&gt;"",IF($A140="Gracia Parcial",$T140+$O140+$P140+$Q140,IF($A140="Gracia Total",0,IF($A140="Prepago",$C140,IF(ISNUMBER($C140),$C140*VALUE(MID($C$1,MONTH($I140),1)),$M$6*VALUE(MID($C$1,MONTH($I140),1))))))-IF($H141="",ARREGLO,0),"")</f>
        <v/>
      </c>
      <c r="M140" s="3" t="str">
        <f t="shared" si="30"/>
        <v/>
      </c>
      <c r="N140" s="3" t="str">
        <f t="shared" si="31"/>
        <v/>
      </c>
      <c r="O140" s="8" t="str">
        <f t="shared" si="32"/>
        <v/>
      </c>
      <c r="P140" s="8" t="str">
        <f t="shared" si="33"/>
        <v/>
      </c>
      <c r="Q140" s="3" t="str">
        <f t="shared" si="34"/>
        <v/>
      </c>
      <c r="R140" s="3" t="str">
        <f t="shared" si="35"/>
        <v/>
      </c>
      <c r="S140" s="3" t="str">
        <f t="shared" si="36"/>
        <v/>
      </c>
      <c r="T140" s="3" t="str">
        <f t="shared" ref="T140:T171" si="46">IF($H140&lt;&gt;"",SUM($U140:$XFD140),"")</f>
        <v/>
      </c>
      <c r="U140" s="3" t="str">
        <f t="shared" ref="U140:U203" si="47">IF($H140&lt;&gt;"",IF($J140&gt;U$11,30,$J140)*ROUND(($K140+$S139)*$Q$5/3000,2),"")</f>
        <v/>
      </c>
      <c r="V140" s="3" t="str">
        <f>IF($H140&lt;&gt;"",IF($J140&gt;U$11,IF($J140&lt;V$11,$J140-U$11,30),0)*ROUND(($K140+$S139+SUM($U140:U140))*$Q$5/3000,2),"")</f>
        <v/>
      </c>
      <c r="W140" s="3"/>
      <c r="X140" s="3"/>
    </row>
    <row r="141" spans="4:24" x14ac:dyDescent="0.25">
      <c r="D141" s="5"/>
      <c r="E141" s="22" t="str">
        <f t="shared" si="42"/>
        <v/>
      </c>
      <c r="F141" s="22" t="str">
        <f t="shared" ref="F141:F204" si="48">IF($H141&lt;&gt;"",IF(ISNUMBER($C141),-$M141+$T141-$N141,ABS($T141)+$O141+$P141+$Q141),"")</f>
        <v/>
      </c>
      <c r="G141" s="22" t="str">
        <f t="shared" si="43"/>
        <v/>
      </c>
      <c r="H141" t="str">
        <f t="shared" si="44"/>
        <v/>
      </c>
      <c r="I141" s="5" t="str">
        <f>IF($H141&lt;&gt;"",IF($D141="",DATE(YEAR($J$7),MONTH($J$7)+($A$1*($E141-1))+SUM($B$12:$B141),DAY($J$7)),$D141),"")</f>
        <v/>
      </c>
      <c r="J141" s="9" t="str">
        <f t="shared" ref="J141:J204" si="49">IF($H141&lt;&gt;"",$I141-$I140,"")</f>
        <v/>
      </c>
      <c r="K141" s="3" t="str">
        <f t="shared" ref="K141:K204" si="50">IF($H141&lt;&gt;"",$R140,"")</f>
        <v/>
      </c>
      <c r="L141" s="3" t="str">
        <f t="shared" si="45"/>
        <v/>
      </c>
      <c r="M141" s="3" t="str">
        <f t="shared" ref="M141:M204" si="51">IF($H141&lt;&gt;"",IF($L141-$N141&gt;0,$L141-$N141-$O141-$P141-$Q141,0),"")</f>
        <v/>
      </c>
      <c r="N141" s="3" t="str">
        <f t="shared" ref="N141:N204" si="52">IF($H141&lt;&gt;"",IF($L141&gt;=$T141+$S140+$O141+$P141+$Q141,$T141+$S140,$L141-$O141-$P141-$Q141),"")</f>
        <v/>
      </c>
      <c r="O141" s="8" t="str">
        <f t="shared" ref="O141:O204" si="53">IF($H141&lt;&gt;"",IF($A141="Prepago",0,$P$6+$P$6*$B141),"")</f>
        <v/>
      </c>
      <c r="P141" s="8" t="str">
        <f t="shared" ref="P141:P204" si="54">IF($H141&lt;&gt;"",IF($A141="Prepago",0,$P$7+$P$7*$B141),"")</f>
        <v/>
      </c>
      <c r="Q141" s="3" t="str">
        <f t="shared" ref="Q141:Q204" si="55">IF($H141&lt;&gt;"",IF($A141="Prepago",0,$P$8+$P$8*$B141),"")</f>
        <v/>
      </c>
      <c r="R141" s="3" t="str">
        <f t="shared" ref="R141:R204" si="56">IF($H141&lt;&gt;"",$K141-$M141,"")</f>
        <v/>
      </c>
      <c r="S141" s="3" t="str">
        <f t="shared" ref="S141:S204" si="57">IF($H141&lt;&gt;"",+$S140+SUM($U141:$CC141)-$N141,"")</f>
        <v/>
      </c>
      <c r="T141" s="3" t="str">
        <f t="shared" si="46"/>
        <v/>
      </c>
      <c r="U141" s="3" t="str">
        <f t="shared" si="47"/>
        <v/>
      </c>
      <c r="V141" s="3" t="str">
        <f>IF($H141&lt;&gt;"",IF($J141&gt;U$11,IF($J141&lt;V$11,$J141-U$11,30),0)*ROUND(($K141+$S140+SUM($U141:U141))*$Q$5/3000,2),"")</f>
        <v/>
      </c>
      <c r="W141" s="3"/>
      <c r="X141" s="3"/>
    </row>
    <row r="142" spans="4:24" x14ac:dyDescent="0.25">
      <c r="D142" s="5"/>
      <c r="E142" s="22" t="str">
        <f t="shared" si="42"/>
        <v/>
      </c>
      <c r="F142" s="22" t="str">
        <f t="shared" si="48"/>
        <v/>
      </c>
      <c r="G142" s="22" t="str">
        <f t="shared" si="43"/>
        <v/>
      </c>
      <c r="H142" t="str">
        <f t="shared" si="44"/>
        <v/>
      </c>
      <c r="I142" s="5" t="str">
        <f>IF($H142&lt;&gt;"",IF($D142="",DATE(YEAR($J$7),MONTH($J$7)+($A$1*($E142-1))+SUM($B$12:$B142),DAY($J$7)),$D142),"")</f>
        <v/>
      </c>
      <c r="J142" s="9" t="str">
        <f t="shared" si="49"/>
        <v/>
      </c>
      <c r="K142" s="3" t="str">
        <f t="shared" si="50"/>
        <v/>
      </c>
      <c r="L142" s="3" t="str">
        <f t="shared" si="45"/>
        <v/>
      </c>
      <c r="M142" s="3" t="str">
        <f t="shared" si="51"/>
        <v/>
      </c>
      <c r="N142" s="3" t="str">
        <f t="shared" si="52"/>
        <v/>
      </c>
      <c r="O142" s="8" t="str">
        <f t="shared" si="53"/>
        <v/>
      </c>
      <c r="P142" s="8" t="str">
        <f t="shared" si="54"/>
        <v/>
      </c>
      <c r="Q142" s="3" t="str">
        <f t="shared" si="55"/>
        <v/>
      </c>
      <c r="R142" s="3" t="str">
        <f t="shared" si="56"/>
        <v/>
      </c>
      <c r="S142" s="3" t="str">
        <f t="shared" si="57"/>
        <v/>
      </c>
      <c r="T142" s="3" t="str">
        <f t="shared" si="46"/>
        <v/>
      </c>
      <c r="U142" s="3" t="str">
        <f t="shared" si="47"/>
        <v/>
      </c>
      <c r="V142" s="3" t="str">
        <f>IF($H142&lt;&gt;"",IF($J142&gt;U$11,IF($J142&lt;V$11,$J142-U$11,30),0)*ROUND(($K142+$S141+SUM($U142:U142))*$Q$5/3000,2),"")</f>
        <v/>
      </c>
      <c r="W142" s="3"/>
      <c r="X142" s="3"/>
    </row>
    <row r="143" spans="4:24" x14ac:dyDescent="0.25">
      <c r="D143" s="5"/>
      <c r="E143" s="22" t="str">
        <f t="shared" si="42"/>
        <v/>
      </c>
      <c r="F143" s="22" t="str">
        <f t="shared" si="48"/>
        <v/>
      </c>
      <c r="G143" s="22" t="str">
        <f t="shared" si="43"/>
        <v/>
      </c>
      <c r="H143" t="str">
        <f t="shared" si="44"/>
        <v/>
      </c>
      <c r="I143" s="5" t="str">
        <f>IF($H143&lt;&gt;"",IF($D143="",DATE(YEAR($J$7),MONTH($J$7)+($A$1*($E143-1))+SUM($B$12:$B143),DAY($J$7)),$D143),"")</f>
        <v/>
      </c>
      <c r="J143" s="9" t="str">
        <f t="shared" si="49"/>
        <v/>
      </c>
      <c r="K143" s="3" t="str">
        <f t="shared" si="50"/>
        <v/>
      </c>
      <c r="L143" s="3" t="str">
        <f t="shared" si="45"/>
        <v/>
      </c>
      <c r="M143" s="3" t="str">
        <f t="shared" si="51"/>
        <v/>
      </c>
      <c r="N143" s="3" t="str">
        <f t="shared" si="52"/>
        <v/>
      </c>
      <c r="O143" s="8" t="str">
        <f t="shared" si="53"/>
        <v/>
      </c>
      <c r="P143" s="8" t="str">
        <f t="shared" si="54"/>
        <v/>
      </c>
      <c r="Q143" s="3" t="str">
        <f t="shared" si="55"/>
        <v/>
      </c>
      <c r="R143" s="3" t="str">
        <f t="shared" si="56"/>
        <v/>
      </c>
      <c r="S143" s="3" t="str">
        <f t="shared" si="57"/>
        <v/>
      </c>
      <c r="T143" s="3" t="str">
        <f t="shared" si="46"/>
        <v/>
      </c>
      <c r="U143" s="3" t="str">
        <f t="shared" si="47"/>
        <v/>
      </c>
      <c r="V143" s="3" t="str">
        <f>IF($H143&lt;&gt;"",IF($J143&gt;U$11,IF($J143&lt;V$11,$J143-U$11,30),0)*ROUND(($K143+$S142+SUM($U143:U143))*$Q$5/3000,2),"")</f>
        <v/>
      </c>
      <c r="W143" s="3"/>
      <c r="X143" s="3"/>
    </row>
    <row r="144" spans="4:24" x14ac:dyDescent="0.25">
      <c r="D144" s="5"/>
      <c r="E144" s="22" t="str">
        <f t="shared" si="42"/>
        <v/>
      </c>
      <c r="F144" s="22" t="str">
        <f t="shared" si="48"/>
        <v/>
      </c>
      <c r="G144" s="22" t="str">
        <f t="shared" si="43"/>
        <v/>
      </c>
      <c r="H144" t="str">
        <f t="shared" si="44"/>
        <v/>
      </c>
      <c r="I144" s="5" t="str">
        <f>IF($H144&lt;&gt;"",IF($D144="",DATE(YEAR($J$7),MONTH($J$7)+($A$1*($E144-1))+SUM($B$12:$B144),DAY($J$7)),$D144),"")</f>
        <v/>
      </c>
      <c r="J144" s="9" t="str">
        <f t="shared" si="49"/>
        <v/>
      </c>
      <c r="K144" s="3" t="str">
        <f t="shared" si="50"/>
        <v/>
      </c>
      <c r="L144" s="3" t="str">
        <f t="shared" si="45"/>
        <v/>
      </c>
      <c r="M144" s="3" t="str">
        <f t="shared" si="51"/>
        <v/>
      </c>
      <c r="N144" s="3" t="str">
        <f t="shared" si="52"/>
        <v/>
      </c>
      <c r="O144" s="8" t="str">
        <f t="shared" si="53"/>
        <v/>
      </c>
      <c r="P144" s="8" t="str">
        <f t="shared" si="54"/>
        <v/>
      </c>
      <c r="Q144" s="3" t="str">
        <f t="shared" si="55"/>
        <v/>
      </c>
      <c r="R144" s="3" t="str">
        <f t="shared" si="56"/>
        <v/>
      </c>
      <c r="S144" s="3" t="str">
        <f t="shared" si="57"/>
        <v/>
      </c>
      <c r="T144" s="3" t="str">
        <f t="shared" si="46"/>
        <v/>
      </c>
      <c r="U144" s="3" t="str">
        <f t="shared" si="47"/>
        <v/>
      </c>
      <c r="V144" s="3" t="str">
        <f>IF($H144&lt;&gt;"",IF($J144&gt;U$11,IF($J144&lt;V$11,$J144-U$11,30),0)*ROUND(($K144+$S143+SUM($U144:U144))*$Q$5/3000,2),"")</f>
        <v/>
      </c>
      <c r="W144" s="3"/>
      <c r="X144" s="3"/>
    </row>
    <row r="145" spans="4:24" x14ac:dyDescent="0.25">
      <c r="D145" s="5"/>
      <c r="E145" s="22" t="str">
        <f t="shared" si="42"/>
        <v/>
      </c>
      <c r="F145" s="22" t="str">
        <f t="shared" si="48"/>
        <v/>
      </c>
      <c r="G145" s="22" t="str">
        <f t="shared" si="43"/>
        <v/>
      </c>
      <c r="H145" t="str">
        <f t="shared" si="44"/>
        <v/>
      </c>
      <c r="I145" s="5" t="str">
        <f>IF($H145&lt;&gt;"",IF($D145="",DATE(YEAR($J$7),MONTH($J$7)+($A$1*($E145-1))+SUM($B$12:$B145),DAY($J$7)),$D145),"")</f>
        <v/>
      </c>
      <c r="J145" s="9" t="str">
        <f t="shared" si="49"/>
        <v/>
      </c>
      <c r="K145" s="3" t="str">
        <f t="shared" si="50"/>
        <v/>
      </c>
      <c r="L145" s="3" t="str">
        <f t="shared" si="45"/>
        <v/>
      </c>
      <c r="M145" s="3" t="str">
        <f t="shared" si="51"/>
        <v/>
      </c>
      <c r="N145" s="3" t="str">
        <f t="shared" si="52"/>
        <v/>
      </c>
      <c r="O145" s="8" t="str">
        <f t="shared" si="53"/>
        <v/>
      </c>
      <c r="P145" s="8" t="str">
        <f t="shared" si="54"/>
        <v/>
      </c>
      <c r="Q145" s="3" t="str">
        <f t="shared" si="55"/>
        <v/>
      </c>
      <c r="R145" s="3" t="str">
        <f t="shared" si="56"/>
        <v/>
      </c>
      <c r="S145" s="3" t="str">
        <f t="shared" si="57"/>
        <v/>
      </c>
      <c r="T145" s="3" t="str">
        <f t="shared" si="46"/>
        <v/>
      </c>
      <c r="U145" s="3" t="str">
        <f t="shared" si="47"/>
        <v/>
      </c>
      <c r="V145" s="3" t="str">
        <f>IF($H145&lt;&gt;"",IF($J145&gt;U$11,IF($J145&lt;V$11,$J145-U$11,30),0)*ROUND(($K145+$S144+SUM($U145:U145))*$Q$5/3000,2),"")</f>
        <v/>
      </c>
      <c r="W145" s="3"/>
      <c r="X145" s="3"/>
    </row>
    <row r="146" spans="4:24" x14ac:dyDescent="0.25">
      <c r="D146" s="5"/>
      <c r="E146" s="22" t="str">
        <f t="shared" si="42"/>
        <v/>
      </c>
      <c r="F146" s="22" t="str">
        <f t="shared" si="48"/>
        <v/>
      </c>
      <c r="G146" s="22" t="str">
        <f t="shared" si="43"/>
        <v/>
      </c>
      <c r="H146" t="str">
        <f t="shared" si="44"/>
        <v/>
      </c>
      <c r="I146" s="5" t="str">
        <f>IF($H146&lt;&gt;"",IF($D146="",DATE(YEAR($J$7),MONTH($J$7)+($A$1*($E146-1))+SUM($B$12:$B146),DAY($J$7)),$D146),"")</f>
        <v/>
      </c>
      <c r="J146" s="9" t="str">
        <f t="shared" si="49"/>
        <v/>
      </c>
      <c r="K146" s="3" t="str">
        <f t="shared" si="50"/>
        <v/>
      </c>
      <c r="L146" s="3" t="str">
        <f t="shared" si="45"/>
        <v/>
      </c>
      <c r="M146" s="3" t="str">
        <f t="shared" si="51"/>
        <v/>
      </c>
      <c r="N146" s="3" t="str">
        <f t="shared" si="52"/>
        <v/>
      </c>
      <c r="O146" s="8" t="str">
        <f t="shared" si="53"/>
        <v/>
      </c>
      <c r="P146" s="8" t="str">
        <f t="shared" si="54"/>
        <v/>
      </c>
      <c r="Q146" s="3" t="str">
        <f t="shared" si="55"/>
        <v/>
      </c>
      <c r="R146" s="3" t="str">
        <f t="shared" si="56"/>
        <v/>
      </c>
      <c r="S146" s="3" t="str">
        <f t="shared" si="57"/>
        <v/>
      </c>
      <c r="T146" s="3" t="str">
        <f t="shared" si="46"/>
        <v/>
      </c>
      <c r="U146" s="3" t="str">
        <f t="shared" si="47"/>
        <v/>
      </c>
      <c r="V146" s="3" t="str">
        <f>IF($H146&lt;&gt;"",IF($J146&gt;U$11,IF($J146&lt;V$11,$J146-U$11,30),0)*ROUND(($K146+$S145+SUM($U146:U146))*$Q$5/3000,2),"")</f>
        <v/>
      </c>
      <c r="W146" s="3"/>
      <c r="X146" s="3"/>
    </row>
    <row r="147" spans="4:24" x14ac:dyDescent="0.25">
      <c r="D147" s="5"/>
      <c r="E147" s="22" t="str">
        <f t="shared" si="42"/>
        <v/>
      </c>
      <c r="F147" s="22" t="str">
        <f t="shared" si="48"/>
        <v/>
      </c>
      <c r="G147" s="22" t="str">
        <f t="shared" si="43"/>
        <v/>
      </c>
      <c r="H147" t="str">
        <f t="shared" si="44"/>
        <v/>
      </c>
      <c r="I147" s="5" t="str">
        <f>IF($H147&lt;&gt;"",IF($D147="",DATE(YEAR($J$7),MONTH($J$7)+($A$1*($E147-1))+SUM($B$12:$B147),DAY($J$7)),$D147),"")</f>
        <v/>
      </c>
      <c r="J147" s="9" t="str">
        <f t="shared" si="49"/>
        <v/>
      </c>
      <c r="K147" s="3" t="str">
        <f t="shared" si="50"/>
        <v/>
      </c>
      <c r="L147" s="3" t="str">
        <f t="shared" si="45"/>
        <v/>
      </c>
      <c r="M147" s="3" t="str">
        <f t="shared" si="51"/>
        <v/>
      </c>
      <c r="N147" s="3" t="str">
        <f t="shared" si="52"/>
        <v/>
      </c>
      <c r="O147" s="8" t="str">
        <f t="shared" si="53"/>
        <v/>
      </c>
      <c r="P147" s="8" t="str">
        <f t="shared" si="54"/>
        <v/>
      </c>
      <c r="Q147" s="3" t="str">
        <f t="shared" si="55"/>
        <v/>
      </c>
      <c r="R147" s="3" t="str">
        <f t="shared" si="56"/>
        <v/>
      </c>
      <c r="S147" s="3" t="str">
        <f t="shared" si="57"/>
        <v/>
      </c>
      <c r="T147" s="3" t="str">
        <f t="shared" si="46"/>
        <v/>
      </c>
      <c r="U147" s="3" t="str">
        <f t="shared" si="47"/>
        <v/>
      </c>
      <c r="V147" s="3" t="str">
        <f>IF($H147&lt;&gt;"",IF($J147&gt;U$11,IF($J147&lt;V$11,$J147-U$11,30),0)*ROUND(($K147+$S146+SUM($U147:U147))*$Q$5/3000,2),"")</f>
        <v/>
      </c>
      <c r="W147" s="3"/>
      <c r="X147" s="3"/>
    </row>
    <row r="148" spans="4:24" x14ac:dyDescent="0.25">
      <c r="D148" s="5"/>
      <c r="E148" s="22" t="str">
        <f t="shared" si="42"/>
        <v/>
      </c>
      <c r="F148" s="22" t="str">
        <f t="shared" si="48"/>
        <v/>
      </c>
      <c r="G148" s="22" t="str">
        <f t="shared" si="43"/>
        <v/>
      </c>
      <c r="H148" t="str">
        <f t="shared" si="44"/>
        <v/>
      </c>
      <c r="I148" s="5" t="str">
        <f>IF($H148&lt;&gt;"",IF($D148="",DATE(YEAR($J$7),MONTH($J$7)+($A$1*($E148-1))+SUM($B$12:$B148),DAY($J$7)),$D148),"")</f>
        <v/>
      </c>
      <c r="J148" s="9" t="str">
        <f t="shared" si="49"/>
        <v/>
      </c>
      <c r="K148" s="3" t="str">
        <f t="shared" si="50"/>
        <v/>
      </c>
      <c r="L148" s="3" t="str">
        <f t="shared" si="45"/>
        <v/>
      </c>
      <c r="M148" s="3" t="str">
        <f t="shared" si="51"/>
        <v/>
      </c>
      <c r="N148" s="3" t="str">
        <f t="shared" si="52"/>
        <v/>
      </c>
      <c r="O148" s="8" t="str">
        <f t="shared" si="53"/>
        <v/>
      </c>
      <c r="P148" s="8" t="str">
        <f t="shared" si="54"/>
        <v/>
      </c>
      <c r="Q148" s="3" t="str">
        <f t="shared" si="55"/>
        <v/>
      </c>
      <c r="R148" s="3" t="str">
        <f t="shared" si="56"/>
        <v/>
      </c>
      <c r="S148" s="3" t="str">
        <f t="shared" si="57"/>
        <v/>
      </c>
      <c r="T148" s="3" t="str">
        <f t="shared" si="46"/>
        <v/>
      </c>
      <c r="U148" s="3" t="str">
        <f t="shared" si="47"/>
        <v/>
      </c>
      <c r="V148" s="3" t="str">
        <f>IF($H148&lt;&gt;"",IF($J148&gt;U$11,IF($J148&lt;V$11,$J148-U$11,30),0)*ROUND(($K148+$S147+SUM($U148:U148))*$Q$5/3000,2),"")</f>
        <v/>
      </c>
      <c r="W148" s="3"/>
      <c r="X148" s="3"/>
    </row>
    <row r="149" spans="4:24" x14ac:dyDescent="0.25">
      <c r="D149" s="5"/>
      <c r="E149" s="22" t="str">
        <f t="shared" si="42"/>
        <v/>
      </c>
      <c r="F149" s="22" t="str">
        <f t="shared" si="48"/>
        <v/>
      </c>
      <c r="G149" s="22" t="str">
        <f t="shared" si="43"/>
        <v/>
      </c>
      <c r="H149" t="str">
        <f t="shared" si="44"/>
        <v/>
      </c>
      <c r="I149" s="5" t="str">
        <f>IF($H149&lt;&gt;"",IF($D149="",DATE(YEAR($J$7),MONTH($J$7)+($A$1*($E149-1))+SUM($B$12:$B149),DAY($J$7)),$D149),"")</f>
        <v/>
      </c>
      <c r="J149" s="9" t="str">
        <f t="shared" si="49"/>
        <v/>
      </c>
      <c r="K149" s="3" t="str">
        <f t="shared" si="50"/>
        <v/>
      </c>
      <c r="L149" s="3" t="str">
        <f t="shared" si="45"/>
        <v/>
      </c>
      <c r="M149" s="3" t="str">
        <f t="shared" si="51"/>
        <v/>
      </c>
      <c r="N149" s="3" t="str">
        <f t="shared" si="52"/>
        <v/>
      </c>
      <c r="O149" s="8" t="str">
        <f t="shared" si="53"/>
        <v/>
      </c>
      <c r="P149" s="8" t="str">
        <f t="shared" si="54"/>
        <v/>
      </c>
      <c r="Q149" s="3" t="str">
        <f t="shared" si="55"/>
        <v/>
      </c>
      <c r="R149" s="3" t="str">
        <f t="shared" si="56"/>
        <v/>
      </c>
      <c r="S149" s="3" t="str">
        <f t="shared" si="57"/>
        <v/>
      </c>
      <c r="T149" s="3" t="str">
        <f t="shared" si="46"/>
        <v/>
      </c>
      <c r="U149" s="3" t="str">
        <f t="shared" si="47"/>
        <v/>
      </c>
      <c r="V149" s="3" t="str">
        <f>IF($H149&lt;&gt;"",IF($J149&gt;U$11,IF($J149&lt;V$11,$J149-U$11,30),0)*ROUND(($K149+$S148+SUM($U149:U149))*$Q$5/3000,2),"")</f>
        <v/>
      </c>
      <c r="W149" s="3"/>
      <c r="X149" s="3"/>
    </row>
    <row r="150" spans="4:24" x14ac:dyDescent="0.25">
      <c r="D150" s="5"/>
      <c r="E150" s="22" t="str">
        <f t="shared" si="42"/>
        <v/>
      </c>
      <c r="F150" s="22" t="str">
        <f t="shared" si="48"/>
        <v/>
      </c>
      <c r="G150" s="22" t="str">
        <f t="shared" si="43"/>
        <v/>
      </c>
      <c r="H150" t="str">
        <f t="shared" si="44"/>
        <v/>
      </c>
      <c r="I150" s="5" t="str">
        <f>IF($H150&lt;&gt;"",IF($D150="",DATE(YEAR($J$7),MONTH($J$7)+($A$1*($E150-1))+SUM($B$12:$B150),DAY($J$7)),$D150),"")</f>
        <v/>
      </c>
      <c r="J150" s="9" t="str">
        <f t="shared" si="49"/>
        <v/>
      </c>
      <c r="K150" s="3" t="str">
        <f t="shared" si="50"/>
        <v/>
      </c>
      <c r="L150" s="3" t="str">
        <f t="shared" si="45"/>
        <v/>
      </c>
      <c r="M150" s="3" t="str">
        <f t="shared" si="51"/>
        <v/>
      </c>
      <c r="N150" s="3" t="str">
        <f t="shared" si="52"/>
        <v/>
      </c>
      <c r="O150" s="8" t="str">
        <f t="shared" si="53"/>
        <v/>
      </c>
      <c r="P150" s="8" t="str">
        <f t="shared" si="54"/>
        <v/>
      </c>
      <c r="Q150" s="3" t="str">
        <f t="shared" si="55"/>
        <v/>
      </c>
      <c r="R150" s="3" t="str">
        <f t="shared" si="56"/>
        <v/>
      </c>
      <c r="S150" s="3" t="str">
        <f t="shared" si="57"/>
        <v/>
      </c>
      <c r="T150" s="3" t="str">
        <f t="shared" si="46"/>
        <v/>
      </c>
      <c r="U150" s="3" t="str">
        <f t="shared" si="47"/>
        <v/>
      </c>
      <c r="V150" s="3" t="str">
        <f>IF($H150&lt;&gt;"",IF($J150&gt;U$11,IF($J150&lt;V$11,$J150-U$11,30),0)*ROUND(($K150+$S149+SUM($U150:U150))*$Q$5/3000,2),"")</f>
        <v/>
      </c>
      <c r="W150" s="3"/>
      <c r="X150" s="3"/>
    </row>
    <row r="151" spans="4:24" x14ac:dyDescent="0.25">
      <c r="D151" s="5"/>
      <c r="E151" s="22" t="str">
        <f t="shared" si="42"/>
        <v/>
      </c>
      <c r="F151" s="22" t="str">
        <f t="shared" si="48"/>
        <v/>
      </c>
      <c r="G151" s="22" t="str">
        <f t="shared" si="43"/>
        <v/>
      </c>
      <c r="H151" t="str">
        <f t="shared" si="44"/>
        <v/>
      </c>
      <c r="I151" s="5" t="str">
        <f>IF($H151&lt;&gt;"",IF($D151="",DATE(YEAR($J$7),MONTH($J$7)+($A$1*($E151-1))+SUM($B$12:$B151),DAY($J$7)),$D151),"")</f>
        <v/>
      </c>
      <c r="J151" s="9" t="str">
        <f t="shared" si="49"/>
        <v/>
      </c>
      <c r="K151" s="3" t="str">
        <f t="shared" si="50"/>
        <v/>
      </c>
      <c r="L151" s="3" t="str">
        <f t="shared" si="45"/>
        <v/>
      </c>
      <c r="M151" s="3" t="str">
        <f t="shared" si="51"/>
        <v/>
      </c>
      <c r="N151" s="3" t="str">
        <f t="shared" si="52"/>
        <v/>
      </c>
      <c r="O151" s="8" t="str">
        <f t="shared" si="53"/>
        <v/>
      </c>
      <c r="P151" s="8" t="str">
        <f t="shared" si="54"/>
        <v/>
      </c>
      <c r="Q151" s="3" t="str">
        <f t="shared" si="55"/>
        <v/>
      </c>
      <c r="R151" s="3" t="str">
        <f t="shared" si="56"/>
        <v/>
      </c>
      <c r="S151" s="3" t="str">
        <f t="shared" si="57"/>
        <v/>
      </c>
      <c r="T151" s="3" t="str">
        <f t="shared" si="46"/>
        <v/>
      </c>
      <c r="U151" s="3" t="str">
        <f t="shared" si="47"/>
        <v/>
      </c>
      <c r="V151" s="3" t="str">
        <f>IF($H151&lt;&gt;"",IF($J151&gt;U$11,IF($J151&lt;V$11,$J151-U$11,30),0)*ROUND(($K151+$S150+SUM($U151:U151))*$Q$5/3000,2),"")</f>
        <v/>
      </c>
      <c r="W151" s="3"/>
      <c r="X151" s="3"/>
    </row>
    <row r="152" spans="4:24" x14ac:dyDescent="0.25">
      <c r="D152" s="5"/>
      <c r="E152" s="22" t="str">
        <f t="shared" si="42"/>
        <v/>
      </c>
      <c r="F152" s="22" t="str">
        <f t="shared" si="48"/>
        <v/>
      </c>
      <c r="G152" s="22" t="str">
        <f t="shared" si="43"/>
        <v/>
      </c>
      <c r="H152" t="str">
        <f t="shared" si="44"/>
        <v/>
      </c>
      <c r="I152" s="5" t="str">
        <f>IF($H152&lt;&gt;"",IF($D152="",DATE(YEAR($J$7),MONTH($J$7)+($A$1*($E152-1))+SUM($B$12:$B152),DAY($J$7)),$D152),"")</f>
        <v/>
      </c>
      <c r="J152" s="9" t="str">
        <f t="shared" si="49"/>
        <v/>
      </c>
      <c r="K152" s="3" t="str">
        <f t="shared" si="50"/>
        <v/>
      </c>
      <c r="L152" s="3" t="str">
        <f t="shared" si="45"/>
        <v/>
      </c>
      <c r="M152" s="3" t="str">
        <f t="shared" si="51"/>
        <v/>
      </c>
      <c r="N152" s="3" t="str">
        <f t="shared" si="52"/>
        <v/>
      </c>
      <c r="O152" s="8" t="str">
        <f t="shared" si="53"/>
        <v/>
      </c>
      <c r="P152" s="8" t="str">
        <f t="shared" si="54"/>
        <v/>
      </c>
      <c r="Q152" s="3" t="str">
        <f t="shared" si="55"/>
        <v/>
      </c>
      <c r="R152" s="3" t="str">
        <f t="shared" si="56"/>
        <v/>
      </c>
      <c r="S152" s="3" t="str">
        <f t="shared" si="57"/>
        <v/>
      </c>
      <c r="T152" s="3" t="str">
        <f t="shared" si="46"/>
        <v/>
      </c>
      <c r="U152" s="3" t="str">
        <f t="shared" si="47"/>
        <v/>
      </c>
      <c r="V152" s="3" t="str">
        <f>IF($H152&lt;&gt;"",IF($J152&gt;U$11,IF($J152&lt;V$11,$J152-U$11,30),0)*ROUND(($K152+$S151+SUM($U152:U152))*$Q$5/3000,2),"")</f>
        <v/>
      </c>
      <c r="W152" s="3"/>
      <c r="X152" s="3"/>
    </row>
    <row r="153" spans="4:24" x14ac:dyDescent="0.25">
      <c r="D153" s="5"/>
      <c r="E153" s="22" t="str">
        <f t="shared" si="42"/>
        <v/>
      </c>
      <c r="F153" s="22" t="str">
        <f t="shared" si="48"/>
        <v/>
      </c>
      <c r="G153" s="22" t="str">
        <f t="shared" si="43"/>
        <v/>
      </c>
      <c r="H153" t="str">
        <f t="shared" si="44"/>
        <v/>
      </c>
      <c r="I153" s="5" t="str">
        <f>IF($H153&lt;&gt;"",IF($D153="",DATE(YEAR($J$7),MONTH($J$7)+($A$1*($E153-1))+SUM($B$12:$B153),DAY($J$7)),$D153),"")</f>
        <v/>
      </c>
      <c r="J153" s="9" t="str">
        <f t="shared" si="49"/>
        <v/>
      </c>
      <c r="K153" s="3" t="str">
        <f t="shared" si="50"/>
        <v/>
      </c>
      <c r="L153" s="3" t="str">
        <f t="shared" si="45"/>
        <v/>
      </c>
      <c r="M153" s="3" t="str">
        <f t="shared" si="51"/>
        <v/>
      </c>
      <c r="N153" s="3" t="str">
        <f t="shared" si="52"/>
        <v/>
      </c>
      <c r="O153" s="8" t="str">
        <f t="shared" si="53"/>
        <v/>
      </c>
      <c r="P153" s="8" t="str">
        <f t="shared" si="54"/>
        <v/>
      </c>
      <c r="Q153" s="3" t="str">
        <f t="shared" si="55"/>
        <v/>
      </c>
      <c r="R153" s="3" t="str">
        <f t="shared" si="56"/>
        <v/>
      </c>
      <c r="S153" s="3" t="str">
        <f t="shared" si="57"/>
        <v/>
      </c>
      <c r="T153" s="3" t="str">
        <f t="shared" si="46"/>
        <v/>
      </c>
      <c r="U153" s="3" t="str">
        <f t="shared" si="47"/>
        <v/>
      </c>
      <c r="V153" s="3" t="str">
        <f>IF($H153&lt;&gt;"",IF($J153&gt;U$11,IF($J153&lt;V$11,$J153-U$11,30),0)*ROUND(($K153+$S152+SUM($U153:U153))*$Q$5/3000,2),"")</f>
        <v/>
      </c>
      <c r="W153" s="3"/>
      <c r="X153" s="3"/>
    </row>
    <row r="154" spans="4:24" x14ac:dyDescent="0.25">
      <c r="D154" s="5"/>
      <c r="E154" s="22" t="str">
        <f t="shared" si="42"/>
        <v/>
      </c>
      <c r="F154" s="22" t="str">
        <f t="shared" si="48"/>
        <v/>
      </c>
      <c r="G154" s="22" t="str">
        <f t="shared" si="43"/>
        <v/>
      </c>
      <c r="H154" t="str">
        <f t="shared" si="44"/>
        <v/>
      </c>
      <c r="I154" s="5" t="str">
        <f>IF($H154&lt;&gt;"",IF($D154="",DATE(YEAR($J$7),MONTH($J$7)+($A$1*($E154-1))+SUM($B$12:$B154),DAY($J$7)),$D154),"")</f>
        <v/>
      </c>
      <c r="J154" s="9" t="str">
        <f t="shared" si="49"/>
        <v/>
      </c>
      <c r="K154" s="3" t="str">
        <f t="shared" si="50"/>
        <v/>
      </c>
      <c r="L154" s="3" t="str">
        <f t="shared" si="45"/>
        <v/>
      </c>
      <c r="M154" s="3" t="str">
        <f t="shared" si="51"/>
        <v/>
      </c>
      <c r="N154" s="3" t="str">
        <f t="shared" si="52"/>
        <v/>
      </c>
      <c r="O154" s="8" t="str">
        <f t="shared" si="53"/>
        <v/>
      </c>
      <c r="P154" s="8" t="str">
        <f t="shared" si="54"/>
        <v/>
      </c>
      <c r="Q154" s="3" t="str">
        <f t="shared" si="55"/>
        <v/>
      </c>
      <c r="R154" s="3" t="str">
        <f t="shared" si="56"/>
        <v/>
      </c>
      <c r="S154" s="3" t="str">
        <f t="shared" si="57"/>
        <v/>
      </c>
      <c r="T154" s="3" t="str">
        <f t="shared" si="46"/>
        <v/>
      </c>
      <c r="U154" s="3" t="str">
        <f t="shared" si="47"/>
        <v/>
      </c>
      <c r="V154" s="3" t="str">
        <f>IF($H154&lt;&gt;"",IF($J154&gt;U$11,IF($J154&lt;V$11,$J154-U$11,30),0)*ROUND(($K154+$S153+SUM($U154:U154))*$Q$5/3000,2),"")</f>
        <v/>
      </c>
      <c r="W154" s="3"/>
      <c r="X154" s="3"/>
    </row>
    <row r="155" spans="4:24" x14ac:dyDescent="0.25">
      <c r="D155" s="5"/>
      <c r="E155" s="22" t="str">
        <f t="shared" si="42"/>
        <v/>
      </c>
      <c r="F155" s="22" t="str">
        <f t="shared" si="48"/>
        <v/>
      </c>
      <c r="G155" s="22" t="str">
        <f t="shared" si="43"/>
        <v/>
      </c>
      <c r="H155" t="str">
        <f t="shared" si="44"/>
        <v/>
      </c>
      <c r="I155" s="5" t="str">
        <f>IF($H155&lt;&gt;"",IF($D155="",DATE(YEAR($J$7),MONTH($J$7)+($A$1*($E155-1))+SUM($B$12:$B155),DAY($J$7)),$D155),"")</f>
        <v/>
      </c>
      <c r="J155" s="9" t="str">
        <f t="shared" si="49"/>
        <v/>
      </c>
      <c r="K155" s="3" t="str">
        <f t="shared" si="50"/>
        <v/>
      </c>
      <c r="L155" s="3" t="str">
        <f t="shared" si="45"/>
        <v/>
      </c>
      <c r="M155" s="3" t="str">
        <f t="shared" si="51"/>
        <v/>
      </c>
      <c r="N155" s="3" t="str">
        <f t="shared" si="52"/>
        <v/>
      </c>
      <c r="O155" s="8" t="str">
        <f t="shared" si="53"/>
        <v/>
      </c>
      <c r="P155" s="8" t="str">
        <f t="shared" si="54"/>
        <v/>
      </c>
      <c r="Q155" s="3" t="str">
        <f t="shared" si="55"/>
        <v/>
      </c>
      <c r="R155" s="3" t="str">
        <f t="shared" si="56"/>
        <v/>
      </c>
      <c r="S155" s="3" t="str">
        <f t="shared" si="57"/>
        <v/>
      </c>
      <c r="T155" s="3" t="str">
        <f t="shared" si="46"/>
        <v/>
      </c>
      <c r="U155" s="3" t="str">
        <f t="shared" si="47"/>
        <v/>
      </c>
      <c r="V155" s="3" t="str">
        <f>IF($H155&lt;&gt;"",IF($J155&gt;U$11,IF($J155&lt;V$11,$J155-U$11,30),0)*ROUND(($K155+$S154+SUM($U155:U155))*$Q$5/3000,2),"")</f>
        <v/>
      </c>
      <c r="W155" s="3"/>
      <c r="X155" s="3"/>
    </row>
    <row r="156" spans="4:24" x14ac:dyDescent="0.25">
      <c r="D156" s="5"/>
      <c r="E156" s="22" t="str">
        <f t="shared" si="42"/>
        <v/>
      </c>
      <c r="F156" s="22" t="str">
        <f t="shared" si="48"/>
        <v/>
      </c>
      <c r="G156" s="22" t="str">
        <f t="shared" si="43"/>
        <v/>
      </c>
      <c r="H156" t="str">
        <f t="shared" si="44"/>
        <v/>
      </c>
      <c r="I156" s="5" t="str">
        <f>IF($H156&lt;&gt;"",IF($D156="",DATE(YEAR($J$7),MONTH($J$7)+($A$1*($E156-1))+SUM($B$12:$B156),DAY($J$7)),$D156),"")</f>
        <v/>
      </c>
      <c r="J156" s="9" t="str">
        <f t="shared" si="49"/>
        <v/>
      </c>
      <c r="K156" s="3" t="str">
        <f t="shared" si="50"/>
        <v/>
      </c>
      <c r="L156" s="3" t="str">
        <f t="shared" si="45"/>
        <v/>
      </c>
      <c r="M156" s="3" t="str">
        <f t="shared" si="51"/>
        <v/>
      </c>
      <c r="N156" s="3" t="str">
        <f t="shared" si="52"/>
        <v/>
      </c>
      <c r="O156" s="8" t="str">
        <f t="shared" si="53"/>
        <v/>
      </c>
      <c r="P156" s="8" t="str">
        <f t="shared" si="54"/>
        <v/>
      </c>
      <c r="Q156" s="3" t="str">
        <f t="shared" si="55"/>
        <v/>
      </c>
      <c r="R156" s="3" t="str">
        <f t="shared" si="56"/>
        <v/>
      </c>
      <c r="S156" s="3" t="str">
        <f t="shared" si="57"/>
        <v/>
      </c>
      <c r="T156" s="3" t="str">
        <f t="shared" si="46"/>
        <v/>
      </c>
      <c r="U156" s="3" t="str">
        <f t="shared" si="47"/>
        <v/>
      </c>
      <c r="V156" s="3" t="str">
        <f>IF($H156&lt;&gt;"",IF($J156&gt;U$11,IF($J156&lt;V$11,$J156-U$11,30),0)*ROUND(($K156+$S155+SUM($U156:U156))*$Q$5/3000,2),"")</f>
        <v/>
      </c>
      <c r="W156" s="3"/>
      <c r="X156" s="3"/>
    </row>
    <row r="157" spans="4:24" x14ac:dyDescent="0.25">
      <c r="D157" s="5"/>
      <c r="E157" s="22" t="str">
        <f t="shared" si="42"/>
        <v/>
      </c>
      <c r="F157" s="22" t="str">
        <f t="shared" si="48"/>
        <v/>
      </c>
      <c r="G157" s="22" t="str">
        <f t="shared" si="43"/>
        <v/>
      </c>
      <c r="H157" t="str">
        <f t="shared" si="44"/>
        <v/>
      </c>
      <c r="I157" s="5" t="str">
        <f>IF($H157&lt;&gt;"",IF($D157="",DATE(YEAR($J$7),MONTH($J$7)+($A$1*($E157-1))+SUM($B$12:$B157),DAY($J$7)),$D157),"")</f>
        <v/>
      </c>
      <c r="J157" s="9" t="str">
        <f t="shared" si="49"/>
        <v/>
      </c>
      <c r="K157" s="3" t="str">
        <f t="shared" si="50"/>
        <v/>
      </c>
      <c r="L157" s="3" t="str">
        <f t="shared" si="45"/>
        <v/>
      </c>
      <c r="M157" s="3" t="str">
        <f t="shared" si="51"/>
        <v/>
      </c>
      <c r="N157" s="3" t="str">
        <f t="shared" si="52"/>
        <v/>
      </c>
      <c r="O157" s="8" t="str">
        <f t="shared" si="53"/>
        <v/>
      </c>
      <c r="P157" s="8" t="str">
        <f t="shared" si="54"/>
        <v/>
      </c>
      <c r="Q157" s="3" t="str">
        <f t="shared" si="55"/>
        <v/>
      </c>
      <c r="R157" s="3" t="str">
        <f t="shared" si="56"/>
        <v/>
      </c>
      <c r="S157" s="3" t="str">
        <f t="shared" si="57"/>
        <v/>
      </c>
      <c r="T157" s="3" t="str">
        <f t="shared" si="46"/>
        <v/>
      </c>
      <c r="U157" s="3" t="str">
        <f t="shared" si="47"/>
        <v/>
      </c>
      <c r="V157" s="3" t="str">
        <f>IF($H157&lt;&gt;"",IF($J157&gt;U$11,IF($J157&lt;V$11,$J157-U$11,30),0)*ROUND(($K157+$S156+SUM($U157:U157))*$Q$5/3000,2),"")</f>
        <v/>
      </c>
      <c r="W157" s="3"/>
      <c r="X157" s="3"/>
    </row>
    <row r="158" spans="4:24" x14ac:dyDescent="0.25">
      <c r="D158" s="5"/>
      <c r="E158" s="22" t="str">
        <f t="shared" si="42"/>
        <v/>
      </c>
      <c r="F158" s="22" t="str">
        <f t="shared" si="48"/>
        <v/>
      </c>
      <c r="G158" s="22" t="str">
        <f t="shared" si="43"/>
        <v/>
      </c>
      <c r="H158" t="str">
        <f t="shared" si="44"/>
        <v/>
      </c>
      <c r="I158" s="5" t="str">
        <f>IF($H158&lt;&gt;"",IF($D158="",DATE(YEAR($J$7),MONTH($J$7)+($A$1*($E158-1))+SUM($B$12:$B158),DAY($J$7)),$D158),"")</f>
        <v/>
      </c>
      <c r="J158" s="9" t="str">
        <f t="shared" si="49"/>
        <v/>
      </c>
      <c r="K158" s="3" t="str">
        <f t="shared" si="50"/>
        <v/>
      </c>
      <c r="L158" s="3" t="str">
        <f t="shared" si="45"/>
        <v/>
      </c>
      <c r="M158" s="3" t="str">
        <f t="shared" si="51"/>
        <v/>
      </c>
      <c r="N158" s="3" t="str">
        <f t="shared" si="52"/>
        <v/>
      </c>
      <c r="O158" s="8" t="str">
        <f t="shared" si="53"/>
        <v/>
      </c>
      <c r="P158" s="8" t="str">
        <f t="shared" si="54"/>
        <v/>
      </c>
      <c r="Q158" s="3" t="str">
        <f t="shared" si="55"/>
        <v/>
      </c>
      <c r="R158" s="3" t="str">
        <f t="shared" si="56"/>
        <v/>
      </c>
      <c r="S158" s="3" t="str">
        <f t="shared" si="57"/>
        <v/>
      </c>
      <c r="T158" s="3" t="str">
        <f t="shared" si="46"/>
        <v/>
      </c>
      <c r="U158" s="3" t="str">
        <f t="shared" si="47"/>
        <v/>
      </c>
      <c r="V158" s="3" t="str">
        <f>IF($H158&lt;&gt;"",IF($J158&gt;U$11,IF($J158&lt;V$11,$J158-U$11,30),0)*ROUND(($K158+$S157+SUM($U158:U158))*$Q$5/3000,2),"")</f>
        <v/>
      </c>
      <c r="W158" s="3"/>
      <c r="X158" s="3"/>
    </row>
    <row r="159" spans="4:24" x14ac:dyDescent="0.25">
      <c r="D159" s="5"/>
      <c r="E159" s="22" t="str">
        <f t="shared" si="42"/>
        <v/>
      </c>
      <c r="F159" s="22" t="str">
        <f t="shared" si="48"/>
        <v/>
      </c>
      <c r="G159" s="22" t="str">
        <f t="shared" si="43"/>
        <v/>
      </c>
      <c r="H159" t="str">
        <f t="shared" si="44"/>
        <v/>
      </c>
      <c r="I159" s="5" t="str">
        <f>IF($H159&lt;&gt;"",IF($D159="",DATE(YEAR($J$7),MONTH($J$7)+($A$1*($E159-1))+SUM($B$12:$B159),DAY($J$7)),$D159),"")</f>
        <v/>
      </c>
      <c r="J159" s="9" t="str">
        <f t="shared" si="49"/>
        <v/>
      </c>
      <c r="K159" s="3" t="str">
        <f t="shared" si="50"/>
        <v/>
      </c>
      <c r="L159" s="3" t="str">
        <f t="shared" si="45"/>
        <v/>
      </c>
      <c r="M159" s="3" t="str">
        <f t="shared" si="51"/>
        <v/>
      </c>
      <c r="N159" s="3" t="str">
        <f t="shared" si="52"/>
        <v/>
      </c>
      <c r="O159" s="8" t="str">
        <f t="shared" si="53"/>
        <v/>
      </c>
      <c r="P159" s="8" t="str">
        <f t="shared" si="54"/>
        <v/>
      </c>
      <c r="Q159" s="3" t="str">
        <f t="shared" si="55"/>
        <v/>
      </c>
      <c r="R159" s="3" t="str">
        <f t="shared" si="56"/>
        <v/>
      </c>
      <c r="S159" s="3" t="str">
        <f t="shared" si="57"/>
        <v/>
      </c>
      <c r="T159" s="3" t="str">
        <f t="shared" si="46"/>
        <v/>
      </c>
      <c r="U159" s="3" t="str">
        <f t="shared" si="47"/>
        <v/>
      </c>
      <c r="V159" s="3" t="str">
        <f>IF($H159&lt;&gt;"",IF($J159&gt;U$11,IF($J159&lt;V$11,$J159-U$11,30),0)*ROUND(($K159+$S158+SUM($U159:U159))*$Q$5/3000,2),"")</f>
        <v/>
      </c>
      <c r="W159" s="3"/>
      <c r="X159" s="3"/>
    </row>
    <row r="160" spans="4:24" x14ac:dyDescent="0.25">
      <c r="D160" s="5"/>
      <c r="E160" s="22" t="str">
        <f t="shared" si="42"/>
        <v/>
      </c>
      <c r="F160" s="22" t="str">
        <f t="shared" si="48"/>
        <v/>
      </c>
      <c r="G160" s="22" t="str">
        <f t="shared" si="43"/>
        <v/>
      </c>
      <c r="H160" t="str">
        <f t="shared" si="44"/>
        <v/>
      </c>
      <c r="I160" s="5" t="str">
        <f>IF($H160&lt;&gt;"",IF($D160="",DATE(YEAR($J$7),MONTH($J$7)+($A$1*($E160-1))+SUM($B$12:$B160),DAY($J$7)),$D160),"")</f>
        <v/>
      </c>
      <c r="J160" s="9" t="str">
        <f t="shared" si="49"/>
        <v/>
      </c>
      <c r="K160" s="3" t="str">
        <f t="shared" si="50"/>
        <v/>
      </c>
      <c r="L160" s="3" t="str">
        <f t="shared" si="45"/>
        <v/>
      </c>
      <c r="M160" s="3" t="str">
        <f t="shared" si="51"/>
        <v/>
      </c>
      <c r="N160" s="3" t="str">
        <f t="shared" si="52"/>
        <v/>
      </c>
      <c r="O160" s="8" t="str">
        <f t="shared" si="53"/>
        <v/>
      </c>
      <c r="P160" s="8" t="str">
        <f t="shared" si="54"/>
        <v/>
      </c>
      <c r="Q160" s="3" t="str">
        <f t="shared" si="55"/>
        <v/>
      </c>
      <c r="R160" s="3" t="str">
        <f t="shared" si="56"/>
        <v/>
      </c>
      <c r="S160" s="3" t="str">
        <f t="shared" si="57"/>
        <v/>
      </c>
      <c r="T160" s="3" t="str">
        <f t="shared" si="46"/>
        <v/>
      </c>
      <c r="U160" s="3" t="str">
        <f t="shared" si="47"/>
        <v/>
      </c>
      <c r="V160" s="3" t="str">
        <f>IF($H160&lt;&gt;"",IF($J160&gt;U$11,IF($J160&lt;V$11,$J160-U$11,30),0)*ROUND(($K160+$S159+SUM($U160:U160))*$Q$5/3000,2),"")</f>
        <v/>
      </c>
      <c r="W160" s="3"/>
      <c r="X160" s="3"/>
    </row>
    <row r="161" spans="4:24" x14ac:dyDescent="0.25">
      <c r="D161" s="5"/>
      <c r="E161" s="22" t="str">
        <f t="shared" si="42"/>
        <v/>
      </c>
      <c r="F161" s="22" t="str">
        <f t="shared" si="48"/>
        <v/>
      </c>
      <c r="G161" s="22" t="str">
        <f t="shared" si="43"/>
        <v/>
      </c>
      <c r="H161" t="str">
        <f t="shared" si="44"/>
        <v/>
      </c>
      <c r="I161" s="5" t="str">
        <f>IF($H161&lt;&gt;"",IF($D161="",DATE(YEAR($J$7),MONTH($J$7)+($A$1*($E161-1))+SUM($B$12:$B161),DAY($J$7)),$D161),"")</f>
        <v/>
      </c>
      <c r="J161" s="9" t="str">
        <f t="shared" si="49"/>
        <v/>
      </c>
      <c r="K161" s="3" t="str">
        <f t="shared" si="50"/>
        <v/>
      </c>
      <c r="L161" s="3" t="str">
        <f t="shared" si="45"/>
        <v/>
      </c>
      <c r="M161" s="3" t="str">
        <f t="shared" si="51"/>
        <v/>
      </c>
      <c r="N161" s="3" t="str">
        <f t="shared" si="52"/>
        <v/>
      </c>
      <c r="O161" s="8" t="str">
        <f t="shared" si="53"/>
        <v/>
      </c>
      <c r="P161" s="8" t="str">
        <f t="shared" si="54"/>
        <v/>
      </c>
      <c r="Q161" s="3" t="str">
        <f t="shared" si="55"/>
        <v/>
      </c>
      <c r="R161" s="3" t="str">
        <f t="shared" si="56"/>
        <v/>
      </c>
      <c r="S161" s="3" t="str">
        <f t="shared" si="57"/>
        <v/>
      </c>
      <c r="T161" s="3" t="str">
        <f t="shared" si="46"/>
        <v/>
      </c>
      <c r="U161" s="3" t="str">
        <f t="shared" si="47"/>
        <v/>
      </c>
      <c r="V161" s="3" t="str">
        <f>IF($H161&lt;&gt;"",IF($J161&gt;U$11,IF($J161&lt;V$11,$J161-U$11,30),0)*ROUND(($K161+$S160+SUM($U161:U161))*$Q$5/3000,2),"")</f>
        <v/>
      </c>
      <c r="W161" s="3"/>
      <c r="X161" s="3"/>
    </row>
    <row r="162" spans="4:24" x14ac:dyDescent="0.25">
      <c r="D162" s="5"/>
      <c r="E162" s="22" t="str">
        <f t="shared" si="42"/>
        <v/>
      </c>
      <c r="F162" s="22" t="str">
        <f t="shared" si="48"/>
        <v/>
      </c>
      <c r="G162" s="22" t="str">
        <f t="shared" si="43"/>
        <v/>
      </c>
      <c r="H162" t="str">
        <f t="shared" si="44"/>
        <v/>
      </c>
      <c r="I162" s="5" t="str">
        <f>IF($H162&lt;&gt;"",IF($D162="",DATE(YEAR($J$7),MONTH($J$7)+($A$1*($E162-1))+SUM($B$12:$B162),DAY($J$7)),$D162),"")</f>
        <v/>
      </c>
      <c r="J162" s="9" t="str">
        <f t="shared" si="49"/>
        <v/>
      </c>
      <c r="K162" s="3" t="str">
        <f t="shared" si="50"/>
        <v/>
      </c>
      <c r="L162" s="3" t="str">
        <f t="shared" si="45"/>
        <v/>
      </c>
      <c r="M162" s="3" t="str">
        <f t="shared" si="51"/>
        <v/>
      </c>
      <c r="N162" s="3" t="str">
        <f t="shared" si="52"/>
        <v/>
      </c>
      <c r="O162" s="8" t="str">
        <f t="shared" si="53"/>
        <v/>
      </c>
      <c r="P162" s="8" t="str">
        <f t="shared" si="54"/>
        <v/>
      </c>
      <c r="Q162" s="3" t="str">
        <f t="shared" si="55"/>
        <v/>
      </c>
      <c r="R162" s="3" t="str">
        <f t="shared" si="56"/>
        <v/>
      </c>
      <c r="S162" s="3" t="str">
        <f t="shared" si="57"/>
        <v/>
      </c>
      <c r="T162" s="3" t="str">
        <f t="shared" si="46"/>
        <v/>
      </c>
      <c r="U162" s="3" t="str">
        <f t="shared" si="47"/>
        <v/>
      </c>
      <c r="V162" s="3" t="str">
        <f>IF($H162&lt;&gt;"",IF($J162&gt;U$11,IF($J162&lt;V$11,$J162-U$11,30),0)*ROUND(($K162+$S161+SUM($U162:U162))*$Q$5/3000,2),"")</f>
        <v/>
      </c>
      <c r="W162" s="3"/>
      <c r="X162" s="3"/>
    </row>
    <row r="163" spans="4:24" x14ac:dyDescent="0.25">
      <c r="D163" s="5"/>
      <c r="E163" s="22" t="str">
        <f t="shared" si="42"/>
        <v/>
      </c>
      <c r="F163" s="22" t="str">
        <f t="shared" si="48"/>
        <v/>
      </c>
      <c r="G163" s="22" t="str">
        <f t="shared" si="43"/>
        <v/>
      </c>
      <c r="H163" t="str">
        <f t="shared" si="44"/>
        <v/>
      </c>
      <c r="I163" s="5" t="str">
        <f>IF($H163&lt;&gt;"",IF($D163="",DATE(YEAR($J$7),MONTH($J$7)+($A$1*($E163-1))+SUM($B$12:$B163),DAY($J$7)),$D163),"")</f>
        <v/>
      </c>
      <c r="J163" s="9" t="str">
        <f t="shared" si="49"/>
        <v/>
      </c>
      <c r="K163" s="3" t="str">
        <f t="shared" si="50"/>
        <v/>
      </c>
      <c r="L163" s="3" t="str">
        <f t="shared" si="45"/>
        <v/>
      </c>
      <c r="M163" s="3" t="str">
        <f t="shared" si="51"/>
        <v/>
      </c>
      <c r="N163" s="3" t="str">
        <f t="shared" si="52"/>
        <v/>
      </c>
      <c r="O163" s="8" t="str">
        <f t="shared" si="53"/>
        <v/>
      </c>
      <c r="P163" s="8" t="str">
        <f t="shared" si="54"/>
        <v/>
      </c>
      <c r="Q163" s="3" t="str">
        <f t="shared" si="55"/>
        <v/>
      </c>
      <c r="R163" s="3" t="str">
        <f t="shared" si="56"/>
        <v/>
      </c>
      <c r="S163" s="3" t="str">
        <f t="shared" si="57"/>
        <v/>
      </c>
      <c r="T163" s="3" t="str">
        <f t="shared" si="46"/>
        <v/>
      </c>
      <c r="U163" s="3" t="str">
        <f t="shared" si="47"/>
        <v/>
      </c>
      <c r="V163" s="3" t="str">
        <f>IF($H163&lt;&gt;"",IF($J163&gt;U$11,IF($J163&lt;V$11,$J163-U$11,30),0)*ROUND(($K163+$S162+SUM($U163:U163))*$Q$5/3000,2),"")</f>
        <v/>
      </c>
      <c r="W163" s="3"/>
      <c r="X163" s="3"/>
    </row>
    <row r="164" spans="4:24" x14ac:dyDescent="0.25">
      <c r="D164" s="5"/>
      <c r="E164" s="22" t="str">
        <f t="shared" si="42"/>
        <v/>
      </c>
      <c r="F164" s="22" t="str">
        <f t="shared" si="48"/>
        <v/>
      </c>
      <c r="G164" s="22" t="str">
        <f t="shared" si="43"/>
        <v/>
      </c>
      <c r="H164" t="str">
        <f t="shared" si="44"/>
        <v/>
      </c>
      <c r="I164" s="5" t="str">
        <f>IF($H164&lt;&gt;"",IF($D164="",DATE(YEAR($J$7),MONTH($J$7)+($A$1*($E164-1))+SUM($B$12:$B164),DAY($J$7)),$D164),"")</f>
        <v/>
      </c>
      <c r="J164" s="9" t="str">
        <f t="shared" si="49"/>
        <v/>
      </c>
      <c r="K164" s="3" t="str">
        <f t="shared" si="50"/>
        <v/>
      </c>
      <c r="L164" s="3" t="str">
        <f t="shared" si="45"/>
        <v/>
      </c>
      <c r="M164" s="3" t="str">
        <f t="shared" si="51"/>
        <v/>
      </c>
      <c r="N164" s="3" t="str">
        <f t="shared" si="52"/>
        <v/>
      </c>
      <c r="O164" s="8" t="str">
        <f t="shared" si="53"/>
        <v/>
      </c>
      <c r="P164" s="8" t="str">
        <f t="shared" si="54"/>
        <v/>
      </c>
      <c r="Q164" s="3" t="str">
        <f t="shared" si="55"/>
        <v/>
      </c>
      <c r="R164" s="3" t="str">
        <f t="shared" si="56"/>
        <v/>
      </c>
      <c r="S164" s="3" t="str">
        <f t="shared" si="57"/>
        <v/>
      </c>
      <c r="T164" s="3" t="str">
        <f t="shared" si="46"/>
        <v/>
      </c>
      <c r="U164" s="3" t="str">
        <f t="shared" si="47"/>
        <v/>
      </c>
      <c r="V164" s="3" t="str">
        <f>IF($H164&lt;&gt;"",IF($J164&gt;U$11,IF($J164&lt;V$11,$J164-U$11,30),0)*ROUND(($K164+$S163+SUM($U164:U164))*$Q$5/3000,2),"")</f>
        <v/>
      </c>
      <c r="W164" s="3"/>
      <c r="X164" s="3"/>
    </row>
    <row r="165" spans="4:24" x14ac:dyDescent="0.25">
      <c r="D165" s="5"/>
      <c r="E165" s="22" t="str">
        <f t="shared" si="42"/>
        <v/>
      </c>
      <c r="F165" s="22" t="str">
        <f t="shared" si="48"/>
        <v/>
      </c>
      <c r="G165" s="22" t="str">
        <f t="shared" si="43"/>
        <v/>
      </c>
      <c r="H165" t="str">
        <f t="shared" si="44"/>
        <v/>
      </c>
      <c r="I165" s="5" t="str">
        <f>IF($H165&lt;&gt;"",IF($D165="",DATE(YEAR($J$7),MONTH($J$7)+($A$1*($E165-1))+SUM($B$12:$B165),DAY($J$7)),$D165),"")</f>
        <v/>
      </c>
      <c r="J165" s="9" t="str">
        <f t="shared" si="49"/>
        <v/>
      </c>
      <c r="K165" s="3" t="str">
        <f t="shared" si="50"/>
        <v/>
      </c>
      <c r="L165" s="3" t="str">
        <f t="shared" si="45"/>
        <v/>
      </c>
      <c r="M165" s="3" t="str">
        <f t="shared" si="51"/>
        <v/>
      </c>
      <c r="N165" s="3" t="str">
        <f t="shared" si="52"/>
        <v/>
      </c>
      <c r="O165" s="8" t="str">
        <f t="shared" si="53"/>
        <v/>
      </c>
      <c r="P165" s="8" t="str">
        <f t="shared" si="54"/>
        <v/>
      </c>
      <c r="Q165" s="3" t="str">
        <f t="shared" si="55"/>
        <v/>
      </c>
      <c r="R165" s="3" t="str">
        <f t="shared" si="56"/>
        <v/>
      </c>
      <c r="S165" s="3" t="str">
        <f t="shared" si="57"/>
        <v/>
      </c>
      <c r="T165" s="3" t="str">
        <f t="shared" si="46"/>
        <v/>
      </c>
      <c r="U165" s="3" t="str">
        <f t="shared" si="47"/>
        <v/>
      </c>
      <c r="V165" s="3" t="str">
        <f>IF($H165&lt;&gt;"",IF($J165&gt;U$11,IF($J165&lt;V$11,$J165-U$11,30),0)*ROUND(($K165+$S164+SUM($U165:U165))*$Q$5/3000,2),"")</f>
        <v/>
      </c>
      <c r="W165" s="3"/>
      <c r="X165" s="3"/>
    </row>
    <row r="166" spans="4:24" x14ac:dyDescent="0.25">
      <c r="D166" s="5"/>
      <c r="E166" s="22" t="str">
        <f t="shared" si="42"/>
        <v/>
      </c>
      <c r="F166" s="22" t="str">
        <f t="shared" si="48"/>
        <v/>
      </c>
      <c r="G166" s="22" t="str">
        <f t="shared" si="43"/>
        <v/>
      </c>
      <c r="H166" t="str">
        <f t="shared" si="44"/>
        <v/>
      </c>
      <c r="I166" s="5" t="str">
        <f>IF($H166&lt;&gt;"",IF($D166="",DATE(YEAR($J$7),MONTH($J$7)+($A$1*($E166-1))+SUM($B$12:$B166),DAY($J$7)),$D166),"")</f>
        <v/>
      </c>
      <c r="J166" s="9" t="str">
        <f t="shared" si="49"/>
        <v/>
      </c>
      <c r="K166" s="3" t="str">
        <f t="shared" si="50"/>
        <v/>
      </c>
      <c r="L166" s="3" t="str">
        <f t="shared" si="45"/>
        <v/>
      </c>
      <c r="M166" s="3" t="str">
        <f t="shared" si="51"/>
        <v/>
      </c>
      <c r="N166" s="3" t="str">
        <f t="shared" si="52"/>
        <v/>
      </c>
      <c r="O166" s="8" t="str">
        <f t="shared" si="53"/>
        <v/>
      </c>
      <c r="P166" s="8" t="str">
        <f t="shared" si="54"/>
        <v/>
      </c>
      <c r="Q166" s="3" t="str">
        <f t="shared" si="55"/>
        <v/>
      </c>
      <c r="R166" s="3" t="str">
        <f t="shared" si="56"/>
        <v/>
      </c>
      <c r="S166" s="3" t="str">
        <f t="shared" si="57"/>
        <v/>
      </c>
      <c r="T166" s="3" t="str">
        <f t="shared" si="46"/>
        <v/>
      </c>
      <c r="U166" s="3" t="str">
        <f t="shared" si="47"/>
        <v/>
      </c>
      <c r="V166" s="3" t="str">
        <f>IF($H166&lt;&gt;"",IF($J166&gt;U$11,IF($J166&lt;V$11,$J166-U$11,30),0)*ROUND(($K166+$S165+SUM($U166:U166))*$Q$5/3000,2),"")</f>
        <v/>
      </c>
      <c r="W166" s="3"/>
      <c r="X166" s="3"/>
    </row>
    <row r="167" spans="4:24" x14ac:dyDescent="0.25">
      <c r="D167" s="5"/>
      <c r="E167" s="22" t="str">
        <f t="shared" si="42"/>
        <v/>
      </c>
      <c r="F167" s="22" t="str">
        <f t="shared" si="48"/>
        <v/>
      </c>
      <c r="G167" s="22" t="str">
        <f t="shared" si="43"/>
        <v/>
      </c>
      <c r="H167" t="str">
        <f t="shared" si="44"/>
        <v/>
      </c>
      <c r="I167" s="5" t="str">
        <f>IF($H167&lt;&gt;"",IF($D167="",DATE(YEAR($J$7),MONTH($J$7)+($A$1*($E167-1))+SUM($B$12:$B167),DAY($J$7)),$D167),"")</f>
        <v/>
      </c>
      <c r="J167" s="9" t="str">
        <f t="shared" si="49"/>
        <v/>
      </c>
      <c r="K167" s="3" t="str">
        <f t="shared" si="50"/>
        <v/>
      </c>
      <c r="L167" s="3" t="str">
        <f t="shared" si="45"/>
        <v/>
      </c>
      <c r="M167" s="3" t="str">
        <f t="shared" si="51"/>
        <v/>
      </c>
      <c r="N167" s="3" t="str">
        <f t="shared" si="52"/>
        <v/>
      </c>
      <c r="O167" s="8" t="str">
        <f t="shared" si="53"/>
        <v/>
      </c>
      <c r="P167" s="8" t="str">
        <f t="shared" si="54"/>
        <v/>
      </c>
      <c r="Q167" s="3" t="str">
        <f t="shared" si="55"/>
        <v/>
      </c>
      <c r="R167" s="3" t="str">
        <f t="shared" si="56"/>
        <v/>
      </c>
      <c r="S167" s="3" t="str">
        <f t="shared" si="57"/>
        <v/>
      </c>
      <c r="T167" s="3" t="str">
        <f t="shared" si="46"/>
        <v/>
      </c>
      <c r="U167" s="3" t="str">
        <f t="shared" si="47"/>
        <v/>
      </c>
      <c r="V167" s="3" t="str">
        <f>IF($H167&lt;&gt;"",IF($J167&gt;U$11,IF($J167&lt;V$11,$J167-U$11,30),0)*ROUND(($K167+$S166+SUM($U167:U167))*$Q$5/3000,2),"")</f>
        <v/>
      </c>
      <c r="W167" s="3"/>
      <c r="X167" s="3"/>
    </row>
    <row r="168" spans="4:24" x14ac:dyDescent="0.25">
      <c r="D168" s="5"/>
      <c r="E168" s="22" t="str">
        <f t="shared" si="42"/>
        <v/>
      </c>
      <c r="F168" s="22" t="str">
        <f t="shared" si="48"/>
        <v/>
      </c>
      <c r="G168" s="22" t="str">
        <f t="shared" si="43"/>
        <v/>
      </c>
      <c r="H168" t="str">
        <f t="shared" si="44"/>
        <v/>
      </c>
      <c r="I168" s="5" t="str">
        <f>IF($H168&lt;&gt;"",IF($D168="",DATE(YEAR($J$7),MONTH($J$7)+($A$1*($E168-1))+SUM($B$12:$B168),DAY($J$7)),$D168),"")</f>
        <v/>
      </c>
      <c r="J168" s="9" t="str">
        <f t="shared" si="49"/>
        <v/>
      </c>
      <c r="K168" s="3" t="str">
        <f t="shared" si="50"/>
        <v/>
      </c>
      <c r="L168" s="3" t="str">
        <f t="shared" si="45"/>
        <v/>
      </c>
      <c r="M168" s="3" t="str">
        <f t="shared" si="51"/>
        <v/>
      </c>
      <c r="N168" s="3" t="str">
        <f t="shared" si="52"/>
        <v/>
      </c>
      <c r="O168" s="8" t="str">
        <f t="shared" si="53"/>
        <v/>
      </c>
      <c r="P168" s="8" t="str">
        <f t="shared" si="54"/>
        <v/>
      </c>
      <c r="Q168" s="3" t="str">
        <f t="shared" si="55"/>
        <v/>
      </c>
      <c r="R168" s="3" t="str">
        <f t="shared" si="56"/>
        <v/>
      </c>
      <c r="S168" s="3" t="str">
        <f t="shared" si="57"/>
        <v/>
      </c>
      <c r="T168" s="3" t="str">
        <f t="shared" si="46"/>
        <v/>
      </c>
      <c r="U168" s="3" t="str">
        <f t="shared" si="47"/>
        <v/>
      </c>
      <c r="V168" s="3" t="str">
        <f>IF($H168&lt;&gt;"",IF($J168&gt;U$11,IF($J168&lt;V$11,$J168-U$11,30),0)*ROUND(($K168+$S167+SUM($U168:U168))*$Q$5/3000,2),"")</f>
        <v/>
      </c>
      <c r="W168" s="3"/>
      <c r="X168" s="3"/>
    </row>
    <row r="169" spans="4:24" x14ac:dyDescent="0.25">
      <c r="D169" s="5"/>
      <c r="E169" s="22" t="str">
        <f t="shared" si="42"/>
        <v/>
      </c>
      <c r="F169" s="22" t="str">
        <f t="shared" si="48"/>
        <v/>
      </c>
      <c r="G169" s="22" t="str">
        <f t="shared" si="43"/>
        <v/>
      </c>
      <c r="H169" t="str">
        <f t="shared" si="44"/>
        <v/>
      </c>
      <c r="I169" s="5" t="str">
        <f>IF($H169&lt;&gt;"",IF($D169="",DATE(YEAR($J$7),MONTH($J$7)+($A$1*($E169-1))+SUM($B$12:$B169),DAY($J$7)),$D169),"")</f>
        <v/>
      </c>
      <c r="J169" s="9" t="str">
        <f t="shared" si="49"/>
        <v/>
      </c>
      <c r="K169" s="3" t="str">
        <f t="shared" si="50"/>
        <v/>
      </c>
      <c r="L169" s="3" t="str">
        <f t="shared" si="45"/>
        <v/>
      </c>
      <c r="M169" s="3" t="str">
        <f t="shared" si="51"/>
        <v/>
      </c>
      <c r="N169" s="3" t="str">
        <f t="shared" si="52"/>
        <v/>
      </c>
      <c r="O169" s="8" t="str">
        <f t="shared" si="53"/>
        <v/>
      </c>
      <c r="P169" s="8" t="str">
        <f t="shared" si="54"/>
        <v/>
      </c>
      <c r="Q169" s="3" t="str">
        <f t="shared" si="55"/>
        <v/>
      </c>
      <c r="R169" s="3" t="str">
        <f t="shared" si="56"/>
        <v/>
      </c>
      <c r="S169" s="3" t="str">
        <f t="shared" si="57"/>
        <v/>
      </c>
      <c r="T169" s="3" t="str">
        <f t="shared" si="46"/>
        <v/>
      </c>
      <c r="U169" s="3" t="str">
        <f t="shared" si="47"/>
        <v/>
      </c>
      <c r="V169" s="3" t="str">
        <f>IF($H169&lt;&gt;"",IF($J169&gt;U$11,IF($J169&lt;V$11,$J169-U$11,30),0)*ROUND(($K169+$S168+SUM($U169:U169))*$Q$5/3000,2),"")</f>
        <v/>
      </c>
      <c r="W169" s="3"/>
      <c r="X169" s="3"/>
    </row>
    <row r="170" spans="4:24" x14ac:dyDescent="0.25">
      <c r="D170" s="5"/>
      <c r="E170" s="22" t="str">
        <f t="shared" si="42"/>
        <v/>
      </c>
      <c r="F170" s="22" t="str">
        <f t="shared" si="48"/>
        <v/>
      </c>
      <c r="G170" s="22" t="str">
        <f t="shared" si="43"/>
        <v/>
      </c>
      <c r="H170" t="str">
        <f t="shared" si="44"/>
        <v/>
      </c>
      <c r="I170" s="5" t="str">
        <f>IF($H170&lt;&gt;"",IF($D170="",DATE(YEAR($J$7),MONTH($J$7)+($A$1*($E170-1))+SUM($B$12:$B170),DAY($J$7)),$D170),"")</f>
        <v/>
      </c>
      <c r="J170" s="9" t="str">
        <f t="shared" si="49"/>
        <v/>
      </c>
      <c r="K170" s="3" t="str">
        <f t="shared" si="50"/>
        <v/>
      </c>
      <c r="L170" s="3" t="str">
        <f t="shared" si="45"/>
        <v/>
      </c>
      <c r="M170" s="3" t="str">
        <f t="shared" si="51"/>
        <v/>
      </c>
      <c r="N170" s="3" t="str">
        <f t="shared" si="52"/>
        <v/>
      </c>
      <c r="O170" s="8" t="str">
        <f t="shared" si="53"/>
        <v/>
      </c>
      <c r="P170" s="8" t="str">
        <f t="shared" si="54"/>
        <v/>
      </c>
      <c r="Q170" s="3" t="str">
        <f t="shared" si="55"/>
        <v/>
      </c>
      <c r="R170" s="3" t="str">
        <f t="shared" si="56"/>
        <v/>
      </c>
      <c r="S170" s="3" t="str">
        <f t="shared" si="57"/>
        <v/>
      </c>
      <c r="T170" s="3" t="str">
        <f t="shared" si="46"/>
        <v/>
      </c>
      <c r="U170" s="3" t="str">
        <f t="shared" si="47"/>
        <v/>
      </c>
      <c r="V170" s="3" t="str">
        <f>IF($H170&lt;&gt;"",IF($J170&gt;U$11,IF($J170&lt;V$11,$J170-U$11,30),0)*ROUND(($K170+$S169+SUM($U170:U170))*$Q$5/3000,2),"")</f>
        <v/>
      </c>
      <c r="W170" s="3"/>
      <c r="X170" s="3"/>
    </row>
    <row r="171" spans="4:24" x14ac:dyDescent="0.25">
      <c r="D171" s="5"/>
      <c r="E171" s="22" t="str">
        <f t="shared" si="42"/>
        <v/>
      </c>
      <c r="F171" s="22" t="str">
        <f t="shared" si="48"/>
        <v/>
      </c>
      <c r="G171" s="22" t="str">
        <f t="shared" si="43"/>
        <v/>
      </c>
      <c r="H171" t="str">
        <f t="shared" si="44"/>
        <v/>
      </c>
      <c r="I171" s="5" t="str">
        <f>IF($H171&lt;&gt;"",IF($D171="",DATE(YEAR($J$7),MONTH($J$7)+($A$1*($E171-1))+SUM($B$12:$B171),DAY($J$7)),$D171),"")</f>
        <v/>
      </c>
      <c r="J171" s="9" t="str">
        <f t="shared" si="49"/>
        <v/>
      </c>
      <c r="K171" s="3" t="str">
        <f t="shared" si="50"/>
        <v/>
      </c>
      <c r="L171" s="3" t="str">
        <f t="shared" si="45"/>
        <v/>
      </c>
      <c r="M171" s="3" t="str">
        <f t="shared" si="51"/>
        <v/>
      </c>
      <c r="N171" s="3" t="str">
        <f t="shared" si="52"/>
        <v/>
      </c>
      <c r="O171" s="8" t="str">
        <f t="shared" si="53"/>
        <v/>
      </c>
      <c r="P171" s="8" t="str">
        <f t="shared" si="54"/>
        <v/>
      </c>
      <c r="Q171" s="3" t="str">
        <f t="shared" si="55"/>
        <v/>
      </c>
      <c r="R171" s="3" t="str">
        <f t="shared" si="56"/>
        <v/>
      </c>
      <c r="S171" s="3" t="str">
        <f t="shared" si="57"/>
        <v/>
      </c>
      <c r="T171" s="3" t="str">
        <f t="shared" si="46"/>
        <v/>
      </c>
      <c r="U171" s="3" t="str">
        <f t="shared" si="47"/>
        <v/>
      </c>
      <c r="V171" s="3" t="str">
        <f>IF($H171&lt;&gt;"",IF($J171&gt;U$11,IF($J171&lt;V$11,$J171-U$11,30),0)*ROUND(($K171+$S170+SUM($U171:U171))*$Q$5/3000,2),"")</f>
        <v/>
      </c>
      <c r="W171" s="3"/>
      <c r="X171" s="3"/>
    </row>
    <row r="172" spans="4:24" x14ac:dyDescent="0.25">
      <c r="D172" s="5"/>
      <c r="E172" s="22" t="str">
        <f t="shared" ref="E172:E208" si="58">IF($H172&lt;&gt;"",IF($A172="Prepago",$E171,$E171+1),"")</f>
        <v/>
      </c>
      <c r="F172" s="22" t="str">
        <f t="shared" si="48"/>
        <v/>
      </c>
      <c r="G172" s="22" t="str">
        <f t="shared" ref="G172:G203" si="59">IF(H172&lt;&gt;"",IF(COUNTA($U172:$XFD172)*30&lt;$J172,1,0),"")</f>
        <v/>
      </c>
      <c r="H172" t="str">
        <f t="shared" ref="H172:H208" si="60">IF($H171&lt;NCUOTAS+CUOTAADICIONAL+PGRACIA,$H171+1,"")</f>
        <v/>
      </c>
      <c r="I172" s="5" t="str">
        <f>IF($H172&lt;&gt;"",IF($D172="",DATE(YEAR($J$7),MONTH($J$7)+($A$1*($E172-1))+SUM($B$12:$B172),DAY($J$7)),$D172),"")</f>
        <v/>
      </c>
      <c r="J172" s="9" t="str">
        <f t="shared" si="49"/>
        <v/>
      </c>
      <c r="K172" s="3" t="str">
        <f t="shared" si="50"/>
        <v/>
      </c>
      <c r="L172" s="3" t="str">
        <f t="shared" ref="L172:L208" si="61">IF($H172&lt;&gt;"",IF($A172="Gracia Parcial",$T172+$O172+$P172+$Q172,IF($A172="Gracia Total",0,IF($A172="Prepago",$C172,IF(ISNUMBER($C172),$C172*VALUE(MID($C$1,MONTH($I172),1)),$M$6*VALUE(MID($C$1,MONTH($I172),1))))))-IF($H173="",ARREGLO,0),"")</f>
        <v/>
      </c>
      <c r="M172" s="3" t="str">
        <f t="shared" si="51"/>
        <v/>
      </c>
      <c r="N172" s="3" t="str">
        <f t="shared" si="52"/>
        <v/>
      </c>
      <c r="O172" s="8" t="str">
        <f t="shared" si="53"/>
        <v/>
      </c>
      <c r="P172" s="8" t="str">
        <f t="shared" si="54"/>
        <v/>
      </c>
      <c r="Q172" s="3" t="str">
        <f t="shared" si="55"/>
        <v/>
      </c>
      <c r="R172" s="3" t="str">
        <f t="shared" si="56"/>
        <v/>
      </c>
      <c r="S172" s="3" t="str">
        <f t="shared" si="57"/>
        <v/>
      </c>
      <c r="T172" s="3" t="str">
        <f t="shared" ref="T172:T208" si="62">IF($H172&lt;&gt;"",SUM($U172:$XFD172),"")</f>
        <v/>
      </c>
      <c r="U172" s="3" t="str">
        <f t="shared" si="47"/>
        <v/>
      </c>
      <c r="V172" s="3" t="str">
        <f>IF($H172&lt;&gt;"",IF($J172&gt;U$11,IF($J172&lt;V$11,$J172-U$11,30),0)*ROUND(($K172+$S171+SUM($U172:U172))*$Q$5/3000,2),"")</f>
        <v/>
      </c>
      <c r="W172" s="3"/>
      <c r="X172" s="3"/>
    </row>
    <row r="173" spans="4:24" x14ac:dyDescent="0.25">
      <c r="D173" s="5"/>
      <c r="E173" s="22" t="str">
        <f t="shared" si="58"/>
        <v/>
      </c>
      <c r="F173" s="22" t="str">
        <f t="shared" si="48"/>
        <v/>
      </c>
      <c r="G173" s="22" t="str">
        <f t="shared" si="59"/>
        <v/>
      </c>
      <c r="H173" t="str">
        <f t="shared" si="60"/>
        <v/>
      </c>
      <c r="I173" s="5" t="str">
        <f>IF($H173&lt;&gt;"",IF($D173="",DATE(YEAR($J$7),MONTH($J$7)+($A$1*($E173-1))+SUM($B$12:$B173),DAY($J$7)),$D173),"")</f>
        <v/>
      </c>
      <c r="J173" s="9" t="str">
        <f t="shared" si="49"/>
        <v/>
      </c>
      <c r="K173" s="3" t="str">
        <f t="shared" si="50"/>
        <v/>
      </c>
      <c r="L173" s="3" t="str">
        <f t="shared" si="61"/>
        <v/>
      </c>
      <c r="M173" s="3" t="str">
        <f t="shared" si="51"/>
        <v/>
      </c>
      <c r="N173" s="3" t="str">
        <f t="shared" si="52"/>
        <v/>
      </c>
      <c r="O173" s="8" t="str">
        <f t="shared" si="53"/>
        <v/>
      </c>
      <c r="P173" s="8" t="str">
        <f t="shared" si="54"/>
        <v/>
      </c>
      <c r="Q173" s="3" t="str">
        <f t="shared" si="55"/>
        <v/>
      </c>
      <c r="R173" s="3" t="str">
        <f t="shared" si="56"/>
        <v/>
      </c>
      <c r="S173" s="3" t="str">
        <f t="shared" si="57"/>
        <v/>
      </c>
      <c r="T173" s="3" t="str">
        <f t="shared" si="62"/>
        <v/>
      </c>
      <c r="U173" s="3" t="str">
        <f t="shared" si="47"/>
        <v/>
      </c>
      <c r="V173" s="3" t="str">
        <f>IF($H173&lt;&gt;"",IF($J173&gt;U$11,IF($J173&lt;V$11,$J173-U$11,30),0)*ROUND(($K173+$S172+SUM($U173:U173))*$Q$5/3000,2),"")</f>
        <v/>
      </c>
      <c r="W173" s="3"/>
      <c r="X173" s="3"/>
    </row>
    <row r="174" spans="4:24" x14ac:dyDescent="0.25">
      <c r="D174" s="5"/>
      <c r="E174" s="22" t="str">
        <f t="shared" si="58"/>
        <v/>
      </c>
      <c r="F174" s="22" t="str">
        <f t="shared" si="48"/>
        <v/>
      </c>
      <c r="G174" s="22" t="str">
        <f t="shared" si="59"/>
        <v/>
      </c>
      <c r="H174" t="str">
        <f t="shared" si="60"/>
        <v/>
      </c>
      <c r="I174" s="5" t="str">
        <f>IF($H174&lt;&gt;"",IF($D174="",DATE(YEAR($J$7),MONTH($J$7)+($A$1*($E174-1))+SUM($B$12:$B174),DAY($J$7)),$D174),"")</f>
        <v/>
      </c>
      <c r="J174" s="9" t="str">
        <f t="shared" si="49"/>
        <v/>
      </c>
      <c r="K174" s="3" t="str">
        <f t="shared" si="50"/>
        <v/>
      </c>
      <c r="L174" s="3" t="str">
        <f t="shared" si="61"/>
        <v/>
      </c>
      <c r="M174" s="3" t="str">
        <f t="shared" si="51"/>
        <v/>
      </c>
      <c r="N174" s="3" t="str">
        <f t="shared" si="52"/>
        <v/>
      </c>
      <c r="O174" s="8" t="str">
        <f t="shared" si="53"/>
        <v/>
      </c>
      <c r="P174" s="8" t="str">
        <f t="shared" si="54"/>
        <v/>
      </c>
      <c r="Q174" s="3" t="str">
        <f t="shared" si="55"/>
        <v/>
      </c>
      <c r="R174" s="3" t="str">
        <f t="shared" si="56"/>
        <v/>
      </c>
      <c r="S174" s="3" t="str">
        <f t="shared" si="57"/>
        <v/>
      </c>
      <c r="T174" s="3" t="str">
        <f t="shared" si="62"/>
        <v/>
      </c>
      <c r="U174" s="3" t="str">
        <f t="shared" si="47"/>
        <v/>
      </c>
      <c r="V174" s="3" t="str">
        <f>IF($H174&lt;&gt;"",IF($J174&gt;U$11,IF($J174&lt;V$11,$J174-U$11,30),0)*ROUND(($K174+$S173+SUM($U174:U174))*$Q$5/3000,2),"")</f>
        <v/>
      </c>
      <c r="W174" s="3"/>
      <c r="X174" s="3"/>
    </row>
    <row r="175" spans="4:24" x14ac:dyDescent="0.25">
      <c r="D175" s="5"/>
      <c r="E175" s="22" t="str">
        <f t="shared" si="58"/>
        <v/>
      </c>
      <c r="F175" s="22" t="str">
        <f t="shared" si="48"/>
        <v/>
      </c>
      <c r="G175" s="22" t="str">
        <f t="shared" si="59"/>
        <v/>
      </c>
      <c r="H175" t="str">
        <f t="shared" si="60"/>
        <v/>
      </c>
      <c r="I175" s="5" t="str">
        <f>IF($H175&lt;&gt;"",IF($D175="",DATE(YEAR($J$7),MONTH($J$7)+($A$1*($E175-1))+SUM($B$12:$B175),DAY($J$7)),$D175),"")</f>
        <v/>
      </c>
      <c r="J175" s="9" t="str">
        <f t="shared" si="49"/>
        <v/>
      </c>
      <c r="K175" s="3" t="str">
        <f t="shared" si="50"/>
        <v/>
      </c>
      <c r="L175" s="3" t="str">
        <f t="shared" si="61"/>
        <v/>
      </c>
      <c r="M175" s="3" t="str">
        <f t="shared" si="51"/>
        <v/>
      </c>
      <c r="N175" s="3" t="str">
        <f t="shared" si="52"/>
        <v/>
      </c>
      <c r="O175" s="8" t="str">
        <f t="shared" si="53"/>
        <v/>
      </c>
      <c r="P175" s="8" t="str">
        <f t="shared" si="54"/>
        <v/>
      </c>
      <c r="Q175" s="3" t="str">
        <f t="shared" si="55"/>
        <v/>
      </c>
      <c r="R175" s="3" t="str">
        <f t="shared" si="56"/>
        <v/>
      </c>
      <c r="S175" s="3" t="str">
        <f t="shared" si="57"/>
        <v/>
      </c>
      <c r="T175" s="3" t="str">
        <f t="shared" si="62"/>
        <v/>
      </c>
      <c r="U175" s="3" t="str">
        <f t="shared" si="47"/>
        <v/>
      </c>
      <c r="V175" s="3" t="str">
        <f>IF($H175&lt;&gt;"",IF($J175&gt;U$11,IF($J175&lt;V$11,$J175-U$11,30),0)*ROUND(($K175+$S174+SUM($U175:U175))*$Q$5/3000,2),"")</f>
        <v/>
      </c>
      <c r="W175" s="3"/>
      <c r="X175" s="3"/>
    </row>
    <row r="176" spans="4:24" x14ac:dyDescent="0.25">
      <c r="D176" s="5"/>
      <c r="E176" s="22" t="str">
        <f t="shared" si="58"/>
        <v/>
      </c>
      <c r="F176" s="22" t="str">
        <f t="shared" si="48"/>
        <v/>
      </c>
      <c r="G176" s="22" t="str">
        <f t="shared" si="59"/>
        <v/>
      </c>
      <c r="H176" t="str">
        <f t="shared" si="60"/>
        <v/>
      </c>
      <c r="I176" s="5" t="str">
        <f>IF($H176&lt;&gt;"",IF($D176="",DATE(YEAR($J$7),MONTH($J$7)+($A$1*($E176-1))+SUM($B$12:$B176),DAY($J$7)),$D176),"")</f>
        <v/>
      </c>
      <c r="J176" s="9" t="str">
        <f t="shared" si="49"/>
        <v/>
      </c>
      <c r="K176" s="3" t="str">
        <f t="shared" si="50"/>
        <v/>
      </c>
      <c r="L176" s="3" t="str">
        <f t="shared" si="61"/>
        <v/>
      </c>
      <c r="M176" s="3" t="str">
        <f t="shared" si="51"/>
        <v/>
      </c>
      <c r="N176" s="3" t="str">
        <f t="shared" si="52"/>
        <v/>
      </c>
      <c r="O176" s="8" t="str">
        <f t="shared" si="53"/>
        <v/>
      </c>
      <c r="P176" s="8" t="str">
        <f t="shared" si="54"/>
        <v/>
      </c>
      <c r="Q176" s="3" t="str">
        <f t="shared" si="55"/>
        <v/>
      </c>
      <c r="R176" s="3" t="str">
        <f t="shared" si="56"/>
        <v/>
      </c>
      <c r="S176" s="3" t="str">
        <f t="shared" si="57"/>
        <v/>
      </c>
      <c r="T176" s="3" t="str">
        <f t="shared" si="62"/>
        <v/>
      </c>
      <c r="U176" s="3" t="str">
        <f t="shared" si="47"/>
        <v/>
      </c>
      <c r="V176" s="3" t="str">
        <f>IF($H176&lt;&gt;"",IF($J176&gt;U$11,IF($J176&lt;V$11,$J176-U$11,30),0)*ROUND(($K176+$S175+SUM($U176:U176))*$Q$5/3000,2),"")</f>
        <v/>
      </c>
      <c r="W176" s="3"/>
      <c r="X176" s="3"/>
    </row>
    <row r="177" spans="4:24" x14ac:dyDescent="0.25">
      <c r="D177" s="5"/>
      <c r="E177" s="22" t="str">
        <f t="shared" si="58"/>
        <v/>
      </c>
      <c r="F177" s="22" t="str">
        <f t="shared" si="48"/>
        <v/>
      </c>
      <c r="G177" s="22" t="str">
        <f t="shared" si="59"/>
        <v/>
      </c>
      <c r="H177" t="str">
        <f t="shared" si="60"/>
        <v/>
      </c>
      <c r="I177" s="5" t="str">
        <f>IF($H177&lt;&gt;"",IF($D177="",DATE(YEAR($J$7),MONTH($J$7)+($A$1*($E177-1))+SUM($B$12:$B177),DAY($J$7)),$D177),"")</f>
        <v/>
      </c>
      <c r="J177" s="9" t="str">
        <f t="shared" si="49"/>
        <v/>
      </c>
      <c r="K177" s="3" t="str">
        <f t="shared" si="50"/>
        <v/>
      </c>
      <c r="L177" s="3" t="str">
        <f t="shared" si="61"/>
        <v/>
      </c>
      <c r="M177" s="3" t="str">
        <f t="shared" si="51"/>
        <v/>
      </c>
      <c r="N177" s="3" t="str">
        <f t="shared" si="52"/>
        <v/>
      </c>
      <c r="O177" s="8" t="str">
        <f t="shared" si="53"/>
        <v/>
      </c>
      <c r="P177" s="8" t="str">
        <f t="shared" si="54"/>
        <v/>
      </c>
      <c r="Q177" s="3" t="str">
        <f t="shared" si="55"/>
        <v/>
      </c>
      <c r="R177" s="3" t="str">
        <f t="shared" si="56"/>
        <v/>
      </c>
      <c r="S177" s="3" t="str">
        <f t="shared" si="57"/>
        <v/>
      </c>
      <c r="T177" s="3" t="str">
        <f t="shared" si="62"/>
        <v/>
      </c>
      <c r="U177" s="3" t="str">
        <f t="shared" si="47"/>
        <v/>
      </c>
      <c r="V177" s="3" t="str">
        <f>IF($H177&lt;&gt;"",IF($J177&gt;U$11,IF($J177&lt;V$11,$J177-U$11,30),0)*ROUND(($K177+$S176+SUM($U177:U177))*$Q$5/3000,2),"")</f>
        <v/>
      </c>
      <c r="W177" s="3"/>
      <c r="X177" s="3"/>
    </row>
    <row r="178" spans="4:24" x14ac:dyDescent="0.25">
      <c r="D178" s="5"/>
      <c r="E178" s="22" t="str">
        <f t="shared" si="58"/>
        <v/>
      </c>
      <c r="F178" s="22" t="str">
        <f t="shared" si="48"/>
        <v/>
      </c>
      <c r="G178" s="22" t="str">
        <f t="shared" si="59"/>
        <v/>
      </c>
      <c r="H178" t="str">
        <f t="shared" si="60"/>
        <v/>
      </c>
      <c r="I178" s="5" t="str">
        <f>IF($H178&lt;&gt;"",IF($D178="",DATE(YEAR($J$7),MONTH($J$7)+($A$1*($E178-1))+SUM($B$12:$B178),DAY($J$7)),$D178),"")</f>
        <v/>
      </c>
      <c r="J178" s="9" t="str">
        <f t="shared" si="49"/>
        <v/>
      </c>
      <c r="K178" s="3" t="str">
        <f t="shared" si="50"/>
        <v/>
      </c>
      <c r="L178" s="3" t="str">
        <f t="shared" si="61"/>
        <v/>
      </c>
      <c r="M178" s="3" t="str">
        <f t="shared" si="51"/>
        <v/>
      </c>
      <c r="N178" s="3" t="str">
        <f t="shared" si="52"/>
        <v/>
      </c>
      <c r="O178" s="8" t="str">
        <f t="shared" si="53"/>
        <v/>
      </c>
      <c r="P178" s="8" t="str">
        <f t="shared" si="54"/>
        <v/>
      </c>
      <c r="Q178" s="3" t="str">
        <f t="shared" si="55"/>
        <v/>
      </c>
      <c r="R178" s="3" t="str">
        <f t="shared" si="56"/>
        <v/>
      </c>
      <c r="S178" s="3" t="str">
        <f t="shared" si="57"/>
        <v/>
      </c>
      <c r="T178" s="3" t="str">
        <f t="shared" si="62"/>
        <v/>
      </c>
      <c r="U178" s="3" t="str">
        <f t="shared" si="47"/>
        <v/>
      </c>
      <c r="V178" s="3" t="str">
        <f>IF($H178&lt;&gt;"",IF($J178&gt;U$11,IF($J178&lt;V$11,$J178-U$11,30),0)*ROUND(($K178+$S177+SUM($U178:U178))*$Q$5/3000,2),"")</f>
        <v/>
      </c>
      <c r="W178" s="3"/>
      <c r="X178" s="3"/>
    </row>
    <row r="179" spans="4:24" x14ac:dyDescent="0.25">
      <c r="D179" s="5"/>
      <c r="E179" s="22" t="str">
        <f t="shared" si="58"/>
        <v/>
      </c>
      <c r="F179" s="22" t="str">
        <f t="shared" si="48"/>
        <v/>
      </c>
      <c r="G179" s="22" t="str">
        <f t="shared" si="59"/>
        <v/>
      </c>
      <c r="H179" t="str">
        <f t="shared" si="60"/>
        <v/>
      </c>
      <c r="I179" s="5" t="str">
        <f>IF($H179&lt;&gt;"",IF($D179="",DATE(YEAR($J$7),MONTH($J$7)+($A$1*($E179-1))+SUM($B$12:$B179),DAY($J$7)),$D179),"")</f>
        <v/>
      </c>
      <c r="J179" s="9" t="str">
        <f t="shared" si="49"/>
        <v/>
      </c>
      <c r="K179" s="3" t="str">
        <f t="shared" si="50"/>
        <v/>
      </c>
      <c r="L179" s="3" t="str">
        <f t="shared" si="61"/>
        <v/>
      </c>
      <c r="M179" s="3" t="str">
        <f t="shared" si="51"/>
        <v/>
      </c>
      <c r="N179" s="3" t="str">
        <f t="shared" si="52"/>
        <v/>
      </c>
      <c r="O179" s="8" t="str">
        <f t="shared" si="53"/>
        <v/>
      </c>
      <c r="P179" s="8" t="str">
        <f t="shared" si="54"/>
        <v/>
      </c>
      <c r="Q179" s="3" t="str">
        <f t="shared" si="55"/>
        <v/>
      </c>
      <c r="R179" s="3" t="str">
        <f t="shared" si="56"/>
        <v/>
      </c>
      <c r="S179" s="3" t="str">
        <f t="shared" si="57"/>
        <v/>
      </c>
      <c r="T179" s="3" t="str">
        <f t="shared" si="62"/>
        <v/>
      </c>
      <c r="U179" s="3" t="str">
        <f t="shared" si="47"/>
        <v/>
      </c>
      <c r="V179" s="3" t="str">
        <f>IF($H179&lt;&gt;"",IF($J179&gt;U$11,IF($J179&lt;V$11,$J179-U$11,30),0)*ROUND(($K179+$S178+SUM($U179:U179))*$Q$5/3000,2),"")</f>
        <v/>
      </c>
      <c r="W179" s="3"/>
      <c r="X179" s="3"/>
    </row>
    <row r="180" spans="4:24" x14ac:dyDescent="0.25">
      <c r="D180" s="5"/>
      <c r="E180" s="22" t="str">
        <f t="shared" si="58"/>
        <v/>
      </c>
      <c r="F180" s="22" t="str">
        <f t="shared" si="48"/>
        <v/>
      </c>
      <c r="G180" s="22" t="str">
        <f t="shared" si="59"/>
        <v/>
      </c>
      <c r="H180" t="str">
        <f t="shared" si="60"/>
        <v/>
      </c>
      <c r="I180" s="5" t="str">
        <f>IF($H180&lt;&gt;"",IF($D180="",DATE(YEAR($J$7),MONTH($J$7)+($A$1*($E180-1))+SUM($B$12:$B180),DAY($J$7)),$D180),"")</f>
        <v/>
      </c>
      <c r="J180" s="9" t="str">
        <f t="shared" si="49"/>
        <v/>
      </c>
      <c r="K180" s="3" t="str">
        <f t="shared" si="50"/>
        <v/>
      </c>
      <c r="L180" s="3" t="str">
        <f t="shared" si="61"/>
        <v/>
      </c>
      <c r="M180" s="3" t="str">
        <f t="shared" si="51"/>
        <v/>
      </c>
      <c r="N180" s="3" t="str">
        <f t="shared" si="52"/>
        <v/>
      </c>
      <c r="O180" s="8" t="str">
        <f t="shared" si="53"/>
        <v/>
      </c>
      <c r="P180" s="8" t="str">
        <f t="shared" si="54"/>
        <v/>
      </c>
      <c r="Q180" s="3" t="str">
        <f t="shared" si="55"/>
        <v/>
      </c>
      <c r="R180" s="3" t="str">
        <f t="shared" si="56"/>
        <v/>
      </c>
      <c r="S180" s="3" t="str">
        <f t="shared" si="57"/>
        <v/>
      </c>
      <c r="T180" s="3" t="str">
        <f t="shared" si="62"/>
        <v/>
      </c>
      <c r="U180" s="3" t="str">
        <f t="shared" si="47"/>
        <v/>
      </c>
      <c r="V180" s="3" t="str">
        <f>IF($H180&lt;&gt;"",IF($J180&gt;U$11,IF($J180&lt;V$11,$J180-U$11,30),0)*ROUND(($K180+$S179+SUM($U180:U180))*$Q$5/3000,2),"")</f>
        <v/>
      </c>
      <c r="W180" s="3"/>
      <c r="X180" s="3"/>
    </row>
    <row r="181" spans="4:24" x14ac:dyDescent="0.25">
      <c r="D181" s="5"/>
      <c r="E181" s="22" t="str">
        <f t="shared" si="58"/>
        <v/>
      </c>
      <c r="F181" s="22" t="str">
        <f t="shared" si="48"/>
        <v/>
      </c>
      <c r="G181" s="22" t="str">
        <f t="shared" si="59"/>
        <v/>
      </c>
      <c r="H181" t="str">
        <f t="shared" si="60"/>
        <v/>
      </c>
      <c r="I181" s="5" t="str">
        <f>IF($H181&lt;&gt;"",IF($D181="",DATE(YEAR($J$7),MONTH($J$7)+($A$1*($E181-1))+SUM($B$12:$B181),DAY($J$7)),$D181),"")</f>
        <v/>
      </c>
      <c r="J181" s="9" t="str">
        <f t="shared" si="49"/>
        <v/>
      </c>
      <c r="K181" s="3" t="str">
        <f t="shared" si="50"/>
        <v/>
      </c>
      <c r="L181" s="3" t="str">
        <f t="shared" si="61"/>
        <v/>
      </c>
      <c r="M181" s="3" t="str">
        <f t="shared" si="51"/>
        <v/>
      </c>
      <c r="N181" s="3" t="str">
        <f t="shared" si="52"/>
        <v/>
      </c>
      <c r="O181" s="8" t="str">
        <f t="shared" si="53"/>
        <v/>
      </c>
      <c r="P181" s="8" t="str">
        <f t="shared" si="54"/>
        <v/>
      </c>
      <c r="Q181" s="3" t="str">
        <f t="shared" si="55"/>
        <v/>
      </c>
      <c r="R181" s="3" t="str">
        <f t="shared" si="56"/>
        <v/>
      </c>
      <c r="S181" s="3" t="str">
        <f t="shared" si="57"/>
        <v/>
      </c>
      <c r="T181" s="3" t="str">
        <f t="shared" si="62"/>
        <v/>
      </c>
      <c r="U181" s="3" t="str">
        <f t="shared" si="47"/>
        <v/>
      </c>
      <c r="V181" s="3" t="str">
        <f>IF($H181&lt;&gt;"",IF($J181&gt;U$11,IF($J181&lt;V$11,$J181-U$11,30),0)*ROUND(($K181+$S180+SUM($U181:U181))*$Q$5/3000,2),"")</f>
        <v/>
      </c>
      <c r="W181" s="3"/>
      <c r="X181" s="3"/>
    </row>
    <row r="182" spans="4:24" x14ac:dyDescent="0.25">
      <c r="D182" s="5"/>
      <c r="E182" s="22" t="str">
        <f t="shared" si="58"/>
        <v/>
      </c>
      <c r="F182" s="22" t="str">
        <f t="shared" si="48"/>
        <v/>
      </c>
      <c r="G182" s="22" t="str">
        <f t="shared" si="59"/>
        <v/>
      </c>
      <c r="H182" t="str">
        <f t="shared" si="60"/>
        <v/>
      </c>
      <c r="I182" s="5" t="str">
        <f>IF($H182&lt;&gt;"",IF($D182="",DATE(YEAR($J$7),MONTH($J$7)+($A$1*($E182-1))+SUM($B$12:$B182),DAY($J$7)),$D182),"")</f>
        <v/>
      </c>
      <c r="J182" s="9" t="str">
        <f t="shared" si="49"/>
        <v/>
      </c>
      <c r="K182" s="3" t="str">
        <f t="shared" si="50"/>
        <v/>
      </c>
      <c r="L182" s="3" t="str">
        <f t="shared" si="61"/>
        <v/>
      </c>
      <c r="M182" s="3" t="str">
        <f t="shared" si="51"/>
        <v/>
      </c>
      <c r="N182" s="3" t="str">
        <f t="shared" si="52"/>
        <v/>
      </c>
      <c r="O182" s="8" t="str">
        <f t="shared" si="53"/>
        <v/>
      </c>
      <c r="P182" s="8" t="str">
        <f t="shared" si="54"/>
        <v/>
      </c>
      <c r="Q182" s="3" t="str">
        <f t="shared" si="55"/>
        <v/>
      </c>
      <c r="R182" s="3" t="str">
        <f t="shared" si="56"/>
        <v/>
      </c>
      <c r="S182" s="3" t="str">
        <f t="shared" si="57"/>
        <v/>
      </c>
      <c r="T182" s="3" t="str">
        <f t="shared" si="62"/>
        <v/>
      </c>
      <c r="U182" s="3" t="str">
        <f t="shared" si="47"/>
        <v/>
      </c>
      <c r="V182" s="3" t="str">
        <f>IF($H182&lt;&gt;"",IF($J182&gt;U$11,IF($J182&lt;V$11,$J182-U$11,30),0)*ROUND(($K182+$S181+SUM($U182:U182))*$Q$5/3000,2),"")</f>
        <v/>
      </c>
      <c r="W182" s="3"/>
      <c r="X182" s="3"/>
    </row>
    <row r="183" spans="4:24" x14ac:dyDescent="0.25">
      <c r="D183" s="5"/>
      <c r="E183" s="22" t="str">
        <f t="shared" si="58"/>
        <v/>
      </c>
      <c r="F183" s="22" t="str">
        <f t="shared" si="48"/>
        <v/>
      </c>
      <c r="G183" s="22" t="str">
        <f t="shared" si="59"/>
        <v/>
      </c>
      <c r="H183" t="str">
        <f t="shared" si="60"/>
        <v/>
      </c>
      <c r="I183" s="5" t="str">
        <f>IF($H183&lt;&gt;"",IF($D183="",DATE(YEAR($J$7),MONTH($J$7)+($A$1*($E183-1))+SUM($B$12:$B183),DAY($J$7)),$D183),"")</f>
        <v/>
      </c>
      <c r="J183" s="9" t="str">
        <f t="shared" si="49"/>
        <v/>
      </c>
      <c r="K183" s="3" t="str">
        <f t="shared" si="50"/>
        <v/>
      </c>
      <c r="L183" s="3" t="str">
        <f t="shared" si="61"/>
        <v/>
      </c>
      <c r="M183" s="3" t="str">
        <f t="shared" si="51"/>
        <v/>
      </c>
      <c r="N183" s="3" t="str">
        <f t="shared" si="52"/>
        <v/>
      </c>
      <c r="O183" s="8" t="str">
        <f t="shared" si="53"/>
        <v/>
      </c>
      <c r="P183" s="8" t="str">
        <f t="shared" si="54"/>
        <v/>
      </c>
      <c r="Q183" s="3" t="str">
        <f t="shared" si="55"/>
        <v/>
      </c>
      <c r="R183" s="3" t="str">
        <f t="shared" si="56"/>
        <v/>
      </c>
      <c r="S183" s="3" t="str">
        <f t="shared" si="57"/>
        <v/>
      </c>
      <c r="T183" s="3" t="str">
        <f t="shared" si="62"/>
        <v/>
      </c>
      <c r="U183" s="3" t="str">
        <f t="shared" si="47"/>
        <v/>
      </c>
      <c r="V183" s="3" t="str">
        <f>IF($H183&lt;&gt;"",IF($J183&gt;U$11,IF($J183&lt;V$11,$J183-U$11,30),0)*ROUND(($K183+$S182+SUM($U183:U183))*$Q$5/3000,2),"")</f>
        <v/>
      </c>
      <c r="W183" s="3"/>
      <c r="X183" s="3"/>
    </row>
    <row r="184" spans="4:24" x14ac:dyDescent="0.25">
      <c r="D184" s="5"/>
      <c r="E184" s="22" t="str">
        <f t="shared" si="58"/>
        <v/>
      </c>
      <c r="F184" s="22" t="str">
        <f t="shared" si="48"/>
        <v/>
      </c>
      <c r="G184" s="22" t="str">
        <f t="shared" si="59"/>
        <v/>
      </c>
      <c r="H184" t="str">
        <f t="shared" si="60"/>
        <v/>
      </c>
      <c r="I184" s="5" t="str">
        <f>IF($H184&lt;&gt;"",IF($D184="",DATE(YEAR($J$7),MONTH($J$7)+($A$1*($E184-1))+SUM($B$12:$B184),DAY($J$7)),$D184),"")</f>
        <v/>
      </c>
      <c r="J184" s="9" t="str">
        <f t="shared" si="49"/>
        <v/>
      </c>
      <c r="K184" s="3" t="str">
        <f t="shared" si="50"/>
        <v/>
      </c>
      <c r="L184" s="3" t="str">
        <f t="shared" si="61"/>
        <v/>
      </c>
      <c r="M184" s="3" t="str">
        <f t="shared" si="51"/>
        <v/>
      </c>
      <c r="N184" s="3" t="str">
        <f t="shared" si="52"/>
        <v/>
      </c>
      <c r="O184" s="8" t="str">
        <f t="shared" si="53"/>
        <v/>
      </c>
      <c r="P184" s="8" t="str">
        <f t="shared" si="54"/>
        <v/>
      </c>
      <c r="Q184" s="3" t="str">
        <f t="shared" si="55"/>
        <v/>
      </c>
      <c r="R184" s="3" t="str">
        <f t="shared" si="56"/>
        <v/>
      </c>
      <c r="S184" s="3" t="str">
        <f t="shared" si="57"/>
        <v/>
      </c>
      <c r="T184" s="3" t="str">
        <f t="shared" si="62"/>
        <v/>
      </c>
      <c r="U184" s="3" t="str">
        <f t="shared" si="47"/>
        <v/>
      </c>
      <c r="V184" s="3" t="str">
        <f>IF($H184&lt;&gt;"",IF($J184&gt;U$11,IF($J184&lt;V$11,$J184-U$11,30),0)*ROUND(($K184+$S183+SUM($U184:U184))*$Q$5/3000,2),"")</f>
        <v/>
      </c>
      <c r="W184" s="3"/>
      <c r="X184" s="3"/>
    </row>
    <row r="185" spans="4:24" x14ac:dyDescent="0.25">
      <c r="D185" s="5"/>
      <c r="E185" s="22" t="str">
        <f t="shared" si="58"/>
        <v/>
      </c>
      <c r="F185" s="22" t="str">
        <f t="shared" si="48"/>
        <v/>
      </c>
      <c r="G185" s="22" t="str">
        <f t="shared" si="59"/>
        <v/>
      </c>
      <c r="H185" t="str">
        <f t="shared" si="60"/>
        <v/>
      </c>
      <c r="I185" s="5" t="str">
        <f>IF($H185&lt;&gt;"",IF($D185="",DATE(YEAR($J$7),MONTH($J$7)+($A$1*($E185-1))+SUM($B$12:$B185),DAY($J$7)),$D185),"")</f>
        <v/>
      </c>
      <c r="J185" s="9" t="str">
        <f t="shared" si="49"/>
        <v/>
      </c>
      <c r="K185" s="3" t="str">
        <f t="shared" si="50"/>
        <v/>
      </c>
      <c r="L185" s="3" t="str">
        <f t="shared" si="61"/>
        <v/>
      </c>
      <c r="M185" s="3" t="str">
        <f t="shared" si="51"/>
        <v/>
      </c>
      <c r="N185" s="3" t="str">
        <f t="shared" si="52"/>
        <v/>
      </c>
      <c r="O185" s="8" t="str">
        <f t="shared" si="53"/>
        <v/>
      </c>
      <c r="P185" s="8" t="str">
        <f t="shared" si="54"/>
        <v/>
      </c>
      <c r="Q185" s="3" t="str">
        <f t="shared" si="55"/>
        <v/>
      </c>
      <c r="R185" s="3" t="str">
        <f t="shared" si="56"/>
        <v/>
      </c>
      <c r="S185" s="3" t="str">
        <f t="shared" si="57"/>
        <v/>
      </c>
      <c r="T185" s="3" t="str">
        <f t="shared" si="62"/>
        <v/>
      </c>
      <c r="U185" s="3" t="str">
        <f t="shared" si="47"/>
        <v/>
      </c>
      <c r="V185" s="3" t="str">
        <f>IF($H185&lt;&gt;"",IF($J185&gt;U$11,IF($J185&lt;V$11,$J185-U$11,30),0)*ROUND(($K185+$S184+SUM($U185:U185))*$Q$5/3000,2),"")</f>
        <v/>
      </c>
      <c r="W185" s="3"/>
      <c r="X185" s="3"/>
    </row>
    <row r="186" spans="4:24" x14ac:dyDescent="0.25">
      <c r="D186" s="5"/>
      <c r="E186" s="22" t="str">
        <f t="shared" si="58"/>
        <v/>
      </c>
      <c r="F186" s="22" t="str">
        <f t="shared" si="48"/>
        <v/>
      </c>
      <c r="G186" s="22" t="str">
        <f t="shared" si="59"/>
        <v/>
      </c>
      <c r="H186" t="str">
        <f t="shared" si="60"/>
        <v/>
      </c>
      <c r="I186" s="5" t="str">
        <f>IF($H186&lt;&gt;"",IF($D186="",DATE(YEAR($J$7),MONTH($J$7)+($A$1*($E186-1))+SUM($B$12:$B186),DAY($J$7)),$D186),"")</f>
        <v/>
      </c>
      <c r="J186" s="9" t="str">
        <f t="shared" si="49"/>
        <v/>
      </c>
      <c r="K186" s="3" t="str">
        <f t="shared" si="50"/>
        <v/>
      </c>
      <c r="L186" s="3" t="str">
        <f t="shared" si="61"/>
        <v/>
      </c>
      <c r="M186" s="3" t="str">
        <f t="shared" si="51"/>
        <v/>
      </c>
      <c r="N186" s="3" t="str">
        <f t="shared" si="52"/>
        <v/>
      </c>
      <c r="O186" s="8" t="str">
        <f t="shared" si="53"/>
        <v/>
      </c>
      <c r="P186" s="8" t="str">
        <f t="shared" si="54"/>
        <v/>
      </c>
      <c r="Q186" s="3" t="str">
        <f t="shared" si="55"/>
        <v/>
      </c>
      <c r="R186" s="3" t="str">
        <f t="shared" si="56"/>
        <v/>
      </c>
      <c r="S186" s="3" t="str">
        <f t="shared" si="57"/>
        <v/>
      </c>
      <c r="T186" s="3" t="str">
        <f t="shared" si="62"/>
        <v/>
      </c>
      <c r="U186" s="3" t="str">
        <f t="shared" si="47"/>
        <v/>
      </c>
      <c r="V186" s="3" t="str">
        <f>IF($H186&lt;&gt;"",IF($J186&gt;U$11,IF($J186&lt;V$11,$J186-U$11,30),0)*ROUND(($K186+$S185+SUM($U186:U186))*$Q$5/3000,2),"")</f>
        <v/>
      </c>
      <c r="W186" s="3"/>
      <c r="X186" s="3"/>
    </row>
    <row r="187" spans="4:24" x14ac:dyDescent="0.25">
      <c r="D187" s="5"/>
      <c r="E187" s="22" t="str">
        <f t="shared" si="58"/>
        <v/>
      </c>
      <c r="F187" s="22" t="str">
        <f t="shared" si="48"/>
        <v/>
      </c>
      <c r="G187" s="22" t="str">
        <f t="shared" si="59"/>
        <v/>
      </c>
      <c r="H187" t="str">
        <f t="shared" si="60"/>
        <v/>
      </c>
      <c r="I187" s="5" t="str">
        <f>IF($H187&lt;&gt;"",IF($D187="",DATE(YEAR($J$7),MONTH($J$7)+($A$1*($E187-1))+SUM($B$12:$B187),DAY($J$7)),$D187),"")</f>
        <v/>
      </c>
      <c r="J187" s="9" t="str">
        <f t="shared" si="49"/>
        <v/>
      </c>
      <c r="K187" s="3" t="str">
        <f t="shared" si="50"/>
        <v/>
      </c>
      <c r="L187" s="3" t="str">
        <f t="shared" si="61"/>
        <v/>
      </c>
      <c r="M187" s="3" t="str">
        <f t="shared" si="51"/>
        <v/>
      </c>
      <c r="N187" s="3" t="str">
        <f t="shared" si="52"/>
        <v/>
      </c>
      <c r="O187" s="8" t="str">
        <f t="shared" si="53"/>
        <v/>
      </c>
      <c r="P187" s="8" t="str">
        <f t="shared" si="54"/>
        <v/>
      </c>
      <c r="Q187" s="3" t="str">
        <f t="shared" si="55"/>
        <v/>
      </c>
      <c r="R187" s="3" t="str">
        <f t="shared" si="56"/>
        <v/>
      </c>
      <c r="S187" s="3" t="str">
        <f t="shared" si="57"/>
        <v/>
      </c>
      <c r="T187" s="3" t="str">
        <f t="shared" si="62"/>
        <v/>
      </c>
      <c r="U187" s="3" t="str">
        <f t="shared" si="47"/>
        <v/>
      </c>
      <c r="V187" s="3" t="str">
        <f>IF($H187&lt;&gt;"",IF($J187&gt;U$11,IF($J187&lt;V$11,$J187-U$11,30),0)*ROUND(($K187+$S186+SUM($U187:U187))*$Q$5/3000,2),"")</f>
        <v/>
      </c>
      <c r="W187" s="3"/>
      <c r="X187" s="3"/>
    </row>
    <row r="188" spans="4:24" x14ac:dyDescent="0.25">
      <c r="D188" s="5"/>
      <c r="E188" s="22" t="str">
        <f t="shared" si="58"/>
        <v/>
      </c>
      <c r="F188" s="22" t="str">
        <f t="shared" si="48"/>
        <v/>
      </c>
      <c r="G188" s="22" t="str">
        <f t="shared" si="59"/>
        <v/>
      </c>
      <c r="H188" t="str">
        <f t="shared" si="60"/>
        <v/>
      </c>
      <c r="I188" s="5" t="str">
        <f>IF($H188&lt;&gt;"",IF($D188="",DATE(YEAR($J$7),MONTH($J$7)+($A$1*($E188-1))+SUM($B$12:$B188),DAY($J$7)),$D188),"")</f>
        <v/>
      </c>
      <c r="J188" s="9" t="str">
        <f t="shared" si="49"/>
        <v/>
      </c>
      <c r="K188" s="3" t="str">
        <f t="shared" si="50"/>
        <v/>
      </c>
      <c r="L188" s="3" t="str">
        <f t="shared" si="61"/>
        <v/>
      </c>
      <c r="M188" s="3" t="str">
        <f t="shared" si="51"/>
        <v/>
      </c>
      <c r="N188" s="3" t="str">
        <f t="shared" si="52"/>
        <v/>
      </c>
      <c r="O188" s="8" t="str">
        <f t="shared" si="53"/>
        <v/>
      </c>
      <c r="P188" s="8" t="str">
        <f t="shared" si="54"/>
        <v/>
      </c>
      <c r="Q188" s="3" t="str">
        <f t="shared" si="55"/>
        <v/>
      </c>
      <c r="R188" s="3" t="str">
        <f t="shared" si="56"/>
        <v/>
      </c>
      <c r="S188" s="3" t="str">
        <f t="shared" si="57"/>
        <v/>
      </c>
      <c r="T188" s="3" t="str">
        <f t="shared" si="62"/>
        <v/>
      </c>
      <c r="U188" s="3" t="str">
        <f t="shared" si="47"/>
        <v/>
      </c>
      <c r="V188" s="3" t="str">
        <f>IF($H188&lt;&gt;"",IF($J188&gt;U$11,IF($J188&lt;V$11,$J188-U$11,30),0)*ROUND(($K188+$S187+SUM($U188:U188))*$Q$5/3000,2),"")</f>
        <v/>
      </c>
      <c r="W188" s="3"/>
      <c r="X188" s="3"/>
    </row>
    <row r="189" spans="4:24" x14ac:dyDescent="0.25">
      <c r="D189" s="5"/>
      <c r="E189" s="22" t="str">
        <f t="shared" si="58"/>
        <v/>
      </c>
      <c r="F189" s="22" t="str">
        <f t="shared" si="48"/>
        <v/>
      </c>
      <c r="G189" s="22" t="str">
        <f t="shared" si="59"/>
        <v/>
      </c>
      <c r="H189" t="str">
        <f t="shared" si="60"/>
        <v/>
      </c>
      <c r="I189" s="5" t="str">
        <f>IF($H189&lt;&gt;"",IF($D189="",DATE(YEAR($J$7),MONTH($J$7)+($A$1*($E189-1))+SUM($B$12:$B189),DAY($J$7)),$D189),"")</f>
        <v/>
      </c>
      <c r="J189" s="9" t="str">
        <f t="shared" si="49"/>
        <v/>
      </c>
      <c r="K189" s="3" t="str">
        <f t="shared" si="50"/>
        <v/>
      </c>
      <c r="L189" s="3" t="str">
        <f t="shared" si="61"/>
        <v/>
      </c>
      <c r="M189" s="3" t="str">
        <f t="shared" si="51"/>
        <v/>
      </c>
      <c r="N189" s="3" t="str">
        <f t="shared" si="52"/>
        <v/>
      </c>
      <c r="O189" s="8" t="str">
        <f t="shared" si="53"/>
        <v/>
      </c>
      <c r="P189" s="8" t="str">
        <f t="shared" si="54"/>
        <v/>
      </c>
      <c r="Q189" s="3" t="str">
        <f t="shared" si="55"/>
        <v/>
      </c>
      <c r="R189" s="3" t="str">
        <f t="shared" si="56"/>
        <v/>
      </c>
      <c r="S189" s="3" t="str">
        <f t="shared" si="57"/>
        <v/>
      </c>
      <c r="T189" s="3" t="str">
        <f t="shared" si="62"/>
        <v/>
      </c>
      <c r="U189" s="3" t="str">
        <f t="shared" si="47"/>
        <v/>
      </c>
      <c r="V189" s="3" t="str">
        <f>IF($H189&lt;&gt;"",IF($J189&gt;U$11,IF($J189&lt;V$11,$J189-U$11,30),0)*ROUND(($K189+$S188+SUM($U189:U189))*$Q$5/3000,2),"")</f>
        <v/>
      </c>
      <c r="W189" s="3"/>
      <c r="X189" s="3"/>
    </row>
    <row r="190" spans="4:24" x14ac:dyDescent="0.25">
      <c r="D190" s="5"/>
      <c r="E190" s="22" t="str">
        <f t="shared" si="58"/>
        <v/>
      </c>
      <c r="F190" s="22" t="str">
        <f t="shared" si="48"/>
        <v/>
      </c>
      <c r="G190" s="22" t="str">
        <f t="shared" si="59"/>
        <v/>
      </c>
      <c r="H190" t="str">
        <f t="shared" si="60"/>
        <v/>
      </c>
      <c r="I190" s="5" t="str">
        <f>IF($H190&lt;&gt;"",IF($D190="",DATE(YEAR($J$7),MONTH($J$7)+($A$1*($E190-1))+SUM($B$12:$B190),DAY($J$7)),$D190),"")</f>
        <v/>
      </c>
      <c r="J190" s="9" t="str">
        <f t="shared" si="49"/>
        <v/>
      </c>
      <c r="K190" s="3" t="str">
        <f t="shared" si="50"/>
        <v/>
      </c>
      <c r="L190" s="3" t="str">
        <f t="shared" si="61"/>
        <v/>
      </c>
      <c r="M190" s="3" t="str">
        <f t="shared" si="51"/>
        <v/>
      </c>
      <c r="N190" s="3" t="str">
        <f t="shared" si="52"/>
        <v/>
      </c>
      <c r="O190" s="8" t="str">
        <f t="shared" si="53"/>
        <v/>
      </c>
      <c r="P190" s="8" t="str">
        <f t="shared" si="54"/>
        <v/>
      </c>
      <c r="Q190" s="3" t="str">
        <f t="shared" si="55"/>
        <v/>
      </c>
      <c r="R190" s="3" t="str">
        <f t="shared" si="56"/>
        <v/>
      </c>
      <c r="S190" s="3" t="str">
        <f t="shared" si="57"/>
        <v/>
      </c>
      <c r="T190" s="3" t="str">
        <f t="shared" si="62"/>
        <v/>
      </c>
      <c r="U190" s="3" t="str">
        <f t="shared" si="47"/>
        <v/>
      </c>
      <c r="V190" s="3" t="str">
        <f>IF($H190&lt;&gt;"",IF($J190&gt;U$11,IF($J190&lt;V$11,$J190-U$11,30),0)*ROUND(($K190+$S189+SUM($U190:U190))*$Q$5/3000,2),"")</f>
        <v/>
      </c>
      <c r="W190" s="3"/>
      <c r="X190" s="3"/>
    </row>
    <row r="191" spans="4:24" x14ac:dyDescent="0.25">
      <c r="D191" s="5"/>
      <c r="E191" s="22" t="str">
        <f t="shared" si="58"/>
        <v/>
      </c>
      <c r="F191" s="22" t="str">
        <f t="shared" si="48"/>
        <v/>
      </c>
      <c r="G191" s="22" t="str">
        <f t="shared" si="59"/>
        <v/>
      </c>
      <c r="H191" t="str">
        <f t="shared" si="60"/>
        <v/>
      </c>
      <c r="I191" s="5" t="str">
        <f>IF($H191&lt;&gt;"",IF($D191="",DATE(YEAR($J$7),MONTH($J$7)+($A$1*($E191-1))+SUM($B$12:$B191),DAY($J$7)),$D191),"")</f>
        <v/>
      </c>
      <c r="J191" s="9" t="str">
        <f t="shared" si="49"/>
        <v/>
      </c>
      <c r="K191" s="3" t="str">
        <f t="shared" si="50"/>
        <v/>
      </c>
      <c r="L191" s="3" t="str">
        <f t="shared" si="61"/>
        <v/>
      </c>
      <c r="M191" s="3" t="str">
        <f t="shared" si="51"/>
        <v/>
      </c>
      <c r="N191" s="3" t="str">
        <f t="shared" si="52"/>
        <v/>
      </c>
      <c r="O191" s="8" t="str">
        <f t="shared" si="53"/>
        <v/>
      </c>
      <c r="P191" s="8" t="str">
        <f t="shared" si="54"/>
        <v/>
      </c>
      <c r="Q191" s="3" t="str">
        <f t="shared" si="55"/>
        <v/>
      </c>
      <c r="R191" s="3" t="str">
        <f t="shared" si="56"/>
        <v/>
      </c>
      <c r="S191" s="3" t="str">
        <f t="shared" si="57"/>
        <v/>
      </c>
      <c r="T191" s="3" t="str">
        <f t="shared" si="62"/>
        <v/>
      </c>
      <c r="U191" s="3" t="str">
        <f t="shared" si="47"/>
        <v/>
      </c>
      <c r="V191" s="3" t="str">
        <f>IF($H191&lt;&gt;"",IF($J191&gt;U$11,IF($J191&lt;V$11,$J191-U$11,30),0)*ROUND(($K191+$S190+SUM($U191:U191))*$Q$5/3000,2),"")</f>
        <v/>
      </c>
      <c r="W191" s="3"/>
      <c r="X191" s="3"/>
    </row>
    <row r="192" spans="4:24" x14ac:dyDescent="0.25">
      <c r="D192" s="5"/>
      <c r="E192" s="22" t="str">
        <f t="shared" si="58"/>
        <v/>
      </c>
      <c r="F192" s="22" t="str">
        <f t="shared" si="48"/>
        <v/>
      </c>
      <c r="G192" s="22" t="str">
        <f t="shared" si="59"/>
        <v/>
      </c>
      <c r="H192" t="str">
        <f t="shared" si="60"/>
        <v/>
      </c>
      <c r="I192" s="5" t="str">
        <f>IF($H192&lt;&gt;"",IF($D192="",DATE(YEAR($J$7),MONTH($J$7)+($A$1*($E192-1))+SUM($B$12:$B192),DAY($J$7)),$D192),"")</f>
        <v/>
      </c>
      <c r="J192" s="9" t="str">
        <f t="shared" si="49"/>
        <v/>
      </c>
      <c r="K192" s="3" t="str">
        <f t="shared" si="50"/>
        <v/>
      </c>
      <c r="L192" s="3" t="str">
        <f t="shared" si="61"/>
        <v/>
      </c>
      <c r="M192" s="3" t="str">
        <f t="shared" si="51"/>
        <v/>
      </c>
      <c r="N192" s="3" t="str">
        <f t="shared" si="52"/>
        <v/>
      </c>
      <c r="O192" s="8" t="str">
        <f t="shared" si="53"/>
        <v/>
      </c>
      <c r="P192" s="8" t="str">
        <f t="shared" si="54"/>
        <v/>
      </c>
      <c r="Q192" s="3" t="str">
        <f t="shared" si="55"/>
        <v/>
      </c>
      <c r="R192" s="3" t="str">
        <f t="shared" si="56"/>
        <v/>
      </c>
      <c r="S192" s="3" t="str">
        <f t="shared" si="57"/>
        <v/>
      </c>
      <c r="T192" s="3" t="str">
        <f t="shared" si="62"/>
        <v/>
      </c>
      <c r="U192" s="3" t="str">
        <f t="shared" si="47"/>
        <v/>
      </c>
      <c r="V192" s="3" t="str">
        <f>IF($H192&lt;&gt;"",IF($J192&gt;U$11,IF($J192&lt;V$11,$J192-U$11,30),0)*ROUND(($K192+$S191+SUM($U192:U192))*$Q$5/3000,2),"")</f>
        <v/>
      </c>
      <c r="W192" s="3"/>
      <c r="X192" s="3"/>
    </row>
    <row r="193" spans="4:24" x14ac:dyDescent="0.25">
      <c r="D193" s="5"/>
      <c r="E193" s="22" t="str">
        <f t="shared" si="58"/>
        <v/>
      </c>
      <c r="F193" s="22" t="str">
        <f t="shared" si="48"/>
        <v/>
      </c>
      <c r="G193" s="22" t="str">
        <f t="shared" si="59"/>
        <v/>
      </c>
      <c r="H193" t="str">
        <f t="shared" si="60"/>
        <v/>
      </c>
      <c r="I193" s="5" t="str">
        <f>IF($H193&lt;&gt;"",IF($D193="",DATE(YEAR($J$7),MONTH($J$7)+($A$1*($E193-1))+SUM($B$12:$B193),DAY($J$7)),$D193),"")</f>
        <v/>
      </c>
      <c r="J193" s="9" t="str">
        <f t="shared" si="49"/>
        <v/>
      </c>
      <c r="K193" s="3" t="str">
        <f t="shared" si="50"/>
        <v/>
      </c>
      <c r="L193" s="3" t="str">
        <f t="shared" si="61"/>
        <v/>
      </c>
      <c r="M193" s="3" t="str">
        <f t="shared" si="51"/>
        <v/>
      </c>
      <c r="N193" s="3" t="str">
        <f t="shared" si="52"/>
        <v/>
      </c>
      <c r="O193" s="8" t="str">
        <f t="shared" si="53"/>
        <v/>
      </c>
      <c r="P193" s="8" t="str">
        <f t="shared" si="54"/>
        <v/>
      </c>
      <c r="Q193" s="3" t="str">
        <f t="shared" si="55"/>
        <v/>
      </c>
      <c r="R193" s="3" t="str">
        <f t="shared" si="56"/>
        <v/>
      </c>
      <c r="S193" s="3" t="str">
        <f t="shared" si="57"/>
        <v/>
      </c>
      <c r="T193" s="3" t="str">
        <f t="shared" si="62"/>
        <v/>
      </c>
      <c r="U193" s="3" t="str">
        <f t="shared" si="47"/>
        <v/>
      </c>
      <c r="V193" s="3" t="str">
        <f>IF($H193&lt;&gt;"",IF($J193&gt;U$11,IF($J193&lt;V$11,$J193-U$11,30),0)*ROUND(($K193+$S192+SUM($U193:U193))*$Q$5/3000,2),"")</f>
        <v/>
      </c>
      <c r="W193" s="3"/>
      <c r="X193" s="3"/>
    </row>
    <row r="194" spans="4:24" x14ac:dyDescent="0.25">
      <c r="D194" s="5"/>
      <c r="E194" s="22" t="str">
        <f t="shared" si="58"/>
        <v/>
      </c>
      <c r="F194" s="22" t="str">
        <f t="shared" si="48"/>
        <v/>
      </c>
      <c r="G194" s="22" t="str">
        <f t="shared" si="59"/>
        <v/>
      </c>
      <c r="H194" t="str">
        <f t="shared" si="60"/>
        <v/>
      </c>
      <c r="I194" s="5" t="str">
        <f>IF($H194&lt;&gt;"",IF($D194="",DATE(YEAR($J$7),MONTH($J$7)+($A$1*($E194-1))+SUM($B$12:$B194),DAY($J$7)),$D194),"")</f>
        <v/>
      </c>
      <c r="J194" s="9" t="str">
        <f t="shared" si="49"/>
        <v/>
      </c>
      <c r="K194" s="3" t="str">
        <f t="shared" si="50"/>
        <v/>
      </c>
      <c r="L194" s="3" t="str">
        <f t="shared" si="61"/>
        <v/>
      </c>
      <c r="M194" s="3" t="str">
        <f t="shared" si="51"/>
        <v/>
      </c>
      <c r="N194" s="3" t="str">
        <f t="shared" si="52"/>
        <v/>
      </c>
      <c r="O194" s="8" t="str">
        <f t="shared" si="53"/>
        <v/>
      </c>
      <c r="P194" s="8" t="str">
        <f t="shared" si="54"/>
        <v/>
      </c>
      <c r="Q194" s="3" t="str">
        <f t="shared" si="55"/>
        <v/>
      </c>
      <c r="R194" s="3" t="str">
        <f t="shared" si="56"/>
        <v/>
      </c>
      <c r="S194" s="3" t="str">
        <f t="shared" si="57"/>
        <v/>
      </c>
      <c r="T194" s="3" t="str">
        <f t="shared" si="62"/>
        <v/>
      </c>
      <c r="U194" s="3" t="str">
        <f t="shared" si="47"/>
        <v/>
      </c>
      <c r="V194" s="3" t="str">
        <f>IF($H194&lt;&gt;"",IF($J194&gt;U$11,IF($J194&lt;V$11,$J194-U$11,30),0)*ROUND(($K194+$S193+SUM($U194:U194))*$Q$5/3000,2),"")</f>
        <v/>
      </c>
      <c r="W194" s="3"/>
      <c r="X194" s="3"/>
    </row>
    <row r="195" spans="4:24" x14ac:dyDescent="0.25">
      <c r="D195" s="5"/>
      <c r="E195" s="22" t="str">
        <f t="shared" si="58"/>
        <v/>
      </c>
      <c r="F195" s="22" t="str">
        <f t="shared" si="48"/>
        <v/>
      </c>
      <c r="G195" s="22" t="str">
        <f t="shared" si="59"/>
        <v/>
      </c>
      <c r="H195" t="str">
        <f t="shared" si="60"/>
        <v/>
      </c>
      <c r="I195" s="5" t="str">
        <f>IF($H195&lt;&gt;"",IF($D195="",DATE(YEAR($J$7),MONTH($J$7)+($A$1*($E195-1))+SUM($B$12:$B195),DAY($J$7)),$D195),"")</f>
        <v/>
      </c>
      <c r="J195" s="9" t="str">
        <f t="shared" si="49"/>
        <v/>
      </c>
      <c r="K195" s="3" t="str">
        <f t="shared" si="50"/>
        <v/>
      </c>
      <c r="L195" s="3" t="str">
        <f t="shared" si="61"/>
        <v/>
      </c>
      <c r="M195" s="3" t="str">
        <f t="shared" si="51"/>
        <v/>
      </c>
      <c r="N195" s="3" t="str">
        <f t="shared" si="52"/>
        <v/>
      </c>
      <c r="O195" s="8" t="str">
        <f t="shared" si="53"/>
        <v/>
      </c>
      <c r="P195" s="8" t="str">
        <f t="shared" si="54"/>
        <v/>
      </c>
      <c r="Q195" s="3" t="str">
        <f t="shared" si="55"/>
        <v/>
      </c>
      <c r="R195" s="3" t="str">
        <f t="shared" si="56"/>
        <v/>
      </c>
      <c r="S195" s="3" t="str">
        <f t="shared" si="57"/>
        <v/>
      </c>
      <c r="T195" s="3" t="str">
        <f t="shared" si="62"/>
        <v/>
      </c>
      <c r="U195" s="3" t="str">
        <f t="shared" si="47"/>
        <v/>
      </c>
      <c r="V195" s="3" t="str">
        <f>IF($H195&lt;&gt;"",IF($J195&gt;U$11,IF($J195&lt;V$11,$J195-U$11,30),0)*ROUND(($K195+$S194+SUM($U195:U195))*$Q$5/3000,2),"")</f>
        <v/>
      </c>
      <c r="W195" s="3"/>
      <c r="X195" s="3"/>
    </row>
    <row r="196" spans="4:24" x14ac:dyDescent="0.25">
      <c r="D196" s="5"/>
      <c r="E196" s="22" t="str">
        <f t="shared" si="58"/>
        <v/>
      </c>
      <c r="F196" s="22" t="str">
        <f t="shared" si="48"/>
        <v/>
      </c>
      <c r="G196" s="22" t="str">
        <f t="shared" si="59"/>
        <v/>
      </c>
      <c r="H196" t="str">
        <f t="shared" si="60"/>
        <v/>
      </c>
      <c r="I196" s="5" t="str">
        <f>IF($H196&lt;&gt;"",IF($D196="",DATE(YEAR($J$7),MONTH($J$7)+($A$1*($E196-1))+SUM($B$12:$B196),DAY($J$7)),$D196),"")</f>
        <v/>
      </c>
      <c r="J196" s="9" t="str">
        <f t="shared" si="49"/>
        <v/>
      </c>
      <c r="K196" s="3" t="str">
        <f t="shared" si="50"/>
        <v/>
      </c>
      <c r="L196" s="3" t="str">
        <f t="shared" si="61"/>
        <v/>
      </c>
      <c r="M196" s="3" t="str">
        <f t="shared" si="51"/>
        <v/>
      </c>
      <c r="N196" s="3" t="str">
        <f t="shared" si="52"/>
        <v/>
      </c>
      <c r="O196" s="8" t="str">
        <f t="shared" si="53"/>
        <v/>
      </c>
      <c r="P196" s="8" t="str">
        <f t="shared" si="54"/>
        <v/>
      </c>
      <c r="Q196" s="3" t="str">
        <f t="shared" si="55"/>
        <v/>
      </c>
      <c r="R196" s="3" t="str">
        <f t="shared" si="56"/>
        <v/>
      </c>
      <c r="S196" s="3" t="str">
        <f t="shared" si="57"/>
        <v/>
      </c>
      <c r="T196" s="3" t="str">
        <f t="shared" si="62"/>
        <v/>
      </c>
      <c r="U196" s="3" t="str">
        <f t="shared" si="47"/>
        <v/>
      </c>
      <c r="V196" s="3" t="str">
        <f>IF($H196&lt;&gt;"",IF($J196&gt;U$11,IF($J196&lt;V$11,$J196-U$11,30),0)*ROUND(($K196+$S195+SUM($U196:U196))*$Q$5/3000,2),"")</f>
        <v/>
      </c>
      <c r="W196" s="3"/>
      <c r="X196" s="3"/>
    </row>
    <row r="197" spans="4:24" x14ac:dyDescent="0.25">
      <c r="D197" s="5"/>
      <c r="E197" s="22" t="str">
        <f t="shared" si="58"/>
        <v/>
      </c>
      <c r="F197" s="22" t="str">
        <f t="shared" si="48"/>
        <v/>
      </c>
      <c r="G197" s="22" t="str">
        <f t="shared" si="59"/>
        <v/>
      </c>
      <c r="H197" t="str">
        <f t="shared" si="60"/>
        <v/>
      </c>
      <c r="I197" s="5" t="str">
        <f>IF($H197&lt;&gt;"",IF($D197="",DATE(YEAR($J$7),MONTH($J$7)+($A$1*($E197-1))+SUM($B$12:$B197),DAY($J$7)),$D197),"")</f>
        <v/>
      </c>
      <c r="J197" s="9" t="str">
        <f t="shared" si="49"/>
        <v/>
      </c>
      <c r="K197" s="3" t="str">
        <f t="shared" si="50"/>
        <v/>
      </c>
      <c r="L197" s="3" t="str">
        <f t="shared" si="61"/>
        <v/>
      </c>
      <c r="M197" s="3" t="str">
        <f t="shared" si="51"/>
        <v/>
      </c>
      <c r="N197" s="3" t="str">
        <f t="shared" si="52"/>
        <v/>
      </c>
      <c r="O197" s="8" t="str">
        <f t="shared" si="53"/>
        <v/>
      </c>
      <c r="P197" s="8" t="str">
        <f t="shared" si="54"/>
        <v/>
      </c>
      <c r="Q197" s="3" t="str">
        <f t="shared" si="55"/>
        <v/>
      </c>
      <c r="R197" s="3" t="str">
        <f t="shared" si="56"/>
        <v/>
      </c>
      <c r="S197" s="3" t="str">
        <f t="shared" si="57"/>
        <v/>
      </c>
      <c r="T197" s="3" t="str">
        <f t="shared" si="62"/>
        <v/>
      </c>
      <c r="U197" s="3" t="str">
        <f t="shared" si="47"/>
        <v/>
      </c>
      <c r="V197" s="3" t="str">
        <f>IF($H197&lt;&gt;"",IF($J197&gt;U$11,IF($J197&lt;V$11,$J197-U$11,30),0)*ROUND(($K197+$S196+SUM($U197:U197))*$Q$5/3000,2),"")</f>
        <v/>
      </c>
      <c r="W197" s="3"/>
      <c r="X197" s="3"/>
    </row>
    <row r="198" spans="4:24" x14ac:dyDescent="0.25">
      <c r="D198" s="5"/>
      <c r="E198" s="22" t="str">
        <f t="shared" si="58"/>
        <v/>
      </c>
      <c r="F198" s="22" t="str">
        <f t="shared" si="48"/>
        <v/>
      </c>
      <c r="G198" s="22" t="str">
        <f t="shared" si="59"/>
        <v/>
      </c>
      <c r="H198" t="str">
        <f t="shared" si="60"/>
        <v/>
      </c>
      <c r="I198" s="5" t="str">
        <f>IF($H198&lt;&gt;"",IF($D198="",DATE(YEAR($J$7),MONTH($J$7)+($A$1*($E198-1))+SUM($B$12:$B198),DAY($J$7)),$D198),"")</f>
        <v/>
      </c>
      <c r="J198" s="9" t="str">
        <f t="shared" si="49"/>
        <v/>
      </c>
      <c r="K198" s="3" t="str">
        <f t="shared" si="50"/>
        <v/>
      </c>
      <c r="L198" s="3" t="str">
        <f t="shared" si="61"/>
        <v/>
      </c>
      <c r="M198" s="3" t="str">
        <f t="shared" si="51"/>
        <v/>
      </c>
      <c r="N198" s="3" t="str">
        <f t="shared" si="52"/>
        <v/>
      </c>
      <c r="O198" s="8" t="str">
        <f t="shared" si="53"/>
        <v/>
      </c>
      <c r="P198" s="8" t="str">
        <f t="shared" si="54"/>
        <v/>
      </c>
      <c r="Q198" s="3" t="str">
        <f t="shared" si="55"/>
        <v/>
      </c>
      <c r="R198" s="3" t="str">
        <f t="shared" si="56"/>
        <v/>
      </c>
      <c r="S198" s="3" t="str">
        <f t="shared" si="57"/>
        <v/>
      </c>
      <c r="T198" s="3" t="str">
        <f t="shared" si="62"/>
        <v/>
      </c>
      <c r="U198" s="3" t="str">
        <f t="shared" si="47"/>
        <v/>
      </c>
      <c r="V198" s="3" t="str">
        <f>IF($H198&lt;&gt;"",IF($J198&gt;U$11,IF($J198&lt;V$11,$J198-U$11,30),0)*ROUND(($K198+$S197+SUM($U198:U198))*$Q$5/3000,2),"")</f>
        <v/>
      </c>
      <c r="W198" s="3"/>
      <c r="X198" s="3"/>
    </row>
    <row r="199" spans="4:24" x14ac:dyDescent="0.25">
      <c r="D199" s="5"/>
      <c r="E199" s="22" t="str">
        <f t="shared" si="58"/>
        <v/>
      </c>
      <c r="F199" s="22" t="str">
        <f t="shared" si="48"/>
        <v/>
      </c>
      <c r="G199" s="22" t="str">
        <f t="shared" si="59"/>
        <v/>
      </c>
      <c r="H199" t="str">
        <f t="shared" si="60"/>
        <v/>
      </c>
      <c r="I199" s="5" t="str">
        <f>IF($H199&lt;&gt;"",IF($D199="",DATE(YEAR($J$7),MONTH($J$7)+($A$1*($E199-1))+SUM($B$12:$B199),DAY($J$7)),$D199),"")</f>
        <v/>
      </c>
      <c r="J199" s="9" t="str">
        <f t="shared" si="49"/>
        <v/>
      </c>
      <c r="K199" s="3" t="str">
        <f t="shared" si="50"/>
        <v/>
      </c>
      <c r="L199" s="3" t="str">
        <f t="shared" si="61"/>
        <v/>
      </c>
      <c r="M199" s="3" t="str">
        <f t="shared" si="51"/>
        <v/>
      </c>
      <c r="N199" s="3" t="str">
        <f t="shared" si="52"/>
        <v/>
      </c>
      <c r="O199" s="8" t="str">
        <f t="shared" si="53"/>
        <v/>
      </c>
      <c r="P199" s="8" t="str">
        <f t="shared" si="54"/>
        <v/>
      </c>
      <c r="Q199" s="3" t="str">
        <f t="shared" si="55"/>
        <v/>
      </c>
      <c r="R199" s="3" t="str">
        <f t="shared" si="56"/>
        <v/>
      </c>
      <c r="S199" s="3" t="str">
        <f t="shared" si="57"/>
        <v/>
      </c>
      <c r="T199" s="3" t="str">
        <f t="shared" si="62"/>
        <v/>
      </c>
      <c r="U199" s="3" t="str">
        <f t="shared" si="47"/>
        <v/>
      </c>
      <c r="V199" s="3" t="str">
        <f>IF($H199&lt;&gt;"",IF($J199&gt;U$11,IF($J199&lt;V$11,$J199-U$11,30),0)*ROUND(($K199+$S198+SUM($U199:U199))*$Q$5/3000,2),"")</f>
        <v/>
      </c>
      <c r="W199" s="3"/>
      <c r="X199" s="3"/>
    </row>
    <row r="200" spans="4:24" x14ac:dyDescent="0.25">
      <c r="D200" s="5"/>
      <c r="E200" s="22" t="str">
        <f t="shared" si="58"/>
        <v/>
      </c>
      <c r="F200" s="22" t="str">
        <f t="shared" si="48"/>
        <v/>
      </c>
      <c r="G200" s="22" t="str">
        <f t="shared" si="59"/>
        <v/>
      </c>
      <c r="H200" t="str">
        <f t="shared" si="60"/>
        <v/>
      </c>
      <c r="I200" s="5" t="str">
        <f>IF($H200&lt;&gt;"",IF($D200="",DATE(YEAR($J$7),MONTH($J$7)+($A$1*($E200-1))+SUM($B$12:$B200),DAY($J$7)),$D200),"")</f>
        <v/>
      </c>
      <c r="J200" s="9" t="str">
        <f t="shared" si="49"/>
        <v/>
      </c>
      <c r="K200" s="3" t="str">
        <f t="shared" si="50"/>
        <v/>
      </c>
      <c r="L200" s="3" t="str">
        <f t="shared" si="61"/>
        <v/>
      </c>
      <c r="M200" s="3" t="str">
        <f t="shared" si="51"/>
        <v/>
      </c>
      <c r="N200" s="3" t="str">
        <f t="shared" si="52"/>
        <v/>
      </c>
      <c r="O200" s="8" t="str">
        <f t="shared" si="53"/>
        <v/>
      </c>
      <c r="P200" s="8" t="str">
        <f t="shared" si="54"/>
        <v/>
      </c>
      <c r="Q200" s="3" t="str">
        <f t="shared" si="55"/>
        <v/>
      </c>
      <c r="R200" s="3" t="str">
        <f t="shared" si="56"/>
        <v/>
      </c>
      <c r="S200" s="3" t="str">
        <f t="shared" si="57"/>
        <v/>
      </c>
      <c r="T200" s="3" t="str">
        <f t="shared" si="62"/>
        <v/>
      </c>
      <c r="U200" s="3" t="str">
        <f t="shared" si="47"/>
        <v/>
      </c>
      <c r="V200" s="3" t="str">
        <f>IF($H200&lt;&gt;"",IF($J200&gt;U$11,IF($J200&lt;V$11,$J200-U$11,30),0)*ROUND(($K200+$S199+SUM($U200:U200))*$Q$5/3000,2),"")</f>
        <v/>
      </c>
      <c r="W200" s="3"/>
      <c r="X200" s="3"/>
    </row>
    <row r="201" spans="4:24" x14ac:dyDescent="0.25">
      <c r="D201" s="5"/>
      <c r="E201" s="22" t="str">
        <f t="shared" si="58"/>
        <v/>
      </c>
      <c r="F201" s="22" t="str">
        <f t="shared" si="48"/>
        <v/>
      </c>
      <c r="G201" s="22" t="str">
        <f t="shared" si="59"/>
        <v/>
      </c>
      <c r="H201" t="str">
        <f t="shared" si="60"/>
        <v/>
      </c>
      <c r="I201" s="5" t="str">
        <f>IF($H201&lt;&gt;"",IF($D201="",DATE(YEAR($J$7),MONTH($J$7)+($A$1*($E201-1))+SUM($B$12:$B201),DAY($J$7)),$D201),"")</f>
        <v/>
      </c>
      <c r="J201" s="9" t="str">
        <f t="shared" si="49"/>
        <v/>
      </c>
      <c r="K201" s="3" t="str">
        <f t="shared" si="50"/>
        <v/>
      </c>
      <c r="L201" s="3" t="str">
        <f t="shared" si="61"/>
        <v/>
      </c>
      <c r="M201" s="3" t="str">
        <f t="shared" si="51"/>
        <v/>
      </c>
      <c r="N201" s="3" t="str">
        <f t="shared" si="52"/>
        <v/>
      </c>
      <c r="O201" s="8" t="str">
        <f t="shared" si="53"/>
        <v/>
      </c>
      <c r="P201" s="8" t="str">
        <f t="shared" si="54"/>
        <v/>
      </c>
      <c r="Q201" s="3" t="str">
        <f t="shared" si="55"/>
        <v/>
      </c>
      <c r="R201" s="3" t="str">
        <f t="shared" si="56"/>
        <v/>
      </c>
      <c r="S201" s="3" t="str">
        <f t="shared" si="57"/>
        <v/>
      </c>
      <c r="T201" s="3" t="str">
        <f t="shared" si="62"/>
        <v/>
      </c>
      <c r="U201" s="3" t="str">
        <f t="shared" si="47"/>
        <v/>
      </c>
      <c r="V201" s="3" t="str">
        <f>IF($H201&lt;&gt;"",IF($J201&gt;U$11,IF($J201&lt;V$11,$J201-U$11,30),0)*ROUND(($K201+$S200+SUM($U201:U201))*$Q$5/3000,2),"")</f>
        <v/>
      </c>
      <c r="W201" s="3"/>
      <c r="X201" s="3"/>
    </row>
    <row r="202" spans="4:24" x14ac:dyDescent="0.25">
      <c r="D202" s="5"/>
      <c r="E202" s="22" t="str">
        <f t="shared" si="58"/>
        <v/>
      </c>
      <c r="F202" s="22" t="str">
        <f t="shared" si="48"/>
        <v/>
      </c>
      <c r="G202" s="22" t="str">
        <f t="shared" si="59"/>
        <v/>
      </c>
      <c r="H202" t="str">
        <f t="shared" si="60"/>
        <v/>
      </c>
      <c r="I202" s="5" t="str">
        <f>IF($H202&lt;&gt;"",IF($D202="",DATE(YEAR($J$7),MONTH($J$7)+($A$1*($E202-1))+SUM($B$12:$B202),DAY($J$7)),$D202),"")</f>
        <v/>
      </c>
      <c r="J202" s="9" t="str">
        <f t="shared" si="49"/>
        <v/>
      </c>
      <c r="K202" s="3" t="str">
        <f t="shared" si="50"/>
        <v/>
      </c>
      <c r="L202" s="3" t="str">
        <f t="shared" si="61"/>
        <v/>
      </c>
      <c r="M202" s="3" t="str">
        <f t="shared" si="51"/>
        <v/>
      </c>
      <c r="N202" s="3" t="str">
        <f t="shared" si="52"/>
        <v/>
      </c>
      <c r="O202" s="8" t="str">
        <f t="shared" si="53"/>
        <v/>
      </c>
      <c r="P202" s="8" t="str">
        <f t="shared" si="54"/>
        <v/>
      </c>
      <c r="Q202" s="3" t="str">
        <f t="shared" si="55"/>
        <v/>
      </c>
      <c r="R202" s="3" t="str">
        <f t="shared" si="56"/>
        <v/>
      </c>
      <c r="S202" s="3" t="str">
        <f t="shared" si="57"/>
        <v/>
      </c>
      <c r="T202" s="3" t="str">
        <f t="shared" si="62"/>
        <v/>
      </c>
      <c r="U202" s="3" t="str">
        <f t="shared" si="47"/>
        <v/>
      </c>
      <c r="V202" s="3" t="str">
        <f>IF($H202&lt;&gt;"",IF($J202&gt;U$11,IF($J202&lt;V$11,$J202-U$11,30),0)*ROUND(($K202+$S201+SUM($U202:U202))*$Q$5/3000,2),"")</f>
        <v/>
      </c>
      <c r="W202" s="3"/>
      <c r="X202" s="3"/>
    </row>
    <row r="203" spans="4:24" x14ac:dyDescent="0.25">
      <c r="D203" s="5"/>
      <c r="E203" s="22" t="str">
        <f t="shared" si="58"/>
        <v/>
      </c>
      <c r="F203" s="22" t="str">
        <f t="shared" si="48"/>
        <v/>
      </c>
      <c r="G203" s="22" t="str">
        <f t="shared" si="59"/>
        <v/>
      </c>
      <c r="H203" t="str">
        <f t="shared" si="60"/>
        <v/>
      </c>
      <c r="I203" s="5" t="str">
        <f>IF($H203&lt;&gt;"",IF($D203="",DATE(YEAR($J$7),MONTH($J$7)+($A$1*($E203-1))+SUM($B$12:$B203),DAY($J$7)),$D203),"")</f>
        <v/>
      </c>
      <c r="J203" s="9" t="str">
        <f t="shared" si="49"/>
        <v/>
      </c>
      <c r="K203" s="3" t="str">
        <f t="shared" si="50"/>
        <v/>
      </c>
      <c r="L203" s="3" t="str">
        <f t="shared" si="61"/>
        <v/>
      </c>
      <c r="M203" s="3" t="str">
        <f t="shared" si="51"/>
        <v/>
      </c>
      <c r="N203" s="3" t="str">
        <f t="shared" si="52"/>
        <v/>
      </c>
      <c r="O203" s="8" t="str">
        <f t="shared" si="53"/>
        <v/>
      </c>
      <c r="P203" s="8" t="str">
        <f t="shared" si="54"/>
        <v/>
      </c>
      <c r="Q203" s="3" t="str">
        <f t="shared" si="55"/>
        <v/>
      </c>
      <c r="R203" s="3" t="str">
        <f t="shared" si="56"/>
        <v/>
      </c>
      <c r="S203" s="3" t="str">
        <f t="shared" si="57"/>
        <v/>
      </c>
      <c r="T203" s="3" t="str">
        <f t="shared" si="62"/>
        <v/>
      </c>
      <c r="U203" s="3" t="str">
        <f t="shared" si="47"/>
        <v/>
      </c>
      <c r="V203" s="3" t="str">
        <f>IF($H203&lt;&gt;"",IF($J203&gt;U$11,IF($J203&lt;V$11,$J203-U$11,30),0)*ROUND(($K203+$S202+SUM($U203:U203))*$Q$5/3000,2),"")</f>
        <v/>
      </c>
      <c r="W203" s="3"/>
      <c r="X203" s="3"/>
    </row>
    <row r="204" spans="4:24" x14ac:dyDescent="0.25">
      <c r="D204" s="5"/>
      <c r="E204" s="22" t="str">
        <f t="shared" si="58"/>
        <v/>
      </c>
      <c r="F204" s="22" t="str">
        <f t="shared" si="48"/>
        <v/>
      </c>
      <c r="G204" s="22" t="str">
        <f t="shared" ref="G204:G208" si="63">IF(H204&lt;&gt;"",IF(COUNTA($U204:$XFD204)*30&lt;$J204,1,0),"")</f>
        <v/>
      </c>
      <c r="H204" t="str">
        <f t="shared" si="60"/>
        <v/>
      </c>
      <c r="I204" s="5" t="str">
        <f>IF($H204&lt;&gt;"",IF($D204="",DATE(YEAR($J$7),MONTH($J$7)+($A$1*($E204-1))+SUM($B$12:$B204),DAY($J$7)),$D204),"")</f>
        <v/>
      </c>
      <c r="J204" s="9" t="str">
        <f t="shared" si="49"/>
        <v/>
      </c>
      <c r="K204" s="3" t="str">
        <f t="shared" si="50"/>
        <v/>
      </c>
      <c r="L204" s="3" t="str">
        <f t="shared" si="61"/>
        <v/>
      </c>
      <c r="M204" s="3" t="str">
        <f t="shared" si="51"/>
        <v/>
      </c>
      <c r="N204" s="3" t="str">
        <f t="shared" si="52"/>
        <v/>
      </c>
      <c r="O204" s="8" t="str">
        <f t="shared" si="53"/>
        <v/>
      </c>
      <c r="P204" s="8" t="str">
        <f t="shared" si="54"/>
        <v/>
      </c>
      <c r="Q204" s="3" t="str">
        <f t="shared" si="55"/>
        <v/>
      </c>
      <c r="R204" s="3" t="str">
        <f t="shared" si="56"/>
        <v/>
      </c>
      <c r="S204" s="3" t="str">
        <f t="shared" si="57"/>
        <v/>
      </c>
      <c r="T204" s="3" t="str">
        <f t="shared" si="62"/>
        <v/>
      </c>
      <c r="U204" s="3" t="str">
        <f t="shared" ref="U204:U208" si="64">IF($H204&lt;&gt;"",IF($J204&gt;U$11,30,$J204)*ROUND(($K204+$S203)*$Q$5/3000,2),"")</f>
        <v/>
      </c>
      <c r="V204" s="3" t="str">
        <f>IF($H204&lt;&gt;"",IF($J204&gt;U$11,IF($J204&lt;V$11,$J204-U$11,30),0)*ROUND(($K204+$S203+SUM($U204:U204))*$Q$5/3000,2),"")</f>
        <v/>
      </c>
      <c r="W204" s="3"/>
      <c r="X204" s="3"/>
    </row>
    <row r="205" spans="4:24" x14ac:dyDescent="0.25">
      <c r="D205" s="5"/>
      <c r="E205" s="22" t="str">
        <f t="shared" si="58"/>
        <v/>
      </c>
      <c r="F205" s="22" t="str">
        <f t="shared" ref="F205:F208" si="65">IF($H205&lt;&gt;"",IF(ISNUMBER($C205),-$M205+$T205-$N205,ABS($T205)+$O205+$P205+$Q205),"")</f>
        <v/>
      </c>
      <c r="G205" s="22" t="str">
        <f t="shared" si="63"/>
        <v/>
      </c>
      <c r="H205" t="str">
        <f t="shared" si="60"/>
        <v/>
      </c>
      <c r="I205" s="5" t="str">
        <f>IF($H205&lt;&gt;"",IF($D205="",DATE(YEAR($J$7),MONTH($J$7)+($A$1*($E205-1))+SUM($B$12:$B205),DAY($J$7)),$D205),"")</f>
        <v/>
      </c>
      <c r="J205" s="9" t="str">
        <f t="shared" ref="J205:J208" si="66">IF($H205&lt;&gt;"",$I205-$I204,"")</f>
        <v/>
      </c>
      <c r="K205" s="3" t="str">
        <f t="shared" ref="K205:K208" si="67">IF($H205&lt;&gt;"",$R204,"")</f>
        <v/>
      </c>
      <c r="L205" s="3" t="str">
        <f t="shared" si="61"/>
        <v/>
      </c>
      <c r="M205" s="3" t="str">
        <f t="shared" ref="M205:M208" si="68">IF($H205&lt;&gt;"",IF($L205-$N205&gt;0,$L205-$N205-$O205-$P205-$Q205,0),"")</f>
        <v/>
      </c>
      <c r="N205" s="3" t="str">
        <f t="shared" ref="N205:N208" si="69">IF($H205&lt;&gt;"",IF($L205&gt;=$T205+$S204+$O205+$P205+$Q205,$T205+$S204,$L205-$O205-$P205-$Q205),"")</f>
        <v/>
      </c>
      <c r="O205" s="8" t="str">
        <f t="shared" ref="O205:O208" si="70">IF($H205&lt;&gt;"",IF($A205="Prepago",0,$P$6+$P$6*$B205),"")</f>
        <v/>
      </c>
      <c r="P205" s="8" t="str">
        <f t="shared" ref="P205:P208" si="71">IF($H205&lt;&gt;"",IF($A205="Prepago",0,$P$7+$P$7*$B205),"")</f>
        <v/>
      </c>
      <c r="Q205" s="3" t="str">
        <f t="shared" ref="Q205:Q208" si="72">IF($H205&lt;&gt;"",IF($A205="Prepago",0,$P$8+$P$8*$B205),"")</f>
        <v/>
      </c>
      <c r="R205" s="3" t="str">
        <f t="shared" ref="R205:R208" si="73">IF($H205&lt;&gt;"",$K205-$M205,"")</f>
        <v/>
      </c>
      <c r="S205" s="3" t="str">
        <f t="shared" ref="S205:S208" si="74">IF($H205&lt;&gt;"",+$S204+SUM($U205:$CC205)-$N205,"")</f>
        <v/>
      </c>
      <c r="T205" s="3" t="str">
        <f t="shared" si="62"/>
        <v/>
      </c>
      <c r="U205" s="3" t="str">
        <f t="shared" si="64"/>
        <v/>
      </c>
      <c r="V205" s="3" t="str">
        <f>IF($H205&lt;&gt;"",IF($J205&gt;U$11,IF($J205&lt;V$11,$J205-U$11,30),0)*ROUND(($K205+$S204+SUM($U205:U205))*$Q$5/3000,2),"")</f>
        <v/>
      </c>
      <c r="W205" s="3"/>
      <c r="X205" s="3"/>
    </row>
    <row r="206" spans="4:24" x14ac:dyDescent="0.25">
      <c r="D206" s="5"/>
      <c r="E206" s="22" t="str">
        <f t="shared" si="58"/>
        <v/>
      </c>
      <c r="F206" s="22" t="str">
        <f t="shared" si="65"/>
        <v/>
      </c>
      <c r="G206" s="22" t="str">
        <f t="shared" si="63"/>
        <v/>
      </c>
      <c r="H206" t="str">
        <f t="shared" si="60"/>
        <v/>
      </c>
      <c r="I206" s="5" t="str">
        <f>IF($H206&lt;&gt;"",IF($D206="",DATE(YEAR($J$7),MONTH($J$7)+($A$1*($E206-1))+SUM($B$12:$B206),DAY($J$7)),$D206),"")</f>
        <v/>
      </c>
      <c r="J206" s="9" t="str">
        <f t="shared" si="66"/>
        <v/>
      </c>
      <c r="K206" s="3" t="str">
        <f t="shared" si="67"/>
        <v/>
      </c>
      <c r="L206" s="3" t="str">
        <f t="shared" si="61"/>
        <v/>
      </c>
      <c r="M206" s="3" t="str">
        <f t="shared" si="68"/>
        <v/>
      </c>
      <c r="N206" s="3" t="str">
        <f t="shared" si="69"/>
        <v/>
      </c>
      <c r="O206" s="8" t="str">
        <f t="shared" si="70"/>
        <v/>
      </c>
      <c r="P206" s="8" t="str">
        <f t="shared" si="71"/>
        <v/>
      </c>
      <c r="Q206" s="3" t="str">
        <f t="shared" si="72"/>
        <v/>
      </c>
      <c r="R206" s="3" t="str">
        <f t="shared" si="73"/>
        <v/>
      </c>
      <c r="S206" s="3" t="str">
        <f t="shared" si="74"/>
        <v/>
      </c>
      <c r="T206" s="3" t="str">
        <f t="shared" si="62"/>
        <v/>
      </c>
      <c r="U206" s="3" t="str">
        <f t="shared" si="64"/>
        <v/>
      </c>
      <c r="V206" s="3" t="str">
        <f>IF($H206&lt;&gt;"",IF($J206&gt;U$11,IF($J206&lt;V$11,$J206-U$11,30),0)*ROUND(($K206+$S205+SUM($U206:U206))*$Q$5/3000,2),"")</f>
        <v/>
      </c>
      <c r="W206" s="3"/>
      <c r="X206" s="3"/>
    </row>
    <row r="207" spans="4:24" x14ac:dyDescent="0.25">
      <c r="D207" s="5"/>
      <c r="E207" s="22" t="str">
        <f t="shared" si="58"/>
        <v/>
      </c>
      <c r="F207" s="22" t="str">
        <f t="shared" si="65"/>
        <v/>
      </c>
      <c r="G207" s="22" t="str">
        <f t="shared" si="63"/>
        <v/>
      </c>
      <c r="H207" t="str">
        <f t="shared" si="60"/>
        <v/>
      </c>
      <c r="I207" s="5" t="str">
        <f>IF($H207&lt;&gt;"",IF($D207="",DATE(YEAR($J$7),MONTH($J$7)+($A$1*($E207-1))+SUM($B$12:$B207),DAY($J$7)),$D207),"")</f>
        <v/>
      </c>
      <c r="J207" s="9" t="str">
        <f t="shared" si="66"/>
        <v/>
      </c>
      <c r="K207" s="3" t="str">
        <f t="shared" si="67"/>
        <v/>
      </c>
      <c r="L207" s="3" t="str">
        <f t="shared" si="61"/>
        <v/>
      </c>
      <c r="M207" s="3" t="str">
        <f t="shared" si="68"/>
        <v/>
      </c>
      <c r="N207" s="3" t="str">
        <f t="shared" si="69"/>
        <v/>
      </c>
      <c r="O207" s="8" t="str">
        <f t="shared" si="70"/>
        <v/>
      </c>
      <c r="P207" s="8" t="str">
        <f t="shared" si="71"/>
        <v/>
      </c>
      <c r="Q207" s="3" t="str">
        <f t="shared" si="72"/>
        <v/>
      </c>
      <c r="R207" s="3" t="str">
        <f t="shared" si="73"/>
        <v/>
      </c>
      <c r="S207" s="3" t="str">
        <f t="shared" si="74"/>
        <v/>
      </c>
      <c r="T207" s="3" t="str">
        <f t="shared" si="62"/>
        <v/>
      </c>
      <c r="U207" s="3" t="str">
        <f t="shared" si="64"/>
        <v/>
      </c>
      <c r="V207" s="3" t="str">
        <f>IF($H207&lt;&gt;"",IF($J207&gt;U$11,IF($J207&lt;V$11,$J207-U$11,30),0)*ROUND(($K207+$S206+SUM($U207:U207))*$Q$5/3000,2),"")</f>
        <v/>
      </c>
      <c r="W207" s="3"/>
      <c r="X207" s="3"/>
    </row>
    <row r="208" spans="4:24" x14ac:dyDescent="0.25">
      <c r="D208" s="5"/>
      <c r="E208" s="22" t="str">
        <f t="shared" si="58"/>
        <v/>
      </c>
      <c r="F208" s="22" t="str">
        <f t="shared" si="65"/>
        <v/>
      </c>
      <c r="G208" s="22" t="str">
        <f t="shared" si="63"/>
        <v/>
      </c>
      <c r="H208" t="str">
        <f t="shared" si="60"/>
        <v/>
      </c>
      <c r="I208" s="5" t="str">
        <f>IF($H208&lt;&gt;"",IF($D208="",DATE(YEAR($J$7),MONTH($J$7)+($A$1*($E208-1))+SUM($B$12:$B208),DAY($J$7)),$D208),"")</f>
        <v/>
      </c>
      <c r="J208" s="9" t="str">
        <f t="shared" si="66"/>
        <v/>
      </c>
      <c r="K208" s="3" t="str">
        <f t="shared" si="67"/>
        <v/>
      </c>
      <c r="L208" s="3" t="str">
        <f t="shared" si="61"/>
        <v/>
      </c>
      <c r="M208" s="3" t="str">
        <f t="shared" si="68"/>
        <v/>
      </c>
      <c r="N208" s="3" t="str">
        <f t="shared" si="69"/>
        <v/>
      </c>
      <c r="O208" s="8" t="str">
        <f t="shared" si="70"/>
        <v/>
      </c>
      <c r="P208" s="8" t="str">
        <f t="shared" si="71"/>
        <v/>
      </c>
      <c r="Q208" s="3" t="str">
        <f t="shared" si="72"/>
        <v/>
      </c>
      <c r="R208" s="3" t="str">
        <f t="shared" si="73"/>
        <v/>
      </c>
      <c r="S208" s="3" t="str">
        <f t="shared" si="74"/>
        <v/>
      </c>
      <c r="T208" s="3" t="str">
        <f t="shared" si="62"/>
        <v/>
      </c>
      <c r="U208" s="3" t="str">
        <f t="shared" si="64"/>
        <v/>
      </c>
      <c r="V208" s="3" t="str">
        <f>IF($H208&lt;&gt;"",IF($J208&gt;U$11,IF($J208&lt;V$11,$J208-U$11,30),0)*ROUND(($K208+$S207+SUM($U208:U208))*$Q$5/3000,2),"")</f>
        <v/>
      </c>
      <c r="W208" s="3"/>
      <c r="X208" s="3"/>
    </row>
  </sheetData>
  <protectedRanges>
    <protectedRange algorithmName="SHA-512" hashValue="saOoXsqAoQxcXXYzXQIOV3/apjOtIOId7A6E3Kbbks0v/+hkXCO7VppjyeJOkYNfZLM9Y82SgohJPBHQ4upYMw==" saltValue="AI4kOYg9mvAOcytG4WhlkQ==" spinCount="100000" sqref="Y10:Z10 AS11 AU11 AW11 AY11 BA11 BC11 BE11 BG11 BI11 BK11 BM11 BO11 BQ11 BS11 BU11 BW11 BY11 CA11 CC11 AC11 AE11 AG11 AI11 AK11 AM11 AO11 AQ11 Y13:Z15 AA11 I10:X11 Y25:Z60 Y21:Z23 Y17:Z18 Z16 H10:H208 Z19 I12:U208 BS12:CC12 AA13:CC60" name="Rango1"/>
    <protectedRange algorithmName="SHA-512" hashValue="saOoXsqAoQxcXXYzXQIOV3/apjOtIOId7A6E3Kbbks0v/+hkXCO7VppjyeJOkYNfZLM9Y82SgohJPBHQ4upYMw==" saltValue="AI4kOYg9mvAOcytG4WhlkQ==" spinCount="100000" sqref="W25:X208 W24:Z24 W21:X23 W20:Z20 V17:X17 V16:Y16 V13:X15 W19:Y19 W18:X18 V18:V208 V12:BR12" name="Rango1_1"/>
  </protectedRanges>
  <mergeCells count="1">
    <mergeCell ref="V6:W6"/>
  </mergeCells>
  <conditionalFormatting sqref="T10 I11:T208">
    <cfRule type="expression" dxfId="7" priority="17">
      <formula>AND($H10&lt;&gt;"")</formula>
    </cfRule>
  </conditionalFormatting>
  <conditionalFormatting sqref="H10">
    <cfRule type="expression" dxfId="6" priority="23">
      <formula>AND(COUNTA($H:$H)-2&lt;$M$7)</formula>
    </cfRule>
  </conditionalFormatting>
  <conditionalFormatting sqref="I11:S208">
    <cfRule type="expression" dxfId="5" priority="5">
      <formula>AND(ROUND(I11,0)&lt;0)</formula>
    </cfRule>
  </conditionalFormatting>
  <conditionalFormatting sqref="S7">
    <cfRule type="expression" dxfId="4" priority="4">
      <formula>AND($S$7&lt;&gt;0)</formula>
    </cfRule>
  </conditionalFormatting>
  <conditionalFormatting sqref="X7">
    <cfRule type="expression" dxfId="3" priority="2">
      <formula>AND($X$7&lt;&gt;"OK")</formula>
    </cfRule>
  </conditionalFormatting>
  <conditionalFormatting sqref="X6">
    <cfRule type="expression" dxfId="2" priority="1">
      <formula>AND($X$6&lt;&gt;"OK")</formula>
    </cfRule>
  </conditionalFormatting>
  <conditionalFormatting sqref="A12:G208">
    <cfRule type="expression" dxfId="1" priority="44">
      <formula>AND($H12&lt;&gt;"")</formula>
    </cfRule>
  </conditionalFormatting>
  <conditionalFormatting sqref="H12:H1048576">
    <cfRule type="expression" dxfId="0" priority="46">
      <formula>AND(COUNTA($U12:$XFD12)*30&lt;$J12,$H12&lt;&gt;"")</formula>
    </cfRule>
  </conditionalFormatting>
  <dataValidations count="7">
    <dataValidation type="decimal" operator="greaterThanOrEqual" allowBlank="1" showInputMessage="1" showErrorMessage="1" errorTitle="TEA" error="Debe ser un numero positivo" sqref="P5">
      <formula1>0</formula1>
    </dataValidation>
    <dataValidation operator="greaterThanOrEqual" allowBlank="1" showInputMessage="1" showErrorMessage="1" errorTitle="Meses de Gracia Inicial" error="Debe ser un numero entero positivo" sqref="M8"/>
    <dataValidation type="whole" operator="greaterThan" allowBlank="1" showInputMessage="1" showErrorMessage="1" errorTitle="Numero de Cuotas" error="Debe ser un numero entero positivo" sqref="M7">
      <formula1>0</formula1>
    </dataValidation>
    <dataValidation operator="greaterThan" showInputMessage="1" showErrorMessage="1" errorTitle="Fecha de la 1ra Cuota" error="Debe ser una Fecha posterior al desembolso" sqref="J7"/>
    <dataValidation type="date" operator="greaterThanOrEqual" showInputMessage="1" showErrorMessage="1" errorTitle="Fecha de desembolso" error="Debe ser una Fecha" sqref="J6">
      <formula1>36892</formula1>
    </dataValidation>
    <dataValidation type="decimal" operator="notEqual" showInputMessage="1" showErrorMessage="1" errorTitle="Monto" error="Debe ser un dato numérico" sqref="J8">
      <formula1>0</formula1>
    </dataValidation>
    <dataValidation type="list" allowBlank="1" showInputMessage="1" showErrorMessage="1" sqref="A12:B208">
      <formula1>TIPO_CUOTAS</formula1>
    </dataValidation>
  </dataValidations>
  <pageMargins left="0.70866141732283472" right="0.70866141732283472" top="0.74803149606299213" bottom="0.35433070866141736" header="0.31496062992125984" footer="0.31496062992125984"/>
  <pageSetup scale="50" orientation="landscape" r:id="rId1"/>
  <drawing r:id="rId2"/>
  <legacyDrawing r:id="rId3"/>
  <controls>
    <mc:AlternateContent xmlns:mc="http://schemas.openxmlformats.org/markup-compatibility/2006">
      <mc:Choice Requires="x14">
        <control shapeId="1027" r:id="rId4" name="btAjustar">
          <controlPr defaultSize="0" autoLine="0" r:id="rId5">
            <anchor moveWithCells="1">
              <from>
                <xdr:col>11</xdr:col>
                <xdr:colOff>942975</xdr:colOff>
                <xdr:row>2</xdr:row>
                <xdr:rowOff>133350</xdr:rowOff>
              </from>
              <to>
                <xdr:col>13</xdr:col>
                <xdr:colOff>38100</xdr:colOff>
                <xdr:row>4</xdr:row>
                <xdr:rowOff>95250</xdr:rowOff>
              </to>
            </anchor>
          </controlPr>
        </control>
      </mc:Choice>
      <mc:Fallback>
        <control shapeId="1027" r:id="rId4" name="btAjustar"/>
      </mc:Fallback>
    </mc:AlternateContent>
    <mc:AlternateContent xmlns:mc="http://schemas.openxmlformats.org/markup-compatibility/2006">
      <mc:Choice Requires="x14">
        <control shapeId="1025" r:id="rId6" name="btnLimpiar">
          <controlPr defaultSize="0" autoLine="0" autoPict="0" r:id="rId7">
            <anchor moveWithCells="1">
              <from>
                <xdr:col>0</xdr:col>
                <xdr:colOff>238125</xdr:colOff>
                <xdr:row>7</xdr:row>
                <xdr:rowOff>28575</xdr:rowOff>
              </from>
              <to>
                <xdr:col>3</xdr:col>
                <xdr:colOff>219075</xdr:colOff>
                <xdr:row>8</xdr:row>
                <xdr:rowOff>133350</xdr:rowOff>
              </to>
            </anchor>
          </controlPr>
        </control>
      </mc:Choice>
      <mc:Fallback>
        <control shapeId="1025" r:id="rId6" name="btnLimpiar"/>
      </mc:Fallback>
    </mc:AlternateContent>
    <mc:AlternateContent xmlns:mc="http://schemas.openxmlformats.org/markup-compatibility/2006">
      <mc:Choice Requires="x14">
        <control shapeId="1029" r:id="rId8" name="Option Button 5">
          <controlPr defaultSize="0" autoFill="0" autoLine="0" autoPict="0" altText="Mensual Fijo">
            <anchor moveWithCells="1">
              <from>
                <xdr:col>2</xdr:col>
                <xdr:colOff>57150</xdr:colOff>
                <xdr:row>1</xdr:row>
                <xdr:rowOff>47625</xdr:rowOff>
              </from>
              <to>
                <xdr:col>3</xdr:col>
                <xdr:colOff>647700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9" name="Option Button 6">
          <controlPr defaultSize="0" autoFill="0" autoLine="0" autoPict="0" altText="Mensual Fijo">
            <anchor moveWithCells="1">
              <from>
                <xdr:col>2</xdr:col>
                <xdr:colOff>57150</xdr:colOff>
                <xdr:row>2</xdr:row>
                <xdr:rowOff>123825</xdr:rowOff>
              </from>
              <to>
                <xdr:col>3</xdr:col>
                <xdr:colOff>628650</xdr:colOff>
                <xdr:row>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0" name="Option Button 7">
          <controlPr defaultSize="0" autoFill="0" autoLine="0" autoPict="0" altText="Mensual Fijo">
            <anchor moveWithCells="1">
              <from>
                <xdr:col>2</xdr:col>
                <xdr:colOff>57150</xdr:colOff>
                <xdr:row>4</xdr:row>
                <xdr:rowOff>47625</xdr:rowOff>
              </from>
              <to>
                <xdr:col>3</xdr:col>
                <xdr:colOff>647700</xdr:colOff>
                <xdr:row>5</xdr:row>
                <xdr:rowOff>123825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5"/>
  <sheetViews>
    <sheetView workbookViewId="0"/>
  </sheetViews>
  <sheetFormatPr baseColWidth="10" defaultRowHeight="15" x14ac:dyDescent="0.25"/>
  <cols>
    <col min="1" max="1" width="14.140625" customWidth="1"/>
  </cols>
  <sheetData>
    <row r="1" spans="1:1" x14ac:dyDescent="0.25">
      <c r="A1" t="s">
        <v>101</v>
      </c>
    </row>
    <row r="3" spans="1:1" x14ac:dyDescent="0.25">
      <c r="A3" t="s">
        <v>103</v>
      </c>
    </row>
    <row r="4" spans="1:1" x14ac:dyDescent="0.25">
      <c r="A4" t="s">
        <v>102</v>
      </c>
    </row>
    <row r="5" spans="1:1" x14ac:dyDescent="0.25">
      <c r="A5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12</vt:i4>
      </vt:variant>
    </vt:vector>
  </HeadingPairs>
  <TitlesOfParts>
    <vt:vector size="14" baseType="lpstr">
      <vt:lpstr>Hoja1</vt:lpstr>
      <vt:lpstr>Hoja2</vt:lpstr>
      <vt:lpstr>areaFija</vt:lpstr>
      <vt:lpstr>ARREGLO</vt:lpstr>
      <vt:lpstr>CUOTA</vt:lpstr>
      <vt:lpstr>CUOTAADICIONAL</vt:lpstr>
      <vt:lpstr>dataGracia</vt:lpstr>
      <vt:lpstr>InicioLimpiar</vt:lpstr>
      <vt:lpstr>MONTO</vt:lpstr>
      <vt:lpstr>NCUOTAS</vt:lpstr>
      <vt:lpstr>OBJETIVO</vt:lpstr>
      <vt:lpstr>PAGO_SIN_FIJAR</vt:lpstr>
      <vt:lpstr>PGRACIA</vt:lpstr>
      <vt:lpstr>TIPO_CUOTAS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djhoncon</dc:creator>
  <cp:lastModifiedBy>Kenji Jhoncon</cp:lastModifiedBy>
  <cp:lastPrinted>2018-02-05T18:12:04Z</cp:lastPrinted>
  <dcterms:created xsi:type="dcterms:W3CDTF">2017-07-14T15:21:18Z</dcterms:created>
  <dcterms:modified xsi:type="dcterms:W3CDTF">2020-07-28T00:37:09Z</dcterms:modified>
</cp:coreProperties>
</file>