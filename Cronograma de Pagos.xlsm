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CP\Cronogramas\10-21\"/>
    </mc:Choice>
  </mc:AlternateContent>
  <xr:revisionPtr revIDLastSave="0" documentId="13_ncr:1_{680710AA-1D8E-4FD6-9D77-CA93D51E5761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2" sheetId="2" state="hidden" r:id="rId2"/>
  </sheets>
  <functionGroups builtInGroupCount="19"/>
  <definedNames>
    <definedName name="areaFija">Hoja1!$C$11</definedName>
    <definedName name="areaFija2">Hoja1!$B$11</definedName>
    <definedName name="ARREGLO">Hoja1!$Z$8</definedName>
    <definedName name="CUOTA">Hoja1!$P$5</definedName>
    <definedName name="CUOTAADICIONAL">Hoja1!$P$7</definedName>
    <definedName name="dataGracia">Hoja1!$A$11</definedName>
    <definedName name="FIN_REF">Hoja1!$U$11</definedName>
    <definedName name="FinLimpiar">Hoja1!$E$12</definedName>
    <definedName name="INICIO_REF">Hoja1!$K$11</definedName>
    <definedName name="InicioLimpiar">Hoja1!$A$12</definedName>
    <definedName name="MONTO">Hoja1!$M$8</definedName>
    <definedName name="NCUOTAS">Hoja1!$P$6</definedName>
    <definedName name="OBJETIVO">Hoja1!$Z$7</definedName>
    <definedName name="PAGO_SIN_FIJAR">Hoja1!#REF!</definedName>
    <definedName name="PGRACIA">Hoja1!$P$9</definedName>
    <definedName name="TIPO_CUOTAS">Hoja2!$A$2:$A$5</definedName>
    <definedName name="TOTALCUOTAS">Hoja1!$Q$8</definedName>
    <definedName name="ULTIMODIA">Hoja1!$B$1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8" i="1" l="1"/>
  <c r="B11" i="1" l="1"/>
  <c r="L11" i="1" l="1"/>
  <c r="G11" i="1"/>
  <c r="P9" i="1" l="1"/>
  <c r="P8" i="1" l="1"/>
  <c r="Q8" i="1" s="1"/>
  <c r="K12" i="1"/>
  <c r="J12" i="1" s="1"/>
  <c r="H12" i="1" l="1"/>
  <c r="G12" i="1" s="1"/>
  <c r="L12" i="1" s="1"/>
  <c r="K13" i="1"/>
  <c r="J13" i="1" s="1"/>
  <c r="U11" i="1"/>
  <c r="N12" i="1" s="1"/>
  <c r="AA1" i="1"/>
  <c r="Z6" i="1"/>
  <c r="U5" i="1"/>
  <c r="H13" i="1" l="1"/>
  <c r="G13" i="1" s="1"/>
  <c r="L13" i="1" s="1"/>
  <c r="K14" i="1"/>
  <c r="J14" i="1" s="1"/>
  <c r="H14" i="1" l="1"/>
  <c r="K15" i="1"/>
  <c r="J15" i="1" s="1"/>
  <c r="H15" i="1" l="1"/>
  <c r="G15" i="1" s="1"/>
  <c r="L15" i="1" s="1"/>
  <c r="G14" i="1"/>
  <c r="L14" i="1" s="1"/>
  <c r="K16" i="1"/>
  <c r="J16" i="1" s="1"/>
  <c r="C1" i="1"/>
  <c r="H16" i="1" l="1"/>
  <c r="K17" i="1"/>
  <c r="J17" i="1" s="1"/>
  <c r="H17" i="1" l="1"/>
  <c r="G16" i="1"/>
  <c r="L16" i="1" s="1"/>
  <c r="K18" i="1"/>
  <c r="S12" i="1"/>
  <c r="R12" i="1"/>
  <c r="T12" i="1"/>
  <c r="K19" i="1"/>
  <c r="J19" i="1" l="1"/>
  <c r="J18" i="1"/>
  <c r="H18" i="1"/>
  <c r="H19" i="1" s="1"/>
  <c r="G17" i="1"/>
  <c r="L17" i="1" s="1"/>
  <c r="T13" i="1"/>
  <c r="R13" i="1"/>
  <c r="S13" i="1"/>
  <c r="F12" i="1"/>
  <c r="O12" i="1"/>
  <c r="K20" i="1"/>
  <c r="J20" i="1" s="1"/>
  <c r="G18" i="1" l="1"/>
  <c r="L18" i="1" s="1"/>
  <c r="H20" i="1"/>
  <c r="G19" i="1"/>
  <c r="L19" i="1" s="1"/>
  <c r="K21" i="1"/>
  <c r="J21" i="1" s="1"/>
  <c r="M12" i="1"/>
  <c r="H21" i="1" l="1"/>
  <c r="G21" i="1" s="1"/>
  <c r="L21" i="1" s="1"/>
  <c r="G20" i="1"/>
  <c r="L20" i="1" s="1"/>
  <c r="X12" i="1"/>
  <c r="K22" i="1"/>
  <c r="J22" i="1" s="1"/>
  <c r="H22" i="1" l="1"/>
  <c r="K23" i="1"/>
  <c r="J23" i="1" s="1"/>
  <c r="Y12" i="1"/>
  <c r="H23" i="1" l="1"/>
  <c r="G22" i="1"/>
  <c r="L22" i="1" s="1"/>
  <c r="S14" i="1"/>
  <c r="R14" i="1"/>
  <c r="T14" i="1"/>
  <c r="K24" i="1"/>
  <c r="J24" i="1" s="1"/>
  <c r="F13" i="1"/>
  <c r="Z12" i="1"/>
  <c r="AA12" i="1" s="1"/>
  <c r="M13" i="1"/>
  <c r="H24" i="1" l="1"/>
  <c r="G23" i="1"/>
  <c r="L23" i="1" s="1"/>
  <c r="T15" i="1"/>
  <c r="R15" i="1"/>
  <c r="S15" i="1"/>
  <c r="K25" i="1"/>
  <c r="J25" i="1" s="1"/>
  <c r="F14" i="1"/>
  <c r="AB12" i="1"/>
  <c r="M14" i="1"/>
  <c r="H25" i="1" l="1"/>
  <c r="G25" i="1" s="1"/>
  <c r="L25" i="1" s="1"/>
  <c r="G24" i="1"/>
  <c r="L24" i="1" s="1"/>
  <c r="S16" i="1"/>
  <c r="T16" i="1"/>
  <c r="R16" i="1"/>
  <c r="M15" i="1"/>
  <c r="F15" i="1"/>
  <c r="K26" i="1"/>
  <c r="J26" i="1" s="1"/>
  <c r="AC12" i="1"/>
  <c r="H26" i="1" l="1"/>
  <c r="G26" i="1" s="1"/>
  <c r="L26" i="1" s="1"/>
  <c r="R17" i="1"/>
  <c r="T17" i="1"/>
  <c r="S17" i="1"/>
  <c r="O17" i="1"/>
  <c r="K27" i="1"/>
  <c r="J27" i="1" s="1"/>
  <c r="F16" i="1"/>
  <c r="AD12" i="1"/>
  <c r="M16" i="1"/>
  <c r="H27" i="1" l="1"/>
  <c r="G27" i="1" s="1"/>
  <c r="L27" i="1" s="1"/>
  <c r="R18" i="1"/>
  <c r="S18" i="1"/>
  <c r="F17" i="1"/>
  <c r="M17" i="1"/>
  <c r="K28" i="1"/>
  <c r="J28" i="1" s="1"/>
  <c r="AE12" i="1"/>
  <c r="AF12" i="1" s="1"/>
  <c r="AG12" i="1" s="1"/>
  <c r="AH12" i="1" s="1"/>
  <c r="AI12" i="1" s="1"/>
  <c r="AJ12" i="1" s="1"/>
  <c r="AK12" i="1" s="1"/>
  <c r="AL12" i="1" s="1"/>
  <c r="AM12" i="1" s="1"/>
  <c r="AN12" i="1" s="1"/>
  <c r="AO12" i="1" s="1"/>
  <c r="AP12" i="1" s="1"/>
  <c r="AQ12" i="1" s="1"/>
  <c r="AR12" i="1" s="1"/>
  <c r="AS12" i="1" s="1"/>
  <c r="AT12" i="1" s="1"/>
  <c r="AU12" i="1" s="1"/>
  <c r="AV12" i="1" s="1"/>
  <c r="AW12" i="1" s="1"/>
  <c r="AX12" i="1" s="1"/>
  <c r="AY12" i="1" s="1"/>
  <c r="AZ12" i="1" s="1"/>
  <c r="BA12" i="1" s="1"/>
  <c r="BB12" i="1" s="1"/>
  <c r="BC12" i="1" s="1"/>
  <c r="BD12" i="1" s="1"/>
  <c r="BE12" i="1" s="1"/>
  <c r="BF12" i="1" s="1"/>
  <c r="BG12" i="1" s="1"/>
  <c r="BH12" i="1" s="1"/>
  <c r="BI12" i="1" s="1"/>
  <c r="BJ12" i="1" s="1"/>
  <c r="BK12" i="1" s="1"/>
  <c r="BL12" i="1" s="1"/>
  <c r="BM12" i="1" s="1"/>
  <c r="BN12" i="1" s="1"/>
  <c r="BO12" i="1" s="1"/>
  <c r="BP12" i="1" s="1"/>
  <c r="BQ12" i="1" s="1"/>
  <c r="BR12" i="1" s="1"/>
  <c r="BS12" i="1" s="1"/>
  <c r="BT12" i="1" s="1"/>
  <c r="BU12" i="1" s="1"/>
  <c r="H28" i="1" l="1"/>
  <c r="T19" i="1"/>
  <c r="R19" i="1"/>
  <c r="S19" i="1"/>
  <c r="I12" i="1"/>
  <c r="W12" i="1"/>
  <c r="F18" i="1"/>
  <c r="M18" i="1"/>
  <c r="F19" i="1"/>
  <c r="K29" i="1"/>
  <c r="J29" i="1" s="1"/>
  <c r="H29" i="1" l="1"/>
  <c r="G29" i="1"/>
  <c r="L29" i="1" s="1"/>
  <c r="G28" i="1"/>
  <c r="L28" i="1" s="1"/>
  <c r="R20" i="1"/>
  <c r="T20" i="1"/>
  <c r="S20" i="1"/>
  <c r="Q12" i="1"/>
  <c r="V12" i="1" s="1"/>
  <c r="M19" i="1"/>
  <c r="K30" i="1"/>
  <c r="J30" i="1" s="1"/>
  <c r="H30" i="1" l="1"/>
  <c r="R21" i="1"/>
  <c r="T21" i="1"/>
  <c r="S21" i="1"/>
  <c r="P12" i="1"/>
  <c r="O21" i="1"/>
  <c r="K31" i="1"/>
  <c r="J31" i="1" s="1"/>
  <c r="F20" i="1"/>
  <c r="M20" i="1"/>
  <c r="U12" i="1" l="1"/>
  <c r="H31" i="1"/>
  <c r="G30" i="1"/>
  <c r="L30" i="1" s="1"/>
  <c r="R22" i="1"/>
  <c r="S22" i="1"/>
  <c r="T22" i="1"/>
  <c r="O22" i="1"/>
  <c r="K32" i="1"/>
  <c r="J32" i="1" s="1"/>
  <c r="F21" i="1"/>
  <c r="M21" i="1"/>
  <c r="H32" i="1" l="1"/>
  <c r="G31" i="1"/>
  <c r="L31" i="1" s="1"/>
  <c r="R23" i="1"/>
  <c r="S23" i="1"/>
  <c r="T23" i="1"/>
  <c r="M22" i="1"/>
  <c r="F22" i="1"/>
  <c r="O23" i="1"/>
  <c r="K33" i="1"/>
  <c r="J33" i="1" s="1"/>
  <c r="H33" i="1" l="1"/>
  <c r="G32" i="1"/>
  <c r="L32" i="1" s="1"/>
  <c r="R24" i="1"/>
  <c r="O24" i="1"/>
  <c r="T24" i="1"/>
  <c r="S24" i="1"/>
  <c r="M23" i="1"/>
  <c r="F23" i="1"/>
  <c r="K34" i="1"/>
  <c r="J34" i="1" s="1"/>
  <c r="R25" i="1"/>
  <c r="H34" i="1" l="1"/>
  <c r="G33" i="1"/>
  <c r="L33" i="1" s="1"/>
  <c r="S25" i="1"/>
  <c r="T25" i="1"/>
  <c r="M24" i="1"/>
  <c r="F24" i="1"/>
  <c r="F25" i="1"/>
  <c r="K35" i="1"/>
  <c r="J35" i="1" s="1"/>
  <c r="H35" i="1" l="1"/>
  <c r="G35" i="1" s="1"/>
  <c r="L35" i="1" s="1"/>
  <c r="G34" i="1"/>
  <c r="L34" i="1" s="1"/>
  <c r="T26" i="1"/>
  <c r="S26" i="1"/>
  <c r="R26" i="1"/>
  <c r="M25" i="1"/>
  <c r="O25" i="1"/>
  <c r="K36" i="1"/>
  <c r="J36" i="1" s="1"/>
  <c r="O26" i="1"/>
  <c r="H36" i="1" l="1"/>
  <c r="G36" i="1" s="1"/>
  <c r="L36" i="1" s="1"/>
  <c r="R27" i="1"/>
  <c r="S27" i="1"/>
  <c r="T27" i="1"/>
  <c r="K37" i="1"/>
  <c r="J37" i="1" s="1"/>
  <c r="F26" i="1"/>
  <c r="M26" i="1"/>
  <c r="O27" i="1"/>
  <c r="H37" i="1" l="1"/>
  <c r="R28" i="1"/>
  <c r="S28" i="1"/>
  <c r="T28" i="1"/>
  <c r="O28" i="1"/>
  <c r="K38" i="1"/>
  <c r="J38" i="1" s="1"/>
  <c r="F27" i="1"/>
  <c r="M27" i="1"/>
  <c r="H38" i="1" l="1"/>
  <c r="G38" i="1" s="1"/>
  <c r="L38" i="1" s="1"/>
  <c r="G37" i="1"/>
  <c r="L37" i="1" s="1"/>
  <c r="T29" i="1"/>
  <c r="S29" i="1"/>
  <c r="R29" i="1"/>
  <c r="O30" i="1"/>
  <c r="F29" i="1"/>
  <c r="K39" i="1"/>
  <c r="J39" i="1" s="1"/>
  <c r="F28" i="1"/>
  <c r="M28" i="1"/>
  <c r="H39" i="1" l="1"/>
  <c r="R30" i="1"/>
  <c r="S30" i="1"/>
  <c r="T30" i="1"/>
  <c r="F30" i="1"/>
  <c r="M30" i="1"/>
  <c r="O29" i="1"/>
  <c r="M29" i="1"/>
  <c r="K40" i="1"/>
  <c r="J40" i="1" s="1"/>
  <c r="H40" i="1" l="1"/>
  <c r="G39" i="1"/>
  <c r="L39" i="1" s="1"/>
  <c r="R31" i="1"/>
  <c r="O31" i="1"/>
  <c r="T31" i="1"/>
  <c r="S31" i="1"/>
  <c r="K41" i="1"/>
  <c r="J41" i="1" s="1"/>
  <c r="H41" i="1" l="1"/>
  <c r="G40" i="1"/>
  <c r="L40" i="1" s="1"/>
  <c r="F31" i="1"/>
  <c r="M31" i="1"/>
  <c r="O33" i="1"/>
  <c r="T32" i="1"/>
  <c r="T33" i="1" s="1"/>
  <c r="S32" i="1"/>
  <c r="S33" i="1" s="1"/>
  <c r="R32" i="1"/>
  <c r="R33" i="1" s="1"/>
  <c r="K42" i="1"/>
  <c r="J42" i="1" s="1"/>
  <c r="H42" i="1" l="1"/>
  <c r="G41" i="1"/>
  <c r="L41" i="1" s="1"/>
  <c r="R34" i="1"/>
  <c r="S34" i="1"/>
  <c r="T34" i="1"/>
  <c r="F33" i="1"/>
  <c r="O34" i="1"/>
  <c r="K43" i="1"/>
  <c r="J43" i="1" s="1"/>
  <c r="R35" i="1"/>
  <c r="H43" i="1" l="1"/>
  <c r="G42" i="1"/>
  <c r="L42" i="1" s="1"/>
  <c r="S35" i="1"/>
  <c r="T35" i="1"/>
  <c r="M34" i="1"/>
  <c r="F34" i="1"/>
  <c r="O35" i="1"/>
  <c r="K44" i="1"/>
  <c r="J44" i="1" s="1"/>
  <c r="H44" i="1" l="1"/>
  <c r="G43" i="1"/>
  <c r="L43" i="1" s="1"/>
  <c r="T36" i="1"/>
  <c r="R36" i="1"/>
  <c r="S36" i="1"/>
  <c r="M35" i="1"/>
  <c r="F35" i="1"/>
  <c r="O36" i="1"/>
  <c r="K45" i="1"/>
  <c r="J45" i="1" s="1"/>
  <c r="H45" i="1" l="1"/>
  <c r="G44" i="1"/>
  <c r="L44" i="1" s="1"/>
  <c r="T37" i="1"/>
  <c r="R37" i="1"/>
  <c r="S37" i="1"/>
  <c r="M36" i="1"/>
  <c r="F36" i="1"/>
  <c r="K46" i="1"/>
  <c r="J46" i="1" s="1"/>
  <c r="H46" i="1" l="1"/>
  <c r="G45" i="1"/>
  <c r="L45" i="1" s="1"/>
  <c r="T38" i="1"/>
  <c r="R38" i="1"/>
  <c r="S38" i="1"/>
  <c r="K47" i="1"/>
  <c r="J47" i="1" s="1"/>
  <c r="H47" i="1" l="1"/>
  <c r="G47" i="1" s="1"/>
  <c r="L47" i="1" s="1"/>
  <c r="G46" i="1"/>
  <c r="L46" i="1" s="1"/>
  <c r="T39" i="1"/>
  <c r="F39" i="1"/>
  <c r="R39" i="1"/>
  <c r="S39" i="1"/>
  <c r="K48" i="1"/>
  <c r="J48" i="1" s="1"/>
  <c r="H48" i="1" l="1"/>
  <c r="G48" i="1" s="1"/>
  <c r="L48" i="1" s="1"/>
  <c r="O39" i="1"/>
  <c r="R40" i="1"/>
  <c r="S40" i="1"/>
  <c r="F40" i="1"/>
  <c r="T40" i="1"/>
  <c r="K49" i="1"/>
  <c r="J49" i="1" s="1"/>
  <c r="H49" i="1" l="1"/>
  <c r="G49" i="1" s="1"/>
  <c r="L49" i="1" s="1"/>
  <c r="O40" i="1"/>
  <c r="M40" i="1"/>
  <c r="S41" i="1"/>
  <c r="T41" i="1"/>
  <c r="R41" i="1"/>
  <c r="O41" i="1"/>
  <c r="K50" i="1"/>
  <c r="J50" i="1" s="1"/>
  <c r="H50" i="1" l="1"/>
  <c r="G50" i="1" s="1"/>
  <c r="L50" i="1" s="1"/>
  <c r="S42" i="1"/>
  <c r="T42" i="1"/>
  <c r="R42" i="1"/>
  <c r="M41" i="1"/>
  <c r="F41" i="1"/>
  <c r="K51" i="1"/>
  <c r="J51" i="1" s="1"/>
  <c r="H51" i="1" l="1"/>
  <c r="G51" i="1" s="1"/>
  <c r="L51" i="1" s="1"/>
  <c r="T43" i="1"/>
  <c r="R43" i="1"/>
  <c r="S43" i="1"/>
  <c r="K52" i="1"/>
  <c r="J52" i="1" s="1"/>
  <c r="H52" i="1" l="1"/>
  <c r="G52" i="1"/>
  <c r="L52" i="1" s="1"/>
  <c r="S44" i="1"/>
  <c r="T44" i="1"/>
  <c r="R44" i="1"/>
  <c r="K53" i="1"/>
  <c r="H53" i="1" l="1"/>
  <c r="G53" i="1"/>
  <c r="L53" i="1" s="1"/>
  <c r="O45" i="1"/>
  <c r="S45" i="1"/>
  <c r="T45" i="1"/>
  <c r="R45" i="1"/>
  <c r="K54" i="1"/>
  <c r="J54" i="1" s="1"/>
  <c r="H54" i="1" l="1"/>
  <c r="L54" i="1"/>
  <c r="G54" i="1"/>
  <c r="F45" i="1"/>
  <c r="F46" i="1"/>
  <c r="T46" i="1"/>
  <c r="R46" i="1"/>
  <c r="S46" i="1"/>
  <c r="S54" i="1"/>
  <c r="R54" i="1"/>
  <c r="T54" i="1"/>
  <c r="Q54" i="1"/>
  <c r="V54" i="1"/>
  <c r="K55" i="1"/>
  <c r="J55" i="1" s="1"/>
  <c r="G55" i="1" l="1"/>
  <c r="H55" i="1"/>
  <c r="L55" i="1"/>
  <c r="O46" i="1"/>
  <c r="S47" i="1"/>
  <c r="R47" i="1"/>
  <c r="T47" i="1"/>
  <c r="M46" i="1"/>
  <c r="T55" i="1"/>
  <c r="S55" i="1"/>
  <c r="R55" i="1"/>
  <c r="Q55" i="1"/>
  <c r="V55" i="1"/>
  <c r="K56" i="1"/>
  <c r="J56" i="1" s="1"/>
  <c r="G56" i="1" l="1"/>
  <c r="H56" i="1"/>
  <c r="L56" i="1"/>
  <c r="F48" i="1"/>
  <c r="R48" i="1"/>
  <c r="R49" i="1" s="1"/>
  <c r="R50" i="1" s="1"/>
  <c r="T48" i="1"/>
  <c r="T49" i="1" s="1"/>
  <c r="T50" i="1" s="1"/>
  <c r="S48" i="1"/>
  <c r="S49" i="1" s="1"/>
  <c r="S50" i="1" s="1"/>
  <c r="S51" i="1" s="1"/>
  <c r="S56" i="1"/>
  <c r="T56" i="1"/>
  <c r="R56" i="1"/>
  <c r="V56" i="1"/>
  <c r="Q56" i="1"/>
  <c r="O48" i="1"/>
  <c r="K57" i="1"/>
  <c r="J57" i="1" s="1"/>
  <c r="R51" i="1" l="1"/>
  <c r="R52" i="1" s="1"/>
  <c r="R53" i="1" s="1"/>
  <c r="S52" i="1"/>
  <c r="S53" i="1" s="1"/>
  <c r="T51" i="1"/>
  <c r="T52" i="1" s="1"/>
  <c r="T53" i="1" s="1"/>
  <c r="G57" i="1"/>
  <c r="H57" i="1"/>
  <c r="L57" i="1"/>
  <c r="M48" i="1"/>
  <c r="S57" i="1"/>
  <c r="R57" i="1"/>
  <c r="T57" i="1"/>
  <c r="V57" i="1"/>
  <c r="Q57" i="1"/>
  <c r="O49" i="1"/>
  <c r="K58" i="1"/>
  <c r="J58" i="1" s="1"/>
  <c r="F49" i="1"/>
  <c r="M49" i="1"/>
  <c r="H58" i="1" l="1"/>
  <c r="G58" i="1"/>
  <c r="L58" i="1"/>
  <c r="S58" i="1"/>
  <c r="R58" i="1"/>
  <c r="T58" i="1"/>
  <c r="V58" i="1"/>
  <c r="Q58" i="1"/>
  <c r="O50" i="1"/>
  <c r="K59" i="1"/>
  <c r="J59" i="1" s="1"/>
  <c r="F50" i="1"/>
  <c r="M50" i="1"/>
  <c r="G59" i="1" l="1"/>
  <c r="H59" i="1"/>
  <c r="L59" i="1"/>
  <c r="T59" i="1"/>
  <c r="R59" i="1"/>
  <c r="S59" i="1"/>
  <c r="V59" i="1"/>
  <c r="Q59" i="1"/>
  <c r="O51" i="1"/>
  <c r="K60" i="1"/>
  <c r="J60" i="1" s="1"/>
  <c r="F51" i="1"/>
  <c r="M51" i="1"/>
  <c r="L60" i="1" l="1"/>
  <c r="H60" i="1"/>
  <c r="G60" i="1"/>
  <c r="T60" i="1"/>
  <c r="R60" i="1"/>
  <c r="S60" i="1"/>
  <c r="V60" i="1"/>
  <c r="Q60" i="1"/>
  <c r="O52" i="1"/>
  <c r="K61" i="1"/>
  <c r="J61" i="1" s="1"/>
  <c r="F52" i="1"/>
  <c r="M52" i="1"/>
  <c r="H61" i="1" l="1"/>
  <c r="L61" i="1"/>
  <c r="G61" i="1"/>
  <c r="T61" i="1"/>
  <c r="R61" i="1"/>
  <c r="S61" i="1"/>
  <c r="V61" i="1"/>
  <c r="Q61" i="1"/>
  <c r="K62" i="1"/>
  <c r="J62" i="1" s="1"/>
  <c r="F53" i="1"/>
  <c r="M53" i="1"/>
  <c r="H62" i="1" l="1"/>
  <c r="L62" i="1"/>
  <c r="G62" i="1"/>
  <c r="T62" i="1"/>
  <c r="R62" i="1"/>
  <c r="S62" i="1"/>
  <c r="V62" i="1"/>
  <c r="Q62" i="1"/>
  <c r="O54" i="1"/>
  <c r="K63" i="1"/>
  <c r="J63" i="1" s="1"/>
  <c r="F54" i="1"/>
  <c r="M54" i="1"/>
  <c r="H63" i="1" l="1"/>
  <c r="L63" i="1"/>
  <c r="G63" i="1"/>
  <c r="T63" i="1"/>
  <c r="R63" i="1"/>
  <c r="S63" i="1"/>
  <c r="Q63" i="1"/>
  <c r="V63" i="1"/>
  <c r="O55" i="1"/>
  <c r="K64" i="1"/>
  <c r="J64" i="1" s="1"/>
  <c r="F55" i="1"/>
  <c r="M55" i="1"/>
  <c r="G64" i="1" l="1"/>
  <c r="H64" i="1"/>
  <c r="L64" i="1"/>
  <c r="R64" i="1"/>
  <c r="T64" i="1"/>
  <c r="S64" i="1"/>
  <c r="Q64" i="1"/>
  <c r="V64" i="1"/>
  <c r="O56" i="1"/>
  <c r="K65" i="1"/>
  <c r="J65" i="1" s="1"/>
  <c r="F56" i="1"/>
  <c r="M56" i="1"/>
  <c r="H65" i="1" l="1"/>
  <c r="L65" i="1"/>
  <c r="G65" i="1"/>
  <c r="S65" i="1"/>
  <c r="T65" i="1"/>
  <c r="R65" i="1"/>
  <c r="Q65" i="1"/>
  <c r="V65" i="1"/>
  <c r="O57" i="1"/>
  <c r="K66" i="1"/>
  <c r="J66" i="1" s="1"/>
  <c r="F57" i="1"/>
  <c r="M57" i="1"/>
  <c r="H66" i="1" l="1"/>
  <c r="L66" i="1"/>
  <c r="G66" i="1"/>
  <c r="S66" i="1"/>
  <c r="R66" i="1"/>
  <c r="T66" i="1"/>
  <c r="Q66" i="1"/>
  <c r="V66" i="1"/>
  <c r="O58" i="1"/>
  <c r="K67" i="1"/>
  <c r="J67" i="1" s="1"/>
  <c r="F58" i="1"/>
  <c r="M58" i="1"/>
  <c r="G67" i="1" l="1"/>
  <c r="H67" i="1"/>
  <c r="L67" i="1"/>
  <c r="S67" i="1"/>
  <c r="T67" i="1"/>
  <c r="R67" i="1"/>
  <c r="V67" i="1"/>
  <c r="Q67" i="1"/>
  <c r="O59" i="1"/>
  <c r="K68" i="1"/>
  <c r="J68" i="1" s="1"/>
  <c r="F59" i="1"/>
  <c r="M59" i="1"/>
  <c r="G68" i="1" l="1"/>
  <c r="H68" i="1"/>
  <c r="L68" i="1"/>
  <c r="T68" i="1"/>
  <c r="S68" i="1"/>
  <c r="R68" i="1"/>
  <c r="Q68" i="1"/>
  <c r="V68" i="1"/>
  <c r="O60" i="1"/>
  <c r="K69" i="1"/>
  <c r="J69" i="1" s="1"/>
  <c r="F60" i="1"/>
  <c r="M60" i="1"/>
  <c r="G69" i="1" l="1"/>
  <c r="L69" i="1"/>
  <c r="H69" i="1"/>
  <c r="S69" i="1"/>
  <c r="R69" i="1"/>
  <c r="T69" i="1"/>
  <c r="V69" i="1"/>
  <c r="Q69" i="1"/>
  <c r="O61" i="1"/>
  <c r="K70" i="1"/>
  <c r="J70" i="1" s="1"/>
  <c r="F61" i="1"/>
  <c r="M61" i="1"/>
  <c r="G70" i="1" l="1"/>
  <c r="H70" i="1"/>
  <c r="L70" i="1"/>
  <c r="S70" i="1"/>
  <c r="R70" i="1"/>
  <c r="T70" i="1"/>
  <c r="V70" i="1"/>
  <c r="Q70" i="1"/>
  <c r="O62" i="1"/>
  <c r="K71" i="1"/>
  <c r="J71" i="1" s="1"/>
  <c r="F62" i="1"/>
  <c r="M62" i="1"/>
  <c r="G71" i="1" l="1"/>
  <c r="H71" i="1"/>
  <c r="L71" i="1"/>
  <c r="T71" i="1"/>
  <c r="R71" i="1"/>
  <c r="S71" i="1"/>
  <c r="V71" i="1"/>
  <c r="Q71" i="1"/>
  <c r="O63" i="1"/>
  <c r="K72" i="1"/>
  <c r="J72" i="1" s="1"/>
  <c r="F63" i="1"/>
  <c r="M63" i="1"/>
  <c r="L72" i="1" l="1"/>
  <c r="H72" i="1"/>
  <c r="G72" i="1"/>
  <c r="T72" i="1"/>
  <c r="R72" i="1"/>
  <c r="S72" i="1"/>
  <c r="V72" i="1"/>
  <c r="Q72" i="1"/>
  <c r="O64" i="1"/>
  <c r="K73" i="1"/>
  <c r="J73" i="1" s="1"/>
  <c r="F64" i="1"/>
  <c r="M64" i="1"/>
  <c r="H73" i="1" l="1"/>
  <c r="L73" i="1"/>
  <c r="G73" i="1"/>
  <c r="T73" i="1"/>
  <c r="R73" i="1"/>
  <c r="S73" i="1"/>
  <c r="Q73" i="1"/>
  <c r="V73" i="1"/>
  <c r="O65" i="1"/>
  <c r="K74" i="1"/>
  <c r="J74" i="1" s="1"/>
  <c r="F65" i="1"/>
  <c r="M65" i="1"/>
  <c r="H74" i="1" l="1"/>
  <c r="L74" i="1"/>
  <c r="G74" i="1"/>
  <c r="T74" i="1"/>
  <c r="R74" i="1"/>
  <c r="S74" i="1"/>
  <c r="Q74" i="1"/>
  <c r="V74" i="1"/>
  <c r="O66" i="1"/>
  <c r="K75" i="1"/>
  <c r="J75" i="1" s="1"/>
  <c r="F66" i="1"/>
  <c r="M66" i="1"/>
  <c r="H75" i="1" l="1"/>
  <c r="L75" i="1"/>
  <c r="G75" i="1"/>
  <c r="T75" i="1"/>
  <c r="R75" i="1"/>
  <c r="S75" i="1"/>
  <c r="Q75" i="1"/>
  <c r="V75" i="1"/>
  <c r="O67" i="1"/>
  <c r="K76" i="1"/>
  <c r="J76" i="1" s="1"/>
  <c r="F67" i="1"/>
  <c r="M67" i="1"/>
  <c r="H76" i="1" l="1"/>
  <c r="L76" i="1"/>
  <c r="G76" i="1"/>
  <c r="R76" i="1"/>
  <c r="T76" i="1"/>
  <c r="S76" i="1"/>
  <c r="Q76" i="1"/>
  <c r="V76" i="1"/>
  <c r="O68" i="1"/>
  <c r="K77" i="1"/>
  <c r="J77" i="1" s="1"/>
  <c r="F68" i="1"/>
  <c r="M68" i="1"/>
  <c r="H77" i="1" l="1"/>
  <c r="L77" i="1"/>
  <c r="G77" i="1"/>
  <c r="S77" i="1"/>
  <c r="T77" i="1"/>
  <c r="R77" i="1"/>
  <c r="Q77" i="1"/>
  <c r="V77" i="1"/>
  <c r="O69" i="1"/>
  <c r="K78" i="1"/>
  <c r="J78" i="1" s="1"/>
  <c r="F69" i="1"/>
  <c r="M69" i="1"/>
  <c r="H78" i="1" l="1"/>
  <c r="L78" i="1"/>
  <c r="G78" i="1"/>
  <c r="S78" i="1"/>
  <c r="T78" i="1"/>
  <c r="R78" i="1"/>
  <c r="V78" i="1"/>
  <c r="Q78" i="1"/>
  <c r="O70" i="1"/>
  <c r="K79" i="1"/>
  <c r="J79" i="1" s="1"/>
  <c r="F70" i="1"/>
  <c r="M70" i="1"/>
  <c r="G79" i="1" l="1"/>
  <c r="H79" i="1"/>
  <c r="L79" i="1"/>
  <c r="S79" i="1"/>
  <c r="R79" i="1"/>
  <c r="T79" i="1"/>
  <c r="Q79" i="1"/>
  <c r="V79" i="1"/>
  <c r="O71" i="1"/>
  <c r="K80" i="1"/>
  <c r="J80" i="1" s="1"/>
  <c r="F71" i="1"/>
  <c r="M71" i="1"/>
  <c r="G80" i="1" l="1"/>
  <c r="H80" i="1"/>
  <c r="L80" i="1"/>
  <c r="S80" i="1"/>
  <c r="T80" i="1"/>
  <c r="R80" i="1"/>
  <c r="V80" i="1"/>
  <c r="Q80" i="1"/>
  <c r="O72" i="1"/>
  <c r="K81" i="1"/>
  <c r="J81" i="1" s="1"/>
  <c r="F72" i="1"/>
  <c r="M72" i="1"/>
  <c r="G81" i="1" l="1"/>
  <c r="L81" i="1"/>
  <c r="H81" i="1"/>
  <c r="S81" i="1"/>
  <c r="R81" i="1"/>
  <c r="T81" i="1"/>
  <c r="V81" i="1"/>
  <c r="Q81" i="1"/>
  <c r="O73" i="1"/>
  <c r="K82" i="1"/>
  <c r="J82" i="1" s="1"/>
  <c r="F73" i="1"/>
  <c r="M73" i="1"/>
  <c r="H82" i="1" l="1"/>
  <c r="G82" i="1"/>
  <c r="L82" i="1"/>
  <c r="S82" i="1"/>
  <c r="R82" i="1"/>
  <c r="T82" i="1"/>
  <c r="V82" i="1"/>
  <c r="Q82" i="1"/>
  <c r="O74" i="1"/>
  <c r="K83" i="1"/>
  <c r="J83" i="1" s="1"/>
  <c r="F74" i="1"/>
  <c r="M74" i="1"/>
  <c r="G83" i="1" l="1"/>
  <c r="H83" i="1"/>
  <c r="L83" i="1"/>
  <c r="T83" i="1"/>
  <c r="R83" i="1"/>
  <c r="S83" i="1"/>
  <c r="V83" i="1"/>
  <c r="Q83" i="1"/>
  <c r="O75" i="1"/>
  <c r="K84" i="1"/>
  <c r="J84" i="1" s="1"/>
  <c r="F75" i="1"/>
  <c r="M75" i="1"/>
  <c r="L84" i="1" l="1"/>
  <c r="G84" i="1"/>
  <c r="H84" i="1"/>
  <c r="T84" i="1"/>
  <c r="R84" i="1"/>
  <c r="S84" i="1"/>
  <c r="Q84" i="1"/>
  <c r="V84" i="1"/>
  <c r="O76" i="1"/>
  <c r="K85" i="1"/>
  <c r="J85" i="1" s="1"/>
  <c r="F76" i="1"/>
  <c r="M76" i="1"/>
  <c r="H85" i="1" l="1"/>
  <c r="L85" i="1"/>
  <c r="G85" i="1"/>
  <c r="T85" i="1"/>
  <c r="R85" i="1"/>
  <c r="S85" i="1"/>
  <c r="V85" i="1"/>
  <c r="Q85" i="1"/>
  <c r="O77" i="1"/>
  <c r="K86" i="1"/>
  <c r="J86" i="1" s="1"/>
  <c r="F77" i="1"/>
  <c r="M77" i="1"/>
  <c r="H86" i="1" l="1"/>
  <c r="L86" i="1"/>
  <c r="G86" i="1"/>
  <c r="T86" i="1"/>
  <c r="R86" i="1"/>
  <c r="S86" i="1"/>
  <c r="Q86" i="1"/>
  <c r="V86" i="1"/>
  <c r="O78" i="1"/>
  <c r="K87" i="1"/>
  <c r="J87" i="1" s="1"/>
  <c r="F78" i="1"/>
  <c r="M78" i="1"/>
  <c r="H87" i="1" l="1"/>
  <c r="L87" i="1"/>
  <c r="G87" i="1"/>
  <c r="T87" i="1"/>
  <c r="R87" i="1"/>
  <c r="S87" i="1"/>
  <c r="V87" i="1"/>
  <c r="Q87" i="1"/>
  <c r="O79" i="1"/>
  <c r="K88" i="1"/>
  <c r="J88" i="1" s="1"/>
  <c r="F79" i="1"/>
  <c r="M79" i="1"/>
  <c r="G88" i="1" l="1"/>
  <c r="H88" i="1"/>
  <c r="L88" i="1"/>
  <c r="R88" i="1"/>
  <c r="T88" i="1"/>
  <c r="S88" i="1"/>
  <c r="Q88" i="1"/>
  <c r="V88" i="1"/>
  <c r="O80" i="1"/>
  <c r="K89" i="1"/>
  <c r="J89" i="1" s="1"/>
  <c r="F80" i="1"/>
  <c r="M80" i="1"/>
  <c r="H89" i="1" l="1"/>
  <c r="L89" i="1"/>
  <c r="G89" i="1"/>
  <c r="S89" i="1"/>
  <c r="T89" i="1"/>
  <c r="R89" i="1"/>
  <c r="Q89" i="1"/>
  <c r="V89" i="1"/>
  <c r="O81" i="1"/>
  <c r="K90" i="1"/>
  <c r="J90" i="1" s="1"/>
  <c r="F81" i="1"/>
  <c r="M81" i="1"/>
  <c r="G90" i="1" l="1"/>
  <c r="H90" i="1"/>
  <c r="L90" i="1"/>
  <c r="S90" i="1"/>
  <c r="R90" i="1"/>
  <c r="T90" i="1"/>
  <c r="Q90" i="1"/>
  <c r="V90" i="1"/>
  <c r="O82" i="1"/>
  <c r="K91" i="1"/>
  <c r="J91" i="1" s="1"/>
  <c r="F82" i="1"/>
  <c r="M82" i="1"/>
  <c r="G91" i="1" l="1"/>
  <c r="H91" i="1"/>
  <c r="L91" i="1"/>
  <c r="S91" i="1"/>
  <c r="T91" i="1"/>
  <c r="R91" i="1"/>
  <c r="V91" i="1"/>
  <c r="Q91" i="1"/>
  <c r="O83" i="1"/>
  <c r="K92" i="1"/>
  <c r="J92" i="1" s="1"/>
  <c r="F83" i="1"/>
  <c r="M83" i="1"/>
  <c r="G92" i="1" l="1"/>
  <c r="H92" i="1"/>
  <c r="L92" i="1"/>
  <c r="T92" i="1"/>
  <c r="S92" i="1"/>
  <c r="R92" i="1"/>
  <c r="Q92" i="1"/>
  <c r="V92" i="1"/>
  <c r="O84" i="1"/>
  <c r="K93" i="1"/>
  <c r="J93" i="1" s="1"/>
  <c r="F84" i="1"/>
  <c r="M84" i="1"/>
  <c r="G93" i="1" l="1"/>
  <c r="L93" i="1"/>
  <c r="H93" i="1"/>
  <c r="S93" i="1"/>
  <c r="R93" i="1"/>
  <c r="T93" i="1"/>
  <c r="V93" i="1"/>
  <c r="Q93" i="1"/>
  <c r="O85" i="1"/>
  <c r="K94" i="1"/>
  <c r="J94" i="1" s="1"/>
  <c r="F85" i="1"/>
  <c r="M85" i="1"/>
  <c r="G94" i="1" l="1"/>
  <c r="H94" i="1"/>
  <c r="L94" i="1"/>
  <c r="S94" i="1"/>
  <c r="R94" i="1"/>
  <c r="T94" i="1"/>
  <c r="V94" i="1"/>
  <c r="Q94" i="1"/>
  <c r="O86" i="1"/>
  <c r="K95" i="1"/>
  <c r="J95" i="1" s="1"/>
  <c r="F86" i="1"/>
  <c r="M86" i="1"/>
  <c r="G95" i="1" l="1"/>
  <c r="H95" i="1"/>
  <c r="L95" i="1"/>
  <c r="T95" i="1"/>
  <c r="R95" i="1"/>
  <c r="S95" i="1"/>
  <c r="V95" i="1"/>
  <c r="Q95" i="1"/>
  <c r="O87" i="1"/>
  <c r="K96" i="1"/>
  <c r="J96" i="1" s="1"/>
  <c r="F87" i="1"/>
  <c r="M87" i="1"/>
  <c r="L96" i="1" l="1"/>
  <c r="G96" i="1"/>
  <c r="H96" i="1"/>
  <c r="T96" i="1"/>
  <c r="R96" i="1"/>
  <c r="S96" i="1"/>
  <c r="V96" i="1"/>
  <c r="Q96" i="1"/>
  <c r="O88" i="1"/>
  <c r="K97" i="1"/>
  <c r="J97" i="1" s="1"/>
  <c r="F88" i="1"/>
  <c r="M88" i="1"/>
  <c r="H97" i="1" l="1"/>
  <c r="L97" i="1"/>
  <c r="G97" i="1"/>
  <c r="T97" i="1"/>
  <c r="R97" i="1"/>
  <c r="S97" i="1"/>
  <c r="V97" i="1"/>
  <c r="Q97" i="1"/>
  <c r="O89" i="1"/>
  <c r="F89" i="1"/>
  <c r="M89" i="1"/>
  <c r="O90" i="1" l="1"/>
  <c r="F90" i="1"/>
  <c r="M90" i="1"/>
  <c r="O91" i="1" l="1"/>
  <c r="F91" i="1"/>
  <c r="M91" i="1"/>
  <c r="O92" i="1" l="1"/>
  <c r="F92" i="1"/>
  <c r="M92" i="1"/>
  <c r="O93" i="1" l="1"/>
  <c r="F93" i="1"/>
  <c r="M93" i="1"/>
  <c r="O94" i="1" l="1"/>
  <c r="F94" i="1"/>
  <c r="M94" i="1"/>
  <c r="O95" i="1" l="1"/>
  <c r="F95" i="1"/>
  <c r="M95" i="1"/>
  <c r="O96" i="1" l="1"/>
  <c r="F96" i="1"/>
  <c r="M96" i="1"/>
  <c r="O97" i="1" l="1"/>
  <c r="F97" i="1"/>
  <c r="M97" i="1"/>
  <c r="AH6" i="1" l="1"/>
  <c r="U6" i="1"/>
  <c r="U7" i="1"/>
  <c r="U8" i="1"/>
  <c r="X54" i="1" l="1"/>
  <c r="Y54" i="1" s="1"/>
  <c r="W54" i="1" l="1"/>
  <c r="I54" i="1"/>
  <c r="P54" i="1" l="1"/>
  <c r="U54" i="1" l="1"/>
  <c r="N55" i="1" s="1"/>
  <c r="X55" i="1" s="1"/>
  <c r="Y55" i="1" s="1"/>
  <c r="W55" i="1" l="1"/>
  <c r="I55" i="1"/>
  <c r="P55" i="1" l="1"/>
  <c r="U55" i="1" l="1"/>
  <c r="N56" i="1" s="1"/>
  <c r="X56" i="1" s="1"/>
  <c r="Y56" i="1" s="1"/>
  <c r="W56" i="1" l="1"/>
  <c r="I56" i="1"/>
  <c r="P56" i="1" l="1"/>
  <c r="U56" i="1" l="1"/>
  <c r="N57" i="1" s="1"/>
  <c r="X57" i="1" s="1"/>
  <c r="Y57" i="1" s="1"/>
  <c r="I57" i="1" l="1"/>
  <c r="W57" i="1"/>
  <c r="P57" i="1" l="1"/>
  <c r="U57" i="1" l="1"/>
  <c r="N58" i="1" s="1"/>
  <c r="X58" i="1" s="1"/>
  <c r="Y58" i="1" s="1"/>
  <c r="W58" i="1" l="1"/>
  <c r="I58" i="1"/>
  <c r="P58" i="1" l="1"/>
  <c r="U58" i="1" l="1"/>
  <c r="N59" i="1" s="1"/>
  <c r="X59" i="1" s="1"/>
  <c r="Y59" i="1" l="1"/>
  <c r="I59" i="1" s="1"/>
  <c r="W59" i="1" l="1"/>
  <c r="P59" i="1" l="1"/>
  <c r="U59" i="1" l="1"/>
  <c r="N60" i="1" s="1"/>
  <c r="X60" i="1"/>
  <c r="Y60" i="1" l="1"/>
  <c r="I60" i="1" s="1"/>
  <c r="W60" i="1" l="1"/>
  <c r="P60" i="1" l="1"/>
  <c r="U60" i="1" l="1"/>
  <c r="N61" i="1" s="1"/>
  <c r="X61" i="1"/>
  <c r="Y61" i="1" s="1"/>
  <c r="W61" i="1" l="1"/>
  <c r="I61" i="1"/>
  <c r="P61" i="1" l="1"/>
  <c r="U61" i="1" l="1"/>
  <c r="N62" i="1" s="1"/>
  <c r="X62" i="1" s="1"/>
  <c r="Y62" i="1" s="1"/>
  <c r="W62" i="1" l="1"/>
  <c r="I62" i="1"/>
  <c r="P62" i="1" l="1"/>
  <c r="U62" i="1" l="1"/>
  <c r="N63" i="1" s="1"/>
  <c r="X63" i="1" s="1"/>
  <c r="Y63" i="1" s="1"/>
  <c r="W63" i="1" l="1"/>
  <c r="I63" i="1"/>
  <c r="P63" i="1" l="1"/>
  <c r="U63" i="1" l="1"/>
  <c r="N64" i="1" s="1"/>
  <c r="X64" i="1" s="1"/>
  <c r="Y64" i="1" l="1"/>
  <c r="W64" i="1" s="1"/>
  <c r="P64" i="1" l="1"/>
  <c r="U64" i="1" s="1"/>
  <c r="N65" i="1" s="1"/>
  <c r="I64" i="1"/>
  <c r="X65" i="1" l="1"/>
  <c r="Y65" i="1" l="1"/>
  <c r="I65" i="1" l="1"/>
  <c r="W65" i="1"/>
  <c r="P65" i="1" l="1"/>
  <c r="U65" i="1" l="1"/>
  <c r="N66" i="1" s="1"/>
  <c r="X66" i="1" s="1"/>
  <c r="Y66" i="1" l="1"/>
  <c r="I66" i="1" s="1"/>
  <c r="W66" i="1" l="1"/>
  <c r="P66" i="1" l="1"/>
  <c r="U66" i="1" l="1"/>
  <c r="N67" i="1" s="1"/>
  <c r="X67" i="1" s="1"/>
  <c r="Y67" i="1" s="1"/>
  <c r="I67" i="1" l="1"/>
  <c r="W67" i="1"/>
  <c r="P67" i="1" l="1"/>
  <c r="U67" i="1" l="1"/>
  <c r="N68" i="1" s="1"/>
  <c r="X68" i="1" s="1"/>
  <c r="Y68" i="1" l="1"/>
  <c r="I68" i="1" s="1"/>
  <c r="W68" i="1" l="1"/>
  <c r="P68" i="1" l="1"/>
  <c r="U68" i="1" l="1"/>
  <c r="N69" i="1" s="1"/>
  <c r="X69" i="1"/>
  <c r="Y69" i="1" s="1"/>
  <c r="W69" i="1" l="1"/>
  <c r="I69" i="1"/>
  <c r="P69" i="1" l="1"/>
  <c r="U69" i="1" l="1"/>
  <c r="N70" i="1" s="1"/>
  <c r="X70" i="1"/>
  <c r="Y70" i="1" l="1"/>
  <c r="W70" i="1" s="1"/>
  <c r="P70" i="1" l="1"/>
  <c r="U70" i="1" s="1"/>
  <c r="N71" i="1" s="1"/>
  <c r="I70" i="1"/>
  <c r="X71" i="1" l="1"/>
  <c r="Y71" i="1" l="1"/>
  <c r="W71" i="1" l="1"/>
  <c r="I71" i="1"/>
  <c r="P71" i="1" l="1"/>
  <c r="U71" i="1" l="1"/>
  <c r="N72" i="1" s="1"/>
  <c r="X72" i="1" s="1"/>
  <c r="Y72" i="1" s="1"/>
  <c r="W72" i="1" l="1"/>
  <c r="I72" i="1"/>
  <c r="P72" i="1" l="1"/>
  <c r="U72" i="1" l="1"/>
  <c r="N73" i="1" s="1"/>
  <c r="X73" i="1" s="1"/>
  <c r="Y73" i="1" s="1"/>
  <c r="I73" i="1" l="1"/>
  <c r="W73" i="1"/>
  <c r="P73" i="1" l="1"/>
  <c r="U73" i="1" l="1"/>
  <c r="N74" i="1" s="1"/>
  <c r="X74" i="1"/>
  <c r="Y74" i="1" s="1"/>
  <c r="I74" i="1" l="1"/>
  <c r="W74" i="1"/>
  <c r="P74" i="1" l="1"/>
  <c r="U74" i="1" l="1"/>
  <c r="N75" i="1" s="1"/>
  <c r="X75" i="1" s="1"/>
  <c r="Y75" i="1" l="1"/>
  <c r="W75" i="1" s="1"/>
  <c r="P75" i="1" l="1"/>
  <c r="U75" i="1" s="1"/>
  <c r="N76" i="1" s="1"/>
  <c r="I75" i="1"/>
  <c r="X76" i="1" l="1"/>
  <c r="Y76" i="1" s="1"/>
  <c r="I76" i="1" l="1"/>
  <c r="W76" i="1"/>
  <c r="P76" i="1" l="1"/>
  <c r="U76" i="1" l="1"/>
  <c r="N77" i="1" s="1"/>
  <c r="X77" i="1" s="1"/>
  <c r="Y77" i="1" s="1"/>
  <c r="W77" i="1" l="1"/>
  <c r="I77" i="1"/>
  <c r="P77" i="1" l="1"/>
  <c r="U77" i="1" l="1"/>
  <c r="N78" i="1" s="1"/>
  <c r="X78" i="1"/>
  <c r="Y78" i="1" s="1"/>
  <c r="I78" i="1" l="1"/>
  <c r="W78" i="1"/>
  <c r="P78" i="1" l="1"/>
  <c r="U78" i="1" l="1"/>
  <c r="N79" i="1" s="1"/>
  <c r="X79" i="1" s="1"/>
  <c r="Y79" i="1" l="1"/>
  <c r="I79" i="1" s="1"/>
  <c r="W79" i="1" l="1"/>
  <c r="P79" i="1" l="1"/>
  <c r="U79" i="1" l="1"/>
  <c r="N80" i="1" s="1"/>
  <c r="X80" i="1" s="1"/>
  <c r="Y80" i="1" l="1"/>
  <c r="I80" i="1" s="1"/>
  <c r="W80" i="1" l="1"/>
  <c r="P80" i="1" l="1"/>
  <c r="U80" i="1" l="1"/>
  <c r="N81" i="1" s="1"/>
  <c r="X81" i="1" s="1"/>
  <c r="Y81" i="1" l="1"/>
  <c r="W81" i="1" s="1"/>
  <c r="P81" i="1" l="1"/>
  <c r="U81" i="1" s="1"/>
  <c r="N82" i="1" s="1"/>
  <c r="I81" i="1"/>
  <c r="X82" i="1" l="1"/>
  <c r="Y82" i="1" l="1"/>
  <c r="W82" i="1" s="1"/>
  <c r="P82" i="1" l="1"/>
  <c r="U82" i="1" s="1"/>
  <c r="N83" i="1" s="1"/>
  <c r="I82" i="1"/>
  <c r="X83" i="1" l="1"/>
  <c r="Y83" i="1" l="1"/>
  <c r="W83" i="1" s="1"/>
  <c r="P83" i="1" l="1"/>
  <c r="U83" i="1" s="1"/>
  <c r="N84" i="1" s="1"/>
  <c r="I83" i="1"/>
  <c r="X84" i="1" l="1"/>
  <c r="Y84" i="1" l="1"/>
  <c r="W84" i="1" s="1"/>
  <c r="P84" i="1" l="1"/>
  <c r="U84" i="1" s="1"/>
  <c r="N85" i="1" s="1"/>
  <c r="I84" i="1"/>
  <c r="X85" i="1" l="1"/>
  <c r="Y85" i="1" l="1"/>
  <c r="W85" i="1" s="1"/>
  <c r="P85" i="1" l="1"/>
  <c r="U85" i="1" s="1"/>
  <c r="N86" i="1" s="1"/>
  <c r="I85" i="1"/>
  <c r="X86" i="1" l="1"/>
  <c r="Y86" i="1" s="1"/>
  <c r="W86" i="1" l="1"/>
  <c r="I86" i="1"/>
  <c r="P86" i="1" l="1"/>
  <c r="U86" i="1" l="1"/>
  <c r="N87" i="1" s="1"/>
  <c r="X87" i="1"/>
  <c r="Y87" i="1" s="1"/>
  <c r="W87" i="1" l="1"/>
  <c r="I87" i="1"/>
  <c r="P87" i="1" l="1"/>
  <c r="U87" i="1" l="1"/>
  <c r="N88" i="1" s="1"/>
  <c r="X88" i="1" s="1"/>
  <c r="Y88" i="1" s="1"/>
  <c r="W88" i="1" l="1"/>
  <c r="I88" i="1"/>
  <c r="P88" i="1" l="1"/>
  <c r="U88" i="1" l="1"/>
  <c r="N89" i="1" s="1"/>
  <c r="X89" i="1"/>
  <c r="Y89" i="1" s="1"/>
  <c r="W89" i="1" l="1"/>
  <c r="I89" i="1"/>
  <c r="P89" i="1" l="1"/>
  <c r="U89" i="1" l="1"/>
  <c r="N90" i="1" s="1"/>
  <c r="X90" i="1"/>
  <c r="Y90" i="1" l="1"/>
  <c r="I90" i="1" s="1"/>
  <c r="W90" i="1" l="1"/>
  <c r="P90" i="1" l="1"/>
  <c r="U90" i="1" l="1"/>
  <c r="N91" i="1" s="1"/>
  <c r="X91" i="1"/>
  <c r="Y91" i="1" s="1"/>
  <c r="W91" i="1" l="1"/>
  <c r="I91" i="1"/>
  <c r="P91" i="1" l="1"/>
  <c r="U91" i="1" l="1"/>
  <c r="N92" i="1" s="1"/>
  <c r="X92" i="1"/>
  <c r="Y92" i="1" s="1"/>
  <c r="I92" i="1" l="1"/>
  <c r="W92" i="1"/>
  <c r="P92" i="1" l="1"/>
  <c r="U92" i="1" l="1"/>
  <c r="N93" i="1" s="1"/>
  <c r="X93" i="1"/>
  <c r="Y93" i="1" s="1"/>
  <c r="W93" i="1" l="1"/>
  <c r="I93" i="1"/>
  <c r="P93" i="1" l="1"/>
  <c r="U93" i="1" l="1"/>
  <c r="N94" i="1" s="1"/>
  <c r="X94" i="1" s="1"/>
  <c r="Y94" i="1" s="1"/>
  <c r="I94" i="1" l="1"/>
  <c r="W94" i="1"/>
  <c r="P94" i="1" l="1"/>
  <c r="U94" i="1" l="1"/>
  <c r="N95" i="1" s="1"/>
  <c r="X95" i="1"/>
  <c r="Y95" i="1" s="1"/>
  <c r="W95" i="1" l="1"/>
  <c r="I95" i="1"/>
  <c r="P95" i="1" l="1"/>
  <c r="U95" i="1" l="1"/>
  <c r="N96" i="1" s="1"/>
  <c r="X96" i="1"/>
  <c r="Y96" i="1" s="1"/>
  <c r="W96" i="1" l="1"/>
  <c r="I96" i="1"/>
  <c r="P96" i="1" l="1"/>
  <c r="U96" i="1" l="1"/>
  <c r="N97" i="1" s="1"/>
  <c r="X97" i="1" s="1"/>
  <c r="Y97" i="1" s="1"/>
  <c r="I97" i="1" l="1"/>
  <c r="W97" i="1"/>
  <c r="P97" i="1" l="1"/>
  <c r="U97" i="1" l="1"/>
  <c r="O32" i="1" l="1"/>
  <c r="M33" i="1" l="1"/>
  <c r="F32" i="1"/>
  <c r="M32" i="1"/>
  <c r="M37" i="1" l="1"/>
  <c r="F37" i="1"/>
  <c r="O37" i="1"/>
  <c r="F38" i="1"/>
  <c r="O38" i="1"/>
  <c r="M38" i="1"/>
  <c r="M39" i="1"/>
  <c r="O13" i="1"/>
  <c r="O44" i="1" l="1"/>
  <c r="F44" i="1"/>
  <c r="M44" i="1"/>
  <c r="M45" i="1"/>
  <c r="O43" i="1"/>
  <c r="M43" i="1"/>
  <c r="F43" i="1"/>
  <c r="O42" i="1"/>
  <c r="M42" i="1"/>
  <c r="F42" i="1"/>
  <c r="F47" i="1" l="1"/>
  <c r="O47" i="1"/>
  <c r="M47" i="1"/>
  <c r="N13" i="1"/>
  <c r="X13" i="1" s="1"/>
  <c r="Y13" i="1" l="1"/>
  <c r="W13" i="1" s="1"/>
  <c r="Q13" i="1" l="1"/>
  <c r="V13" i="1" s="1"/>
  <c r="I13" i="1"/>
  <c r="P13" i="1" l="1"/>
  <c r="U13" i="1" l="1"/>
  <c r="N14" i="1" s="1"/>
  <c r="X14" i="1" s="1"/>
  <c r="Y14" i="1" s="1"/>
  <c r="W14" i="1" s="1"/>
  <c r="O14" i="1" s="1"/>
  <c r="Q14" i="1" l="1"/>
  <c r="I14" i="1"/>
  <c r="V14" i="1" l="1"/>
  <c r="P14" i="1"/>
  <c r="U14" i="1" l="1"/>
  <c r="N15" i="1" s="1"/>
  <c r="X15" i="1" s="1"/>
  <c r="Y15" i="1" l="1"/>
  <c r="W15" i="1" s="1"/>
  <c r="O15" i="1" s="1"/>
  <c r="Q15" i="1" l="1"/>
  <c r="I15" i="1"/>
  <c r="P15" i="1" l="1"/>
  <c r="U15" i="1" s="1"/>
  <c r="N16" i="1" s="1"/>
  <c r="V15" i="1"/>
  <c r="X16" i="1" l="1"/>
  <c r="Y16" i="1" s="1"/>
  <c r="W16" i="1" s="1"/>
  <c r="O16" i="1" s="1"/>
  <c r="I16" i="1" l="1"/>
  <c r="Q16" i="1"/>
  <c r="V16" i="1" l="1"/>
  <c r="P16" i="1"/>
  <c r="U16" i="1" l="1"/>
  <c r="N17" i="1" s="1"/>
  <c r="X17" i="1" s="1"/>
  <c r="Y17" i="1" s="1"/>
  <c r="W17" i="1" l="1"/>
  <c r="I17" i="1"/>
  <c r="Q17" i="1" l="1"/>
  <c r="V17" i="1" l="1"/>
  <c r="P17" i="1"/>
  <c r="U17" i="1" l="1"/>
  <c r="N18" i="1" s="1"/>
  <c r="X18" i="1" l="1"/>
  <c r="Y18" i="1" s="1"/>
  <c r="W18" i="1" l="1"/>
  <c r="O18" i="1" s="1"/>
  <c r="I18" i="1" l="1"/>
  <c r="Q18" i="1"/>
  <c r="V18" i="1" l="1"/>
  <c r="P18" i="1"/>
  <c r="U18" i="1" l="1"/>
  <c r="N19" i="1" s="1"/>
  <c r="X19" i="1" l="1"/>
  <c r="Y19" i="1" s="1"/>
  <c r="W19" i="1" l="1"/>
  <c r="I19" i="1"/>
  <c r="O19" i="1" l="1"/>
  <c r="Q19" i="1" s="1"/>
  <c r="P19" i="1" s="1"/>
  <c r="U19" i="1" s="1"/>
  <c r="N20" i="1" s="1"/>
  <c r="V19" i="1" l="1"/>
  <c r="X20" i="1" s="1"/>
  <c r="Y20" i="1" l="1"/>
  <c r="I20" i="1" s="1"/>
  <c r="W20" i="1" l="1"/>
  <c r="O20" i="1"/>
  <c r="Q20" i="1" s="1"/>
  <c r="P20" i="1" s="1"/>
  <c r="U20" i="1" s="1"/>
  <c r="N21" i="1" s="1"/>
  <c r="V20" i="1" l="1"/>
  <c r="X21" i="1" s="1"/>
  <c r="Y21" i="1" l="1"/>
  <c r="W21" i="1" s="1"/>
  <c r="Q21" i="1" s="1"/>
  <c r="V21" i="1" l="1"/>
  <c r="P21" i="1"/>
  <c r="U21" i="1" s="1"/>
  <c r="N22" i="1" s="1"/>
  <c r="X22" i="1" s="1"/>
  <c r="I21" i="1"/>
  <c r="Y22" i="1" l="1"/>
  <c r="I22" i="1" s="1"/>
  <c r="W22" i="1" l="1"/>
  <c r="Q22" i="1" s="1"/>
  <c r="P22" i="1" s="1"/>
  <c r="U22" i="1" s="1"/>
  <c r="N23" i="1" s="1"/>
  <c r="V22" i="1" l="1"/>
  <c r="X23" i="1" s="1"/>
  <c r="Y23" i="1" s="1"/>
  <c r="W23" i="1" l="1"/>
  <c r="I23" i="1"/>
  <c r="Q23" i="1" l="1"/>
  <c r="P23" i="1" s="1"/>
  <c r="U23" i="1" s="1"/>
  <c r="N24" i="1" s="1"/>
  <c r="V23" i="1" l="1"/>
  <c r="X24" i="1" s="1"/>
  <c r="Y24" i="1" l="1"/>
  <c r="I24" i="1" s="1"/>
  <c r="W24" i="1" l="1"/>
  <c r="Q24" i="1" l="1"/>
  <c r="P24" i="1" s="1"/>
  <c r="U24" i="1" s="1"/>
  <c r="N25" i="1" s="1"/>
  <c r="V24" i="1" l="1"/>
  <c r="X25" i="1" s="1"/>
  <c r="Y25" i="1" l="1"/>
  <c r="W25" i="1" s="1"/>
  <c r="Q25" i="1" l="1"/>
  <c r="P25" i="1" s="1"/>
  <c r="U25" i="1" s="1"/>
  <c r="N26" i="1" s="1"/>
  <c r="I25" i="1"/>
  <c r="V25" i="1" l="1"/>
  <c r="X26" i="1" s="1"/>
  <c r="Y26" i="1" l="1"/>
  <c r="I26" i="1" s="1"/>
  <c r="W26" i="1" l="1"/>
  <c r="Q26" i="1" l="1"/>
  <c r="P26" i="1" s="1"/>
  <c r="U26" i="1" s="1"/>
  <c r="N27" i="1" s="1"/>
  <c r="V26" i="1" l="1"/>
  <c r="X27" i="1" s="1"/>
  <c r="Y27" i="1" s="1"/>
  <c r="W27" i="1" l="1"/>
  <c r="I27" i="1"/>
  <c r="Q27" i="1" l="1"/>
  <c r="P27" i="1" s="1"/>
  <c r="U27" i="1" s="1"/>
  <c r="N28" i="1" s="1"/>
  <c r="V27" i="1" l="1"/>
  <c r="X28" i="1" s="1"/>
  <c r="Y28" i="1" l="1"/>
  <c r="I28" i="1" s="1"/>
  <c r="W28" i="1" l="1"/>
  <c r="Q28" i="1" l="1"/>
  <c r="P28" i="1" s="1"/>
  <c r="U28" i="1" s="1"/>
  <c r="N29" i="1" s="1"/>
  <c r="V28" i="1" l="1"/>
  <c r="X29" i="1" s="1"/>
  <c r="Y29" i="1" s="1"/>
  <c r="I29" i="1" l="1"/>
  <c r="W29" i="1"/>
  <c r="Q29" i="1" l="1"/>
  <c r="P29" i="1" s="1"/>
  <c r="U29" i="1" s="1"/>
  <c r="N30" i="1" s="1"/>
  <c r="V29" i="1" l="1"/>
  <c r="X30" i="1" s="1"/>
  <c r="Y30" i="1" s="1"/>
  <c r="W30" i="1" l="1"/>
  <c r="I30" i="1"/>
  <c r="Q30" i="1" l="1"/>
  <c r="P30" i="1" s="1"/>
  <c r="U30" i="1" s="1"/>
  <c r="N31" i="1" s="1"/>
  <c r="V30" i="1" l="1"/>
  <c r="X31" i="1" s="1"/>
  <c r="Y31" i="1" s="1"/>
  <c r="W31" i="1" l="1"/>
  <c r="I31" i="1"/>
  <c r="Q31" i="1" l="1"/>
  <c r="P31" i="1" s="1"/>
  <c r="U31" i="1" s="1"/>
  <c r="N32" i="1" s="1"/>
  <c r="V31" i="1" l="1"/>
  <c r="X32" i="1" s="1"/>
  <c r="Y32" i="1" l="1"/>
  <c r="I32" i="1" s="1"/>
  <c r="W32" i="1" l="1"/>
  <c r="Q32" i="1" l="1"/>
  <c r="P32" i="1" s="1"/>
  <c r="U32" i="1" s="1"/>
  <c r="N33" i="1" s="1"/>
  <c r="V32" i="1" l="1"/>
  <c r="X33" i="1" s="1"/>
  <c r="Y33" i="1" s="1"/>
  <c r="W33" i="1" l="1"/>
  <c r="I33" i="1"/>
  <c r="Q33" i="1" l="1"/>
  <c r="P33" i="1" s="1"/>
  <c r="U33" i="1" s="1"/>
  <c r="N34" i="1" s="1"/>
  <c r="V33" i="1" l="1"/>
  <c r="X34" i="1" s="1"/>
  <c r="Y34" i="1" l="1"/>
  <c r="W34" i="1" s="1"/>
  <c r="Q34" i="1" l="1"/>
  <c r="P34" i="1" s="1"/>
  <c r="U34" i="1" s="1"/>
  <c r="N35" i="1" s="1"/>
  <c r="I34" i="1"/>
  <c r="V34" i="1" l="1"/>
  <c r="X35" i="1" s="1"/>
  <c r="Y35" i="1" l="1"/>
  <c r="I35" i="1" s="1"/>
  <c r="W35" i="1" l="1"/>
  <c r="Q35" i="1" l="1"/>
  <c r="V35" i="1" l="1"/>
  <c r="P35" i="1"/>
  <c r="U35" i="1" l="1"/>
  <c r="N36" i="1" s="1"/>
  <c r="X36" i="1" l="1"/>
  <c r="Y36" i="1" s="1"/>
  <c r="I36" i="1" s="1"/>
  <c r="W36" i="1" l="1"/>
  <c r="Q36" i="1" l="1"/>
  <c r="V36" i="1" s="1"/>
  <c r="P36" i="1" l="1"/>
  <c r="U36" i="1" l="1"/>
  <c r="N37" i="1" s="1"/>
  <c r="X37" i="1" l="1"/>
  <c r="Y37" i="1" l="1"/>
  <c r="I37" i="1" s="1"/>
  <c r="W37" i="1" l="1"/>
  <c r="Q37" i="1" s="1"/>
  <c r="P37" i="1" s="1"/>
  <c r="U37" i="1" l="1"/>
  <c r="N38" i="1" s="1"/>
  <c r="V37" i="1"/>
  <c r="X38" i="1" l="1"/>
  <c r="Y38" i="1" s="1"/>
  <c r="W38" i="1" s="1"/>
  <c r="I38" i="1" l="1"/>
  <c r="Q38" i="1"/>
  <c r="V38" i="1" s="1"/>
  <c r="P38" i="1" l="1"/>
  <c r="U38" i="1" l="1"/>
  <c r="N39" i="1" s="1"/>
  <c r="X39" i="1" s="1"/>
  <c r="Y39" i="1" s="1"/>
  <c r="I39" i="1" s="1"/>
  <c r="W39" i="1" l="1"/>
  <c r="Q39" i="1" l="1"/>
  <c r="V39" i="1" s="1"/>
  <c r="P39" i="1" l="1"/>
  <c r="U39" i="1" l="1"/>
  <c r="N40" i="1" s="1"/>
  <c r="X40" i="1" s="1"/>
  <c r="Y40" i="1" l="1"/>
  <c r="I40" i="1" s="1"/>
  <c r="W40" i="1" l="1"/>
  <c r="Q40" i="1" s="1"/>
  <c r="P40" i="1" s="1"/>
  <c r="U40" i="1" s="1"/>
  <c r="N41" i="1" s="1"/>
  <c r="V40" i="1" l="1"/>
  <c r="X41" i="1" s="1"/>
  <c r="Y41" i="1" l="1"/>
  <c r="W41" i="1" s="1"/>
  <c r="I41" i="1" l="1"/>
  <c r="Q41" i="1"/>
  <c r="P41" i="1" s="1"/>
  <c r="U41" i="1" s="1"/>
  <c r="N42" i="1" s="1"/>
  <c r="V41" i="1" l="1"/>
  <c r="X42" i="1" s="1"/>
  <c r="Y42" i="1" l="1"/>
  <c r="I42" i="1" s="1"/>
  <c r="W42" i="1" l="1"/>
  <c r="Q42" i="1" l="1"/>
  <c r="P42" i="1" s="1"/>
  <c r="U42" i="1" s="1"/>
  <c r="N43" i="1" s="1"/>
  <c r="V42" i="1" l="1"/>
  <c r="X43" i="1" s="1"/>
  <c r="Y43" i="1" l="1"/>
  <c r="I43" i="1" s="1"/>
  <c r="W43" i="1" l="1"/>
  <c r="Q43" i="1" l="1"/>
  <c r="P43" i="1" s="1"/>
  <c r="U43" i="1" s="1"/>
  <c r="N44" i="1" s="1"/>
  <c r="V43" i="1" l="1"/>
  <c r="X44" i="1" s="1"/>
  <c r="Y44" i="1" s="1"/>
  <c r="W44" i="1" s="1"/>
  <c r="I44" i="1" l="1"/>
  <c r="Q44" i="1"/>
  <c r="P44" i="1" s="1"/>
  <c r="U44" i="1" s="1"/>
  <c r="N45" i="1" s="1"/>
  <c r="V44" i="1" l="1"/>
  <c r="X45" i="1" s="1"/>
  <c r="Y45" i="1" l="1"/>
  <c r="W45" i="1" s="1"/>
  <c r="I45" i="1" l="1"/>
  <c r="Q45" i="1"/>
  <c r="P45" i="1" s="1"/>
  <c r="U45" i="1" s="1"/>
  <c r="N46" i="1" s="1"/>
  <c r="V45" i="1" l="1"/>
  <c r="X46" i="1" s="1"/>
  <c r="Y46" i="1" s="1"/>
  <c r="W46" i="1" s="1"/>
  <c r="Q46" i="1" l="1"/>
  <c r="P46" i="1" s="1"/>
  <c r="U46" i="1" s="1"/>
  <c r="N47" i="1" s="1"/>
  <c r="I46" i="1"/>
  <c r="V46" i="1" l="1"/>
  <c r="X47" i="1" s="1"/>
  <c r="Y47" i="1" l="1"/>
  <c r="W47" i="1" s="1"/>
  <c r="I47" i="1" l="1"/>
  <c r="Q47" i="1"/>
  <c r="V47" i="1" s="1"/>
  <c r="P47" i="1" l="1"/>
  <c r="U47" i="1" l="1"/>
  <c r="N48" i="1" s="1"/>
  <c r="X48" i="1" s="1"/>
  <c r="Y48" i="1" l="1"/>
  <c r="W48" i="1" s="1"/>
  <c r="I48" i="1" l="1"/>
  <c r="Q48" i="1"/>
  <c r="V48" i="1" s="1"/>
  <c r="P48" i="1" l="1"/>
  <c r="U48" i="1" l="1"/>
  <c r="N49" i="1" s="1"/>
  <c r="X49" i="1" l="1"/>
  <c r="Y49" i="1" l="1"/>
  <c r="I49" i="1" s="1"/>
  <c r="W49" i="1" l="1"/>
  <c r="Q49" i="1" l="1"/>
  <c r="V49" i="1" s="1"/>
  <c r="P49" i="1" l="1"/>
  <c r="U49" i="1" l="1"/>
  <c r="N50" i="1" s="1"/>
  <c r="X50" i="1" l="1"/>
  <c r="Y50" i="1" l="1"/>
  <c r="W50" i="1" s="1"/>
  <c r="I50" i="1" l="1"/>
  <c r="Q50" i="1"/>
  <c r="V50" i="1" s="1"/>
  <c r="P50" i="1" l="1"/>
  <c r="U50" i="1" l="1"/>
  <c r="N51" i="1" s="1"/>
  <c r="X51" i="1" l="1"/>
  <c r="Y51" i="1" l="1"/>
  <c r="I51" i="1" s="1"/>
  <c r="W51" i="1" l="1"/>
  <c r="Q51" i="1" s="1"/>
  <c r="V51" i="1" l="1"/>
  <c r="P51" i="1"/>
  <c r="U51" i="1" l="1"/>
  <c r="N52" i="1" s="1"/>
  <c r="X52" i="1" s="1"/>
  <c r="Y52" i="1" l="1"/>
  <c r="W52" i="1" s="1"/>
  <c r="I52" i="1" l="1"/>
  <c r="Q52" i="1"/>
  <c r="V52" i="1" s="1"/>
  <c r="P52" i="1" l="1"/>
  <c r="U52" i="1" l="1"/>
  <c r="N53" i="1" s="1"/>
  <c r="X53" i="1" s="1"/>
  <c r="Y53" i="1" l="1"/>
  <c r="I53" i="1" s="1"/>
  <c r="AH7" i="1" s="1"/>
  <c r="W53" i="1" l="1"/>
  <c r="N54" i="1" l="1"/>
  <c r="O53" i="1" l="1"/>
  <c r="Q53" i="1" s="1"/>
  <c r="J53" i="1"/>
  <c r="C11" i="1" s="1"/>
  <c r="Z4" i="1" l="1"/>
  <c r="V53" i="1"/>
  <c r="P53" i="1"/>
  <c r="U53" i="1" s="1"/>
  <c r="Z7" i="1" s="1"/>
  <c r="Z3" i="1"/>
  <c r="Z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Kenji Jhoncon</author>
  </authors>
  <commentList>
    <comment ref="P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Cuota Original</t>
        </r>
      </text>
    </comment>
    <comment ref="P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Cuotas Adicionales por reprogramacion.
Ampliacion de Plazo</t>
        </r>
      </text>
    </comment>
    <comment ref="P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Total</t>
        </r>
      </text>
    </comment>
    <comment ref="Q8" authorId="0" shapeId="0" xr:uid="{0EC3841B-7A88-4B22-8E73-AA21084590AA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Total Cuotas</t>
        </r>
      </text>
    </comment>
    <comment ref="P9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Parcial</t>
        </r>
      </text>
    </comment>
    <comment ref="A10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En blanco es cuota Regular
</t>
        </r>
      </text>
    </comment>
    <comment ref="B1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Gracia Total
Valor numerico</t>
        </r>
      </text>
    </comment>
  </commentList>
</comments>
</file>

<file path=xl/sharedStrings.xml><?xml version="1.0" encoding="utf-8"?>
<sst xmlns="http://schemas.openxmlformats.org/spreadsheetml/2006/main" count="123" uniqueCount="121">
  <si>
    <t>ENE</t>
  </si>
  <si>
    <t>MAR</t>
  </si>
  <si>
    <t>MAY</t>
  </si>
  <si>
    <t>JUL</t>
  </si>
  <si>
    <t>SET</t>
  </si>
  <si>
    <t>NOV</t>
  </si>
  <si>
    <t>FEB</t>
  </si>
  <si>
    <t>ABR</t>
  </si>
  <si>
    <t>JUN</t>
  </si>
  <si>
    <t>AGO</t>
  </si>
  <si>
    <t>OCT</t>
  </si>
  <si>
    <t>DIC</t>
  </si>
  <si>
    <t>Desembolso</t>
  </si>
  <si>
    <t>Cuota</t>
  </si>
  <si>
    <t>sd</t>
  </si>
  <si>
    <t>Objetivo</t>
  </si>
  <si>
    <t>Ncuotas</t>
  </si>
  <si>
    <t>sb</t>
  </si>
  <si>
    <t>Monto</t>
  </si>
  <si>
    <t>a</t>
  </si>
  <si>
    <t>c</t>
  </si>
  <si>
    <t>f</t>
  </si>
  <si>
    <t>d</t>
  </si>
  <si>
    <t>si</t>
  </si>
  <si>
    <t>k</t>
  </si>
  <si>
    <t>i</t>
  </si>
  <si>
    <t>sf</t>
  </si>
  <si>
    <t>sfi</t>
  </si>
  <si>
    <t>I 1TRAMO</t>
  </si>
  <si>
    <t>I 2TRAMO</t>
  </si>
  <si>
    <t>I 3TRAMO</t>
  </si>
  <si>
    <t>I 4TRAMO</t>
  </si>
  <si>
    <t>I 5TRAMO</t>
  </si>
  <si>
    <t>Aportes</t>
  </si>
  <si>
    <t>Desgrav</t>
  </si>
  <si>
    <t>Seguro</t>
  </si>
  <si>
    <t>Total Intereses</t>
  </si>
  <si>
    <t>I 6TRAMO</t>
  </si>
  <si>
    <t>Dia de Pago</t>
  </si>
  <si>
    <t>T.E.A.</t>
  </si>
  <si>
    <t>interes</t>
  </si>
  <si>
    <t>Prepago</t>
  </si>
  <si>
    <t>I 7TRAMO</t>
  </si>
  <si>
    <t>I 8TRAMO</t>
  </si>
  <si>
    <t>I 9TRAMO</t>
  </si>
  <si>
    <t>I 10TRAMO</t>
  </si>
  <si>
    <t>I 11TRAMO</t>
  </si>
  <si>
    <t>I 12TRAMO</t>
  </si>
  <si>
    <t>I 13TRAMO</t>
  </si>
  <si>
    <t>I 14TRAMO</t>
  </si>
  <si>
    <t>I 15TRAMO</t>
  </si>
  <si>
    <t>I 16TRAMO</t>
  </si>
  <si>
    <t>I 17TRAMO</t>
  </si>
  <si>
    <t>I 18TRAMO</t>
  </si>
  <si>
    <t>I 19TRAMO</t>
  </si>
  <si>
    <t>I 20TRAMO</t>
  </si>
  <si>
    <t>I 21TRAMO</t>
  </si>
  <si>
    <t>I 22TRAMO</t>
  </si>
  <si>
    <t>I 23TRAMO</t>
  </si>
  <si>
    <t>I 24TRAMO</t>
  </si>
  <si>
    <t>Total Pago</t>
  </si>
  <si>
    <t>I 25TRAMO</t>
  </si>
  <si>
    <t>I 26TRAMO</t>
  </si>
  <si>
    <t>I 27TRAMO</t>
  </si>
  <si>
    <t>I 28TRAMO</t>
  </si>
  <si>
    <t>I 29TRAMO</t>
  </si>
  <si>
    <t>I 30TRAMO</t>
  </si>
  <si>
    <t>I 31TRAMO</t>
  </si>
  <si>
    <t>I 32TRAMO</t>
  </si>
  <si>
    <t>I 33TRAMO</t>
  </si>
  <si>
    <t>I 34TRAMO</t>
  </si>
  <si>
    <t>I 35TRAMO</t>
  </si>
  <si>
    <t>I 36TRAMO</t>
  </si>
  <si>
    <t>I 37TRAMO</t>
  </si>
  <si>
    <t>I 38TRAMO</t>
  </si>
  <si>
    <t>I 39TRAMO</t>
  </si>
  <si>
    <t>I 40TRAMO</t>
  </si>
  <si>
    <t>I 41TRAMO</t>
  </si>
  <si>
    <t>I 42TRAMO</t>
  </si>
  <si>
    <t>I 43TRAMO</t>
  </si>
  <si>
    <t>I 44TRAMO</t>
  </si>
  <si>
    <t>I 45TRAMO</t>
  </si>
  <si>
    <t>I 46TRAMO</t>
  </si>
  <si>
    <t>I 47TRAMO</t>
  </si>
  <si>
    <t>I 48TRAMO</t>
  </si>
  <si>
    <t>I 49TRAMO</t>
  </si>
  <si>
    <t>I 50TRAMO</t>
  </si>
  <si>
    <t>I 51TRAMO</t>
  </si>
  <si>
    <t>I 52TRAMO</t>
  </si>
  <si>
    <t>I 53TRAMO</t>
  </si>
  <si>
    <t>I 54TRAMO</t>
  </si>
  <si>
    <t>I 55TRAMO</t>
  </si>
  <si>
    <t>I 56TRAMO</t>
  </si>
  <si>
    <t>I 57TRAMO</t>
  </si>
  <si>
    <t>I 58TRAMO</t>
  </si>
  <si>
    <t>I 59TRAMO</t>
  </si>
  <si>
    <t>I 60TRAMO</t>
  </si>
  <si>
    <t>I 61TRAMO</t>
  </si>
  <si>
    <t>Fijar Pago</t>
  </si>
  <si>
    <t>Tipo Cuota</t>
  </si>
  <si>
    <t>TIPO_CUOTAS</t>
  </si>
  <si>
    <t>Gracia Parcial</t>
  </si>
  <si>
    <t>Regular</t>
  </si>
  <si>
    <t>NCuotas Sin Contar Prepagos</t>
  </si>
  <si>
    <t>Arreglo</t>
  </si>
  <si>
    <t>CheckList Formulas</t>
  </si>
  <si>
    <t>Numero de cuotas</t>
  </si>
  <si>
    <t>Numero de tramos</t>
  </si>
  <si>
    <t>TramoCheck</t>
  </si>
  <si>
    <t>Fijar Fecha</t>
  </si>
  <si>
    <t>Gtotal</t>
  </si>
  <si>
    <t>cAdicional</t>
  </si>
  <si>
    <t>Ultima Cuota</t>
  </si>
  <si>
    <t>Dia</t>
  </si>
  <si>
    <t>Nprepago</t>
  </si>
  <si>
    <t>GraciaTotal</t>
  </si>
  <si>
    <t>UltimoDia</t>
  </si>
  <si>
    <t>Fijar Interes</t>
  </si>
  <si>
    <t>Doble</t>
  </si>
  <si>
    <t>v7.0</t>
  </si>
  <si>
    <t>CuotaFija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</si>
</sst>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left" indent="1"/>
    </xf>
    <xf numFmtId="4" fontId="0" fillId="0" borderId="0" xfId="0" applyNumberFormat="1"/>
    <xf numFmtId="14" fontId="2" fillId="0" borderId="0" xfId="0" applyNumberFormat="1" applyFont="1" applyFill="1"/>
    <xf numFmtId="14" fontId="0" fillId="0" borderId="0" xfId="0" applyNumberFormat="1"/>
    <xf numFmtId="164" fontId="0" fillId="0" borderId="0" xfId="0" applyNumberFormat="1"/>
    <xf numFmtId="14" fontId="0" fillId="0" borderId="0" xfId="0" applyNumberFormat="1" applyFill="1"/>
    <xf numFmtId="4" fontId="0" fillId="0" borderId="0" xfId="0" applyNumberFormat="1" applyFill="1"/>
    <xf numFmtId="3" fontId="0" fillId="0" borderId="0" xfId="0" applyNumberFormat="1" applyAlignment="1">
      <alignment horizontal="center"/>
    </xf>
    <xf numFmtId="0" fontId="0" fillId="0" borderId="0" xfId="0" applyFill="1"/>
    <xf numFmtId="0" fontId="0" fillId="2" borderId="1" xfId="0" applyFill="1" applyBorder="1" applyAlignment="1">
      <alignment horizontal="center"/>
    </xf>
    <xf numFmtId="14" fontId="0" fillId="2" borderId="0" xfId="0" applyNumberFormat="1" applyFill="1"/>
    <xf numFmtId="164" fontId="0" fillId="2" borderId="0" xfId="1" applyFont="1" applyFill="1"/>
    <xf numFmtId="0" fontId="0" fillId="2" borderId="0" xfId="0" applyFill="1"/>
    <xf numFmtId="2" fontId="0" fillId="2" borderId="0" xfId="0" applyNumberFormat="1" applyFill="1"/>
    <xf numFmtId="10" fontId="0" fillId="2" borderId="0" xfId="2" applyNumberFormat="1" applyFont="1" applyFill="1"/>
    <xf numFmtId="0" fontId="0" fillId="0" borderId="0" xfId="0" applyAlignment="1">
      <alignment horizontal="right"/>
    </xf>
    <xf numFmtId="0" fontId="0" fillId="0" borderId="0" xfId="1" applyNumberFormat="1" applyFont="1" applyAlignment="1">
      <alignment horizontal="center"/>
    </xf>
    <xf numFmtId="164" fontId="2" fillId="0" borderId="0" xfId="1" applyFont="1" applyFill="1"/>
    <xf numFmtId="164" fontId="0" fillId="0" borderId="0" xfId="1" applyFont="1"/>
    <xf numFmtId="0" fontId="2" fillId="0" borderId="0" xfId="0" applyNumberFormat="1" applyFont="1" applyFill="1"/>
    <xf numFmtId="0" fontId="0" fillId="0" borderId="0" xfId="0" applyNumberFormat="1"/>
    <xf numFmtId="19" fontId="0" fillId="0" borderId="0" xfId="0" applyNumberFormat="1"/>
    <xf numFmtId="164" fontId="1" fillId="0" borderId="0" xfId="1" applyFont="1" applyFill="1"/>
    <xf numFmtId="0" fontId="5" fillId="0" borderId="0" xfId="0" applyFont="1"/>
    <xf numFmtId="0" fontId="0" fillId="0" borderId="0" xfId="0" applyAlignment="1">
      <alignment horizontal="left" indent="2"/>
    </xf>
    <xf numFmtId="9" fontId="0" fillId="0" borderId="0" xfId="2" applyFont="1"/>
    <xf numFmtId="0" fontId="4" fillId="0" borderId="0" xfId="0" applyNumberFormat="1" applyFont="1" applyAlignment="1"/>
    <xf numFmtId="0" fontId="0" fillId="2" borderId="0" xfId="0" applyNumberFormat="1" applyFill="1"/>
    <xf numFmtId="0" fontId="0" fillId="0" borderId="0" xfId="0" applyAlignment="1">
      <alignment horizontal="left" indent="2"/>
    </xf>
    <xf numFmtId="0" fontId="0" fillId="0" borderId="2" xfId="0" applyBorder="1" applyAlignment="1">
      <alignment horizontal="center" vertical="center" textRotation="90" wrapText="1"/>
    </xf>
    <xf numFmtId="0" fontId="0" fillId="0" borderId="3" xfId="0" applyBorder="1" applyAlignment="1">
      <alignment horizontal="center" vertical="center" textRotation="90" wrapText="1"/>
    </xf>
  </cellXfs>
  <cellStyles count="3">
    <cellStyle name="Millares" xfId="1" builtinId="3"/>
    <cellStyle name="Normal" xfId="0" builtinId="0"/>
    <cellStyle name="Porcentaje" xfId="2" builtinId="5"/>
  </cellStyles>
  <dxfs count="9"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A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7</xdr:row>
          <xdr:rowOff>28575</xdr:rowOff>
        </xdr:from>
        <xdr:to>
          <xdr:col>3</xdr:col>
          <xdr:colOff>552450</xdr:colOff>
          <xdr:row>8</xdr:row>
          <xdr:rowOff>133350</xdr:rowOff>
        </xdr:to>
        <xdr:sp macro="" textlink="">
          <xdr:nvSpPr>
            <xdr:cNvPr id="1025" name="btnLimpi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285750</xdr:colOff>
          <xdr:row>4</xdr:row>
          <xdr:rowOff>57150</xdr:rowOff>
        </xdr:from>
        <xdr:to>
          <xdr:col>17</xdr:col>
          <xdr:colOff>276225</xdr:colOff>
          <xdr:row>6</xdr:row>
          <xdr:rowOff>104775</xdr:rowOff>
        </xdr:to>
        <xdr:sp macro="" textlink="">
          <xdr:nvSpPr>
            <xdr:cNvPr id="1027" name="btAjust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4</xdr:col>
          <xdr:colOff>38100</xdr:colOff>
          <xdr:row>2</xdr:row>
          <xdr:rowOff>85725</xdr:rowOff>
        </xdr:to>
        <xdr:sp macro="" textlink="">
          <xdr:nvSpPr>
            <xdr:cNvPr id="1029" name="Option Button 5" descr="Mensual Fij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Mensual Fijo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123825</xdr:rowOff>
        </xdr:from>
        <xdr:to>
          <xdr:col>4</xdr:col>
          <xdr:colOff>19050</xdr:colOff>
          <xdr:row>4</xdr:row>
          <xdr:rowOff>28575</xdr:rowOff>
        </xdr:to>
        <xdr:sp macro="" textlink="">
          <xdr:nvSpPr>
            <xdr:cNvPr id="1030" name="Option Button 6" descr="Mensual Fij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Bimensual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47625</xdr:rowOff>
        </xdr:from>
        <xdr:to>
          <xdr:col>4</xdr:col>
          <xdr:colOff>38100</xdr:colOff>
          <xdr:row>5</xdr:row>
          <xdr:rowOff>123825</xdr:rowOff>
        </xdr:to>
        <xdr:sp macro="" textlink="">
          <xdr:nvSpPr>
            <xdr:cNvPr id="1031" name="Option Button 7" descr="Mensual Fij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Trimestrual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419100</xdr:colOff>
          <xdr:row>3</xdr:row>
          <xdr:rowOff>171450</xdr:rowOff>
        </xdr:from>
        <xdr:to>
          <xdr:col>23</xdr:col>
          <xdr:colOff>657225</xdr:colOff>
          <xdr:row>6</xdr:row>
          <xdr:rowOff>142875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.csv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F97"/>
  <sheetViews>
    <sheetView tabSelected="1" zoomScale="80" zoomScaleNormal="80" workbookViewId="0">
      <pane ySplit="10" topLeftCell="A11" activePane="bottomLeft" state="frozen"/>
      <selection pane="bottomLeft" activeCell="L14" sqref="L14"/>
    </sheetView>
  </sheetViews>
  <sheetFormatPr baseColWidth="10" defaultRowHeight="15" x14ac:dyDescent="0.25"/>
  <cols>
    <col min="1" max="1" width="13.28515625" customWidth="1"/>
    <col min="2" max="2" width="5.42578125" customWidth="1"/>
    <col min="3" max="3" width="11" style="20" customWidth="1"/>
    <col min="4" max="4" width="11.140625" style="20" customWidth="1"/>
    <col min="5" max="5" width="12.28515625" customWidth="1"/>
    <col min="6" max="6" width="6.28515625" hidden="1" customWidth="1"/>
    <col min="7" max="7" width="12.7109375" style="22" hidden="1" customWidth="1"/>
    <col min="8" max="10" width="9.28515625" style="22" hidden="1" customWidth="1"/>
    <col min="11" max="11" width="5.140625" customWidth="1"/>
    <col min="12" max="12" width="13.7109375" customWidth="1"/>
    <col min="13" max="13" width="17.140625" customWidth="1"/>
    <col min="14" max="14" width="15" customWidth="1"/>
    <col min="15" max="15" width="14" customWidth="1"/>
    <col min="16" max="16" width="14.28515625" customWidth="1"/>
    <col min="17" max="20" width="13.7109375" customWidth="1"/>
    <col min="21" max="21" width="19.28515625" customWidth="1"/>
    <col min="22" max="22" width="13.28515625" customWidth="1"/>
    <col min="23" max="23" width="15.5703125" hidden="1" customWidth="1"/>
    <col min="24" max="24" width="13.7109375" customWidth="1"/>
    <col min="25" max="25" width="13.5703125" customWidth="1"/>
    <col min="26" max="26" width="14.7109375" customWidth="1"/>
  </cols>
  <sheetData>
    <row r="1" spans="1:84" ht="16.5" customHeight="1" x14ac:dyDescent="0.25">
      <c r="A1" s="1">
        <v>1</v>
      </c>
      <c r="B1" s="1">
        <v>1</v>
      </c>
      <c r="C1" s="19" t="str">
        <f>CONCATENATE($M$1,$M$2,$O$1,$O$2,$Q$1,$Q$2,$S$1,$S$2,$U$1,$U$2,$X$1,$X$2)</f>
        <v>111111111111</v>
      </c>
      <c r="D1" s="19"/>
      <c r="E1" s="4"/>
      <c r="H1" s="21"/>
      <c r="I1" s="21"/>
      <c r="J1" s="21"/>
      <c r="K1" s="31" t="s">
        <v>118</v>
      </c>
      <c r="L1" s="2" t="s">
        <v>0</v>
      </c>
      <c r="M1" s="11">
        <v>1</v>
      </c>
      <c r="N1" s="2" t="s">
        <v>1</v>
      </c>
      <c r="O1" s="11">
        <v>1</v>
      </c>
      <c r="P1" s="2" t="s">
        <v>2</v>
      </c>
      <c r="Q1" s="11">
        <v>1</v>
      </c>
      <c r="R1" s="2" t="s">
        <v>3</v>
      </c>
      <c r="S1" s="11">
        <v>1</v>
      </c>
      <c r="T1" s="2" t="s">
        <v>4</v>
      </c>
      <c r="U1" s="11">
        <v>1</v>
      </c>
      <c r="V1" s="2" t="s">
        <v>5</v>
      </c>
      <c r="W1" s="2"/>
      <c r="X1" s="11">
        <v>1</v>
      </c>
      <c r="Z1" s="14">
        <v>1.388843</v>
      </c>
      <c r="AA1" s="27">
        <f>ROUND(($Z$1/100+1)^12-1,2)</f>
        <v>0.18</v>
      </c>
    </row>
    <row r="2" spans="1:84" ht="18" customHeight="1" x14ac:dyDescent="0.25">
      <c r="A2" t="s">
        <v>119</v>
      </c>
      <c r="K2" s="32"/>
      <c r="L2" s="2" t="s">
        <v>6</v>
      </c>
      <c r="M2" s="11">
        <v>1</v>
      </c>
      <c r="N2" s="2" t="s">
        <v>7</v>
      </c>
      <c r="O2" s="11">
        <v>1</v>
      </c>
      <c r="P2" s="2" t="s">
        <v>8</v>
      </c>
      <c r="Q2" s="11">
        <v>1</v>
      </c>
      <c r="R2" s="2" t="s">
        <v>9</v>
      </c>
      <c r="S2" s="11">
        <v>1</v>
      </c>
      <c r="T2" s="2" t="s">
        <v>10</v>
      </c>
      <c r="U2" s="11">
        <v>1</v>
      </c>
      <c r="V2" s="2" t="s">
        <v>11</v>
      </c>
      <c r="W2" s="2"/>
      <c r="X2" s="11">
        <v>1</v>
      </c>
    </row>
    <row r="3" spans="1:84" x14ac:dyDescent="0.25">
      <c r="Y3" s="17" t="s">
        <v>112</v>
      </c>
      <c r="Z3" s="3">
        <f>INDEX($O$12:$O889,+NCUOTAS+CUOTAADICIONAL+PGRACIA)</f>
        <v>145.37999999999991</v>
      </c>
    </row>
    <row r="4" spans="1:84" x14ac:dyDescent="0.25">
      <c r="Y4" s="17" t="s">
        <v>36</v>
      </c>
      <c r="Z4" s="3">
        <f>SUM($Q$12:$Q889)</f>
        <v>870.38000000000011</v>
      </c>
      <c r="AB4" s="25" t="s">
        <v>105</v>
      </c>
    </row>
    <row r="5" spans="1:84" x14ac:dyDescent="0.25">
      <c r="N5" s="5"/>
      <c r="O5" t="s">
        <v>13</v>
      </c>
      <c r="P5" s="8">
        <v>145.39999999999992</v>
      </c>
      <c r="S5" t="s">
        <v>39</v>
      </c>
      <c r="T5" s="16">
        <v>0.1285</v>
      </c>
      <c r="U5" s="18">
        <f>ROUND(((1+$T$5)^(1/12)-1)*100,6)</f>
        <v>1.012502</v>
      </c>
      <c r="Y5" s="17" t="s">
        <v>60</v>
      </c>
      <c r="Z5" s="3">
        <f>SUM($O$12:$O889)</f>
        <v>5234.3799999999974</v>
      </c>
    </row>
    <row r="6" spans="1:84" x14ac:dyDescent="0.25">
      <c r="G6" s="5"/>
      <c r="L6" t="s">
        <v>12</v>
      </c>
      <c r="M6" s="12">
        <v>43748</v>
      </c>
      <c r="N6" s="23"/>
      <c r="O6" t="s">
        <v>16</v>
      </c>
      <c r="P6" s="14">
        <v>36</v>
      </c>
      <c r="S6" t="s">
        <v>34</v>
      </c>
      <c r="T6" s="15">
        <v>0</v>
      </c>
      <c r="U6" s="3">
        <f>SUM($R$12:$R889)</f>
        <v>0</v>
      </c>
      <c r="W6" s="3"/>
      <c r="Y6" s="17" t="s">
        <v>38</v>
      </c>
      <c r="Z6">
        <f>DAY($M$7)</f>
        <v>5</v>
      </c>
      <c r="AB6" s="30" t="s">
        <v>106</v>
      </c>
      <c r="AC6" s="30"/>
      <c r="AH6" t="str">
        <f>IF(COUNTA($K$12:$K889)&lt;$P$6,"Falta Extender la formula hacia abajo","OK")</f>
        <v>OK</v>
      </c>
    </row>
    <row r="7" spans="1:84" x14ac:dyDescent="0.25">
      <c r="L7" t="s">
        <v>38</v>
      </c>
      <c r="M7" s="29">
        <v>5</v>
      </c>
      <c r="O7" s="3" t="s">
        <v>111</v>
      </c>
      <c r="P7" s="14">
        <v>0</v>
      </c>
      <c r="S7" t="s">
        <v>35</v>
      </c>
      <c r="T7" s="15">
        <v>0</v>
      </c>
      <c r="U7" s="3">
        <f>SUM($S$12:$S889)</f>
        <v>0</v>
      </c>
      <c r="W7" s="8"/>
      <c r="Y7" s="17" t="s">
        <v>15</v>
      </c>
      <c r="Z7" s="3">
        <f>ROUND(INDEX($U$12:$U889,+NCUOTAS+CUOTAADICIONAL+PGRACIA),2)</f>
        <v>0</v>
      </c>
      <c r="AB7" s="26" t="s">
        <v>107</v>
      </c>
      <c r="AC7" s="26"/>
      <c r="AH7" t="str">
        <f>IF(SUM($I$12:$I889)&gt;0,"Falta Extender la formula hacia la derecha","OK")</f>
        <v>OK</v>
      </c>
    </row>
    <row r="8" spans="1:84" x14ac:dyDescent="0.25">
      <c r="L8" t="s">
        <v>18</v>
      </c>
      <c r="M8" s="13">
        <v>4364</v>
      </c>
      <c r="O8" t="s">
        <v>115</v>
      </c>
      <c r="P8">
        <f>SUM($B$12:$B1048576)</f>
        <v>0</v>
      </c>
      <c r="Q8">
        <f>SUM(P6:P8)</f>
        <v>36</v>
      </c>
      <c r="S8" t="s">
        <v>33</v>
      </c>
      <c r="T8" s="15">
        <v>0</v>
      </c>
      <c r="U8" s="3">
        <f>SUM($T$12:$T889)</f>
        <v>0</v>
      </c>
      <c r="W8" s="3"/>
      <c r="Y8" s="17" t="s">
        <v>104</v>
      </c>
      <c r="Z8" s="8">
        <v>0.02</v>
      </c>
    </row>
    <row r="9" spans="1:84" x14ac:dyDescent="0.25">
      <c r="L9" s="5"/>
      <c r="M9" s="6"/>
      <c r="O9" s="3" t="s">
        <v>114</v>
      </c>
      <c r="P9">
        <f>COUNTIF($A$12:$A1048576,"Prepago")</f>
        <v>0</v>
      </c>
    </row>
    <row r="10" spans="1:84" x14ac:dyDescent="0.25">
      <c r="A10" t="s">
        <v>99</v>
      </c>
      <c r="B10" t="s">
        <v>110</v>
      </c>
      <c r="C10" s="24" t="s">
        <v>98</v>
      </c>
      <c r="D10" s="24" t="s">
        <v>117</v>
      </c>
      <c r="E10" t="s">
        <v>109</v>
      </c>
      <c r="F10" t="s">
        <v>113</v>
      </c>
      <c r="G10" s="22" t="s">
        <v>116</v>
      </c>
      <c r="H10" s="22" t="s">
        <v>103</v>
      </c>
      <c r="I10" s="22" t="s">
        <v>108</v>
      </c>
      <c r="J10" s="22" t="s">
        <v>120</v>
      </c>
      <c r="K10" t="s">
        <v>20</v>
      </c>
      <c r="L10" t="s">
        <v>21</v>
      </c>
      <c r="M10" t="s">
        <v>22</v>
      </c>
      <c r="N10" t="s">
        <v>23</v>
      </c>
      <c r="O10" t="s">
        <v>20</v>
      </c>
      <c r="P10" t="s">
        <v>24</v>
      </c>
      <c r="Q10" t="s">
        <v>25</v>
      </c>
      <c r="R10" t="s">
        <v>14</v>
      </c>
      <c r="S10" t="s">
        <v>17</v>
      </c>
      <c r="T10" t="s">
        <v>19</v>
      </c>
      <c r="U10" t="s">
        <v>26</v>
      </c>
      <c r="V10" t="s">
        <v>27</v>
      </c>
      <c r="W10" t="s">
        <v>40</v>
      </c>
      <c r="X10" t="s">
        <v>28</v>
      </c>
      <c r="Y10" t="s">
        <v>29</v>
      </c>
      <c r="Z10" t="s">
        <v>30</v>
      </c>
      <c r="AA10" t="s">
        <v>31</v>
      </c>
      <c r="AB10" t="s">
        <v>32</v>
      </c>
      <c r="AC10" t="s">
        <v>37</v>
      </c>
      <c r="AD10" t="s">
        <v>42</v>
      </c>
      <c r="AE10" t="s">
        <v>43</v>
      </c>
      <c r="AF10" t="s">
        <v>44</v>
      </c>
      <c r="AG10" t="s">
        <v>45</v>
      </c>
      <c r="AH10" t="s">
        <v>46</v>
      </c>
      <c r="AI10" t="s">
        <v>47</v>
      </c>
      <c r="AJ10" t="s">
        <v>48</v>
      </c>
      <c r="AK10" t="s">
        <v>49</v>
      </c>
      <c r="AL10" t="s">
        <v>50</v>
      </c>
      <c r="AM10" t="s">
        <v>51</v>
      </c>
      <c r="AN10" t="s">
        <v>52</v>
      </c>
      <c r="AO10" t="s">
        <v>53</v>
      </c>
      <c r="AP10" t="s">
        <v>54</v>
      </c>
      <c r="AQ10" t="s">
        <v>55</v>
      </c>
      <c r="AR10" t="s">
        <v>56</v>
      </c>
      <c r="AS10" t="s">
        <v>57</v>
      </c>
      <c r="AT10" t="s">
        <v>58</v>
      </c>
      <c r="AU10" t="s">
        <v>59</v>
      </c>
      <c r="AV10" t="s">
        <v>61</v>
      </c>
      <c r="AW10" t="s">
        <v>62</v>
      </c>
      <c r="AX10" t="s">
        <v>63</v>
      </c>
      <c r="AY10" t="s">
        <v>64</v>
      </c>
      <c r="AZ10" t="s">
        <v>65</v>
      </c>
      <c r="BA10" t="s">
        <v>66</v>
      </c>
      <c r="BB10" t="s">
        <v>67</v>
      </c>
      <c r="BC10" t="s">
        <v>68</v>
      </c>
      <c r="BD10" t="s">
        <v>69</v>
      </c>
      <c r="BE10" t="s">
        <v>70</v>
      </c>
      <c r="BF10" t="s">
        <v>71</v>
      </c>
      <c r="BG10" t="s">
        <v>72</v>
      </c>
      <c r="BH10" t="s">
        <v>73</v>
      </c>
      <c r="BI10" t="s">
        <v>74</v>
      </c>
      <c r="BJ10" t="s">
        <v>75</v>
      </c>
      <c r="BK10" t="s">
        <v>76</v>
      </c>
      <c r="BL10" t="s">
        <v>77</v>
      </c>
      <c r="BM10" t="s">
        <v>78</v>
      </c>
      <c r="BN10" t="s">
        <v>79</v>
      </c>
      <c r="BO10" t="s">
        <v>80</v>
      </c>
      <c r="BP10" t="s">
        <v>81</v>
      </c>
      <c r="BQ10" t="s">
        <v>82</v>
      </c>
      <c r="BR10" t="s">
        <v>83</v>
      </c>
      <c r="BS10" t="s">
        <v>84</v>
      </c>
      <c r="BT10" t="s">
        <v>85</v>
      </c>
      <c r="BU10" t="s">
        <v>86</v>
      </c>
      <c r="BV10" t="s">
        <v>87</v>
      </c>
      <c r="BW10" t="s">
        <v>88</v>
      </c>
      <c r="BX10" t="s">
        <v>89</v>
      </c>
      <c r="BY10" t="s">
        <v>90</v>
      </c>
      <c r="BZ10" t="s">
        <v>91</v>
      </c>
      <c r="CA10" t="s">
        <v>92</v>
      </c>
      <c r="CB10" t="s">
        <v>93</v>
      </c>
      <c r="CC10" t="s">
        <v>94</v>
      </c>
      <c r="CD10" t="s">
        <v>95</v>
      </c>
      <c r="CE10" t="s">
        <v>96</v>
      </c>
      <c r="CF10" t="s">
        <v>97</v>
      </c>
    </row>
    <row r="11" spans="1:84" x14ac:dyDescent="0.25">
      <c r="A11" s="28"/>
      <c r="B11" s="28">
        <f>SUM($B$12:$B$1000)</f>
        <v>0</v>
      </c>
      <c r="C11" s="28">
        <f>SUM($J$12:$J1000)</f>
        <v>0</v>
      </c>
      <c r="D11" s="28"/>
      <c r="E11" s="28"/>
      <c r="G11" s="22">
        <f>MONTH(M6)</f>
        <v>10</v>
      </c>
      <c r="H11" s="22">
        <v>0</v>
      </c>
      <c r="K11">
        <v>0</v>
      </c>
      <c r="L11" s="7">
        <f>$M$6</f>
        <v>43748</v>
      </c>
      <c r="U11" s="8">
        <f>$M$8</f>
        <v>4364</v>
      </c>
      <c r="X11">
        <v>30</v>
      </c>
      <c r="Y11">
        <v>60</v>
      </c>
      <c r="Z11">
        <v>90</v>
      </c>
      <c r="AA11">
        <v>120</v>
      </c>
      <c r="AB11">
        <v>150</v>
      </c>
      <c r="AC11">
        <v>180</v>
      </c>
      <c r="AD11">
        <v>210</v>
      </c>
      <c r="AE11">
        <v>240</v>
      </c>
      <c r="AF11">
        <v>270</v>
      </c>
      <c r="AG11">
        <v>300</v>
      </c>
      <c r="AH11">
        <v>330</v>
      </c>
      <c r="AI11">
        <v>360</v>
      </c>
      <c r="AJ11">
        <v>390</v>
      </c>
      <c r="AK11">
        <v>420</v>
      </c>
      <c r="AL11">
        <v>450</v>
      </c>
      <c r="AM11">
        <v>480</v>
      </c>
      <c r="AN11">
        <v>510</v>
      </c>
      <c r="AO11">
        <v>540</v>
      </c>
      <c r="AP11">
        <v>570</v>
      </c>
      <c r="AQ11">
        <v>600</v>
      </c>
      <c r="AR11">
        <v>630</v>
      </c>
      <c r="AS11">
        <v>660</v>
      </c>
      <c r="AT11">
        <v>690</v>
      </c>
      <c r="AU11">
        <v>720</v>
      </c>
      <c r="AV11">
        <v>750</v>
      </c>
      <c r="AW11">
        <v>780</v>
      </c>
      <c r="AX11">
        <v>810</v>
      </c>
      <c r="AY11">
        <v>840</v>
      </c>
      <c r="AZ11">
        <v>870</v>
      </c>
      <c r="BA11">
        <v>900</v>
      </c>
      <c r="BB11">
        <v>930</v>
      </c>
      <c r="BC11">
        <v>960</v>
      </c>
      <c r="BD11">
        <v>990</v>
      </c>
      <c r="BE11">
        <v>1020</v>
      </c>
      <c r="BF11">
        <v>1050</v>
      </c>
      <c r="BG11">
        <v>1080</v>
      </c>
      <c r="BH11">
        <v>1110</v>
      </c>
      <c r="BI11">
        <v>1140</v>
      </c>
      <c r="BJ11">
        <v>1170</v>
      </c>
      <c r="BK11">
        <v>1200</v>
      </c>
      <c r="BL11">
        <v>1230</v>
      </c>
      <c r="BM11">
        <v>1260</v>
      </c>
      <c r="BN11">
        <v>1290</v>
      </c>
      <c r="BO11">
        <v>1320</v>
      </c>
      <c r="BP11">
        <v>1350</v>
      </c>
      <c r="BQ11">
        <v>1380</v>
      </c>
      <c r="BR11">
        <v>1410</v>
      </c>
      <c r="BS11">
        <v>1440</v>
      </c>
      <c r="BT11">
        <v>1470</v>
      </c>
      <c r="BU11">
        <v>1500</v>
      </c>
      <c r="BV11">
        <v>1530</v>
      </c>
      <c r="BW11">
        <v>1560</v>
      </c>
      <c r="BX11">
        <v>1590</v>
      </c>
      <c r="BY11">
        <v>1620</v>
      </c>
      <c r="BZ11">
        <v>1650</v>
      </c>
      <c r="CA11">
        <v>1680</v>
      </c>
      <c r="CB11">
        <v>1710</v>
      </c>
      <c r="CC11">
        <v>1740</v>
      </c>
      <c r="CD11">
        <v>1770</v>
      </c>
      <c r="CE11">
        <v>1800</v>
      </c>
      <c r="CF11">
        <v>1830</v>
      </c>
    </row>
    <row r="12" spans="1:84" x14ac:dyDescent="0.25">
      <c r="E12" s="5"/>
      <c r="F12" t="str">
        <f t="shared" ref="F12:F43" si="0">IF($K12&lt;&gt;"",TEXT(L12,"DDD"),"")</f>
        <v>ma</v>
      </c>
      <c r="G12" s="5">
        <f t="shared" ref="G12:G43" si="1">IF($K12&lt;&gt;"",EOMONTH($L$11,H12),"")</f>
        <v>43799</v>
      </c>
      <c r="H12" s="22">
        <f t="shared" ref="H12:H43" si="2">IF($K12&lt;&gt;"",IF($A12="Prepago",$H11,$H11+1)+B12,"")</f>
        <v>1</v>
      </c>
      <c r="I12" s="22">
        <f t="shared" ref="I12:I43" si="3">IF(K12&lt;&gt;"",IF(COUNTA($X12:$XFD12)*30&lt;$M12,1,0),"")</f>
        <v>0</v>
      </c>
      <c r="J12" s="22">
        <f>IF($K12&lt;&gt;"",IF(OR(A12&lt;&gt;"",C12&lt;&gt;""),1,0),"")</f>
        <v>0</v>
      </c>
      <c r="K12">
        <f t="shared" ref="K12:K43" si="4">IF($K11&lt;NCUOTAS+CUOTAADICIONAL+PGRACIA,$K11+1,"")</f>
        <v>1</v>
      </c>
      <c r="L12" s="5">
        <f t="shared" ref="L12:L43" si="5">IF($K12&lt;&gt;"",IF(DAY(G12)&lt;$M$7,G12,DATE(YEAR(G12),MONTH(G12),$M$7)),"")</f>
        <v>43774</v>
      </c>
      <c r="M12" s="9">
        <f t="shared" ref="M12:M43" si="6">IF($K12&lt;&gt;"",$L12-$L11,"")</f>
        <v>26</v>
      </c>
      <c r="N12" s="3">
        <f t="shared" ref="N12:N43" si="7">IF($K12&lt;&gt;"",$U11,"")</f>
        <v>4364</v>
      </c>
      <c r="O12" s="3">
        <f t="shared" ref="O12:O43" si="8">IF($K12&lt;&gt;"",IF($A12="Gracia Parcial",IF(AND($C12&lt;$W12+$R12+$S12+$T12+$V11,$C12&gt;0),$C12,$W12+$R12+$S12+$T12+$V11),IF($A12="Gracia Total",0,IF($A12="Prepago",$C12,IF(ISNUMBER($C12),$C12*VALUE(MID($C$1,MONTH($L12),1)),$P$5*VALUE(MID($C$1,MONTH($L12),1))))))-IF($K13="",ARREGLO,0),"")</f>
        <v>145.39999999999992</v>
      </c>
      <c r="P12" s="3">
        <f t="shared" ref="P12:P43" si="9">IF($K12&lt;&gt;"",IF($O12-$Q12&gt;0,$O12-$Q12-$R12-$S12-$T12,0),"")</f>
        <v>107.17999999999992</v>
      </c>
      <c r="Q12" s="3">
        <f t="shared" ref="Q12:Q43" si="10">IF($K12&lt;&gt;"",IF($O12&gt;=IF($D12="",$W12,$D12)+$V11+$R12+$S12+$T12,IF($D12="",$W12,$D12)+$V11,$O12-$R12-$S12-$T12),"")</f>
        <v>38.22</v>
      </c>
      <c r="R12" s="3">
        <f>IF($K12&lt;&gt;"",IF($A12="Prepago",0,IF(ROUND(($H12+SUM($B$12:$B12))*$T$6,2)&gt;ROUND(SUM($R$11:$R11)+$T$6,2),$T$6*2,$T$6)),"")</f>
        <v>0</v>
      </c>
      <c r="S12" s="3">
        <f>IF($K12&lt;&gt;"",IF($A12="Prepago",0,IF(ROUND(($H12+SUM($B$12:$B12))*$T$7,2)&gt;ROUND(SUM($S$11:$S11)+$T$7,2),$T$7*2,$T$7)),"")</f>
        <v>0</v>
      </c>
      <c r="T12" s="3">
        <f>IF($K12&lt;&gt;"",IF($A12="Prepago",0,IF(ROUND(($H12+SUM($B$12:$B12))*$T$8,2)&gt;ROUND(SUM($T$11:$T11)+$T$8,2),$T$8*2,$T$8)),"")</f>
        <v>0</v>
      </c>
      <c r="U12" s="3">
        <f t="shared" ref="U12:U43" si="11">IF($K12&lt;&gt;"",$N12-$P12,"")</f>
        <v>4256.82</v>
      </c>
      <c r="V12" s="3">
        <f t="shared" ref="V12:V43" si="12">IF($K12&lt;&gt;"",+$V11+IF($D12="",$W12,$D12)-$Q12,"")</f>
        <v>0</v>
      </c>
      <c r="W12" s="3">
        <f t="shared" ref="W12:W43" si="13">IF($K12&lt;&gt;"",SUM($X12:$XFD12),"")</f>
        <v>38.22</v>
      </c>
      <c r="X12" s="3">
        <f t="shared" ref="X12:X43" si="14">IF($K12&lt;&gt;"",IF($M12&gt;X$11,30,$M12)*ROUND(($N12+$V11)*$U$5/3000,2),"")</f>
        <v>38.22</v>
      </c>
      <c r="Y12" s="3">
        <f>IF($K12&lt;&gt;"",IF($M12&gt;X$11,IF($M12&lt;Y$11,$M12-X$11,30),0)*ROUND(($N12+$V11+SUM($X12:X12))*$U$5/3000,2),"")</f>
        <v>0</v>
      </c>
      <c r="Z12" s="3">
        <f>IF($K12&lt;&gt;"",IF($M12&gt;Y$11,IF($M12&lt;Z$11,$M12-Y$11,30),0)*ROUND(($N12+$V11+SUM($X12:Y12))*$U$5/3000,2),"")</f>
        <v>0</v>
      </c>
      <c r="AA12" s="3">
        <f>IF($K12&lt;&gt;"",IF($M12&gt;Z$11,IF($M12&lt;AA$11,$M12-Z$11,30),0)*ROUND(($N12+$V11+SUM($X12:Z12))*$U$5/3000,2),"")</f>
        <v>0</v>
      </c>
      <c r="AB12" s="3">
        <f>IF($K12&lt;&gt;"",IF($M12&gt;AA$11,IF($M12&lt;AB$11,$M12-AA$11,30),0)*ROUND(($N12+$V11+SUM($X12:AA12))*$U$5/3000,2),"")</f>
        <v>0</v>
      </c>
      <c r="AC12" s="3">
        <f>IF($K12&lt;&gt;"",IF($M12&gt;AB$11,IF($M12&lt;AC$11,$M12-AB$11,30),0)*ROUND(($N12+$V11+SUM($X12:AB12))*$U$5/3000,2),"")</f>
        <v>0</v>
      </c>
      <c r="AD12" s="3">
        <f>IF($K12&lt;&gt;"",IF($M12&gt;AC$11,IF($M12&lt;AD$11,$M12-AC$11,30),0)*ROUND(($N12+$V11+SUM($X12:AC12))*$U$5/3000,2),"")</f>
        <v>0</v>
      </c>
      <c r="AE12" s="3">
        <f>IF($K12&lt;&gt;"",IF($M12&gt;AD$11,IF($M12&lt;AE$11,$M12-AD$11,30),0)*ROUND(($N12+$V11+SUM($X12:AD12))*$U$5/3000,2),"")</f>
        <v>0</v>
      </c>
      <c r="AF12" s="3">
        <f>IF($K12&lt;&gt;"",IF($M12&gt;AE$11,IF($M12&lt;AF$11,$M12-AE$11,30),0)*ROUND(($N12+$V11+SUM($X12:AE12))*$U$5/3000,2),"")</f>
        <v>0</v>
      </c>
      <c r="AG12" s="3">
        <f>IF($K12&lt;&gt;"",IF($M12&gt;AF$11,IF($M12&lt;AG$11,$M12-AF$11,30),0)*ROUND(($N12+$V11+SUM($X12:AF12))*$U$5/3000,2),"")</f>
        <v>0</v>
      </c>
      <c r="AH12" s="3">
        <f>IF($K12&lt;&gt;"",IF($M12&gt;AG$11,IF($M12&lt;AH$11,$M12-AG$11,30),0)*ROUND(($N12+$V11+SUM($X12:AG12))*$U$5/3000,2),"")</f>
        <v>0</v>
      </c>
      <c r="AI12" s="3">
        <f>IF($K12&lt;&gt;"",IF($M12&gt;AH$11,IF($M12&lt;AI$11,$M12-AH$11,30),0)*ROUND(($N12+$V11+SUM($X12:AH12))*$U$5/3000,2),"")</f>
        <v>0</v>
      </c>
      <c r="AJ12" s="3">
        <f>IF($K12&lt;&gt;"",IF($M12&gt;AI$11,IF($M12&lt;AJ$11,$M12-AI$11,30),0)*ROUND(($N12+$V11+SUM($X12:AI12))*$U$5/3000,2),"")</f>
        <v>0</v>
      </c>
      <c r="AK12" s="3">
        <f>IF($K12&lt;&gt;"",IF($M12&gt;AJ$11,IF($M12&lt;AK$11,$M12-AJ$11,30),0)*ROUND(($N12+$V11+SUM($X12:AJ12))*$U$5/3000,2),"")</f>
        <v>0</v>
      </c>
      <c r="AL12" s="3">
        <f>IF($K12&lt;&gt;"",IF($M12&gt;AK$11,IF($M12&lt;AL$11,$M12-AK$11,30),0)*ROUND(($N12+$V11+SUM($X12:AK12))*$U$5/3000,2),"")</f>
        <v>0</v>
      </c>
      <c r="AM12" s="3">
        <f>IF($K12&lt;&gt;"",IF($M12&gt;AL$11,IF($M12&lt;AM$11,$M12-AL$11,30),0)*ROUND(($N12+$V11+SUM($X12:AL12))*$U$5/3000,2),"")</f>
        <v>0</v>
      </c>
      <c r="AN12" s="3">
        <f>IF($K12&lt;&gt;"",IF($M12&gt;AM$11,IF($M12&lt;AN$11,$M12-AM$11,30),0)*ROUND(($N12+$V11+SUM($X12:AM12))*$U$5/3000,2),"")</f>
        <v>0</v>
      </c>
      <c r="AO12" s="3">
        <f>IF($K12&lt;&gt;"",IF($M12&gt;AN$11,IF($M12&lt;AO$11,$M12-AN$11,30),0)*ROUND(($N12+$V11+SUM($X12:AN12))*$U$5/3000,2),"")</f>
        <v>0</v>
      </c>
      <c r="AP12" s="3">
        <f>IF($K12&lt;&gt;"",IF($M12&gt;AO$11,IF($M12&lt;AP$11,$M12-AO$11,30),0)*ROUND(($N12+$V11+SUM($X12:AO12))*$U$5/3000,2),"")</f>
        <v>0</v>
      </c>
      <c r="AQ12" s="3">
        <f>IF($K12&lt;&gt;"",IF($M12&gt;AP$11,IF($M12&lt;AQ$11,$M12-AP$11,30),0)*ROUND(($N12+$V11+SUM($X12:AP12))*$U$5/3000,2),"")</f>
        <v>0</v>
      </c>
      <c r="AR12" s="3">
        <f>IF($K12&lt;&gt;"",IF($M12&gt;AQ$11,IF($M12&lt;AR$11,$M12-AQ$11,30),0)*ROUND(($N12+$V11+SUM($X12:AQ12))*$U$5/3000,2),"")</f>
        <v>0</v>
      </c>
      <c r="AS12" s="3">
        <f>IF($K12&lt;&gt;"",IF($M12&gt;AR$11,IF($M12&lt;AS$11,$M12-AR$11,30),0)*ROUND(($N12+$V11+SUM($X12:AR12))*$U$5/3000,2),"")</f>
        <v>0</v>
      </c>
      <c r="AT12" s="3">
        <f>IF($K12&lt;&gt;"",IF($M12&gt;AS$11,IF($M12&lt;AT$11,$M12-AS$11,30),0)*ROUND(($N12+$V11+SUM($X12:AS12))*$U$5/3000,2),"")</f>
        <v>0</v>
      </c>
      <c r="AU12" s="3">
        <f>IF($K12&lt;&gt;"",IF($M12&gt;AT$11,IF($M12&lt;AU$11,$M12-AT$11,30),0)*ROUND(($N12+$V11+SUM($X12:AT12))*$U$5/3000,2),"")</f>
        <v>0</v>
      </c>
      <c r="AV12" s="3">
        <f>IF($K12&lt;&gt;"",IF($M12&gt;AU$11,IF($M12&lt;AV$11,$M12-AU$11,30),0)*ROUND(($N12+$V11+SUM($X12:AU12))*$U$5/3000,2),"")</f>
        <v>0</v>
      </c>
      <c r="AW12" s="3">
        <f>IF($K12&lt;&gt;"",IF($M12&gt;AV$11,IF($M12&lt;AW$11,$M12-AV$11,30),0)*ROUND(($N12+$V11+SUM($X12:AV12))*$U$5/3000,2),"")</f>
        <v>0</v>
      </c>
      <c r="AX12" s="3">
        <f>IF($K12&lt;&gt;"",IF($M12&gt;AW$11,IF($M12&lt;AX$11,$M12-AW$11,30),0)*ROUND(($N12+$V11+SUM($X12:AW12))*$U$5/3000,2),"")</f>
        <v>0</v>
      </c>
      <c r="AY12" s="3">
        <f>IF($K12&lt;&gt;"",IF($M12&gt;AX$11,IF($M12&lt;AY$11,$M12-AX$11,30),0)*ROUND(($N12+$V11+SUM($X12:AX12))*$U$5/3000,2),"")</f>
        <v>0</v>
      </c>
      <c r="AZ12" s="3">
        <f>IF($K12&lt;&gt;"",IF($M12&gt;AY$11,IF($M12&lt;AZ$11,$M12-AY$11,30),0)*ROUND(($N12+$V11+SUM($X12:AY12))*$U$5/3000,2),"")</f>
        <v>0</v>
      </c>
      <c r="BA12" s="3">
        <f>IF($K12&lt;&gt;"",IF($M12&gt;AZ$11,IF($M12&lt;BA$11,$M12-AZ$11,30),0)*ROUND(($N12+$V11+SUM($X12:AZ12))*$U$5/3000,2),"")</f>
        <v>0</v>
      </c>
      <c r="BB12" s="3">
        <f>IF($K12&lt;&gt;"",IF($M12&gt;BA$11,IF($M12&lt;BB$11,$M12-BA$11,30),0)*ROUND(($N12+$V11+SUM($X12:BA12))*$U$5/3000,2),"")</f>
        <v>0</v>
      </c>
      <c r="BC12" s="3">
        <f>IF($K12&lt;&gt;"",IF($M12&gt;BB$11,IF($M12&lt;BC$11,$M12-BB$11,30),0)*ROUND(($N12+$V11+SUM($X12:BB12))*$U$5/3000,2),"")</f>
        <v>0</v>
      </c>
      <c r="BD12" s="3">
        <f>IF($K12&lt;&gt;"",IF($M12&gt;BC$11,IF($M12&lt;BD$11,$M12-BC$11,30),0)*ROUND(($N12+$V11+SUM($X12:BC12))*$U$5/3000,2),"")</f>
        <v>0</v>
      </c>
      <c r="BE12" s="3">
        <f>IF($K12&lt;&gt;"",IF($M12&gt;BD$11,IF($M12&lt;BE$11,$M12-BD$11,30),0)*ROUND(($N12+$V11+SUM($X12:BD12))*$U$5/3000,2),"")</f>
        <v>0</v>
      </c>
      <c r="BF12" s="3">
        <f>IF($K12&lt;&gt;"",IF($M12&gt;BE$11,IF($M12&lt;BF$11,$M12-BE$11,30),0)*ROUND(($N12+$V11+SUM($X12:BE12))*$U$5/3000,2),"")</f>
        <v>0</v>
      </c>
      <c r="BG12" s="3">
        <f>IF($K12&lt;&gt;"",IF($M12&gt;BF$11,IF($M12&lt;BG$11,$M12-BF$11,30),0)*ROUND(($N12+$V11+SUM($X12:BF12))*$U$5/3000,2),"")</f>
        <v>0</v>
      </c>
      <c r="BH12" s="3">
        <f>IF($K12&lt;&gt;"",IF($M12&gt;BG$11,IF($M12&lt;BH$11,$M12-BG$11,30),0)*ROUND(($N12+$V11+SUM($X12:BG12))*$U$5/3000,2),"")</f>
        <v>0</v>
      </c>
      <c r="BI12" s="3">
        <f>IF($K12&lt;&gt;"",IF($M12&gt;BH$11,IF($M12&lt;BI$11,$M12-BH$11,30),0)*ROUND(($N12+$V11+SUM($X12:BH12))*$U$5/3000,2),"")</f>
        <v>0</v>
      </c>
      <c r="BJ12" s="3">
        <f>IF($K12&lt;&gt;"",IF($M12&gt;BI$11,IF($M12&lt;BJ$11,$M12-BI$11,30),0)*ROUND(($N12+$V11+SUM($X12:BI12))*$U$5/3000,2),"")</f>
        <v>0</v>
      </c>
      <c r="BK12" s="3">
        <f>IF($K12&lt;&gt;"",IF($M12&gt;BJ$11,IF($M12&lt;BK$11,$M12-BJ$11,30),0)*ROUND(($N12+$V11+SUM($X12:BJ12))*$U$5/3000,2),"")</f>
        <v>0</v>
      </c>
      <c r="BL12" s="3">
        <f>IF($K12&lt;&gt;"",IF($M12&gt;BK$11,IF($M12&lt;BL$11,$M12-BK$11,30),0)*ROUND(($N12+$V11+SUM($X12:BK12))*$U$5/3000,2),"")</f>
        <v>0</v>
      </c>
      <c r="BM12" s="3">
        <f>IF($K12&lt;&gt;"",IF($M12&gt;BL$11,IF($M12&lt;BM$11,$M12-BL$11,30),0)*ROUND(($N12+$V11+SUM($X12:BL12))*$U$5/3000,2),"")</f>
        <v>0</v>
      </c>
      <c r="BN12" s="3">
        <f>IF($K12&lt;&gt;"",IF($M12&gt;BM$11,IF($M12&lt;BN$11,$M12-BM$11,30),0)*ROUND(($N12+$V11+SUM($X12:BM12))*$U$5/3000,2),"")</f>
        <v>0</v>
      </c>
      <c r="BO12" s="3">
        <f>IF($K12&lt;&gt;"",IF($M12&gt;BN$11,IF($M12&lt;BO$11,$M12-BN$11,30),0)*ROUND(($N12+$V11+SUM($X12:BN12))*$U$5/3000,2),"")</f>
        <v>0</v>
      </c>
      <c r="BP12" s="3">
        <f>IF($K12&lt;&gt;"",IF($M12&gt;BO$11,IF($M12&lt;BP$11,$M12-BO$11,30),0)*ROUND(($N12+$V11+SUM($X12:BO12))*$U$5/3000,2),"")</f>
        <v>0</v>
      </c>
      <c r="BQ12" s="3">
        <f>IF($K12&lt;&gt;"",IF($M12&gt;BP$11,IF($M12&lt;BQ$11,$M12-BP$11,30),0)*ROUND(($N12+$V11+SUM($X12:BP12))*$U$5/3000,2),"")</f>
        <v>0</v>
      </c>
      <c r="BR12" s="3">
        <f>IF($K12&lt;&gt;"",IF($M12&gt;BQ$11,IF($M12&lt;BR$11,$M12-BQ$11,30),0)*ROUND(($N12+$V11+SUM($X12:BQ12))*$U$5/3000,2),"")</f>
        <v>0</v>
      </c>
      <c r="BS12" s="3">
        <f>IF($K12&lt;&gt;"",IF($M12&gt;BR$11,IF($M12&lt;BS$11,$M12-BR$11,30),0)*ROUND(($N12+$V11+SUM($X12:BR12))*$U$5/3000,2),"")</f>
        <v>0</v>
      </c>
      <c r="BT12" s="3">
        <f>IF($K12&lt;&gt;"",IF($M12&gt;BS$11,IF($M12&lt;BT$11,$M12-BS$11,30),0)*ROUND(($N12+$V11+SUM($X12:BS12))*$U$5/3000,2),"")</f>
        <v>0</v>
      </c>
      <c r="BU12" s="3">
        <f>IF($K12&lt;&gt;"",IF($M12&gt;BT$11,IF($M12&lt;BU$11,$M12-BT$11,30),0)*ROUND(($N12+$V11+SUM($X12:BT12))*$U$5/3000,2),"")</f>
        <v>0</v>
      </c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</row>
    <row r="13" spans="1:84" x14ac:dyDescent="0.25">
      <c r="E13" s="5"/>
      <c r="F13" t="str">
        <f t="shared" si="0"/>
        <v>ju</v>
      </c>
      <c r="G13" s="5">
        <f t="shared" si="1"/>
        <v>43830</v>
      </c>
      <c r="H13" s="22">
        <f t="shared" si="2"/>
        <v>2</v>
      </c>
      <c r="I13" s="22">
        <f t="shared" si="3"/>
        <v>0</v>
      </c>
      <c r="J13" s="22">
        <f t="shared" ref="J13:J76" si="15">IF($K13&lt;&gt;"",IF(OR(A13&lt;&gt;"",C13&lt;&gt;""),1,0),"")</f>
        <v>0</v>
      </c>
      <c r="K13">
        <f t="shared" si="4"/>
        <v>2</v>
      </c>
      <c r="L13" s="5">
        <f t="shared" si="5"/>
        <v>43804</v>
      </c>
      <c r="M13" s="9">
        <f t="shared" si="6"/>
        <v>30</v>
      </c>
      <c r="N13" s="3">
        <f t="shared" si="7"/>
        <v>4256.82</v>
      </c>
      <c r="O13" s="3">
        <f t="shared" si="8"/>
        <v>145.39999999999992</v>
      </c>
      <c r="P13" s="3">
        <f t="shared" si="9"/>
        <v>102.19999999999993</v>
      </c>
      <c r="Q13" s="3">
        <f t="shared" si="10"/>
        <v>43.199999999999996</v>
      </c>
      <c r="R13" s="3">
        <f>IF($K13&lt;&gt;"",IF($A13="Prepago",0,IF(ROUND(($H13+SUM($B$12:$B13))*$T$6,2)&gt;ROUND(SUM($R$11:$R12)+$T$6,2),$T$6*2,$T$6)),"")</f>
        <v>0</v>
      </c>
      <c r="S13" s="3">
        <f>IF($K13&lt;&gt;"",IF($A13="Prepago",0,IF(ROUND(($H13+SUM($B$12:$B13))*$T$7,2)&gt;ROUND(SUM($S$11:$S12)+$T$7,2),$T$7*2,$T$7)),"")</f>
        <v>0</v>
      </c>
      <c r="T13" s="3">
        <f>IF($K13&lt;&gt;"",IF($A13="Prepago",0,IF(ROUND(($H13+SUM($B$12:$B13))*$T$8,2)&gt;ROUND(SUM($T$11:$T12)+$T$8,2),$T$8*2,$T$8)),"")</f>
        <v>0</v>
      </c>
      <c r="U13" s="3">
        <f t="shared" si="11"/>
        <v>4154.62</v>
      </c>
      <c r="V13" s="3">
        <f t="shared" si="12"/>
        <v>0</v>
      </c>
      <c r="W13" s="3">
        <f t="shared" si="13"/>
        <v>43.199999999999996</v>
      </c>
      <c r="X13" s="3">
        <f t="shared" si="14"/>
        <v>43.199999999999996</v>
      </c>
      <c r="Y13" s="3">
        <f>IF($K13&lt;&gt;"",IF($M13&gt;X$11,IF($M13&lt;Y$11,$M13-X$11,30),0)*ROUND(($N13+$V12+SUM($X13:X13))*$U$5/3000,2),"")</f>
        <v>0</v>
      </c>
      <c r="Z13" s="3"/>
      <c r="AA13" s="3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</row>
    <row r="14" spans="1:84" x14ac:dyDescent="0.25">
      <c r="E14" s="5"/>
      <c r="F14" t="str">
        <f t="shared" si="0"/>
        <v>do</v>
      </c>
      <c r="G14" s="5">
        <f t="shared" si="1"/>
        <v>43861</v>
      </c>
      <c r="H14" s="22">
        <f t="shared" si="2"/>
        <v>3</v>
      </c>
      <c r="I14" s="22">
        <f t="shared" si="3"/>
        <v>0</v>
      </c>
      <c r="J14" s="22">
        <f t="shared" si="15"/>
        <v>0</v>
      </c>
      <c r="K14">
        <f t="shared" si="4"/>
        <v>3</v>
      </c>
      <c r="L14" s="5">
        <f t="shared" si="5"/>
        <v>43835</v>
      </c>
      <c r="M14" s="9">
        <f t="shared" si="6"/>
        <v>31</v>
      </c>
      <c r="N14" s="3">
        <f t="shared" si="7"/>
        <v>4154.62</v>
      </c>
      <c r="O14" s="3">
        <f t="shared" si="8"/>
        <v>145.39999999999992</v>
      </c>
      <c r="P14" s="3">
        <f t="shared" si="9"/>
        <v>101.97999999999992</v>
      </c>
      <c r="Q14" s="3">
        <f t="shared" si="10"/>
        <v>43.42</v>
      </c>
      <c r="R14" s="3">
        <f>IF($K14&lt;&gt;"",IF($A14="Prepago",0,IF(ROUND(($H14+SUM($B$12:$B14))*$T$6,2)&gt;ROUND(SUM($R$11:$R13)+$T$6,2),$T$6*2,$T$6)),"")</f>
        <v>0</v>
      </c>
      <c r="S14" s="3">
        <f>IF($K14&lt;&gt;"",IF($A14="Prepago",0,IF(ROUND(($H14+SUM($B$12:$B14))*$T$7,2)&gt;ROUND(SUM($S$11:$S13)+$T$7,2),$T$7*2,$T$7)),"")</f>
        <v>0</v>
      </c>
      <c r="T14" s="3">
        <f>IF($K14&lt;&gt;"",IF($A14="Prepago",0,IF(ROUND(($H14+SUM($B$12:$B14))*$T$8,2)&gt;ROUND(SUM($T$11:$T13)+$T$8,2),$T$8*2,$T$8)),"")</f>
        <v>0</v>
      </c>
      <c r="U14" s="3">
        <f t="shared" si="11"/>
        <v>4052.64</v>
      </c>
      <c r="V14" s="3">
        <f t="shared" si="12"/>
        <v>0</v>
      </c>
      <c r="W14" s="3">
        <f t="shared" si="13"/>
        <v>43.42</v>
      </c>
      <c r="X14" s="3">
        <f t="shared" si="14"/>
        <v>42</v>
      </c>
      <c r="Y14" s="3">
        <f>IF($K14&lt;&gt;"",IF($M14&gt;X$11,IF($M14&lt;Y$11,$M14-X$11,30),0)*ROUND(($N14+$V13+SUM($X14:X14))*$U$5/3000,2),"")</f>
        <v>1.42</v>
      </c>
      <c r="Z14" s="3"/>
      <c r="AA14" s="3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</row>
    <row r="15" spans="1:84" x14ac:dyDescent="0.25">
      <c r="E15" s="5"/>
      <c r="F15" t="str">
        <f t="shared" si="0"/>
        <v>mi</v>
      </c>
      <c r="G15" s="5">
        <f t="shared" si="1"/>
        <v>43890</v>
      </c>
      <c r="H15" s="22">
        <f t="shared" si="2"/>
        <v>4</v>
      </c>
      <c r="I15" s="22">
        <f t="shared" si="3"/>
        <v>0</v>
      </c>
      <c r="J15" s="22">
        <f t="shared" si="15"/>
        <v>0</v>
      </c>
      <c r="K15">
        <f t="shared" si="4"/>
        <v>4</v>
      </c>
      <c r="L15" s="5">
        <f t="shared" si="5"/>
        <v>43866</v>
      </c>
      <c r="M15" s="9">
        <f t="shared" si="6"/>
        <v>31</v>
      </c>
      <c r="N15" s="3">
        <f t="shared" si="7"/>
        <v>4052.64</v>
      </c>
      <c r="O15" s="3">
        <f t="shared" si="8"/>
        <v>145.39999999999992</v>
      </c>
      <c r="P15" s="3">
        <f t="shared" si="9"/>
        <v>102.91999999999992</v>
      </c>
      <c r="Q15" s="3">
        <f t="shared" si="10"/>
        <v>42.480000000000004</v>
      </c>
      <c r="R15" s="3">
        <f>IF($K15&lt;&gt;"",IF($A15="Prepago",0,IF(ROUND(($H15+SUM($B$12:$B15))*$T$6,2)&gt;ROUND(SUM($R$11:$R14)+$T$6,2),$T$6*2,$T$6)),"")</f>
        <v>0</v>
      </c>
      <c r="S15" s="3">
        <f>IF($K15&lt;&gt;"",IF($A15="Prepago",0,IF(ROUND(($H15+SUM($B$12:$B15))*$T$7,2)&gt;ROUND(SUM($S$11:$S14)+$T$7,2),$T$7*2,$T$7)),"")</f>
        <v>0</v>
      </c>
      <c r="T15" s="3">
        <f>IF($K15&lt;&gt;"",IF($A15="Prepago",0,IF(ROUND(($H15+SUM($B$12:$B15))*$T$8,2)&gt;ROUND(SUM($T$11:$T14)+$T$8,2),$T$8*2,$T$8)),"")</f>
        <v>0</v>
      </c>
      <c r="U15" s="3">
        <f t="shared" si="11"/>
        <v>3949.72</v>
      </c>
      <c r="V15" s="3">
        <f t="shared" si="12"/>
        <v>0</v>
      </c>
      <c r="W15" s="3">
        <f t="shared" si="13"/>
        <v>42.480000000000004</v>
      </c>
      <c r="X15" s="3">
        <f t="shared" si="14"/>
        <v>41.1</v>
      </c>
      <c r="Y15" s="3">
        <f>IF($K15&lt;&gt;"",IF($M15&gt;X$11,IF($M15&lt;Y$11,$M15-X$11,30),0)*ROUND(($N15+$V14+SUM($X15:X15))*$U$5/3000,2),"")</f>
        <v>1.38</v>
      </c>
      <c r="Z15" s="3"/>
      <c r="AA15" s="3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</row>
    <row r="16" spans="1:84" x14ac:dyDescent="0.25">
      <c r="E16" s="5"/>
      <c r="F16" t="str">
        <f t="shared" si="0"/>
        <v>ju</v>
      </c>
      <c r="G16" s="5">
        <f t="shared" si="1"/>
        <v>43921</v>
      </c>
      <c r="H16" s="22">
        <f t="shared" si="2"/>
        <v>5</v>
      </c>
      <c r="I16" s="22">
        <f t="shared" si="3"/>
        <v>0</v>
      </c>
      <c r="J16" s="22">
        <f t="shared" si="15"/>
        <v>0</v>
      </c>
      <c r="K16">
        <f t="shared" si="4"/>
        <v>5</v>
      </c>
      <c r="L16" s="5">
        <f t="shared" si="5"/>
        <v>43895</v>
      </c>
      <c r="M16" s="9">
        <f t="shared" si="6"/>
        <v>29</v>
      </c>
      <c r="N16" s="3">
        <f t="shared" si="7"/>
        <v>3949.72</v>
      </c>
      <c r="O16" s="3">
        <f t="shared" si="8"/>
        <v>145.39999999999992</v>
      </c>
      <c r="P16" s="3">
        <f t="shared" si="9"/>
        <v>106.82999999999993</v>
      </c>
      <c r="Q16" s="3">
        <f t="shared" si="10"/>
        <v>38.57</v>
      </c>
      <c r="R16" s="3">
        <f>IF($K16&lt;&gt;"",IF($A16="Prepago",0,IF(ROUND(($H16+SUM($B$12:$B16))*$T$6,2)&gt;ROUND(SUM($R$11:$R15)+$T$6,2),$T$6*2,$T$6)),"")</f>
        <v>0</v>
      </c>
      <c r="S16" s="3">
        <f>IF($K16&lt;&gt;"",IF($A16="Prepago",0,IF(ROUND(($H16+SUM($B$12:$B16))*$T$7,2)&gt;ROUND(SUM($S$11:$S15)+$T$7,2),$T$7*2,$T$7)),"")</f>
        <v>0</v>
      </c>
      <c r="T16" s="3">
        <f>IF($K16&lt;&gt;"",IF($A16="Prepago",0,IF(ROUND(($H16+SUM($B$12:$B16))*$T$8,2)&gt;ROUND(SUM($T$11:$T15)+$T$8,2),$T$8*2,$T$8)),"")</f>
        <v>0</v>
      </c>
      <c r="U16" s="3">
        <f t="shared" si="11"/>
        <v>3842.89</v>
      </c>
      <c r="V16" s="3">
        <f t="shared" si="12"/>
        <v>0</v>
      </c>
      <c r="W16" s="3">
        <f t="shared" si="13"/>
        <v>38.57</v>
      </c>
      <c r="X16" s="3">
        <f t="shared" si="14"/>
        <v>38.57</v>
      </c>
      <c r="Y16" s="3">
        <f>IF($K16&lt;&gt;"",IF($M16&gt;X$11,IF($M16&lt;Y$11,$M16-X$11,30),0)*ROUND(($N16+$V15+SUM($X16:X16))*$U$5/3000,2),"")</f>
        <v>0</v>
      </c>
      <c r="Z16" s="3"/>
      <c r="AA16" s="3"/>
      <c r="AB16" s="3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</row>
    <row r="17" spans="1:84" x14ac:dyDescent="0.25">
      <c r="E17" s="5"/>
      <c r="F17" t="str">
        <f t="shared" si="0"/>
        <v>do</v>
      </c>
      <c r="G17" s="5">
        <f t="shared" si="1"/>
        <v>43951</v>
      </c>
      <c r="H17" s="22">
        <f t="shared" si="2"/>
        <v>6</v>
      </c>
      <c r="I17" s="22">
        <f t="shared" si="3"/>
        <v>0</v>
      </c>
      <c r="J17" s="22">
        <f t="shared" si="15"/>
        <v>0</v>
      </c>
      <c r="K17">
        <f t="shared" si="4"/>
        <v>6</v>
      </c>
      <c r="L17" s="5">
        <f t="shared" si="5"/>
        <v>43926</v>
      </c>
      <c r="M17" s="9">
        <f t="shared" si="6"/>
        <v>31</v>
      </c>
      <c r="N17" s="3">
        <f t="shared" si="7"/>
        <v>3842.89</v>
      </c>
      <c r="O17" s="3">
        <f t="shared" si="8"/>
        <v>145.39999999999992</v>
      </c>
      <c r="P17" s="3">
        <f t="shared" si="9"/>
        <v>105.08999999999992</v>
      </c>
      <c r="Q17" s="3">
        <f t="shared" si="10"/>
        <v>40.31</v>
      </c>
      <c r="R17" s="3">
        <f>IF($K17&lt;&gt;"",IF($A17="Prepago",0,IF(ROUND(($H17+SUM($B$12:$B17))*$T$6,2)&gt;ROUND(SUM($R$11:$R16)+$T$6,2),$T$6*2,$T$6)),"")</f>
        <v>0</v>
      </c>
      <c r="S17" s="3">
        <f>IF($K17&lt;&gt;"",IF($A17="Prepago",0,IF(ROUND(($H17+SUM($B$12:$B17))*$T$7,2)&gt;ROUND(SUM($S$11:$S16)+$T$7,2),$T$7*2,$T$7)),"")</f>
        <v>0</v>
      </c>
      <c r="T17" s="3">
        <f>IF($K17&lt;&gt;"",IF($A17="Prepago",0,IF(ROUND(($H17+SUM($B$12:$B17))*$T$8,2)&gt;ROUND(SUM($T$11:$T16)+$T$8,2),$T$8*2,$T$8)),"")</f>
        <v>0</v>
      </c>
      <c r="U17" s="3">
        <f t="shared" si="11"/>
        <v>3737.8</v>
      </c>
      <c r="V17" s="3">
        <f t="shared" si="12"/>
        <v>0</v>
      </c>
      <c r="W17" s="3">
        <f t="shared" si="13"/>
        <v>40.31</v>
      </c>
      <c r="X17" s="3">
        <f t="shared" si="14"/>
        <v>39</v>
      </c>
      <c r="Y17" s="3">
        <f>IF($K17&lt;&gt;"",IF($M17&gt;X$11,IF($M17&lt;Y$11,$M17-X$11,30),0)*ROUND(($N17+$V16+SUM($X17:X17))*$U$5/3000,2),"")</f>
        <v>1.31</v>
      </c>
      <c r="Z17" s="3"/>
      <c r="AA17" s="3"/>
      <c r="AB17" s="3"/>
      <c r="AC17" s="3"/>
      <c r="AD17" s="3"/>
      <c r="AE17" s="3"/>
      <c r="AF17" s="3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</row>
    <row r="18" spans="1:84" x14ac:dyDescent="0.25">
      <c r="E18" s="5"/>
      <c r="F18" t="str">
        <f t="shared" si="0"/>
        <v>ma</v>
      </c>
      <c r="G18" s="5">
        <f t="shared" si="1"/>
        <v>43982</v>
      </c>
      <c r="H18" s="22">
        <f t="shared" si="2"/>
        <v>7</v>
      </c>
      <c r="I18" s="22">
        <f t="shared" si="3"/>
        <v>0</v>
      </c>
      <c r="J18" s="22">
        <f t="shared" si="15"/>
        <v>0</v>
      </c>
      <c r="K18">
        <f t="shared" si="4"/>
        <v>7</v>
      </c>
      <c r="L18" s="5">
        <f t="shared" si="5"/>
        <v>43956</v>
      </c>
      <c r="M18" s="9">
        <f t="shared" si="6"/>
        <v>30</v>
      </c>
      <c r="N18" s="3">
        <f t="shared" si="7"/>
        <v>3737.8</v>
      </c>
      <c r="O18" s="3">
        <f t="shared" si="8"/>
        <v>145.39999999999992</v>
      </c>
      <c r="P18" s="3">
        <f t="shared" si="9"/>
        <v>107.59999999999992</v>
      </c>
      <c r="Q18" s="3">
        <f t="shared" si="10"/>
        <v>37.799999999999997</v>
      </c>
      <c r="R18" s="3">
        <f>IF($K18&lt;&gt;"",IF($A18="Prepago",0,IF(ROUND(($H18+SUM($B$12:$B18))*$T$6,2)&gt;ROUND(SUM($R$11:$R17)+$T$6,2),$T$6*2,$T$6)),"")</f>
        <v>0</v>
      </c>
      <c r="S18" s="3">
        <f>IF($K18&lt;&gt;"",IF($A18="Prepago",0,IF(ROUND(($H18+SUM($B$12:$B18))*$T$7,2)&gt;ROUND(SUM($S$11:$S17)+$T$7,2),$T$7*2,$T$7)),"")</f>
        <v>0</v>
      </c>
      <c r="T18" s="3">
        <f>IF($K18&lt;&gt;"",IF($A18="Prepago",0,IF(ROUND(($H18+SUM($B$12:$B18))*$T$8,2)&gt;ROUND(SUM($T$11:$T17)+$T$8,2),$T$8*2,$T$8)),"")</f>
        <v>0</v>
      </c>
      <c r="U18" s="3">
        <f t="shared" si="11"/>
        <v>3630.2000000000003</v>
      </c>
      <c r="V18" s="3">
        <f t="shared" si="12"/>
        <v>0</v>
      </c>
      <c r="W18" s="3">
        <f t="shared" si="13"/>
        <v>37.799999999999997</v>
      </c>
      <c r="X18" s="3">
        <f t="shared" si="14"/>
        <v>37.799999999999997</v>
      </c>
      <c r="Y18" s="3">
        <f>IF($K18&lt;&gt;"",IF($M18&gt;X$11,IF($M18&lt;Y$11,$M18-X$11,30),0)*ROUND(($N18+$V17+SUM($X18:X18))*$U$5/3000,2),"")</f>
        <v>0</v>
      </c>
      <c r="Z18" s="3"/>
      <c r="AA18" s="3"/>
      <c r="AB18" s="3"/>
      <c r="AC18" s="3"/>
      <c r="AD18" s="3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</row>
    <row r="19" spans="1:84" x14ac:dyDescent="0.25">
      <c r="E19" s="5"/>
      <c r="F19" t="str">
        <f t="shared" si="0"/>
        <v>vi</v>
      </c>
      <c r="G19" s="5">
        <f t="shared" si="1"/>
        <v>44012</v>
      </c>
      <c r="H19" s="22">
        <f t="shared" si="2"/>
        <v>8</v>
      </c>
      <c r="I19" s="22">
        <f t="shared" si="3"/>
        <v>0</v>
      </c>
      <c r="J19" s="22">
        <f t="shared" si="15"/>
        <v>0</v>
      </c>
      <c r="K19">
        <f t="shared" si="4"/>
        <v>8</v>
      </c>
      <c r="L19" s="5">
        <f t="shared" si="5"/>
        <v>43987</v>
      </c>
      <c r="M19" s="9">
        <f t="shared" si="6"/>
        <v>31</v>
      </c>
      <c r="N19" s="3">
        <f t="shared" si="7"/>
        <v>3630.2000000000003</v>
      </c>
      <c r="O19" s="3">
        <f t="shared" si="8"/>
        <v>145.39999999999992</v>
      </c>
      <c r="P19" s="3">
        <f t="shared" si="9"/>
        <v>107.25999999999992</v>
      </c>
      <c r="Q19" s="3">
        <f t="shared" si="10"/>
        <v>38.14</v>
      </c>
      <c r="R19" s="3">
        <f>IF($K19&lt;&gt;"",IF($A19="Prepago",0,IF(ROUND(($H19+SUM($B$12:$B19))*$T$6,2)&gt;ROUND(SUM($R$11:$R18)+$T$6,2),$T$6*2,$T$6)),"")</f>
        <v>0</v>
      </c>
      <c r="S19" s="3">
        <f>IF($K19&lt;&gt;"",IF($A19="Prepago",0,IF(ROUND(($H19+SUM($B$12:$B19))*$T$7,2)&gt;ROUND(SUM($S$11:$S18)+$T$7,2),$T$7*2,$T$7)),"")</f>
        <v>0</v>
      </c>
      <c r="T19" s="3">
        <f>IF($K19&lt;&gt;"",IF($A19="Prepago",0,IF(ROUND(($H19+SUM($B$12:$B19))*$T$8,2)&gt;ROUND(SUM($T$11:$T18)+$T$8,2),$T$8*2,$T$8)),"")</f>
        <v>0</v>
      </c>
      <c r="U19" s="3">
        <f t="shared" si="11"/>
        <v>3522.9400000000005</v>
      </c>
      <c r="V19" s="3">
        <f t="shared" si="12"/>
        <v>0</v>
      </c>
      <c r="W19" s="3">
        <f t="shared" si="13"/>
        <v>38.14</v>
      </c>
      <c r="X19" s="3">
        <f t="shared" si="14"/>
        <v>36.9</v>
      </c>
      <c r="Y19" s="3">
        <f>IF($K19&lt;&gt;"",IF($M19&gt;X$11,IF($M19&lt;Y$11,$M19-X$11,30),0)*ROUND(($N19+$V18+SUM($X19:X19))*$U$5/3000,2),"")</f>
        <v>1.24</v>
      </c>
      <c r="Z19" s="3"/>
      <c r="AA19" s="3"/>
      <c r="AB19" s="3"/>
      <c r="AC19" s="3"/>
      <c r="AD19" s="3"/>
      <c r="AE19" s="3"/>
      <c r="AF19" s="3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</row>
    <row r="20" spans="1:84" s="10" customFormat="1" x14ac:dyDescent="0.25">
      <c r="A20"/>
      <c r="B20"/>
      <c r="C20" s="20"/>
      <c r="D20" s="20"/>
      <c r="E20" s="5"/>
      <c r="F20" t="str">
        <f t="shared" si="0"/>
        <v>do</v>
      </c>
      <c r="G20" s="5">
        <f t="shared" si="1"/>
        <v>44043</v>
      </c>
      <c r="H20" s="22">
        <f t="shared" si="2"/>
        <v>9</v>
      </c>
      <c r="I20" s="22">
        <f t="shared" si="3"/>
        <v>0</v>
      </c>
      <c r="J20" s="22">
        <f t="shared" si="15"/>
        <v>0</v>
      </c>
      <c r="K20">
        <f t="shared" si="4"/>
        <v>9</v>
      </c>
      <c r="L20" s="5">
        <f t="shared" si="5"/>
        <v>44017</v>
      </c>
      <c r="M20" s="9">
        <f t="shared" si="6"/>
        <v>30</v>
      </c>
      <c r="N20" s="3">
        <f t="shared" si="7"/>
        <v>3522.9400000000005</v>
      </c>
      <c r="O20" s="3">
        <f t="shared" si="8"/>
        <v>145.39999999999992</v>
      </c>
      <c r="P20" s="3">
        <f t="shared" si="9"/>
        <v>109.69999999999993</v>
      </c>
      <c r="Q20" s="3">
        <f t="shared" si="10"/>
        <v>35.699999999999996</v>
      </c>
      <c r="R20" s="3">
        <f>IF($K20&lt;&gt;"",IF($A20="Prepago",0,IF(ROUND(($H20+SUM($B$12:$B20))*$T$6,2)&gt;ROUND(SUM($R$11:$R19)+$T$6,2),$T$6*2,$T$6)),"")</f>
        <v>0</v>
      </c>
      <c r="S20" s="3">
        <f>IF($K20&lt;&gt;"",IF($A20="Prepago",0,IF(ROUND(($H20+SUM($B$12:$B20))*$T$7,2)&gt;ROUND(SUM($S$11:$S19)+$T$7,2),$T$7*2,$T$7)),"")</f>
        <v>0</v>
      </c>
      <c r="T20" s="3">
        <f>IF($K20&lt;&gt;"",IF($A20="Prepago",0,IF(ROUND(($H20+SUM($B$12:$B20))*$T$8,2)&gt;ROUND(SUM($T$11:$T19)+$T$8,2),$T$8*2,$T$8)),"")</f>
        <v>0</v>
      </c>
      <c r="U20" s="3">
        <f t="shared" si="11"/>
        <v>3413.2400000000007</v>
      </c>
      <c r="V20" s="3">
        <f t="shared" si="12"/>
        <v>0</v>
      </c>
      <c r="W20" s="3">
        <f t="shared" si="13"/>
        <v>35.699999999999996</v>
      </c>
      <c r="X20" s="3">
        <f t="shared" si="14"/>
        <v>35.699999999999996</v>
      </c>
      <c r="Y20" s="3">
        <f>IF($K20&lt;&gt;"",IF($M20&gt;X$11,IF($M20&lt;Y$11,$M20-X$11,30),0)*ROUND(($N20+$V19+SUM($X20:X20))*$U$5/3000,2),"")</f>
        <v>0</v>
      </c>
      <c r="Z20" s="3"/>
      <c r="AA20" s="3"/>
      <c r="AB20" s="3"/>
      <c r="AC20" s="3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</row>
    <row r="21" spans="1:84" x14ac:dyDescent="0.25">
      <c r="E21" s="5"/>
      <c r="F21" t="str">
        <f t="shared" si="0"/>
        <v>mi</v>
      </c>
      <c r="G21" s="5">
        <f t="shared" si="1"/>
        <v>44074</v>
      </c>
      <c r="H21" s="22">
        <f t="shared" si="2"/>
        <v>10</v>
      </c>
      <c r="I21" s="22">
        <f t="shared" si="3"/>
        <v>0</v>
      </c>
      <c r="J21" s="22">
        <f t="shared" si="15"/>
        <v>0</v>
      </c>
      <c r="K21">
        <f t="shared" si="4"/>
        <v>10</v>
      </c>
      <c r="L21" s="5">
        <f t="shared" si="5"/>
        <v>44048</v>
      </c>
      <c r="M21" s="9">
        <f t="shared" si="6"/>
        <v>31</v>
      </c>
      <c r="N21" s="3">
        <f t="shared" si="7"/>
        <v>3413.2400000000007</v>
      </c>
      <c r="O21" s="3">
        <f t="shared" si="8"/>
        <v>145.39999999999992</v>
      </c>
      <c r="P21" s="3">
        <f t="shared" si="9"/>
        <v>109.73999999999992</v>
      </c>
      <c r="Q21" s="3">
        <f t="shared" si="10"/>
        <v>35.659999999999997</v>
      </c>
      <c r="R21" s="3">
        <f>IF($K21&lt;&gt;"",IF($A21="Prepago",0,IF(ROUND(($H21+SUM($B$12:$B21))*$T$6,2)&gt;ROUND(SUM($R$11:$R20)+$T$6,2),$T$6*2,$T$6)),"")</f>
        <v>0</v>
      </c>
      <c r="S21" s="3">
        <f>IF($K21&lt;&gt;"",IF($A21="Prepago",0,IF(ROUND(($H21+SUM($B$12:$B21))*$T$7,2)&gt;ROUND(SUM($S$11:$S20)+$T$7,2),$T$7*2,$T$7)),"")</f>
        <v>0</v>
      </c>
      <c r="T21" s="3">
        <f>IF($K21&lt;&gt;"",IF($A21="Prepago",0,IF(ROUND(($H21+SUM($B$12:$B21))*$T$8,2)&gt;ROUND(SUM($T$11:$T20)+$T$8,2),$T$8*2,$T$8)),"")</f>
        <v>0</v>
      </c>
      <c r="U21" s="3">
        <f t="shared" si="11"/>
        <v>3303.5000000000009</v>
      </c>
      <c r="V21" s="3">
        <f t="shared" si="12"/>
        <v>0</v>
      </c>
      <c r="W21" s="3">
        <f t="shared" si="13"/>
        <v>35.659999999999997</v>
      </c>
      <c r="X21" s="3">
        <f t="shared" si="14"/>
        <v>34.5</v>
      </c>
      <c r="Y21" s="3">
        <f>IF($K21&lt;&gt;"",IF($M21&gt;X$11,IF($M21&lt;Y$11,$M21-X$11,30),0)*ROUND(($N21+$V20+SUM($X21:X21))*$U$5/3000,2),"")</f>
        <v>1.1599999999999999</v>
      </c>
      <c r="Z21" s="3"/>
      <c r="AA21" s="3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</row>
    <row r="22" spans="1:84" x14ac:dyDescent="0.25">
      <c r="E22" s="5"/>
      <c r="F22" t="str">
        <f t="shared" si="0"/>
        <v>sá</v>
      </c>
      <c r="G22" s="5">
        <f t="shared" si="1"/>
        <v>44104</v>
      </c>
      <c r="H22" s="22">
        <f t="shared" si="2"/>
        <v>11</v>
      </c>
      <c r="I22" s="22">
        <f t="shared" si="3"/>
        <v>0</v>
      </c>
      <c r="J22" s="22">
        <f t="shared" si="15"/>
        <v>0</v>
      </c>
      <c r="K22">
        <f t="shared" si="4"/>
        <v>11</v>
      </c>
      <c r="L22" s="5">
        <f t="shared" si="5"/>
        <v>44079</v>
      </c>
      <c r="M22" s="9">
        <f t="shared" si="6"/>
        <v>31</v>
      </c>
      <c r="N22" s="3">
        <f t="shared" si="7"/>
        <v>3303.5000000000009</v>
      </c>
      <c r="O22" s="3">
        <f t="shared" si="8"/>
        <v>145.39999999999992</v>
      </c>
      <c r="P22" s="3">
        <f t="shared" si="9"/>
        <v>110.96999999999991</v>
      </c>
      <c r="Q22" s="3">
        <f t="shared" si="10"/>
        <v>34.430000000000007</v>
      </c>
      <c r="R22" s="3">
        <f>IF($K22&lt;&gt;"",IF($A22="Prepago",0,IF(ROUND(($H22+SUM($B$12:$B22))*$T$6,2)&gt;ROUND(SUM($R$11:$R21)+$T$6,2),$T$6*2,$T$6)),"")</f>
        <v>0</v>
      </c>
      <c r="S22" s="3">
        <f>IF($K22&lt;&gt;"",IF($A22="Prepago",0,IF(ROUND(($H22+SUM($B$12:$B22))*$T$7,2)&gt;ROUND(SUM($S$11:$S21)+$T$7,2),$T$7*2,$T$7)),"")</f>
        <v>0</v>
      </c>
      <c r="T22" s="3">
        <f>IF($K22&lt;&gt;"",IF($A22="Prepago",0,IF(ROUND(($H22+SUM($B$12:$B22))*$T$8,2)&gt;ROUND(SUM($T$11:$T21)+$T$8,2),$T$8*2,$T$8)),"")</f>
        <v>0</v>
      </c>
      <c r="U22" s="3">
        <f t="shared" si="11"/>
        <v>3192.5300000000011</v>
      </c>
      <c r="V22" s="3">
        <f t="shared" si="12"/>
        <v>0</v>
      </c>
      <c r="W22" s="3">
        <f t="shared" si="13"/>
        <v>34.430000000000007</v>
      </c>
      <c r="X22" s="3">
        <f t="shared" si="14"/>
        <v>33.300000000000004</v>
      </c>
      <c r="Y22" s="3">
        <f>IF($K22&lt;&gt;"",IF($M22&gt;X$11,IF($M22&lt;Y$11,$M22-X$11,30),0)*ROUND(($N22+$V21+SUM($X22:X22))*$U$5/3000,2),"")</f>
        <v>1.1299999999999999</v>
      </c>
      <c r="Z22" s="3"/>
      <c r="AA22" s="3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</row>
    <row r="23" spans="1:84" x14ac:dyDescent="0.25">
      <c r="E23" s="5"/>
      <c r="F23" t="str">
        <f t="shared" si="0"/>
        <v>lu</v>
      </c>
      <c r="G23" s="5">
        <f t="shared" si="1"/>
        <v>44135</v>
      </c>
      <c r="H23" s="22">
        <f t="shared" si="2"/>
        <v>12</v>
      </c>
      <c r="I23" s="22">
        <f t="shared" si="3"/>
        <v>0</v>
      </c>
      <c r="J23" s="22">
        <f t="shared" si="15"/>
        <v>0</v>
      </c>
      <c r="K23">
        <f t="shared" si="4"/>
        <v>12</v>
      </c>
      <c r="L23" s="5">
        <f t="shared" si="5"/>
        <v>44109</v>
      </c>
      <c r="M23" s="9">
        <f t="shared" si="6"/>
        <v>30</v>
      </c>
      <c r="N23" s="3">
        <f t="shared" si="7"/>
        <v>3192.5300000000011</v>
      </c>
      <c r="O23" s="3">
        <f t="shared" si="8"/>
        <v>145.39999999999992</v>
      </c>
      <c r="P23" s="3">
        <f t="shared" si="9"/>
        <v>112.99999999999991</v>
      </c>
      <c r="Q23" s="3">
        <f t="shared" si="10"/>
        <v>32.400000000000006</v>
      </c>
      <c r="R23" s="3">
        <f>IF($K23&lt;&gt;"",IF($A23="Prepago",0,IF(ROUND(($H23+SUM($B$12:$B23))*$T$6,2)&gt;ROUND(SUM($R$11:$R22)+$T$6,2),$T$6*2,$T$6)),"")</f>
        <v>0</v>
      </c>
      <c r="S23" s="3">
        <f>IF($K23&lt;&gt;"",IF($A23="Prepago",0,IF(ROUND(($H23+SUM($B$12:$B23))*$T$7,2)&gt;ROUND(SUM($S$11:$S22)+$T$7,2),$T$7*2,$T$7)),"")</f>
        <v>0</v>
      </c>
      <c r="T23" s="3">
        <f>IF($K23&lt;&gt;"",IF($A23="Prepago",0,IF(ROUND(($H23+SUM($B$12:$B23))*$T$8,2)&gt;ROUND(SUM($T$11:$T22)+$T$8,2),$T$8*2,$T$8)),"")</f>
        <v>0</v>
      </c>
      <c r="U23" s="3">
        <f t="shared" si="11"/>
        <v>3079.5300000000011</v>
      </c>
      <c r="V23" s="3">
        <f t="shared" si="12"/>
        <v>0</v>
      </c>
      <c r="W23" s="3">
        <f t="shared" si="13"/>
        <v>32.400000000000006</v>
      </c>
      <c r="X23" s="3">
        <f t="shared" si="14"/>
        <v>32.400000000000006</v>
      </c>
      <c r="Y23" s="3">
        <f>IF($K23&lt;&gt;"",IF($M23&gt;X$11,IF($M23&lt;Y$11,$M23-X$11,30),0)*ROUND(($N23+$V22+SUM($X23:X23))*$U$5/3000,2),"")</f>
        <v>0</v>
      </c>
      <c r="Z23" s="3"/>
      <c r="AA23" s="3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</row>
    <row r="24" spans="1:84" x14ac:dyDescent="0.25">
      <c r="E24" s="5"/>
      <c r="F24" t="str">
        <f t="shared" si="0"/>
        <v>ju</v>
      </c>
      <c r="G24" s="5">
        <f t="shared" si="1"/>
        <v>44165</v>
      </c>
      <c r="H24" s="22">
        <f t="shared" si="2"/>
        <v>13</v>
      </c>
      <c r="I24" s="22">
        <f t="shared" si="3"/>
        <v>0</v>
      </c>
      <c r="J24" s="22">
        <f t="shared" si="15"/>
        <v>0</v>
      </c>
      <c r="K24">
        <f t="shared" si="4"/>
        <v>13</v>
      </c>
      <c r="L24" s="5">
        <f t="shared" si="5"/>
        <v>44140</v>
      </c>
      <c r="M24" s="9">
        <f t="shared" si="6"/>
        <v>31</v>
      </c>
      <c r="N24" s="3">
        <f t="shared" si="7"/>
        <v>3079.5300000000011</v>
      </c>
      <c r="O24" s="3">
        <f t="shared" si="8"/>
        <v>145.39999999999992</v>
      </c>
      <c r="P24" s="3">
        <f t="shared" si="9"/>
        <v>113.14999999999992</v>
      </c>
      <c r="Q24" s="3">
        <f t="shared" si="10"/>
        <v>32.25</v>
      </c>
      <c r="R24" s="3">
        <f>IF($K24&lt;&gt;"",IF($A24="Prepago",0,IF(ROUND(($H24+SUM($B$12:$B24))*$T$6,2)&gt;ROUND(SUM($R$11:$R23)+$T$6,2),$T$6*2,$T$6)),"")</f>
        <v>0</v>
      </c>
      <c r="S24" s="3">
        <f>IF($K24&lt;&gt;"",IF($A24="Prepago",0,IF(ROUND(($H24+SUM($B$12:$B24))*$T$7,2)&gt;ROUND(SUM($S$11:$S23)+$T$7,2),$T$7*2,$T$7)),"")</f>
        <v>0</v>
      </c>
      <c r="T24" s="3">
        <f>IF($K24&lt;&gt;"",IF($A24="Prepago",0,IF(ROUND(($H24+SUM($B$12:$B24))*$T$8,2)&gt;ROUND(SUM($T$11:$T23)+$T$8,2),$T$8*2,$T$8)),"")</f>
        <v>0</v>
      </c>
      <c r="U24" s="3">
        <f t="shared" si="11"/>
        <v>2966.380000000001</v>
      </c>
      <c r="V24" s="3">
        <f t="shared" si="12"/>
        <v>0</v>
      </c>
      <c r="W24" s="3">
        <f t="shared" si="13"/>
        <v>32.25</v>
      </c>
      <c r="X24" s="3">
        <f t="shared" si="14"/>
        <v>31.200000000000003</v>
      </c>
      <c r="Y24" s="3">
        <f>IF($K24&lt;&gt;"",IF($M24&gt;X$11,IF($M24&lt;Y$11,$M24-X$11,30),0)*ROUND(($N24+$V23+SUM($X24:X24))*$U$5/3000,2),"")</f>
        <v>1.05</v>
      </c>
      <c r="Z24" s="3"/>
      <c r="AA24" s="3"/>
      <c r="AB24" s="3"/>
      <c r="AC24" s="3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</row>
    <row r="25" spans="1:84" x14ac:dyDescent="0.25">
      <c r="E25" s="5"/>
      <c r="F25" t="str">
        <f t="shared" si="0"/>
        <v>sá</v>
      </c>
      <c r="G25" s="5">
        <f t="shared" si="1"/>
        <v>44196</v>
      </c>
      <c r="H25" s="22">
        <f t="shared" si="2"/>
        <v>14</v>
      </c>
      <c r="I25" s="22">
        <f t="shared" si="3"/>
        <v>0</v>
      </c>
      <c r="J25" s="22">
        <f t="shared" si="15"/>
        <v>0</v>
      </c>
      <c r="K25">
        <f t="shared" si="4"/>
        <v>14</v>
      </c>
      <c r="L25" s="5">
        <f t="shared" si="5"/>
        <v>44170</v>
      </c>
      <c r="M25" s="9">
        <f t="shared" si="6"/>
        <v>30</v>
      </c>
      <c r="N25" s="3">
        <f t="shared" si="7"/>
        <v>2966.380000000001</v>
      </c>
      <c r="O25" s="3">
        <f t="shared" si="8"/>
        <v>145.39999999999992</v>
      </c>
      <c r="P25" s="3">
        <f t="shared" si="9"/>
        <v>115.39999999999992</v>
      </c>
      <c r="Q25" s="3">
        <f t="shared" si="10"/>
        <v>30</v>
      </c>
      <c r="R25" s="3">
        <f>IF($K25&lt;&gt;"",IF($A25="Prepago",0,IF(ROUND(($H25+SUM($B$12:$B25))*$T$6,2)&gt;ROUND(SUM($R$11:$R24)+$T$6,2),$T$6*2,$T$6)),"")</f>
        <v>0</v>
      </c>
      <c r="S25" s="3">
        <f>IF($K25&lt;&gt;"",IF($A25="Prepago",0,IF(ROUND(($H25+SUM($B$12:$B25))*$T$7,2)&gt;ROUND(SUM($S$11:$S24)+$T$7,2),$T$7*2,$T$7)),"")</f>
        <v>0</v>
      </c>
      <c r="T25" s="3">
        <f>IF($K25&lt;&gt;"",IF($A25="Prepago",0,IF(ROUND(($H25+SUM($B$12:$B25))*$T$8,2)&gt;ROUND(SUM($T$11:$T24)+$T$8,2),$T$8*2,$T$8)),"")</f>
        <v>0</v>
      </c>
      <c r="U25" s="3">
        <f t="shared" si="11"/>
        <v>2850.9800000000009</v>
      </c>
      <c r="V25" s="3">
        <f t="shared" si="12"/>
        <v>0</v>
      </c>
      <c r="W25" s="3">
        <f t="shared" si="13"/>
        <v>30</v>
      </c>
      <c r="X25" s="3">
        <f t="shared" si="14"/>
        <v>30</v>
      </c>
      <c r="Y25" s="3">
        <f>IF($K25&lt;&gt;"",IF($M25&gt;X$11,IF($M25&lt;Y$11,$M25-X$11,30),0)*ROUND(($N25+$V24+SUM($X25:X25))*$U$5/3000,2),"")</f>
        <v>0</v>
      </c>
      <c r="Z25" s="3"/>
      <c r="AA25" s="3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</row>
    <row r="26" spans="1:84" x14ac:dyDescent="0.25">
      <c r="E26" s="5"/>
      <c r="F26" t="str">
        <f t="shared" si="0"/>
        <v>ma</v>
      </c>
      <c r="G26" s="5">
        <f t="shared" si="1"/>
        <v>44227</v>
      </c>
      <c r="H26" s="22">
        <f t="shared" si="2"/>
        <v>15</v>
      </c>
      <c r="I26" s="22">
        <f t="shared" si="3"/>
        <v>0</v>
      </c>
      <c r="J26" s="22">
        <f t="shared" si="15"/>
        <v>0</v>
      </c>
      <c r="K26">
        <f t="shared" si="4"/>
        <v>15</v>
      </c>
      <c r="L26" s="5">
        <f t="shared" si="5"/>
        <v>44201</v>
      </c>
      <c r="M26" s="9">
        <f t="shared" si="6"/>
        <v>31</v>
      </c>
      <c r="N26" s="3">
        <f t="shared" si="7"/>
        <v>2850.9800000000009</v>
      </c>
      <c r="O26" s="3">
        <f t="shared" si="8"/>
        <v>145.39999999999992</v>
      </c>
      <c r="P26" s="3">
        <f t="shared" si="9"/>
        <v>115.62999999999992</v>
      </c>
      <c r="Q26" s="3">
        <f t="shared" si="10"/>
        <v>29.769999999999996</v>
      </c>
      <c r="R26" s="3">
        <f>IF($K26&lt;&gt;"",IF($A26="Prepago",0,IF(ROUND(($H26+SUM($B$12:$B26))*$T$6,2)&gt;ROUND(SUM($R$11:$R25)+$T$6,2),$T$6*2,$T$6)),"")</f>
        <v>0</v>
      </c>
      <c r="S26" s="3">
        <f>IF($K26&lt;&gt;"",IF($A26="Prepago",0,IF(ROUND(($H26+SUM($B$12:$B26))*$T$7,2)&gt;ROUND(SUM($S$11:$S25)+$T$7,2),$T$7*2,$T$7)),"")</f>
        <v>0</v>
      </c>
      <c r="T26" s="3">
        <f>IF($K26&lt;&gt;"",IF($A26="Prepago",0,IF(ROUND(($H26+SUM($B$12:$B26))*$T$8,2)&gt;ROUND(SUM($T$11:$T25)+$T$8,2),$T$8*2,$T$8)),"")</f>
        <v>0</v>
      </c>
      <c r="U26" s="3">
        <f t="shared" si="11"/>
        <v>2735.3500000000008</v>
      </c>
      <c r="V26" s="3">
        <f t="shared" si="12"/>
        <v>0</v>
      </c>
      <c r="W26" s="3">
        <f t="shared" si="13"/>
        <v>29.769999999999996</v>
      </c>
      <c r="X26" s="3">
        <f t="shared" si="14"/>
        <v>28.799999999999997</v>
      </c>
      <c r="Y26" s="3">
        <f>IF($K26&lt;&gt;"",IF($M26&gt;X$11,IF($M26&lt;Y$11,$M26-X$11,30),0)*ROUND(($N26+$V25+SUM($X26:X26))*$U$5/3000,2),"")</f>
        <v>0.97</v>
      </c>
      <c r="Z26" s="3"/>
      <c r="AA26" s="3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</row>
    <row r="27" spans="1:84" x14ac:dyDescent="0.25">
      <c r="E27" s="5"/>
      <c r="F27" t="str">
        <f t="shared" si="0"/>
        <v>vi</v>
      </c>
      <c r="G27" s="5">
        <f t="shared" si="1"/>
        <v>44255</v>
      </c>
      <c r="H27" s="22">
        <f t="shared" si="2"/>
        <v>16</v>
      </c>
      <c r="I27" s="22">
        <f t="shared" si="3"/>
        <v>0</v>
      </c>
      <c r="J27" s="22">
        <f t="shared" si="15"/>
        <v>0</v>
      </c>
      <c r="K27">
        <f t="shared" si="4"/>
        <v>16</v>
      </c>
      <c r="L27" s="5">
        <f t="shared" si="5"/>
        <v>44232</v>
      </c>
      <c r="M27" s="9">
        <f t="shared" si="6"/>
        <v>31</v>
      </c>
      <c r="N27" s="3">
        <f t="shared" si="7"/>
        <v>2735.3500000000008</v>
      </c>
      <c r="O27" s="3">
        <f t="shared" si="8"/>
        <v>145.39999999999992</v>
      </c>
      <c r="P27" s="3">
        <f t="shared" si="9"/>
        <v>116.86999999999992</v>
      </c>
      <c r="Q27" s="3">
        <f t="shared" si="10"/>
        <v>28.53</v>
      </c>
      <c r="R27" s="3">
        <f>IF($K27&lt;&gt;"",IF($A27="Prepago",0,IF(ROUND(($H27+SUM($B$12:$B27))*$T$6,2)&gt;ROUND(SUM($R$11:$R26)+$T$6,2),$T$6*2,$T$6)),"")</f>
        <v>0</v>
      </c>
      <c r="S27" s="3">
        <f>IF($K27&lt;&gt;"",IF($A27="Prepago",0,IF(ROUND(($H27+SUM($B$12:$B27))*$T$7,2)&gt;ROUND(SUM($S$11:$S26)+$T$7,2),$T$7*2,$T$7)),"")</f>
        <v>0</v>
      </c>
      <c r="T27" s="3">
        <f>IF($K27&lt;&gt;"",IF($A27="Prepago",0,IF(ROUND(($H27+SUM($B$12:$B27))*$T$8,2)&gt;ROUND(SUM($T$11:$T26)+$T$8,2),$T$8*2,$T$8)),"")</f>
        <v>0</v>
      </c>
      <c r="U27" s="3">
        <f t="shared" si="11"/>
        <v>2618.4800000000009</v>
      </c>
      <c r="V27" s="3">
        <f t="shared" si="12"/>
        <v>0</v>
      </c>
      <c r="W27" s="3">
        <f t="shared" si="13"/>
        <v>28.53</v>
      </c>
      <c r="X27" s="3">
        <f t="shared" si="14"/>
        <v>27.6</v>
      </c>
      <c r="Y27" s="3">
        <f>IF($K27&lt;&gt;"",IF($M27&gt;X$11,IF($M27&lt;Y$11,$M27-X$11,30),0)*ROUND(($N27+$V26+SUM($X27:X27))*$U$5/3000,2),"")</f>
        <v>0.93</v>
      </c>
      <c r="Z27" s="3"/>
      <c r="AA27" s="3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</row>
    <row r="28" spans="1:84" x14ac:dyDescent="0.25">
      <c r="E28" s="5"/>
      <c r="F28" t="str">
        <f t="shared" si="0"/>
        <v>vi</v>
      </c>
      <c r="G28" s="5">
        <f t="shared" si="1"/>
        <v>44286</v>
      </c>
      <c r="H28" s="22">
        <f t="shared" si="2"/>
        <v>17</v>
      </c>
      <c r="I28" s="22">
        <f t="shared" si="3"/>
        <v>0</v>
      </c>
      <c r="J28" s="22">
        <f t="shared" si="15"/>
        <v>0</v>
      </c>
      <c r="K28">
        <f t="shared" si="4"/>
        <v>17</v>
      </c>
      <c r="L28" s="5">
        <f t="shared" si="5"/>
        <v>44260</v>
      </c>
      <c r="M28" s="9">
        <f t="shared" si="6"/>
        <v>28</v>
      </c>
      <c r="N28" s="3">
        <f t="shared" si="7"/>
        <v>2618.4800000000009</v>
      </c>
      <c r="O28" s="3">
        <f t="shared" si="8"/>
        <v>145.39999999999992</v>
      </c>
      <c r="P28" s="3">
        <f t="shared" si="9"/>
        <v>120.75999999999992</v>
      </c>
      <c r="Q28" s="3">
        <f t="shared" si="10"/>
        <v>24.64</v>
      </c>
      <c r="R28" s="3">
        <f>IF($K28&lt;&gt;"",IF($A28="Prepago",0,IF(ROUND(($H28+SUM($B$12:$B28))*$T$6,2)&gt;ROUND(SUM($R$11:$R27)+$T$6,2),$T$6*2,$T$6)),"")</f>
        <v>0</v>
      </c>
      <c r="S28" s="3">
        <f>IF($K28&lt;&gt;"",IF($A28="Prepago",0,IF(ROUND(($H28+SUM($B$12:$B28))*$T$7,2)&gt;ROUND(SUM($S$11:$S27)+$T$7,2),$T$7*2,$T$7)),"")</f>
        <v>0</v>
      </c>
      <c r="T28" s="3">
        <f>IF($K28&lt;&gt;"",IF($A28="Prepago",0,IF(ROUND(($H28+SUM($B$12:$B28))*$T$8,2)&gt;ROUND(SUM($T$11:$T27)+$T$8,2),$T$8*2,$T$8)),"")</f>
        <v>0</v>
      </c>
      <c r="U28" s="3">
        <f t="shared" si="11"/>
        <v>2497.7200000000012</v>
      </c>
      <c r="V28" s="3">
        <f t="shared" si="12"/>
        <v>0</v>
      </c>
      <c r="W28" s="3">
        <f t="shared" si="13"/>
        <v>24.64</v>
      </c>
      <c r="X28" s="3">
        <f t="shared" si="14"/>
        <v>24.64</v>
      </c>
      <c r="Y28" s="3">
        <f>IF($K28&lt;&gt;"",IF($M28&gt;X$11,IF($M28&lt;Y$11,$M28-X$11,30),0)*ROUND(($N28+$V27+SUM($X28:X28))*$U$5/3000,2),"")</f>
        <v>0</v>
      </c>
      <c r="Z28" s="3"/>
      <c r="AA28" s="3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</row>
    <row r="29" spans="1:84" x14ac:dyDescent="0.25">
      <c r="E29" s="5"/>
      <c r="F29" t="str">
        <f t="shared" si="0"/>
        <v>lu</v>
      </c>
      <c r="G29" s="5">
        <f t="shared" si="1"/>
        <v>44316</v>
      </c>
      <c r="H29" s="22">
        <f t="shared" si="2"/>
        <v>18</v>
      </c>
      <c r="I29" s="22">
        <f t="shared" si="3"/>
        <v>0</v>
      </c>
      <c r="J29" s="22">
        <f t="shared" si="15"/>
        <v>0</v>
      </c>
      <c r="K29">
        <f t="shared" si="4"/>
        <v>18</v>
      </c>
      <c r="L29" s="5">
        <f t="shared" si="5"/>
        <v>44291</v>
      </c>
      <c r="M29" s="9">
        <f t="shared" si="6"/>
        <v>31</v>
      </c>
      <c r="N29" s="3">
        <f t="shared" si="7"/>
        <v>2497.7200000000012</v>
      </c>
      <c r="O29" s="3">
        <f t="shared" si="8"/>
        <v>145.39999999999992</v>
      </c>
      <c r="P29" s="3">
        <f t="shared" si="9"/>
        <v>119.34999999999992</v>
      </c>
      <c r="Q29" s="3">
        <f t="shared" si="10"/>
        <v>26.05</v>
      </c>
      <c r="R29" s="3">
        <f>IF($K29&lt;&gt;"",IF($A29="Prepago",0,IF(ROUND(($H29+SUM($B$12:$B29))*$T$6,2)&gt;ROUND(SUM($R$11:$R28)+$T$6,2),$T$6*2,$T$6)),"")</f>
        <v>0</v>
      </c>
      <c r="S29" s="3">
        <f>IF($K29&lt;&gt;"",IF($A29="Prepago",0,IF(ROUND(($H29+SUM($B$12:$B29))*$T$7,2)&gt;ROUND(SUM($S$11:$S28)+$T$7,2),$T$7*2,$T$7)),"")</f>
        <v>0</v>
      </c>
      <c r="T29" s="3">
        <f>IF($K29&lt;&gt;"",IF($A29="Prepago",0,IF(ROUND(($H29+SUM($B$12:$B29))*$T$8,2)&gt;ROUND(SUM($T$11:$T28)+$T$8,2),$T$8*2,$T$8)),"")</f>
        <v>0</v>
      </c>
      <c r="U29" s="3">
        <f t="shared" si="11"/>
        <v>2378.3700000000013</v>
      </c>
      <c r="V29" s="3">
        <f t="shared" si="12"/>
        <v>0</v>
      </c>
      <c r="W29" s="3">
        <f t="shared" si="13"/>
        <v>26.05</v>
      </c>
      <c r="X29" s="3">
        <f t="shared" si="14"/>
        <v>25.2</v>
      </c>
      <c r="Y29" s="3">
        <f>IF($K29&lt;&gt;"",IF($M29&gt;X$11,IF($M29&lt;Y$11,$M29-X$11,30),0)*ROUND(($N29+$V28+SUM($X29:X29))*$U$5/3000,2),"")</f>
        <v>0.85</v>
      </c>
      <c r="Z29" s="3"/>
      <c r="AA29" s="3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</row>
    <row r="30" spans="1:84" x14ac:dyDescent="0.25">
      <c r="E30" s="5"/>
      <c r="F30" t="str">
        <f t="shared" si="0"/>
        <v>mi</v>
      </c>
      <c r="G30" s="5">
        <f t="shared" si="1"/>
        <v>44347</v>
      </c>
      <c r="H30" s="22">
        <f t="shared" si="2"/>
        <v>19</v>
      </c>
      <c r="I30" s="22">
        <f t="shared" si="3"/>
        <v>0</v>
      </c>
      <c r="J30" s="22">
        <f t="shared" si="15"/>
        <v>0</v>
      </c>
      <c r="K30">
        <f t="shared" si="4"/>
        <v>19</v>
      </c>
      <c r="L30" s="5">
        <f t="shared" si="5"/>
        <v>44321</v>
      </c>
      <c r="M30" s="9">
        <f t="shared" si="6"/>
        <v>30</v>
      </c>
      <c r="N30" s="3">
        <f t="shared" si="7"/>
        <v>2378.3700000000013</v>
      </c>
      <c r="O30" s="3">
        <f t="shared" si="8"/>
        <v>145.39999999999992</v>
      </c>
      <c r="P30" s="3">
        <f t="shared" si="9"/>
        <v>121.39999999999992</v>
      </c>
      <c r="Q30" s="3">
        <f t="shared" si="10"/>
        <v>24</v>
      </c>
      <c r="R30" s="3">
        <f>IF($K30&lt;&gt;"",IF($A30="Prepago",0,IF(ROUND(($H30+SUM($B$12:$B30))*$T$6,2)&gt;ROUND(SUM($R$11:$R29)+$T$6,2),$T$6*2,$T$6)),"")</f>
        <v>0</v>
      </c>
      <c r="S30" s="3">
        <f>IF($K30&lt;&gt;"",IF($A30="Prepago",0,IF(ROUND(($H30+SUM($B$12:$B30))*$T$7,2)&gt;ROUND(SUM($S$11:$S29)+$T$7,2),$T$7*2,$T$7)),"")</f>
        <v>0</v>
      </c>
      <c r="T30" s="3">
        <f>IF($K30&lt;&gt;"",IF($A30="Prepago",0,IF(ROUND(($H30+SUM($B$12:$B30))*$T$8,2)&gt;ROUND(SUM($T$11:$T29)+$T$8,2),$T$8*2,$T$8)),"")</f>
        <v>0</v>
      </c>
      <c r="U30" s="3">
        <f t="shared" si="11"/>
        <v>2256.9700000000012</v>
      </c>
      <c r="V30" s="3">
        <f t="shared" si="12"/>
        <v>0</v>
      </c>
      <c r="W30" s="3">
        <f t="shared" si="13"/>
        <v>24</v>
      </c>
      <c r="X30" s="3">
        <f t="shared" si="14"/>
        <v>24</v>
      </c>
      <c r="Y30" s="3">
        <f>IF($K30&lt;&gt;"",IF($M30&gt;X$11,IF($M30&lt;Y$11,$M30-X$11,30),0)*ROUND(($N30+$V29+SUM($X30:X30))*$U$5/3000,2),"")</f>
        <v>0</v>
      </c>
      <c r="Z30" s="3"/>
      <c r="AA30" s="3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</row>
    <row r="31" spans="1:84" x14ac:dyDescent="0.25">
      <c r="E31" s="5"/>
      <c r="F31" t="str">
        <f t="shared" si="0"/>
        <v>sá</v>
      </c>
      <c r="G31" s="5">
        <f t="shared" si="1"/>
        <v>44377</v>
      </c>
      <c r="H31" s="22">
        <f t="shared" si="2"/>
        <v>20</v>
      </c>
      <c r="I31" s="22">
        <f t="shared" si="3"/>
        <v>0</v>
      </c>
      <c r="J31" s="22">
        <f t="shared" si="15"/>
        <v>0</v>
      </c>
      <c r="K31">
        <f t="shared" si="4"/>
        <v>20</v>
      </c>
      <c r="L31" s="5">
        <f t="shared" si="5"/>
        <v>44352</v>
      </c>
      <c r="M31" s="9">
        <f t="shared" si="6"/>
        <v>31</v>
      </c>
      <c r="N31" s="3">
        <f t="shared" si="7"/>
        <v>2256.9700000000012</v>
      </c>
      <c r="O31" s="3">
        <f t="shared" si="8"/>
        <v>145.39999999999992</v>
      </c>
      <c r="P31" s="3">
        <f t="shared" si="9"/>
        <v>121.82999999999993</v>
      </c>
      <c r="Q31" s="3">
        <f t="shared" si="10"/>
        <v>23.57</v>
      </c>
      <c r="R31" s="3">
        <f>IF($K31&lt;&gt;"",IF($A31="Prepago",0,IF(ROUND(($H31+SUM($B$12:$B31))*$T$6,2)&gt;ROUND(SUM($R$11:$R30)+$T$6,2),$T$6*2,$T$6)),"")</f>
        <v>0</v>
      </c>
      <c r="S31" s="3">
        <f>IF($K31&lt;&gt;"",IF($A31="Prepago",0,IF(ROUND(($H31+SUM($B$12:$B31))*$T$7,2)&gt;ROUND(SUM($S$11:$S30)+$T$7,2),$T$7*2,$T$7)),"")</f>
        <v>0</v>
      </c>
      <c r="T31" s="3">
        <f>IF($K31&lt;&gt;"",IF($A31="Prepago",0,IF(ROUND(($H31+SUM($B$12:$B31))*$T$8,2)&gt;ROUND(SUM($T$11:$T30)+$T$8,2),$T$8*2,$T$8)),"")</f>
        <v>0</v>
      </c>
      <c r="U31" s="3">
        <f t="shared" si="11"/>
        <v>2135.1400000000012</v>
      </c>
      <c r="V31" s="3">
        <f t="shared" si="12"/>
        <v>0</v>
      </c>
      <c r="W31" s="3">
        <f t="shared" si="13"/>
        <v>23.57</v>
      </c>
      <c r="X31" s="3">
        <f t="shared" si="14"/>
        <v>22.8</v>
      </c>
      <c r="Y31" s="3">
        <f>IF($K31&lt;&gt;"",IF($M31&gt;X$11,IF($M31&lt;Y$11,$M31-X$11,30),0)*ROUND(($N31+$V30+SUM($X31:X31))*$U$5/3000,2),"")</f>
        <v>0.77</v>
      </c>
      <c r="Z31" s="3"/>
      <c r="AA31" s="3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</row>
    <row r="32" spans="1:84" x14ac:dyDescent="0.25">
      <c r="E32" s="5"/>
      <c r="F32" t="str">
        <f t="shared" si="0"/>
        <v>lu</v>
      </c>
      <c r="G32" s="5">
        <f t="shared" si="1"/>
        <v>44408</v>
      </c>
      <c r="H32" s="22">
        <f t="shared" si="2"/>
        <v>21</v>
      </c>
      <c r="I32" s="22">
        <f t="shared" si="3"/>
        <v>0</v>
      </c>
      <c r="J32" s="22">
        <f t="shared" si="15"/>
        <v>0</v>
      </c>
      <c r="K32">
        <f t="shared" si="4"/>
        <v>21</v>
      </c>
      <c r="L32" s="5">
        <f t="shared" si="5"/>
        <v>44382</v>
      </c>
      <c r="M32" s="9">
        <f t="shared" si="6"/>
        <v>30</v>
      </c>
      <c r="N32" s="3">
        <f t="shared" si="7"/>
        <v>2135.1400000000012</v>
      </c>
      <c r="O32" s="3">
        <f t="shared" si="8"/>
        <v>145.39999999999992</v>
      </c>
      <c r="P32" s="3">
        <f t="shared" si="9"/>
        <v>123.79999999999993</v>
      </c>
      <c r="Q32" s="3">
        <f t="shared" si="10"/>
        <v>21.599999999999998</v>
      </c>
      <c r="R32" s="3">
        <f>IF($K32&lt;&gt;"",IF($A32="Prepago",0,IF(ROUND(($H32+SUM($B$12:$B32))*$T$6,2)&gt;ROUND(SUM($R$11:$R31)+$T$6,2),$T$6*2,$T$6)),"")</f>
        <v>0</v>
      </c>
      <c r="S32" s="3">
        <f>IF($K32&lt;&gt;"",IF($A32="Prepago",0,IF(ROUND(($H32+SUM($B$12:$B32))*$T$7,2)&gt;ROUND(SUM($S$11:$S31)+$T$7,2),$T$7*2,$T$7)),"")</f>
        <v>0</v>
      </c>
      <c r="T32" s="3">
        <f>IF($K32&lt;&gt;"",IF($A32="Prepago",0,IF(ROUND(($H32+SUM($B$12:$B32))*$T$8,2)&gt;ROUND(SUM($T$11:$T31)+$T$8,2),$T$8*2,$T$8)),"")</f>
        <v>0</v>
      </c>
      <c r="U32" s="3">
        <f t="shared" si="11"/>
        <v>2011.3400000000013</v>
      </c>
      <c r="V32" s="3">
        <f t="shared" si="12"/>
        <v>0</v>
      </c>
      <c r="W32" s="3">
        <f t="shared" si="13"/>
        <v>21.599999999999998</v>
      </c>
      <c r="X32" s="3">
        <f t="shared" si="14"/>
        <v>21.599999999999998</v>
      </c>
      <c r="Y32" s="3">
        <f>IF($K32&lt;&gt;"",IF($M32&gt;X$11,IF($M32&lt;Y$11,$M32-X$11,30),0)*ROUND(($N32+$V31+SUM($X32:X32))*$U$5/3000,2),"")</f>
        <v>0</v>
      </c>
      <c r="Z32" s="3"/>
      <c r="AA32" s="3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</row>
    <row r="33" spans="5:84" x14ac:dyDescent="0.25">
      <c r="E33" s="5"/>
      <c r="F33" t="str">
        <f t="shared" si="0"/>
        <v>ju</v>
      </c>
      <c r="G33" s="5">
        <f t="shared" si="1"/>
        <v>44439</v>
      </c>
      <c r="H33" s="22">
        <f t="shared" si="2"/>
        <v>22</v>
      </c>
      <c r="I33" s="22">
        <f t="shared" si="3"/>
        <v>0</v>
      </c>
      <c r="J33" s="22">
        <f t="shared" si="15"/>
        <v>0</v>
      </c>
      <c r="K33">
        <f t="shared" si="4"/>
        <v>22</v>
      </c>
      <c r="L33" s="5">
        <f t="shared" si="5"/>
        <v>44413</v>
      </c>
      <c r="M33" s="9">
        <f t="shared" si="6"/>
        <v>31</v>
      </c>
      <c r="N33" s="3">
        <f t="shared" si="7"/>
        <v>2011.3400000000013</v>
      </c>
      <c r="O33" s="3">
        <f t="shared" si="8"/>
        <v>145.39999999999992</v>
      </c>
      <c r="P33" s="3">
        <f t="shared" si="9"/>
        <v>124.30999999999992</v>
      </c>
      <c r="Q33" s="3">
        <f t="shared" si="10"/>
        <v>21.090000000000003</v>
      </c>
      <c r="R33" s="3">
        <f>IF($K33&lt;&gt;"",IF($A33="Prepago",0,IF(ROUND(($H33+SUM($B$12:$B33))*$T$6,2)&gt;ROUND(SUM($R$11:$R32)+$T$6,2),$T$6*2,$T$6)),"")</f>
        <v>0</v>
      </c>
      <c r="S33" s="3">
        <f>IF($K33&lt;&gt;"",IF($A33="Prepago",0,IF(ROUND(($H33+SUM($B$12:$B33))*$T$7,2)&gt;ROUND(SUM($S$11:$S32)+$T$7,2),$T$7*2,$T$7)),"")</f>
        <v>0</v>
      </c>
      <c r="T33" s="3">
        <f>IF($K33&lt;&gt;"",IF($A33="Prepago",0,IF(ROUND(($H33+SUM($B$12:$B33))*$T$8,2)&gt;ROUND(SUM($T$11:$T32)+$T$8,2),$T$8*2,$T$8)),"")</f>
        <v>0</v>
      </c>
      <c r="U33" s="3">
        <f t="shared" si="11"/>
        <v>1887.0300000000013</v>
      </c>
      <c r="V33" s="3">
        <f t="shared" si="12"/>
        <v>0</v>
      </c>
      <c r="W33" s="3">
        <f t="shared" si="13"/>
        <v>21.090000000000003</v>
      </c>
      <c r="X33" s="3">
        <f t="shared" si="14"/>
        <v>20.400000000000002</v>
      </c>
      <c r="Y33" s="3">
        <f>IF($K33&lt;&gt;"",IF($M33&gt;X$11,IF($M33&lt;Y$11,$M33-X$11,30),0)*ROUND(($N33+$V32+SUM($X33:X33))*$U$5/3000,2),"")</f>
        <v>0.69</v>
      </c>
      <c r="Z33" s="3"/>
      <c r="AA33" s="3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</row>
    <row r="34" spans="5:84" x14ac:dyDescent="0.25">
      <c r="E34" s="5"/>
      <c r="F34" t="str">
        <f t="shared" si="0"/>
        <v>do</v>
      </c>
      <c r="G34" s="5">
        <f t="shared" si="1"/>
        <v>44469</v>
      </c>
      <c r="H34" s="22">
        <f t="shared" si="2"/>
        <v>23</v>
      </c>
      <c r="I34" s="22">
        <f t="shared" si="3"/>
        <v>0</v>
      </c>
      <c r="J34" s="22">
        <f t="shared" si="15"/>
        <v>0</v>
      </c>
      <c r="K34">
        <f t="shared" si="4"/>
        <v>23</v>
      </c>
      <c r="L34" s="5">
        <f t="shared" si="5"/>
        <v>44444</v>
      </c>
      <c r="M34" s="9">
        <f t="shared" si="6"/>
        <v>31</v>
      </c>
      <c r="N34" s="3">
        <f t="shared" si="7"/>
        <v>1887.0300000000013</v>
      </c>
      <c r="O34" s="3">
        <f t="shared" si="8"/>
        <v>145.39999999999992</v>
      </c>
      <c r="P34" s="3">
        <f t="shared" si="9"/>
        <v>125.55999999999992</v>
      </c>
      <c r="Q34" s="3">
        <f t="shared" si="10"/>
        <v>19.84</v>
      </c>
      <c r="R34" s="3">
        <f>IF($K34&lt;&gt;"",IF($A34="Prepago",0,IF(ROUND(($H34+SUM($B$12:$B34))*$T$6,2)&gt;ROUND(SUM($R$11:$R33)+$T$6,2),$T$6*2,$T$6)),"")</f>
        <v>0</v>
      </c>
      <c r="S34" s="3">
        <f>IF($K34&lt;&gt;"",IF($A34="Prepago",0,IF(ROUND(($H34+SUM($B$12:$B34))*$T$7,2)&gt;ROUND(SUM($S$11:$S33)+$T$7,2),$T$7*2,$T$7)),"")</f>
        <v>0</v>
      </c>
      <c r="T34" s="3">
        <f>IF($K34&lt;&gt;"",IF($A34="Prepago",0,IF(ROUND(($H34+SUM($B$12:$B34))*$T$8,2)&gt;ROUND(SUM($T$11:$T33)+$T$8,2),$T$8*2,$T$8)),"")</f>
        <v>0</v>
      </c>
      <c r="U34" s="3">
        <f t="shared" si="11"/>
        <v>1761.4700000000014</v>
      </c>
      <c r="V34" s="3">
        <f t="shared" si="12"/>
        <v>0</v>
      </c>
      <c r="W34" s="3">
        <f t="shared" si="13"/>
        <v>19.84</v>
      </c>
      <c r="X34" s="3">
        <f t="shared" si="14"/>
        <v>19.2</v>
      </c>
      <c r="Y34" s="3">
        <f>IF($K34&lt;&gt;"",IF($M34&gt;X$11,IF($M34&lt;Y$11,$M34-X$11,30),0)*ROUND(($N34+$V33+SUM($X34:X34))*$U$5/3000,2),"")</f>
        <v>0.64</v>
      </c>
      <c r="Z34" s="3"/>
      <c r="AA34" s="3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</row>
    <row r="35" spans="5:84" x14ac:dyDescent="0.25">
      <c r="E35" s="5"/>
      <c r="F35" t="str">
        <f t="shared" si="0"/>
        <v>ma</v>
      </c>
      <c r="G35" s="5">
        <f t="shared" si="1"/>
        <v>44500</v>
      </c>
      <c r="H35" s="22">
        <f t="shared" si="2"/>
        <v>24</v>
      </c>
      <c r="I35" s="22">
        <f t="shared" si="3"/>
        <v>0</v>
      </c>
      <c r="J35" s="22">
        <f t="shared" si="15"/>
        <v>0</v>
      </c>
      <c r="K35">
        <f t="shared" si="4"/>
        <v>24</v>
      </c>
      <c r="L35" s="5">
        <f t="shared" si="5"/>
        <v>44474</v>
      </c>
      <c r="M35" s="9">
        <f t="shared" si="6"/>
        <v>30</v>
      </c>
      <c r="N35" s="3">
        <f t="shared" si="7"/>
        <v>1761.4700000000014</v>
      </c>
      <c r="O35" s="3">
        <f t="shared" si="8"/>
        <v>145.39999999999992</v>
      </c>
      <c r="P35" s="3">
        <f t="shared" si="9"/>
        <v>127.69999999999992</v>
      </c>
      <c r="Q35" s="3">
        <f t="shared" si="10"/>
        <v>17.7</v>
      </c>
      <c r="R35" s="3">
        <f>IF($K35&lt;&gt;"",IF($A35="Prepago",0,IF(ROUND(($H35+SUM($B$12:$B35))*$T$6,2)&gt;ROUND(SUM($R$11:$R34)+$T$6,2),$T$6*2,$T$6)),"")</f>
        <v>0</v>
      </c>
      <c r="S35" s="3">
        <f>IF($K35&lt;&gt;"",IF($A35="Prepago",0,IF(ROUND(($H35+SUM($B$12:$B35))*$T$7,2)&gt;ROUND(SUM($S$11:$S34)+$T$7,2),$T$7*2,$T$7)),"")</f>
        <v>0</v>
      </c>
      <c r="T35" s="3">
        <f>IF($K35&lt;&gt;"",IF($A35="Prepago",0,IF(ROUND(($H35+SUM($B$12:$B35))*$T$8,2)&gt;ROUND(SUM($T$11:$T34)+$T$8,2),$T$8*2,$T$8)),"")</f>
        <v>0</v>
      </c>
      <c r="U35" s="3">
        <f t="shared" si="11"/>
        <v>1633.7700000000016</v>
      </c>
      <c r="V35" s="3">
        <f t="shared" si="12"/>
        <v>0</v>
      </c>
      <c r="W35" s="3">
        <f t="shared" si="13"/>
        <v>17.7</v>
      </c>
      <c r="X35" s="3">
        <f t="shared" si="14"/>
        <v>17.7</v>
      </c>
      <c r="Y35" s="3">
        <f>IF($K35&lt;&gt;"",IF($M35&gt;X$11,IF($M35&lt;Y$11,$M35-X$11,30),0)*ROUND(($N35+$V34+SUM($X35:X35))*$U$5/3000,2),"")</f>
        <v>0</v>
      </c>
      <c r="Z35" s="3"/>
      <c r="AA35" s="3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</row>
    <row r="36" spans="5:84" x14ac:dyDescent="0.25">
      <c r="E36" s="5"/>
      <c r="F36" t="str">
        <f t="shared" si="0"/>
        <v>vi</v>
      </c>
      <c r="G36" s="5">
        <f t="shared" si="1"/>
        <v>44530</v>
      </c>
      <c r="H36" s="22">
        <f t="shared" si="2"/>
        <v>25</v>
      </c>
      <c r="I36" s="22">
        <f t="shared" si="3"/>
        <v>0</v>
      </c>
      <c r="J36" s="22">
        <f t="shared" si="15"/>
        <v>0</v>
      </c>
      <c r="K36">
        <f t="shared" si="4"/>
        <v>25</v>
      </c>
      <c r="L36" s="5">
        <f t="shared" si="5"/>
        <v>44505</v>
      </c>
      <c r="M36" s="9">
        <f t="shared" si="6"/>
        <v>31</v>
      </c>
      <c r="N36" s="3">
        <f t="shared" si="7"/>
        <v>1633.7700000000016</v>
      </c>
      <c r="O36" s="3">
        <f t="shared" si="8"/>
        <v>145.39999999999992</v>
      </c>
      <c r="P36" s="3">
        <f t="shared" si="9"/>
        <v>128.33999999999992</v>
      </c>
      <c r="Q36" s="3">
        <f t="shared" si="10"/>
        <v>17.059999999999999</v>
      </c>
      <c r="R36" s="3">
        <f>IF($K36&lt;&gt;"",IF($A36="Prepago",0,IF(ROUND(($H36+SUM($B$12:$B36))*$T$6,2)&gt;ROUND(SUM($R$11:$R35)+$T$6,2),$T$6*2,$T$6)),"")</f>
        <v>0</v>
      </c>
      <c r="S36" s="3">
        <f>IF($K36&lt;&gt;"",IF($A36="Prepago",0,IF(ROUND(($H36+SUM($B$12:$B36))*$T$7,2)&gt;ROUND(SUM($S$11:$S35)+$T$7,2),$T$7*2,$T$7)),"")</f>
        <v>0</v>
      </c>
      <c r="T36" s="3">
        <f>IF($K36&lt;&gt;"",IF($A36="Prepago",0,IF(ROUND(($H36+SUM($B$12:$B36))*$T$8,2)&gt;ROUND(SUM($T$11:$T35)+$T$8,2),$T$8*2,$T$8)),"")</f>
        <v>0</v>
      </c>
      <c r="U36" s="3">
        <f t="shared" si="11"/>
        <v>1505.4300000000017</v>
      </c>
      <c r="V36" s="3">
        <f t="shared" si="12"/>
        <v>0</v>
      </c>
      <c r="W36" s="3">
        <f t="shared" si="13"/>
        <v>17.059999999999999</v>
      </c>
      <c r="X36" s="3">
        <f t="shared" si="14"/>
        <v>16.5</v>
      </c>
      <c r="Y36" s="3">
        <f>IF($K36&lt;&gt;"",IF($M36&gt;X$11,IF($M36&lt;Y$11,$M36-X$11,30),0)*ROUND(($N36+$V35+SUM($X36:X36))*$U$5/3000,2),"")</f>
        <v>0.56000000000000005</v>
      </c>
      <c r="Z36" s="3"/>
      <c r="AA36" s="3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</row>
    <row r="37" spans="5:84" x14ac:dyDescent="0.25">
      <c r="E37" s="5"/>
      <c r="F37" t="str">
        <f t="shared" si="0"/>
        <v>do</v>
      </c>
      <c r="G37" s="5">
        <f t="shared" si="1"/>
        <v>44561</v>
      </c>
      <c r="H37" s="22">
        <f t="shared" si="2"/>
        <v>26</v>
      </c>
      <c r="I37" s="22">
        <f t="shared" si="3"/>
        <v>0</v>
      </c>
      <c r="J37" s="22">
        <f t="shared" si="15"/>
        <v>0</v>
      </c>
      <c r="K37">
        <f t="shared" si="4"/>
        <v>26</v>
      </c>
      <c r="L37" s="5">
        <f t="shared" si="5"/>
        <v>44535</v>
      </c>
      <c r="M37" s="9">
        <f t="shared" si="6"/>
        <v>30</v>
      </c>
      <c r="N37" s="3">
        <f t="shared" si="7"/>
        <v>1505.4300000000017</v>
      </c>
      <c r="O37" s="3">
        <f t="shared" si="8"/>
        <v>145.39999999999992</v>
      </c>
      <c r="P37" s="3">
        <f t="shared" si="9"/>
        <v>130.09999999999991</v>
      </c>
      <c r="Q37" s="3">
        <f t="shared" si="10"/>
        <v>15.3</v>
      </c>
      <c r="R37" s="3">
        <f>IF($K37&lt;&gt;"",IF($A37="Prepago",0,IF(ROUND(($H37+SUM($B$12:$B37))*$T$6,2)&gt;ROUND(SUM($R$11:$R36)+$T$6,2),$T$6*2,$T$6)),"")</f>
        <v>0</v>
      </c>
      <c r="S37" s="3">
        <f>IF($K37&lt;&gt;"",IF($A37="Prepago",0,IF(ROUND(($H37+SUM($B$12:$B37))*$T$7,2)&gt;ROUND(SUM($S$11:$S36)+$T$7,2),$T$7*2,$T$7)),"")</f>
        <v>0</v>
      </c>
      <c r="T37" s="3">
        <f>IF($K37&lt;&gt;"",IF($A37="Prepago",0,IF(ROUND(($H37+SUM($B$12:$B37))*$T$8,2)&gt;ROUND(SUM($T$11:$T36)+$T$8,2),$T$8*2,$T$8)),"")</f>
        <v>0</v>
      </c>
      <c r="U37" s="3">
        <f t="shared" si="11"/>
        <v>1375.3300000000017</v>
      </c>
      <c r="V37" s="3">
        <f t="shared" si="12"/>
        <v>0</v>
      </c>
      <c r="W37" s="3">
        <f t="shared" si="13"/>
        <v>15.3</v>
      </c>
      <c r="X37" s="3">
        <f t="shared" si="14"/>
        <v>15.3</v>
      </c>
      <c r="Y37" s="3">
        <f>IF($K37&lt;&gt;"",IF($M37&gt;X$11,IF($M37&lt;Y$11,$M37-X$11,30),0)*ROUND(($N37+$V36+SUM($X37:X37))*$U$5/3000,2),"")</f>
        <v>0</v>
      </c>
      <c r="Z37" s="3"/>
      <c r="AA37" s="3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</row>
    <row r="38" spans="5:84" x14ac:dyDescent="0.25">
      <c r="E38" s="5"/>
      <c r="F38" t="str">
        <f t="shared" si="0"/>
        <v>mi</v>
      </c>
      <c r="G38" s="5">
        <f t="shared" si="1"/>
        <v>44592</v>
      </c>
      <c r="H38" s="22">
        <f t="shared" si="2"/>
        <v>27</v>
      </c>
      <c r="I38" s="22">
        <f t="shared" si="3"/>
        <v>0</v>
      </c>
      <c r="J38" s="22">
        <f t="shared" si="15"/>
        <v>0</v>
      </c>
      <c r="K38">
        <f t="shared" si="4"/>
        <v>27</v>
      </c>
      <c r="L38" s="5">
        <f t="shared" si="5"/>
        <v>44566</v>
      </c>
      <c r="M38" s="9">
        <f t="shared" si="6"/>
        <v>31</v>
      </c>
      <c r="N38" s="3">
        <f t="shared" si="7"/>
        <v>1375.3300000000017</v>
      </c>
      <c r="O38" s="3">
        <f t="shared" si="8"/>
        <v>145.39999999999992</v>
      </c>
      <c r="P38" s="3">
        <f t="shared" si="9"/>
        <v>131.12999999999991</v>
      </c>
      <c r="Q38" s="3">
        <f t="shared" si="10"/>
        <v>14.270000000000001</v>
      </c>
      <c r="R38" s="3">
        <f>IF($K38&lt;&gt;"",IF($A38="Prepago",0,IF(ROUND(($H38+SUM($B$12:$B38))*$T$6,2)&gt;ROUND(SUM($R$11:$R37)+$T$6,2),$T$6*2,$T$6)),"")</f>
        <v>0</v>
      </c>
      <c r="S38" s="3">
        <f>IF($K38&lt;&gt;"",IF($A38="Prepago",0,IF(ROUND(($H38+SUM($B$12:$B38))*$T$7,2)&gt;ROUND(SUM($S$11:$S37)+$T$7,2),$T$7*2,$T$7)),"")</f>
        <v>0</v>
      </c>
      <c r="T38" s="3">
        <f>IF($K38&lt;&gt;"",IF($A38="Prepago",0,IF(ROUND(($H38+SUM($B$12:$B38))*$T$8,2)&gt;ROUND(SUM($T$11:$T37)+$T$8,2),$T$8*2,$T$8)),"")</f>
        <v>0</v>
      </c>
      <c r="U38" s="3">
        <f t="shared" si="11"/>
        <v>1244.2000000000019</v>
      </c>
      <c r="V38" s="3">
        <f t="shared" si="12"/>
        <v>0</v>
      </c>
      <c r="W38" s="3">
        <f t="shared" si="13"/>
        <v>14.270000000000001</v>
      </c>
      <c r="X38" s="3">
        <f t="shared" si="14"/>
        <v>13.8</v>
      </c>
      <c r="Y38" s="3">
        <f>IF($K38&lt;&gt;"",IF($M38&gt;X$11,IF($M38&lt;Y$11,$M38-X$11,30),0)*ROUND(($N38+$V37+SUM($X38:X38))*$U$5/3000,2),"")</f>
        <v>0.47</v>
      </c>
      <c r="Z38" s="3"/>
      <c r="AA38" s="3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</row>
    <row r="39" spans="5:84" x14ac:dyDescent="0.25">
      <c r="E39" s="5"/>
      <c r="F39" t="str">
        <f t="shared" si="0"/>
        <v>sá</v>
      </c>
      <c r="G39" s="5">
        <f t="shared" si="1"/>
        <v>44620</v>
      </c>
      <c r="H39" s="22">
        <f t="shared" si="2"/>
        <v>28</v>
      </c>
      <c r="I39" s="22">
        <f t="shared" si="3"/>
        <v>0</v>
      </c>
      <c r="J39" s="22">
        <f t="shared" si="15"/>
        <v>0</v>
      </c>
      <c r="K39">
        <f t="shared" si="4"/>
        <v>28</v>
      </c>
      <c r="L39" s="5">
        <f t="shared" si="5"/>
        <v>44597</v>
      </c>
      <c r="M39" s="9">
        <f t="shared" si="6"/>
        <v>31</v>
      </c>
      <c r="N39" s="3">
        <f t="shared" si="7"/>
        <v>1244.2000000000019</v>
      </c>
      <c r="O39" s="3">
        <f t="shared" si="8"/>
        <v>145.39999999999992</v>
      </c>
      <c r="P39" s="3">
        <f t="shared" si="9"/>
        <v>132.37999999999991</v>
      </c>
      <c r="Q39" s="3">
        <f t="shared" si="10"/>
        <v>13.02</v>
      </c>
      <c r="R39" s="3">
        <f>IF($K39&lt;&gt;"",IF($A39="Prepago",0,IF(ROUND(($H39+SUM($B$12:$B39))*$T$6,2)&gt;ROUND(SUM($R$11:$R38)+$T$6,2),$T$6*2,$T$6)),"")</f>
        <v>0</v>
      </c>
      <c r="S39" s="3">
        <f>IF($K39&lt;&gt;"",IF($A39="Prepago",0,IF(ROUND(($H39+SUM($B$12:$B39))*$T$7,2)&gt;ROUND(SUM($S$11:$S38)+$T$7,2),$T$7*2,$T$7)),"")</f>
        <v>0</v>
      </c>
      <c r="T39" s="3">
        <f>IF($K39&lt;&gt;"",IF($A39="Prepago",0,IF(ROUND(($H39+SUM($B$12:$B39))*$T$8,2)&gt;ROUND(SUM($T$11:$T38)+$T$8,2),$T$8*2,$T$8)),"")</f>
        <v>0</v>
      </c>
      <c r="U39" s="3">
        <f t="shared" si="11"/>
        <v>1111.820000000002</v>
      </c>
      <c r="V39" s="3">
        <f t="shared" si="12"/>
        <v>0</v>
      </c>
      <c r="W39" s="3">
        <f t="shared" si="13"/>
        <v>13.02</v>
      </c>
      <c r="X39" s="3">
        <f t="shared" si="14"/>
        <v>12.6</v>
      </c>
      <c r="Y39" s="3">
        <f>IF($K39&lt;&gt;"",IF($M39&gt;X$11,IF($M39&lt;Y$11,$M39-X$11,30),0)*ROUND(($N39+$V38+SUM($X39:X39))*$U$5/3000,2),"")</f>
        <v>0.42</v>
      </c>
      <c r="Z39" s="3"/>
      <c r="AA39" s="3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</row>
    <row r="40" spans="5:84" x14ac:dyDescent="0.25">
      <c r="E40" s="5"/>
      <c r="F40" t="str">
        <f t="shared" si="0"/>
        <v>sá</v>
      </c>
      <c r="G40" s="5">
        <f t="shared" si="1"/>
        <v>44651</v>
      </c>
      <c r="H40" s="22">
        <f t="shared" si="2"/>
        <v>29</v>
      </c>
      <c r="I40" s="22">
        <f t="shared" si="3"/>
        <v>0</v>
      </c>
      <c r="J40" s="22">
        <f t="shared" si="15"/>
        <v>0</v>
      </c>
      <c r="K40">
        <f t="shared" si="4"/>
        <v>29</v>
      </c>
      <c r="L40" s="5">
        <f t="shared" si="5"/>
        <v>44625</v>
      </c>
      <c r="M40" s="9">
        <f t="shared" si="6"/>
        <v>28</v>
      </c>
      <c r="N40" s="3">
        <f t="shared" si="7"/>
        <v>1111.820000000002</v>
      </c>
      <c r="O40" s="3">
        <f t="shared" si="8"/>
        <v>145.39999999999992</v>
      </c>
      <c r="P40" s="3">
        <f t="shared" si="9"/>
        <v>134.75999999999993</v>
      </c>
      <c r="Q40" s="3">
        <f t="shared" si="10"/>
        <v>10.64</v>
      </c>
      <c r="R40" s="3">
        <f>IF($K40&lt;&gt;"",IF($A40="Prepago",0,IF(ROUND(($H40+SUM($B$12:$B40))*$T$6,2)&gt;ROUND(SUM($R$11:$R39)+$T$6,2),$T$6*2,$T$6)),"")</f>
        <v>0</v>
      </c>
      <c r="S40" s="3">
        <f>IF($K40&lt;&gt;"",IF($A40="Prepago",0,IF(ROUND(($H40+SUM($B$12:$B40))*$T$7,2)&gt;ROUND(SUM($S$11:$S39)+$T$7,2),$T$7*2,$T$7)),"")</f>
        <v>0</v>
      </c>
      <c r="T40" s="3">
        <f>IF($K40&lt;&gt;"",IF($A40="Prepago",0,IF(ROUND(($H40+SUM($B$12:$B40))*$T$8,2)&gt;ROUND(SUM($T$11:$T39)+$T$8,2),$T$8*2,$T$8)),"")</f>
        <v>0</v>
      </c>
      <c r="U40" s="3">
        <f t="shared" si="11"/>
        <v>977.06000000000199</v>
      </c>
      <c r="V40" s="3">
        <f t="shared" si="12"/>
        <v>0</v>
      </c>
      <c r="W40" s="3">
        <f t="shared" si="13"/>
        <v>10.64</v>
      </c>
      <c r="X40" s="3">
        <f t="shared" si="14"/>
        <v>10.64</v>
      </c>
      <c r="Y40" s="3">
        <f>IF($K40&lt;&gt;"",IF($M40&gt;X$11,IF($M40&lt;Y$11,$M40-X$11,30),0)*ROUND(($N40+$V39+SUM($X40:X40))*$U$5/3000,2),"")</f>
        <v>0</v>
      </c>
      <c r="Z40" s="3"/>
      <c r="AA40" s="3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</row>
    <row r="41" spans="5:84" x14ac:dyDescent="0.25">
      <c r="E41" s="5"/>
      <c r="F41" t="str">
        <f t="shared" si="0"/>
        <v>ma</v>
      </c>
      <c r="G41" s="5">
        <f t="shared" si="1"/>
        <v>44681</v>
      </c>
      <c r="H41" s="22">
        <f t="shared" si="2"/>
        <v>30</v>
      </c>
      <c r="I41" s="22">
        <f t="shared" si="3"/>
        <v>0</v>
      </c>
      <c r="J41" s="22">
        <f t="shared" si="15"/>
        <v>0</v>
      </c>
      <c r="K41">
        <f t="shared" si="4"/>
        <v>30</v>
      </c>
      <c r="L41" s="5">
        <f t="shared" si="5"/>
        <v>44656</v>
      </c>
      <c r="M41" s="9">
        <f t="shared" si="6"/>
        <v>31</v>
      </c>
      <c r="N41" s="3">
        <f t="shared" si="7"/>
        <v>977.06000000000199</v>
      </c>
      <c r="O41" s="3">
        <f t="shared" si="8"/>
        <v>145.39999999999992</v>
      </c>
      <c r="P41" s="3">
        <f t="shared" si="9"/>
        <v>135.16999999999993</v>
      </c>
      <c r="Q41" s="3">
        <f t="shared" si="10"/>
        <v>10.23</v>
      </c>
      <c r="R41" s="3">
        <f>IF($K41&lt;&gt;"",IF($A41="Prepago",0,IF(ROUND(($H41+SUM($B$12:$B41))*$T$6,2)&gt;ROUND(SUM($R$11:$R40)+$T$6,2),$T$6*2,$T$6)),"")</f>
        <v>0</v>
      </c>
      <c r="S41" s="3">
        <f>IF($K41&lt;&gt;"",IF($A41="Prepago",0,IF(ROUND(($H41+SUM($B$12:$B41))*$T$7,2)&gt;ROUND(SUM($S$11:$S40)+$T$7,2),$T$7*2,$T$7)),"")</f>
        <v>0</v>
      </c>
      <c r="T41" s="3">
        <f>IF($K41&lt;&gt;"",IF($A41="Prepago",0,IF(ROUND(($H41+SUM($B$12:$B41))*$T$8,2)&gt;ROUND(SUM($T$11:$T40)+$T$8,2),$T$8*2,$T$8)),"")</f>
        <v>0</v>
      </c>
      <c r="U41" s="3">
        <f t="shared" si="11"/>
        <v>841.89000000000203</v>
      </c>
      <c r="V41" s="3">
        <f t="shared" si="12"/>
        <v>0</v>
      </c>
      <c r="W41" s="3">
        <f t="shared" si="13"/>
        <v>10.23</v>
      </c>
      <c r="X41" s="3">
        <f t="shared" si="14"/>
        <v>9.9</v>
      </c>
      <c r="Y41" s="3">
        <f>IF($K41&lt;&gt;"",IF($M41&gt;X$11,IF($M41&lt;Y$11,$M41-X$11,30),0)*ROUND(($N41+$V40+SUM($X41:X41))*$U$5/3000,2),"")</f>
        <v>0.33</v>
      </c>
      <c r="Z41" s="3"/>
      <c r="AA41" s="3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</row>
    <row r="42" spans="5:84" x14ac:dyDescent="0.25">
      <c r="E42" s="5"/>
      <c r="F42" t="str">
        <f t="shared" si="0"/>
        <v>ju</v>
      </c>
      <c r="G42" s="5">
        <f t="shared" si="1"/>
        <v>44712</v>
      </c>
      <c r="H42" s="22">
        <f t="shared" si="2"/>
        <v>31</v>
      </c>
      <c r="I42" s="22">
        <f t="shared" si="3"/>
        <v>0</v>
      </c>
      <c r="J42" s="22">
        <f t="shared" si="15"/>
        <v>0</v>
      </c>
      <c r="K42">
        <f t="shared" si="4"/>
        <v>31</v>
      </c>
      <c r="L42" s="5">
        <f t="shared" si="5"/>
        <v>44686</v>
      </c>
      <c r="M42" s="9">
        <f t="shared" si="6"/>
        <v>30</v>
      </c>
      <c r="N42" s="3">
        <f t="shared" si="7"/>
        <v>841.89000000000203</v>
      </c>
      <c r="O42" s="3">
        <f t="shared" si="8"/>
        <v>145.39999999999992</v>
      </c>
      <c r="P42" s="3">
        <f t="shared" si="9"/>
        <v>136.99999999999991</v>
      </c>
      <c r="Q42" s="3">
        <f t="shared" si="10"/>
        <v>8.4</v>
      </c>
      <c r="R42" s="3">
        <f>IF($K42&lt;&gt;"",IF($A42="Prepago",0,IF(ROUND(($H42+SUM($B$12:$B42))*$T$6,2)&gt;ROUND(SUM($R$11:$R41)+$T$6,2),$T$6*2,$T$6)),"")</f>
        <v>0</v>
      </c>
      <c r="S42" s="3">
        <f>IF($K42&lt;&gt;"",IF($A42="Prepago",0,IF(ROUND(($H42+SUM($B$12:$B42))*$T$7,2)&gt;ROUND(SUM($S$11:$S41)+$T$7,2),$T$7*2,$T$7)),"")</f>
        <v>0</v>
      </c>
      <c r="T42" s="3">
        <f>IF($K42&lt;&gt;"",IF($A42="Prepago",0,IF(ROUND(($H42+SUM($B$12:$B42))*$T$8,2)&gt;ROUND(SUM($T$11:$T41)+$T$8,2),$T$8*2,$T$8)),"")</f>
        <v>0</v>
      </c>
      <c r="U42" s="3">
        <f t="shared" si="11"/>
        <v>704.89000000000215</v>
      </c>
      <c r="V42" s="3">
        <f t="shared" si="12"/>
        <v>0</v>
      </c>
      <c r="W42" s="3">
        <f t="shared" si="13"/>
        <v>8.4</v>
      </c>
      <c r="X42" s="3">
        <f t="shared" si="14"/>
        <v>8.4</v>
      </c>
      <c r="Y42" s="3">
        <f>IF($K42&lt;&gt;"",IF($M42&gt;X$11,IF($M42&lt;Y$11,$M42-X$11,30),0)*ROUND(($N42+$V41+SUM($X42:X42))*$U$5/3000,2),"")</f>
        <v>0</v>
      </c>
      <c r="Z42" s="3"/>
      <c r="AA42" s="3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</row>
    <row r="43" spans="5:84" x14ac:dyDescent="0.25">
      <c r="E43" s="5"/>
      <c r="F43" t="str">
        <f t="shared" si="0"/>
        <v>do</v>
      </c>
      <c r="G43" s="5">
        <f t="shared" si="1"/>
        <v>44742</v>
      </c>
      <c r="H43" s="22">
        <f t="shared" si="2"/>
        <v>32</v>
      </c>
      <c r="I43" s="22">
        <f t="shared" si="3"/>
        <v>0</v>
      </c>
      <c r="J43" s="22">
        <f t="shared" si="15"/>
        <v>0</v>
      </c>
      <c r="K43">
        <f t="shared" si="4"/>
        <v>32</v>
      </c>
      <c r="L43" s="5">
        <f t="shared" si="5"/>
        <v>44717</v>
      </c>
      <c r="M43" s="9">
        <f t="shared" si="6"/>
        <v>31</v>
      </c>
      <c r="N43" s="3">
        <f t="shared" si="7"/>
        <v>704.89000000000215</v>
      </c>
      <c r="O43" s="3">
        <f t="shared" si="8"/>
        <v>145.39999999999992</v>
      </c>
      <c r="P43" s="3">
        <f t="shared" si="9"/>
        <v>137.95999999999992</v>
      </c>
      <c r="Q43" s="3">
        <f t="shared" si="10"/>
        <v>7.4399999999999995</v>
      </c>
      <c r="R43" s="3">
        <f>IF($K43&lt;&gt;"",IF($A43="Prepago",0,IF(ROUND(($H43+SUM($B$12:$B43))*$T$6,2)&gt;ROUND(SUM($R$11:$R42)+$T$6,2),$T$6*2,$T$6)),"")</f>
        <v>0</v>
      </c>
      <c r="S43" s="3">
        <f>IF($K43&lt;&gt;"",IF($A43="Prepago",0,IF(ROUND(($H43+SUM($B$12:$B43))*$T$7,2)&gt;ROUND(SUM($S$11:$S42)+$T$7,2),$T$7*2,$T$7)),"")</f>
        <v>0</v>
      </c>
      <c r="T43" s="3">
        <f>IF($K43&lt;&gt;"",IF($A43="Prepago",0,IF(ROUND(($H43+SUM($B$12:$B43))*$T$8,2)&gt;ROUND(SUM($T$11:$T42)+$T$8,2),$T$8*2,$T$8)),"")</f>
        <v>0</v>
      </c>
      <c r="U43" s="3">
        <f t="shared" si="11"/>
        <v>566.93000000000222</v>
      </c>
      <c r="V43" s="3">
        <f t="shared" si="12"/>
        <v>0</v>
      </c>
      <c r="W43" s="3">
        <f t="shared" si="13"/>
        <v>7.4399999999999995</v>
      </c>
      <c r="X43" s="3">
        <f t="shared" si="14"/>
        <v>7.1999999999999993</v>
      </c>
      <c r="Y43" s="3">
        <f>IF($K43&lt;&gt;"",IF($M43&gt;X$11,IF($M43&lt;Y$11,$M43-X$11,30),0)*ROUND(($N43+$V42+SUM($X43:X43))*$U$5/3000,2),"")</f>
        <v>0.24</v>
      </c>
      <c r="Z43" s="3"/>
      <c r="AA43" s="3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</row>
    <row r="44" spans="5:84" x14ac:dyDescent="0.25">
      <c r="E44" s="5"/>
      <c r="F44" t="str">
        <f t="shared" ref="F44:F75" si="16">IF($K44&lt;&gt;"",TEXT(L44,"DDD"),"")</f>
        <v>ma</v>
      </c>
      <c r="G44" s="5">
        <f t="shared" ref="G44:G75" si="17">IF($K44&lt;&gt;"",EOMONTH($L$11,H44),"")</f>
        <v>44773</v>
      </c>
      <c r="H44" s="22">
        <f t="shared" ref="H44:H75" si="18">IF($K44&lt;&gt;"",IF($A44="Prepago",$H43,$H43+1)+B44,"")</f>
        <v>33</v>
      </c>
      <c r="I44" s="22">
        <f t="shared" ref="I44:I75" si="19">IF(K44&lt;&gt;"",IF(COUNTA($X44:$XFD44)*30&lt;$M44,1,0),"")</f>
        <v>0</v>
      </c>
      <c r="J44" s="22">
        <f t="shared" si="15"/>
        <v>0</v>
      </c>
      <c r="K44">
        <f t="shared" ref="K44:K75" si="20">IF($K43&lt;NCUOTAS+CUOTAADICIONAL+PGRACIA,$K43+1,"")</f>
        <v>33</v>
      </c>
      <c r="L44" s="5">
        <f t="shared" ref="L44:L75" si="21">IF($K44&lt;&gt;"",IF(DAY(G44)&lt;$M$7,G44,DATE(YEAR(G44),MONTH(G44),$M$7)),"")</f>
        <v>44747</v>
      </c>
      <c r="M44" s="9">
        <f t="shared" ref="M44:M75" si="22">IF($K44&lt;&gt;"",$L44-$L43,"")</f>
        <v>30</v>
      </c>
      <c r="N44" s="3">
        <f t="shared" ref="N44:N75" si="23">IF($K44&lt;&gt;"",$U43,"")</f>
        <v>566.93000000000222</v>
      </c>
      <c r="O44" s="3">
        <f t="shared" ref="O44:O75" si="24">IF($K44&lt;&gt;"",IF($A44="Gracia Parcial",IF(AND($C44&lt;$W44+$R44+$S44+$T44+$V43,$C44&gt;0),$C44,$W44+$R44+$S44+$T44+$V43),IF($A44="Gracia Total",0,IF($A44="Prepago",$C44,IF(ISNUMBER($C44),$C44*VALUE(MID($C$1,MONTH($L44),1)),$P$5*VALUE(MID($C$1,MONTH($L44),1))))))-IF($K45="",ARREGLO,0),"")</f>
        <v>145.39999999999992</v>
      </c>
      <c r="P44" s="3">
        <f t="shared" ref="P44:P75" si="25">IF($K44&lt;&gt;"",IF($O44-$Q44&gt;0,$O44-$Q44-$R44-$S44-$T44,0),"")</f>
        <v>139.69999999999993</v>
      </c>
      <c r="Q44" s="3">
        <f t="shared" ref="Q44:Q75" si="26">IF($K44&lt;&gt;"",IF($O44&gt;=IF($D44="",$W44,$D44)+$V43+$R44+$S44+$T44,IF($D44="",$W44,$D44)+$V43,$O44-$R44-$S44-$T44),"")</f>
        <v>5.7</v>
      </c>
      <c r="R44" s="3">
        <f>IF($K44&lt;&gt;"",IF($A44="Prepago",0,IF(ROUND(($H44+SUM($B$12:$B44))*$T$6,2)&gt;ROUND(SUM($R$11:$R43)+$T$6,2),$T$6*2,$T$6)),"")</f>
        <v>0</v>
      </c>
      <c r="S44" s="3">
        <f>IF($K44&lt;&gt;"",IF($A44="Prepago",0,IF(ROUND(($H44+SUM($B$12:$B44))*$T$7,2)&gt;ROUND(SUM($S$11:$S43)+$T$7,2),$T$7*2,$T$7)),"")</f>
        <v>0</v>
      </c>
      <c r="T44" s="3">
        <f>IF($K44&lt;&gt;"",IF($A44="Prepago",0,IF(ROUND(($H44+SUM($B$12:$B44))*$T$8,2)&gt;ROUND(SUM($T$11:$T43)+$T$8,2),$T$8*2,$T$8)),"")</f>
        <v>0</v>
      </c>
      <c r="U44" s="3">
        <f t="shared" ref="U44:U75" si="27">IF($K44&lt;&gt;"",$N44-$P44,"")</f>
        <v>427.23000000000229</v>
      </c>
      <c r="V44" s="3">
        <f t="shared" ref="V44:V75" si="28">IF($K44&lt;&gt;"",+$V43+IF($D44="",$W44,$D44)-$Q44,"")</f>
        <v>0</v>
      </c>
      <c r="W44" s="3">
        <f t="shared" ref="W44:W75" si="29">IF($K44&lt;&gt;"",SUM($X44:$XFD44),"")</f>
        <v>5.7</v>
      </c>
      <c r="X44" s="3">
        <f t="shared" ref="X44:X75" si="30">IF($K44&lt;&gt;"",IF($M44&gt;X$11,30,$M44)*ROUND(($N44+$V43)*$U$5/3000,2),"")</f>
        <v>5.7</v>
      </c>
      <c r="Y44" s="3">
        <f>IF($K44&lt;&gt;"",IF($M44&gt;X$11,IF($M44&lt;Y$11,$M44-X$11,30),0)*ROUND(($N44+$V43+SUM($X44:X44))*$U$5/3000,2),"")</f>
        <v>0</v>
      </c>
      <c r="Z44" s="3"/>
      <c r="AA44" s="3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</row>
    <row r="45" spans="5:84" x14ac:dyDescent="0.25">
      <c r="E45" s="5"/>
      <c r="F45" t="str">
        <f t="shared" si="16"/>
        <v>vi</v>
      </c>
      <c r="G45" s="5">
        <f t="shared" si="17"/>
        <v>44804</v>
      </c>
      <c r="H45" s="22">
        <f t="shared" si="18"/>
        <v>34</v>
      </c>
      <c r="I45" s="22">
        <f t="shared" si="19"/>
        <v>0</v>
      </c>
      <c r="J45" s="22">
        <f t="shared" si="15"/>
        <v>0</v>
      </c>
      <c r="K45">
        <f t="shared" si="20"/>
        <v>34</v>
      </c>
      <c r="L45" s="5">
        <f t="shared" si="21"/>
        <v>44778</v>
      </c>
      <c r="M45" s="9">
        <f t="shared" si="22"/>
        <v>31</v>
      </c>
      <c r="N45" s="3">
        <f t="shared" si="23"/>
        <v>427.23000000000229</v>
      </c>
      <c r="O45" s="3">
        <f t="shared" si="24"/>
        <v>145.39999999999992</v>
      </c>
      <c r="P45" s="3">
        <f t="shared" si="25"/>
        <v>141.04999999999993</v>
      </c>
      <c r="Q45" s="3">
        <f t="shared" si="26"/>
        <v>4.3500000000000005</v>
      </c>
      <c r="R45" s="3">
        <f>IF($K45&lt;&gt;"",IF($A45="Prepago",0,IF(ROUND(($H45+SUM($B$12:$B45))*$T$6,2)&gt;ROUND(SUM($R$11:$R44)+$T$6,2),$T$6*2,$T$6)),"")</f>
        <v>0</v>
      </c>
      <c r="S45" s="3">
        <f>IF($K45&lt;&gt;"",IF($A45="Prepago",0,IF(ROUND(($H45+SUM($B$12:$B45))*$T$7,2)&gt;ROUND(SUM($S$11:$S44)+$T$7,2),$T$7*2,$T$7)),"")</f>
        <v>0</v>
      </c>
      <c r="T45" s="3">
        <f>IF($K45&lt;&gt;"",IF($A45="Prepago",0,IF(ROUND(($H45+SUM($B$12:$B45))*$T$8,2)&gt;ROUND(SUM($T$11:$T44)+$T$8,2),$T$8*2,$T$8)),"")</f>
        <v>0</v>
      </c>
      <c r="U45" s="3">
        <f t="shared" si="27"/>
        <v>286.18000000000234</v>
      </c>
      <c r="V45" s="3">
        <f t="shared" si="28"/>
        <v>0</v>
      </c>
      <c r="W45" s="3">
        <f t="shared" si="29"/>
        <v>4.3500000000000005</v>
      </c>
      <c r="X45" s="3">
        <f t="shared" si="30"/>
        <v>4.2</v>
      </c>
      <c r="Y45" s="3">
        <f>IF($K45&lt;&gt;"",IF($M45&gt;X$11,IF($M45&lt;Y$11,$M45-X$11,30),0)*ROUND(($N45+$V44+SUM($X45:X45))*$U$5/3000,2),"")</f>
        <v>0.15</v>
      </c>
      <c r="Z45" s="3"/>
      <c r="AA45" s="3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</row>
    <row r="46" spans="5:84" x14ac:dyDescent="0.25">
      <c r="E46" s="5"/>
      <c r="F46" t="str">
        <f t="shared" si="16"/>
        <v>lu</v>
      </c>
      <c r="G46" s="5">
        <f t="shared" si="17"/>
        <v>44834</v>
      </c>
      <c r="H46" s="22">
        <f t="shared" si="18"/>
        <v>35</v>
      </c>
      <c r="I46" s="22">
        <f t="shared" si="19"/>
        <v>0</v>
      </c>
      <c r="J46" s="22">
        <f t="shared" si="15"/>
        <v>0</v>
      </c>
      <c r="K46">
        <f t="shared" si="20"/>
        <v>35</v>
      </c>
      <c r="L46" s="5">
        <f t="shared" si="21"/>
        <v>44809</v>
      </c>
      <c r="M46" s="9">
        <f t="shared" si="22"/>
        <v>31</v>
      </c>
      <c r="N46" s="3">
        <f t="shared" si="23"/>
        <v>286.18000000000234</v>
      </c>
      <c r="O46" s="3">
        <f t="shared" si="24"/>
        <v>145.39999999999992</v>
      </c>
      <c r="P46" s="3">
        <f t="shared" si="25"/>
        <v>142.29999999999993</v>
      </c>
      <c r="Q46" s="3">
        <f t="shared" si="26"/>
        <v>3.1</v>
      </c>
      <c r="R46" s="3">
        <f>IF($K46&lt;&gt;"",IF($A46="Prepago",0,IF(ROUND(($H46+SUM($B$12:$B46))*$T$6,2)&gt;ROUND(SUM($R$11:$R45)+$T$6,2),$T$6*2,$T$6)),"")</f>
        <v>0</v>
      </c>
      <c r="S46" s="3">
        <f>IF($K46&lt;&gt;"",IF($A46="Prepago",0,IF(ROUND(($H46+SUM($B$12:$B46))*$T$7,2)&gt;ROUND(SUM($S$11:$S45)+$T$7,2),$T$7*2,$T$7)),"")</f>
        <v>0</v>
      </c>
      <c r="T46" s="3">
        <f>IF($K46&lt;&gt;"",IF($A46="Prepago",0,IF(ROUND(($H46+SUM($B$12:$B46))*$T$8,2)&gt;ROUND(SUM($T$11:$T45)+$T$8,2),$T$8*2,$T$8)),"")</f>
        <v>0</v>
      </c>
      <c r="U46" s="3">
        <f t="shared" si="27"/>
        <v>143.88000000000241</v>
      </c>
      <c r="V46" s="3">
        <f t="shared" si="28"/>
        <v>0</v>
      </c>
      <c r="W46" s="3">
        <f t="shared" si="29"/>
        <v>3.1</v>
      </c>
      <c r="X46" s="3">
        <f t="shared" si="30"/>
        <v>3</v>
      </c>
      <c r="Y46" s="3">
        <f>IF($K46&lt;&gt;"",IF($M46&gt;X$11,IF($M46&lt;Y$11,$M46-X$11,30),0)*ROUND(($N46+$V45+SUM($X46:X46))*$U$5/3000,2),"")</f>
        <v>0.1</v>
      </c>
      <c r="Z46" s="3"/>
      <c r="AA46" s="3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</row>
    <row r="47" spans="5:84" x14ac:dyDescent="0.25">
      <c r="E47" s="5"/>
      <c r="F47" t="str">
        <f t="shared" si="16"/>
        <v>mi</v>
      </c>
      <c r="G47" s="5">
        <f t="shared" si="17"/>
        <v>44865</v>
      </c>
      <c r="H47" s="22">
        <f t="shared" si="18"/>
        <v>36</v>
      </c>
      <c r="I47" s="22">
        <f t="shared" si="19"/>
        <v>0</v>
      </c>
      <c r="J47" s="22">
        <f t="shared" si="15"/>
        <v>0</v>
      </c>
      <c r="K47">
        <f t="shared" si="20"/>
        <v>36</v>
      </c>
      <c r="L47" s="5">
        <f t="shared" si="21"/>
        <v>44839</v>
      </c>
      <c r="M47" s="9">
        <f t="shared" si="22"/>
        <v>30</v>
      </c>
      <c r="N47" s="3">
        <f t="shared" si="23"/>
        <v>143.88000000000241</v>
      </c>
      <c r="O47" s="3">
        <f t="shared" si="24"/>
        <v>145.37999999999991</v>
      </c>
      <c r="P47" s="3">
        <f t="shared" si="25"/>
        <v>143.87999999999991</v>
      </c>
      <c r="Q47" s="3">
        <f t="shared" si="26"/>
        <v>1.5</v>
      </c>
      <c r="R47" s="3">
        <f>IF($K47&lt;&gt;"",IF($A47="Prepago",0,IF(ROUND(($H47+SUM($B$12:$B47))*$T$6,2)&gt;ROUND(SUM($R$11:$R46)+$T$6,2),$T$6*2,$T$6)),"")</f>
        <v>0</v>
      </c>
      <c r="S47" s="3">
        <f>IF($K47&lt;&gt;"",IF($A47="Prepago",0,IF(ROUND(($H47+SUM($B$12:$B47))*$T$7,2)&gt;ROUND(SUM($S$11:$S46)+$T$7,2),$T$7*2,$T$7)),"")</f>
        <v>0</v>
      </c>
      <c r="T47" s="3">
        <f>IF($K47&lt;&gt;"",IF($A47="Prepago",0,IF(ROUND(($H47+SUM($B$12:$B47))*$T$8,2)&gt;ROUND(SUM($T$11:$T46)+$T$8,2),$T$8*2,$T$8)),"")</f>
        <v>0</v>
      </c>
      <c r="U47" s="3">
        <f t="shared" si="27"/>
        <v>2.5011104298755527E-12</v>
      </c>
      <c r="V47" s="3">
        <f t="shared" si="28"/>
        <v>0</v>
      </c>
      <c r="W47" s="3">
        <f t="shared" si="29"/>
        <v>1.5</v>
      </c>
      <c r="X47" s="3">
        <f t="shared" si="30"/>
        <v>1.5</v>
      </c>
      <c r="Y47" s="3">
        <f>IF($K47&lt;&gt;"",IF($M47&gt;X$11,IF($M47&lt;Y$11,$M47-X$11,30),0)*ROUND(($N47+$V46+SUM($X47:X47))*$U$5/3000,2),"")</f>
        <v>0</v>
      </c>
      <c r="Z47" s="3"/>
      <c r="AA47" s="3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</row>
    <row r="48" spans="5:84" x14ac:dyDescent="0.25">
      <c r="E48" s="5"/>
      <c r="F48" t="str">
        <f t="shared" si="16"/>
        <v/>
      </c>
      <c r="G48" s="5" t="str">
        <f t="shared" si="17"/>
        <v/>
      </c>
      <c r="H48" s="22" t="str">
        <f t="shared" si="18"/>
        <v/>
      </c>
      <c r="I48" s="22" t="str">
        <f t="shared" si="19"/>
        <v/>
      </c>
      <c r="J48" s="22" t="str">
        <f t="shared" si="15"/>
        <v/>
      </c>
      <c r="K48" t="str">
        <f t="shared" si="20"/>
        <v/>
      </c>
      <c r="L48" s="5" t="str">
        <f t="shared" si="21"/>
        <v/>
      </c>
      <c r="M48" s="9" t="str">
        <f t="shared" si="22"/>
        <v/>
      </c>
      <c r="N48" s="3" t="str">
        <f t="shared" si="23"/>
        <v/>
      </c>
      <c r="O48" s="3" t="str">
        <f t="shared" si="24"/>
        <v/>
      </c>
      <c r="P48" s="3" t="str">
        <f t="shared" si="25"/>
        <v/>
      </c>
      <c r="Q48" s="3" t="str">
        <f t="shared" si="26"/>
        <v/>
      </c>
      <c r="R48" s="3" t="str">
        <f>IF($K48&lt;&gt;"",IF($A48="Prepago",0,IF(ROUND(($H48+SUM($B$12:$B48))*$T$6,2)&gt;ROUND(SUM($R$11:$R47)+$T$6,2),$T$6*2,$T$6)),"")</f>
        <v/>
      </c>
      <c r="S48" s="3" t="str">
        <f>IF($K48&lt;&gt;"",IF($A48="Prepago",0,IF(ROUND(($H48+SUM($B$12:$B48))*$T$7,2)&gt;ROUND(SUM($S$11:$S47)+$T$7,2),$T$7*2,$T$7)),"")</f>
        <v/>
      </c>
      <c r="T48" s="3" t="str">
        <f>IF($K48&lt;&gt;"",IF($A48="Prepago",0,IF(ROUND(($H48+SUM($B$12:$B48))*$T$8,2)&gt;ROUND(SUM($T$11:$T47)+$T$8,2),$T$8*2,$T$8)),"")</f>
        <v/>
      </c>
      <c r="U48" s="3" t="str">
        <f t="shared" si="27"/>
        <v/>
      </c>
      <c r="V48" s="3" t="str">
        <f t="shared" si="28"/>
        <v/>
      </c>
      <c r="W48" s="3" t="str">
        <f t="shared" si="29"/>
        <v/>
      </c>
      <c r="X48" s="3" t="str">
        <f t="shared" si="30"/>
        <v/>
      </c>
      <c r="Y48" s="3" t="str">
        <f>IF($K48&lt;&gt;"",IF($M48&gt;X$11,IF($M48&lt;Y$11,$M48-X$11,30),0)*ROUND(($N48+$V47+SUM($X48:X48))*$U$5/3000,2),"")</f>
        <v/>
      </c>
      <c r="Z48" s="3"/>
      <c r="AA48" s="3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</row>
    <row r="49" spans="5:84" x14ac:dyDescent="0.25">
      <c r="E49" s="5"/>
      <c r="F49" t="str">
        <f t="shared" si="16"/>
        <v/>
      </c>
      <c r="G49" s="5" t="str">
        <f t="shared" si="17"/>
        <v/>
      </c>
      <c r="H49" s="22" t="str">
        <f t="shared" si="18"/>
        <v/>
      </c>
      <c r="I49" s="22" t="str">
        <f t="shared" si="19"/>
        <v/>
      </c>
      <c r="J49" s="22" t="str">
        <f t="shared" si="15"/>
        <v/>
      </c>
      <c r="K49" t="str">
        <f t="shared" si="20"/>
        <v/>
      </c>
      <c r="L49" s="5" t="str">
        <f t="shared" si="21"/>
        <v/>
      </c>
      <c r="M49" s="9" t="str">
        <f t="shared" si="22"/>
        <v/>
      </c>
      <c r="N49" s="3" t="str">
        <f t="shared" si="23"/>
        <v/>
      </c>
      <c r="O49" s="3" t="str">
        <f t="shared" si="24"/>
        <v/>
      </c>
      <c r="P49" s="3" t="str">
        <f t="shared" si="25"/>
        <v/>
      </c>
      <c r="Q49" s="3" t="str">
        <f t="shared" si="26"/>
        <v/>
      </c>
      <c r="R49" s="3" t="str">
        <f>IF($K49&lt;&gt;"",IF($A49="Prepago",0,IF(ROUND(($H49+SUM($B$12:$B49))*$T$6,2)&gt;ROUND(SUM($R$11:$R48)+$T$6,2),$T$6*2,$T$6)),"")</f>
        <v/>
      </c>
      <c r="S49" s="3" t="str">
        <f>IF($K49&lt;&gt;"",IF($A49="Prepago",0,IF(ROUND(($H49+SUM($B$12:$B49))*$T$7,2)&gt;ROUND(SUM($S$11:$S48)+$T$7,2),$T$7*2,$T$7)),"")</f>
        <v/>
      </c>
      <c r="T49" s="3" t="str">
        <f>IF($K49&lt;&gt;"",IF($A49="Prepago",0,IF(ROUND(($H49+SUM($B$12:$B49))*$T$8,2)&gt;ROUND(SUM($T$11:$T48)+$T$8,2),$T$8*2,$T$8)),"")</f>
        <v/>
      </c>
      <c r="U49" s="3" t="str">
        <f t="shared" si="27"/>
        <v/>
      </c>
      <c r="V49" s="3" t="str">
        <f t="shared" si="28"/>
        <v/>
      </c>
      <c r="W49" s="3" t="str">
        <f t="shared" si="29"/>
        <v/>
      </c>
      <c r="X49" s="3" t="str">
        <f t="shared" si="30"/>
        <v/>
      </c>
      <c r="Y49" s="3" t="str">
        <f>IF($K49&lt;&gt;"",IF($M49&gt;X$11,IF($M49&lt;Y$11,$M49-X$11,30),0)*ROUND(($N49+$V48+SUM($X49:X49))*$U$5/3000,2),"")</f>
        <v/>
      </c>
      <c r="Z49" s="3"/>
      <c r="AA49" s="3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</row>
    <row r="50" spans="5:84" x14ac:dyDescent="0.25">
      <c r="E50" s="5"/>
      <c r="F50" t="str">
        <f t="shared" si="16"/>
        <v/>
      </c>
      <c r="G50" s="5" t="str">
        <f t="shared" si="17"/>
        <v/>
      </c>
      <c r="H50" s="22" t="str">
        <f t="shared" si="18"/>
        <v/>
      </c>
      <c r="I50" s="22" t="str">
        <f t="shared" si="19"/>
        <v/>
      </c>
      <c r="J50" s="22" t="str">
        <f t="shared" si="15"/>
        <v/>
      </c>
      <c r="K50" t="str">
        <f t="shared" si="20"/>
        <v/>
      </c>
      <c r="L50" s="5" t="str">
        <f t="shared" si="21"/>
        <v/>
      </c>
      <c r="M50" s="9" t="str">
        <f t="shared" si="22"/>
        <v/>
      </c>
      <c r="N50" s="3" t="str">
        <f t="shared" si="23"/>
        <v/>
      </c>
      <c r="O50" s="3" t="str">
        <f t="shared" si="24"/>
        <v/>
      </c>
      <c r="P50" s="3" t="str">
        <f t="shared" si="25"/>
        <v/>
      </c>
      <c r="Q50" s="3" t="str">
        <f t="shared" si="26"/>
        <v/>
      </c>
      <c r="R50" s="3" t="str">
        <f>IF($K50&lt;&gt;"",IF($A50="Prepago",0,IF(ROUND(($H50+SUM($B$12:$B50))*$T$6,2)&gt;ROUND(SUM($R$11:$R49)+$T$6,2),$T$6*2,$T$6)),"")</f>
        <v/>
      </c>
      <c r="S50" s="3" t="str">
        <f>IF($K50&lt;&gt;"",IF($A50="Prepago",0,IF(ROUND(($H50+SUM($B$12:$B50))*$T$7,2)&gt;ROUND(SUM($S$11:$S49)+$T$7,2),$T$7*2,$T$7)),"")</f>
        <v/>
      </c>
      <c r="T50" s="3" t="str">
        <f>IF($K50&lt;&gt;"",IF($A50="Prepago",0,IF(ROUND(($H50+SUM($B$12:$B50))*$T$8,2)&gt;ROUND(SUM($T$11:$T49)+$T$8,2),$T$8*2,$T$8)),"")</f>
        <v/>
      </c>
      <c r="U50" s="3" t="str">
        <f t="shared" si="27"/>
        <v/>
      </c>
      <c r="V50" s="3" t="str">
        <f t="shared" si="28"/>
        <v/>
      </c>
      <c r="W50" s="3" t="str">
        <f t="shared" si="29"/>
        <v/>
      </c>
      <c r="X50" s="3" t="str">
        <f t="shared" si="30"/>
        <v/>
      </c>
      <c r="Y50" s="3" t="str">
        <f>IF($K50&lt;&gt;"",IF($M50&gt;X$11,IF($M50&lt;Y$11,$M50-X$11,30),0)*ROUND(($N50+$V49+SUM($X50:X50))*$U$5/3000,2),"")</f>
        <v/>
      </c>
      <c r="Z50" s="3"/>
      <c r="AA50" s="3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</row>
    <row r="51" spans="5:84" x14ac:dyDescent="0.25">
      <c r="E51" s="5"/>
      <c r="F51" t="str">
        <f t="shared" si="16"/>
        <v/>
      </c>
      <c r="G51" s="5" t="str">
        <f t="shared" si="17"/>
        <v/>
      </c>
      <c r="H51" s="22" t="str">
        <f t="shared" si="18"/>
        <v/>
      </c>
      <c r="I51" s="22" t="str">
        <f t="shared" si="19"/>
        <v/>
      </c>
      <c r="J51" s="22" t="str">
        <f t="shared" si="15"/>
        <v/>
      </c>
      <c r="K51" t="str">
        <f t="shared" si="20"/>
        <v/>
      </c>
      <c r="L51" s="5" t="str">
        <f t="shared" si="21"/>
        <v/>
      </c>
      <c r="M51" s="9" t="str">
        <f t="shared" si="22"/>
        <v/>
      </c>
      <c r="N51" s="3" t="str">
        <f t="shared" si="23"/>
        <v/>
      </c>
      <c r="O51" s="3" t="str">
        <f t="shared" si="24"/>
        <v/>
      </c>
      <c r="P51" s="3" t="str">
        <f t="shared" si="25"/>
        <v/>
      </c>
      <c r="Q51" s="3" t="str">
        <f t="shared" si="26"/>
        <v/>
      </c>
      <c r="R51" s="3" t="str">
        <f>IF($K51&lt;&gt;"",IF($A51="Prepago",0,IF(ROUND(($H51+SUM($B$12:$B51))*$T$6,2)&gt;ROUND(SUM($R$11:$R50)+$T$6,2),$T$6*2,$T$6)),"")</f>
        <v/>
      </c>
      <c r="S51" s="3" t="str">
        <f>IF($K51&lt;&gt;"",IF($A51="Prepago",0,IF(ROUND(($H51+SUM($B$12:$B51))*$T$7,2)&gt;ROUND(SUM($S$11:$S50)+$T$7,2),$T$7*2,$T$7)),"")</f>
        <v/>
      </c>
      <c r="T51" s="3" t="str">
        <f>IF($K51&lt;&gt;"",IF($A51="Prepago",0,IF(ROUND(($H51+SUM($B$12:$B51))*$T$8,2)&gt;ROUND(SUM($T$11:$T50)+$T$8,2),$T$8*2,$T$8)),"")</f>
        <v/>
      </c>
      <c r="U51" s="3" t="str">
        <f t="shared" si="27"/>
        <v/>
      </c>
      <c r="V51" s="3" t="str">
        <f t="shared" si="28"/>
        <v/>
      </c>
      <c r="W51" s="3" t="str">
        <f t="shared" si="29"/>
        <v/>
      </c>
      <c r="X51" s="3" t="str">
        <f t="shared" si="30"/>
        <v/>
      </c>
      <c r="Y51" s="3" t="str">
        <f>IF($K51&lt;&gt;"",IF($M51&gt;X$11,IF($M51&lt;Y$11,$M51-X$11,30),0)*ROUND(($N51+$V50+SUM($X51:X51))*$U$5/3000,2),"")</f>
        <v/>
      </c>
      <c r="Z51" s="3"/>
      <c r="AA51" s="3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</row>
    <row r="52" spans="5:84" x14ac:dyDescent="0.25">
      <c r="E52" s="5"/>
      <c r="F52" t="str">
        <f t="shared" si="16"/>
        <v/>
      </c>
      <c r="G52" s="5" t="str">
        <f t="shared" si="17"/>
        <v/>
      </c>
      <c r="H52" s="22" t="str">
        <f t="shared" si="18"/>
        <v/>
      </c>
      <c r="I52" s="22" t="str">
        <f t="shared" si="19"/>
        <v/>
      </c>
      <c r="J52" s="22" t="str">
        <f t="shared" si="15"/>
        <v/>
      </c>
      <c r="K52" t="str">
        <f t="shared" si="20"/>
        <v/>
      </c>
      <c r="L52" s="5" t="str">
        <f t="shared" si="21"/>
        <v/>
      </c>
      <c r="M52" s="9" t="str">
        <f t="shared" si="22"/>
        <v/>
      </c>
      <c r="N52" s="3" t="str">
        <f t="shared" si="23"/>
        <v/>
      </c>
      <c r="O52" s="3" t="str">
        <f t="shared" si="24"/>
        <v/>
      </c>
      <c r="P52" s="3" t="str">
        <f t="shared" si="25"/>
        <v/>
      </c>
      <c r="Q52" s="3" t="str">
        <f t="shared" si="26"/>
        <v/>
      </c>
      <c r="R52" s="3" t="str">
        <f>IF($K52&lt;&gt;"",IF($A52="Prepago",0,IF(ROUND(($H52+SUM($B$12:$B52))*$T$6,2)&gt;ROUND(SUM($R$11:$R51)+$T$6,2),$T$6*2,$T$6)),"")</f>
        <v/>
      </c>
      <c r="S52" s="3" t="str">
        <f>IF($K52&lt;&gt;"",IF($A52="Prepago",0,IF(ROUND(($H52+SUM($B$12:$B52))*$T$7,2)&gt;ROUND(SUM($S$11:$S51)+$T$7,2),$T$7*2,$T$7)),"")</f>
        <v/>
      </c>
      <c r="T52" s="3" t="str">
        <f>IF($K52&lt;&gt;"",IF($A52="Prepago",0,IF(ROUND(($H52+SUM($B$12:$B52))*$T$8,2)&gt;ROUND(SUM($T$11:$T51)+$T$8,2),$T$8*2,$T$8)),"")</f>
        <v/>
      </c>
      <c r="U52" s="3" t="str">
        <f t="shared" si="27"/>
        <v/>
      </c>
      <c r="V52" s="3" t="str">
        <f t="shared" si="28"/>
        <v/>
      </c>
      <c r="W52" s="3" t="str">
        <f t="shared" si="29"/>
        <v/>
      </c>
      <c r="X52" s="3" t="str">
        <f t="shared" si="30"/>
        <v/>
      </c>
      <c r="Y52" s="3" t="str">
        <f>IF($K52&lt;&gt;"",IF($M52&gt;X$11,IF($M52&lt;Y$11,$M52-X$11,30),0)*ROUND(($N52+$V51+SUM($X52:X52))*$U$5/3000,2),"")</f>
        <v/>
      </c>
      <c r="Z52" s="3"/>
      <c r="AA52" s="3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</row>
    <row r="53" spans="5:84" x14ac:dyDescent="0.25">
      <c r="E53" s="5"/>
      <c r="F53" t="str">
        <f t="shared" si="16"/>
        <v/>
      </c>
      <c r="G53" s="5" t="str">
        <f t="shared" si="17"/>
        <v/>
      </c>
      <c r="H53" s="22" t="str">
        <f t="shared" si="18"/>
        <v/>
      </c>
      <c r="I53" s="22" t="str">
        <f t="shared" si="19"/>
        <v/>
      </c>
      <c r="J53" s="22" t="str">
        <f t="shared" si="15"/>
        <v/>
      </c>
      <c r="K53" t="str">
        <f t="shared" si="20"/>
        <v/>
      </c>
      <c r="L53" s="5" t="str">
        <f t="shared" si="21"/>
        <v/>
      </c>
      <c r="M53" s="9" t="str">
        <f t="shared" si="22"/>
        <v/>
      </c>
      <c r="N53" s="3" t="str">
        <f t="shared" si="23"/>
        <v/>
      </c>
      <c r="O53" s="3" t="str">
        <f t="shared" si="24"/>
        <v/>
      </c>
      <c r="P53" s="3" t="str">
        <f t="shared" si="25"/>
        <v/>
      </c>
      <c r="Q53" s="3" t="str">
        <f t="shared" si="26"/>
        <v/>
      </c>
      <c r="R53" s="3" t="str">
        <f>IF($K53&lt;&gt;"",IF($A53="Prepago",0,IF(ROUND(($H53+SUM($B$12:$B53))*$T$6,2)&gt;ROUND(SUM($R$11:$R52)+$T$6,2),$T$6*2,$T$6)),"")</f>
        <v/>
      </c>
      <c r="S53" s="3" t="str">
        <f>IF($K53&lt;&gt;"",IF($A53="Prepago",0,IF(ROUND(($H53+SUM($B$12:$B53))*$T$7,2)&gt;ROUND(SUM($S$11:$S52)+$T$7,2),$T$7*2,$T$7)),"")</f>
        <v/>
      </c>
      <c r="T53" s="3" t="str">
        <f>IF($K53&lt;&gt;"",IF($A53="Prepago",0,IF(ROUND(($H53+SUM($B$12:$B53))*$T$8,2)&gt;ROUND(SUM($T$11:$T52)+$T$8,2),$T$8*2,$T$8)),"")</f>
        <v/>
      </c>
      <c r="U53" s="3" t="str">
        <f t="shared" si="27"/>
        <v/>
      </c>
      <c r="V53" s="3" t="str">
        <f t="shared" si="28"/>
        <v/>
      </c>
      <c r="W53" s="3" t="str">
        <f t="shared" si="29"/>
        <v/>
      </c>
      <c r="X53" s="3" t="str">
        <f t="shared" si="30"/>
        <v/>
      </c>
      <c r="Y53" s="3" t="str">
        <f>IF($K53&lt;&gt;"",IF($M53&gt;X$11,IF($M53&lt;Y$11,$M53-X$11,30),0)*ROUND(($N53+$V52+SUM($X53:X53))*$U$5/3000,2),"")</f>
        <v/>
      </c>
      <c r="Z53" s="3"/>
      <c r="AA53" s="3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</row>
    <row r="54" spans="5:84" x14ac:dyDescent="0.25">
      <c r="E54" s="5"/>
      <c r="F54" t="str">
        <f t="shared" si="16"/>
        <v/>
      </c>
      <c r="G54" s="5" t="str">
        <f t="shared" si="17"/>
        <v/>
      </c>
      <c r="H54" s="22" t="str">
        <f t="shared" si="18"/>
        <v/>
      </c>
      <c r="I54" s="22" t="str">
        <f t="shared" si="19"/>
        <v/>
      </c>
      <c r="J54" s="22" t="str">
        <f t="shared" si="15"/>
        <v/>
      </c>
      <c r="K54" t="str">
        <f t="shared" si="20"/>
        <v/>
      </c>
      <c r="L54" s="5" t="str">
        <f t="shared" si="21"/>
        <v/>
      </c>
      <c r="M54" s="9" t="str">
        <f t="shared" si="22"/>
        <v/>
      </c>
      <c r="N54" s="3" t="str">
        <f t="shared" si="23"/>
        <v/>
      </c>
      <c r="O54" s="3" t="str">
        <f t="shared" si="24"/>
        <v/>
      </c>
      <c r="P54" s="3" t="str">
        <f t="shared" si="25"/>
        <v/>
      </c>
      <c r="Q54" s="3" t="str">
        <f t="shared" si="26"/>
        <v/>
      </c>
      <c r="R54" s="3" t="str">
        <f>IF($K54&lt;&gt;"",IF($A54="Prepago",0,IF(ROUND(($H54+SUM($B$12:$B54))*$T$6,2)&gt;ROUND(SUM($R$11:$R53)+$T$6,2),$T$6*2,$T$6)),"")</f>
        <v/>
      </c>
      <c r="S54" s="3" t="str">
        <f>IF($K54&lt;&gt;"",IF($A54="Prepago",0,IF(ROUND(($H54+SUM($B$12:$B54))*$T$7,2)&gt;ROUND(SUM($S$11:$S53)+$T$7,2),$T$7*2,$T$7)),"")</f>
        <v/>
      </c>
      <c r="T54" s="3" t="str">
        <f>IF($K54&lt;&gt;"",IF($A54="Prepago",0,IF(ROUND(($H54+SUM($B$12:$B54))*$T$8,2)&gt;ROUND(SUM($T$11:$T53)+$T$8,2),$T$8*2,$T$8)),"")</f>
        <v/>
      </c>
      <c r="U54" s="3" t="str">
        <f t="shared" si="27"/>
        <v/>
      </c>
      <c r="V54" s="3" t="str">
        <f t="shared" si="28"/>
        <v/>
      </c>
      <c r="W54" s="3" t="str">
        <f t="shared" si="29"/>
        <v/>
      </c>
      <c r="X54" s="3" t="str">
        <f t="shared" si="30"/>
        <v/>
      </c>
      <c r="Y54" s="3" t="str">
        <f>IF($K54&lt;&gt;"",IF($M54&gt;X$11,IF($M54&lt;Y$11,$M54-X$11,30),0)*ROUND(($N54+$V53+SUM($X54:X54))*$U$5/3000,2),"")</f>
        <v/>
      </c>
      <c r="Z54" s="3"/>
      <c r="AA54" s="3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</row>
    <row r="55" spans="5:84" x14ac:dyDescent="0.25">
      <c r="E55" s="5"/>
      <c r="F55" t="str">
        <f t="shared" si="16"/>
        <v/>
      </c>
      <c r="G55" s="5" t="str">
        <f t="shared" si="17"/>
        <v/>
      </c>
      <c r="H55" s="22" t="str">
        <f t="shared" si="18"/>
        <v/>
      </c>
      <c r="I55" s="22" t="str">
        <f t="shared" si="19"/>
        <v/>
      </c>
      <c r="J55" s="22" t="str">
        <f t="shared" si="15"/>
        <v/>
      </c>
      <c r="K55" t="str">
        <f t="shared" si="20"/>
        <v/>
      </c>
      <c r="L55" s="5" t="str">
        <f t="shared" si="21"/>
        <v/>
      </c>
      <c r="M55" s="9" t="str">
        <f t="shared" si="22"/>
        <v/>
      </c>
      <c r="N55" s="3" t="str">
        <f t="shared" si="23"/>
        <v/>
      </c>
      <c r="O55" s="3" t="str">
        <f t="shared" si="24"/>
        <v/>
      </c>
      <c r="P55" s="3" t="str">
        <f t="shared" si="25"/>
        <v/>
      </c>
      <c r="Q55" s="3" t="str">
        <f t="shared" si="26"/>
        <v/>
      </c>
      <c r="R55" s="3" t="str">
        <f>IF($K55&lt;&gt;"",IF($A55="Prepago",0,IF(ROUND(($H55+SUM($B$12:$B55))*$T$6,2)&gt;ROUND(SUM($R$11:$R54)+$T$6,2),$T$6*2,$T$6)),"")</f>
        <v/>
      </c>
      <c r="S55" s="3" t="str">
        <f>IF($K55&lt;&gt;"",IF($A55="Prepago",0,IF(ROUND(($H55+SUM($B$12:$B55))*$T$7,2)&gt;ROUND(SUM($S$11:$S54)+$T$7,2),$T$7*2,$T$7)),"")</f>
        <v/>
      </c>
      <c r="T55" s="3" t="str">
        <f>IF($K55&lt;&gt;"",IF($A55="Prepago",0,IF(ROUND(($H55+SUM($B$12:$B55))*$T$8,2)&gt;ROUND(SUM($T$11:$T54)+$T$8,2),$T$8*2,$T$8)),"")</f>
        <v/>
      </c>
      <c r="U55" s="3" t="str">
        <f t="shared" si="27"/>
        <v/>
      </c>
      <c r="V55" s="3" t="str">
        <f t="shared" si="28"/>
        <v/>
      </c>
      <c r="W55" s="3" t="str">
        <f t="shared" si="29"/>
        <v/>
      </c>
      <c r="X55" s="3" t="str">
        <f t="shared" si="30"/>
        <v/>
      </c>
      <c r="Y55" s="3" t="str">
        <f>IF($K55&lt;&gt;"",IF($M55&gt;X$11,IF($M55&lt;Y$11,$M55-X$11,30),0)*ROUND(($N55+$V54+SUM($X55:X55))*$U$5/3000,2),"")</f>
        <v/>
      </c>
      <c r="Z55" s="3"/>
      <c r="AA55" s="3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</row>
    <row r="56" spans="5:84" x14ac:dyDescent="0.25">
      <c r="E56" s="5"/>
      <c r="F56" t="str">
        <f t="shared" si="16"/>
        <v/>
      </c>
      <c r="G56" s="5" t="str">
        <f t="shared" si="17"/>
        <v/>
      </c>
      <c r="H56" s="22" t="str">
        <f t="shared" si="18"/>
        <v/>
      </c>
      <c r="I56" s="22" t="str">
        <f t="shared" si="19"/>
        <v/>
      </c>
      <c r="J56" s="22" t="str">
        <f t="shared" si="15"/>
        <v/>
      </c>
      <c r="K56" t="str">
        <f t="shared" si="20"/>
        <v/>
      </c>
      <c r="L56" s="5" t="str">
        <f t="shared" si="21"/>
        <v/>
      </c>
      <c r="M56" s="9" t="str">
        <f t="shared" si="22"/>
        <v/>
      </c>
      <c r="N56" s="3" t="str">
        <f t="shared" si="23"/>
        <v/>
      </c>
      <c r="O56" s="3" t="str">
        <f t="shared" si="24"/>
        <v/>
      </c>
      <c r="P56" s="3" t="str">
        <f t="shared" si="25"/>
        <v/>
      </c>
      <c r="Q56" s="3" t="str">
        <f t="shared" si="26"/>
        <v/>
      </c>
      <c r="R56" s="3" t="str">
        <f>IF($K56&lt;&gt;"",IF($A56="Prepago",0,IF(ROUND(($H56+SUM($B$12:$B56))*$T$6,2)&gt;ROUND(SUM($R$11:$R55)+$T$6,2),$T$6*2,$T$6)),"")</f>
        <v/>
      </c>
      <c r="S56" s="3" t="str">
        <f>IF($K56&lt;&gt;"",IF($A56="Prepago",0,IF(ROUND(($H56+SUM($B$12:$B56))*$T$7,2)&gt;ROUND(SUM($S$11:$S55)+$T$7,2),$T$7*2,$T$7)),"")</f>
        <v/>
      </c>
      <c r="T56" s="3" t="str">
        <f>IF($K56&lt;&gt;"",IF($A56="Prepago",0,IF(ROUND(($H56+SUM($B$12:$B56))*$T$8,2)&gt;ROUND(SUM($T$11:$T55)+$T$8,2),$T$8*2,$T$8)),"")</f>
        <v/>
      </c>
      <c r="U56" s="3" t="str">
        <f t="shared" si="27"/>
        <v/>
      </c>
      <c r="V56" s="3" t="str">
        <f t="shared" si="28"/>
        <v/>
      </c>
      <c r="W56" s="3" t="str">
        <f t="shared" si="29"/>
        <v/>
      </c>
      <c r="X56" s="3" t="str">
        <f t="shared" si="30"/>
        <v/>
      </c>
      <c r="Y56" s="3" t="str">
        <f>IF($K56&lt;&gt;"",IF($M56&gt;X$11,IF($M56&lt;Y$11,$M56-X$11,30),0)*ROUND(($N56+$V55+SUM($X56:X56))*$U$5/3000,2),"")</f>
        <v/>
      </c>
      <c r="Z56" s="3"/>
      <c r="AA56" s="3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</row>
    <row r="57" spans="5:84" x14ac:dyDescent="0.25">
      <c r="E57" s="5"/>
      <c r="F57" t="str">
        <f t="shared" si="16"/>
        <v/>
      </c>
      <c r="G57" s="5" t="str">
        <f t="shared" si="17"/>
        <v/>
      </c>
      <c r="H57" s="22" t="str">
        <f t="shared" si="18"/>
        <v/>
      </c>
      <c r="I57" s="22" t="str">
        <f t="shared" si="19"/>
        <v/>
      </c>
      <c r="J57" s="22" t="str">
        <f t="shared" si="15"/>
        <v/>
      </c>
      <c r="K57" t="str">
        <f t="shared" si="20"/>
        <v/>
      </c>
      <c r="L57" s="5" t="str">
        <f t="shared" si="21"/>
        <v/>
      </c>
      <c r="M57" s="9" t="str">
        <f t="shared" si="22"/>
        <v/>
      </c>
      <c r="N57" s="3" t="str">
        <f t="shared" si="23"/>
        <v/>
      </c>
      <c r="O57" s="3" t="str">
        <f t="shared" si="24"/>
        <v/>
      </c>
      <c r="P57" s="3" t="str">
        <f t="shared" si="25"/>
        <v/>
      </c>
      <c r="Q57" s="3" t="str">
        <f t="shared" si="26"/>
        <v/>
      </c>
      <c r="R57" s="3" t="str">
        <f>IF($K57&lt;&gt;"",IF($A57="Prepago",0,IF(ROUND(($H57+SUM($B$12:$B57))*$T$6,2)&gt;ROUND(SUM($R$11:$R56)+$T$6,2),$T$6*2,$T$6)),"")</f>
        <v/>
      </c>
      <c r="S57" s="3" t="str">
        <f>IF($K57&lt;&gt;"",IF($A57="Prepago",0,IF(ROUND(($H57+SUM($B$12:$B57))*$T$7,2)&gt;ROUND(SUM($S$11:$S56)+$T$7,2),$T$7*2,$T$7)),"")</f>
        <v/>
      </c>
      <c r="T57" s="3" t="str">
        <f>IF($K57&lt;&gt;"",IF($A57="Prepago",0,IF(ROUND(($H57+SUM($B$12:$B57))*$T$8,2)&gt;ROUND(SUM($T$11:$T56)+$T$8,2),$T$8*2,$T$8)),"")</f>
        <v/>
      </c>
      <c r="U57" s="3" t="str">
        <f t="shared" si="27"/>
        <v/>
      </c>
      <c r="V57" s="3" t="str">
        <f t="shared" si="28"/>
        <v/>
      </c>
      <c r="W57" s="3" t="str">
        <f t="shared" si="29"/>
        <v/>
      </c>
      <c r="X57" s="3" t="str">
        <f t="shared" si="30"/>
        <v/>
      </c>
      <c r="Y57" s="3" t="str">
        <f>IF($K57&lt;&gt;"",IF($M57&gt;X$11,IF($M57&lt;Y$11,$M57-X$11,30),0)*ROUND(($N57+$V56+SUM($X57:X57))*$U$5/3000,2),"")</f>
        <v/>
      </c>
      <c r="Z57" s="3"/>
      <c r="AA57" s="3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</row>
    <row r="58" spans="5:84" x14ac:dyDescent="0.25">
      <c r="E58" s="5"/>
      <c r="F58" t="str">
        <f t="shared" si="16"/>
        <v/>
      </c>
      <c r="G58" s="5" t="str">
        <f t="shared" si="17"/>
        <v/>
      </c>
      <c r="H58" s="22" t="str">
        <f t="shared" si="18"/>
        <v/>
      </c>
      <c r="I58" s="22" t="str">
        <f t="shared" si="19"/>
        <v/>
      </c>
      <c r="J58" s="22" t="str">
        <f t="shared" si="15"/>
        <v/>
      </c>
      <c r="K58" t="str">
        <f t="shared" si="20"/>
        <v/>
      </c>
      <c r="L58" s="5" t="str">
        <f t="shared" si="21"/>
        <v/>
      </c>
      <c r="M58" s="9" t="str">
        <f t="shared" si="22"/>
        <v/>
      </c>
      <c r="N58" s="3" t="str">
        <f t="shared" si="23"/>
        <v/>
      </c>
      <c r="O58" s="3" t="str">
        <f t="shared" si="24"/>
        <v/>
      </c>
      <c r="P58" s="3" t="str">
        <f t="shared" si="25"/>
        <v/>
      </c>
      <c r="Q58" s="3" t="str">
        <f t="shared" si="26"/>
        <v/>
      </c>
      <c r="R58" s="3" t="str">
        <f>IF($K58&lt;&gt;"",IF($A58="Prepago",0,IF(ROUND(($H58+SUM($B$12:$B58))*$T$6,2)&gt;ROUND(SUM($R$11:$R57)+$T$6,2),$T$6*2,$T$6)),"")</f>
        <v/>
      </c>
      <c r="S58" s="3" t="str">
        <f>IF($K58&lt;&gt;"",IF($A58="Prepago",0,IF(ROUND(($H58+SUM($B$12:$B58))*$T$7,2)&gt;ROUND(SUM($S$11:$S57)+$T$7,2),$T$7*2,$T$7)),"")</f>
        <v/>
      </c>
      <c r="T58" s="3" t="str">
        <f>IF($K58&lt;&gt;"",IF($A58="Prepago",0,IF(ROUND(($H58+SUM($B$12:$B58))*$T$8,2)&gt;ROUND(SUM($T$11:$T57)+$T$8,2),$T$8*2,$T$8)),"")</f>
        <v/>
      </c>
      <c r="U58" s="3" t="str">
        <f t="shared" si="27"/>
        <v/>
      </c>
      <c r="V58" s="3" t="str">
        <f t="shared" si="28"/>
        <v/>
      </c>
      <c r="W58" s="3" t="str">
        <f t="shared" si="29"/>
        <v/>
      </c>
      <c r="X58" s="3" t="str">
        <f t="shared" si="30"/>
        <v/>
      </c>
      <c r="Y58" s="3" t="str">
        <f>IF($K58&lt;&gt;"",IF($M58&gt;X$11,IF($M58&lt;Y$11,$M58-X$11,30),0)*ROUND(($N58+$V57+SUM($X58:X58))*$U$5/3000,2),"")</f>
        <v/>
      </c>
      <c r="Z58" s="3"/>
      <c r="AA58" s="3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</row>
    <row r="59" spans="5:84" x14ac:dyDescent="0.25">
      <c r="E59" s="5"/>
      <c r="F59" t="str">
        <f t="shared" si="16"/>
        <v/>
      </c>
      <c r="G59" s="5" t="str">
        <f t="shared" si="17"/>
        <v/>
      </c>
      <c r="H59" s="22" t="str">
        <f t="shared" si="18"/>
        <v/>
      </c>
      <c r="I59" s="22" t="str">
        <f t="shared" si="19"/>
        <v/>
      </c>
      <c r="J59" s="22" t="str">
        <f t="shared" si="15"/>
        <v/>
      </c>
      <c r="K59" t="str">
        <f t="shared" si="20"/>
        <v/>
      </c>
      <c r="L59" s="5" t="str">
        <f t="shared" si="21"/>
        <v/>
      </c>
      <c r="M59" s="9" t="str">
        <f t="shared" si="22"/>
        <v/>
      </c>
      <c r="N59" s="3" t="str">
        <f t="shared" si="23"/>
        <v/>
      </c>
      <c r="O59" s="3" t="str">
        <f t="shared" si="24"/>
        <v/>
      </c>
      <c r="P59" s="3" t="str">
        <f t="shared" si="25"/>
        <v/>
      </c>
      <c r="Q59" s="3" t="str">
        <f t="shared" si="26"/>
        <v/>
      </c>
      <c r="R59" s="3" t="str">
        <f>IF($K59&lt;&gt;"",IF($A59="Prepago",0,IF(ROUND(($H59+SUM($B$12:$B59))*$T$6,2)&gt;ROUND(SUM($R$11:$R58)+$T$6,2),$T$6*2,$T$6)),"")</f>
        <v/>
      </c>
      <c r="S59" s="3" t="str">
        <f>IF($K59&lt;&gt;"",IF($A59="Prepago",0,IF(ROUND(($H59+SUM($B$12:$B59))*$T$7,2)&gt;ROUND(SUM($S$11:$S58)+$T$7,2),$T$7*2,$T$7)),"")</f>
        <v/>
      </c>
      <c r="T59" s="3" t="str">
        <f>IF($K59&lt;&gt;"",IF($A59="Prepago",0,IF(ROUND(($H59+SUM($B$12:$B59))*$T$8,2)&gt;ROUND(SUM($T$11:$T58)+$T$8,2),$T$8*2,$T$8)),"")</f>
        <v/>
      </c>
      <c r="U59" s="3" t="str">
        <f t="shared" si="27"/>
        <v/>
      </c>
      <c r="V59" s="3" t="str">
        <f t="shared" si="28"/>
        <v/>
      </c>
      <c r="W59" s="3" t="str">
        <f t="shared" si="29"/>
        <v/>
      </c>
      <c r="X59" s="3" t="str">
        <f t="shared" si="30"/>
        <v/>
      </c>
      <c r="Y59" s="3" t="str">
        <f>IF($K59&lt;&gt;"",IF($M59&gt;X$11,IF($M59&lt;Y$11,$M59-X$11,30),0)*ROUND(($N59+$V58+SUM($X59:X59))*$U$5/3000,2),"")</f>
        <v/>
      </c>
      <c r="Z59" s="3"/>
      <c r="AA59" s="3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</row>
    <row r="60" spans="5:84" x14ac:dyDescent="0.25">
      <c r="E60" s="5"/>
      <c r="F60" t="str">
        <f t="shared" si="16"/>
        <v/>
      </c>
      <c r="G60" s="5" t="str">
        <f t="shared" si="17"/>
        <v/>
      </c>
      <c r="H60" s="22" t="str">
        <f t="shared" si="18"/>
        <v/>
      </c>
      <c r="I60" s="22" t="str">
        <f t="shared" si="19"/>
        <v/>
      </c>
      <c r="J60" s="22" t="str">
        <f t="shared" si="15"/>
        <v/>
      </c>
      <c r="K60" t="str">
        <f t="shared" si="20"/>
        <v/>
      </c>
      <c r="L60" s="5" t="str">
        <f t="shared" si="21"/>
        <v/>
      </c>
      <c r="M60" s="9" t="str">
        <f t="shared" si="22"/>
        <v/>
      </c>
      <c r="N60" s="3" t="str">
        <f t="shared" si="23"/>
        <v/>
      </c>
      <c r="O60" s="3" t="str">
        <f t="shared" si="24"/>
        <v/>
      </c>
      <c r="P60" s="3" t="str">
        <f t="shared" si="25"/>
        <v/>
      </c>
      <c r="Q60" s="3" t="str">
        <f t="shared" si="26"/>
        <v/>
      </c>
      <c r="R60" s="3" t="str">
        <f>IF($K60&lt;&gt;"",IF($A60="Prepago",0,IF(ROUND(($H60+SUM($B$12:$B60))*$T$6,2)&gt;ROUND(SUM($R$11:$R59)+$T$6,2),$T$6*2,$T$6)),"")</f>
        <v/>
      </c>
      <c r="S60" s="3" t="str">
        <f>IF($K60&lt;&gt;"",IF($A60="Prepago",0,IF(ROUND(($H60+SUM($B$12:$B60))*$T$7,2)&gt;ROUND(SUM($S$11:$S59)+$T$7,2),$T$7*2,$T$7)),"")</f>
        <v/>
      </c>
      <c r="T60" s="3" t="str">
        <f>IF($K60&lt;&gt;"",IF($A60="Prepago",0,IF(ROUND(($H60+SUM($B$12:$B60))*$T$8,2)&gt;ROUND(SUM($T$11:$T59)+$T$8,2),$T$8*2,$T$8)),"")</f>
        <v/>
      </c>
      <c r="U60" s="3" t="str">
        <f t="shared" si="27"/>
        <v/>
      </c>
      <c r="V60" s="3" t="str">
        <f t="shared" si="28"/>
        <v/>
      </c>
      <c r="W60" s="3" t="str">
        <f t="shared" si="29"/>
        <v/>
      </c>
      <c r="X60" s="3" t="str">
        <f t="shared" si="30"/>
        <v/>
      </c>
      <c r="Y60" s="3" t="str">
        <f>IF($K60&lt;&gt;"",IF($M60&gt;X$11,IF($M60&lt;Y$11,$M60-X$11,30),0)*ROUND(($N60+$V59+SUM($X60:X60))*$U$5/3000,2),"")</f>
        <v/>
      </c>
      <c r="Z60" s="3"/>
      <c r="AA60" s="3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</row>
    <row r="61" spans="5:84" x14ac:dyDescent="0.25">
      <c r="E61" s="5"/>
      <c r="F61" t="str">
        <f t="shared" si="16"/>
        <v/>
      </c>
      <c r="G61" s="5" t="str">
        <f t="shared" si="17"/>
        <v/>
      </c>
      <c r="H61" s="22" t="str">
        <f t="shared" si="18"/>
        <v/>
      </c>
      <c r="I61" s="22" t="str">
        <f t="shared" si="19"/>
        <v/>
      </c>
      <c r="J61" s="22" t="str">
        <f t="shared" si="15"/>
        <v/>
      </c>
      <c r="K61" t="str">
        <f t="shared" si="20"/>
        <v/>
      </c>
      <c r="L61" s="5" t="str">
        <f t="shared" si="21"/>
        <v/>
      </c>
      <c r="M61" s="9" t="str">
        <f t="shared" si="22"/>
        <v/>
      </c>
      <c r="N61" s="3" t="str">
        <f t="shared" si="23"/>
        <v/>
      </c>
      <c r="O61" s="3" t="str">
        <f t="shared" si="24"/>
        <v/>
      </c>
      <c r="P61" s="3" t="str">
        <f t="shared" si="25"/>
        <v/>
      </c>
      <c r="Q61" s="3" t="str">
        <f t="shared" si="26"/>
        <v/>
      </c>
      <c r="R61" s="3" t="str">
        <f>IF($K61&lt;&gt;"",IF($A61="Prepago",0,IF(ROUND(($H61+SUM($B$12:$B61))*$T$6,2)&gt;ROUND(SUM($R$11:$R60)+$T$6,2),$T$6*2,$T$6)),"")</f>
        <v/>
      </c>
      <c r="S61" s="3" t="str">
        <f>IF($K61&lt;&gt;"",IF($A61="Prepago",0,IF(ROUND(($H61+SUM($B$12:$B61))*$T$7,2)&gt;ROUND(SUM($S$11:$S60)+$T$7,2),$T$7*2,$T$7)),"")</f>
        <v/>
      </c>
      <c r="T61" s="3" t="str">
        <f>IF($K61&lt;&gt;"",IF($A61="Prepago",0,IF(ROUND(($H61+SUM($B$12:$B61))*$T$8,2)&gt;ROUND(SUM($T$11:$T60)+$T$8,2),$T$8*2,$T$8)),"")</f>
        <v/>
      </c>
      <c r="U61" s="3" t="str">
        <f t="shared" si="27"/>
        <v/>
      </c>
      <c r="V61" s="3" t="str">
        <f t="shared" si="28"/>
        <v/>
      </c>
      <c r="W61" s="3" t="str">
        <f t="shared" si="29"/>
        <v/>
      </c>
      <c r="X61" s="3" t="str">
        <f t="shared" si="30"/>
        <v/>
      </c>
      <c r="Y61" s="3" t="str">
        <f>IF($K61&lt;&gt;"",IF($M61&gt;X$11,IF($M61&lt;Y$11,$M61-X$11,30),0)*ROUND(($N61+$V60+SUM($X61:X61))*$U$5/3000,2),"")</f>
        <v/>
      </c>
      <c r="Z61" s="3"/>
      <c r="AA61" s="3"/>
    </row>
    <row r="62" spans="5:84" x14ac:dyDescent="0.25">
      <c r="E62" s="5"/>
      <c r="F62" t="str">
        <f t="shared" si="16"/>
        <v/>
      </c>
      <c r="G62" s="5" t="str">
        <f t="shared" si="17"/>
        <v/>
      </c>
      <c r="H62" s="22" t="str">
        <f t="shared" si="18"/>
        <v/>
      </c>
      <c r="I62" s="22" t="str">
        <f t="shared" si="19"/>
        <v/>
      </c>
      <c r="J62" s="22" t="str">
        <f t="shared" si="15"/>
        <v/>
      </c>
      <c r="K62" t="str">
        <f t="shared" si="20"/>
        <v/>
      </c>
      <c r="L62" s="5" t="str">
        <f t="shared" si="21"/>
        <v/>
      </c>
      <c r="M62" s="9" t="str">
        <f t="shared" si="22"/>
        <v/>
      </c>
      <c r="N62" s="3" t="str">
        <f t="shared" si="23"/>
        <v/>
      </c>
      <c r="O62" s="3" t="str">
        <f t="shared" si="24"/>
        <v/>
      </c>
      <c r="P62" s="3" t="str">
        <f t="shared" si="25"/>
        <v/>
      </c>
      <c r="Q62" s="3" t="str">
        <f t="shared" si="26"/>
        <v/>
      </c>
      <c r="R62" s="3" t="str">
        <f>IF($K62&lt;&gt;"",IF($A62="Prepago",0,IF(ROUND(($H62+SUM($B$12:$B62))*$T$6,2)&gt;ROUND(SUM($R$11:$R61)+$T$6,2),$T$6*2,$T$6)),"")</f>
        <v/>
      </c>
      <c r="S62" s="3" t="str">
        <f>IF($K62&lt;&gt;"",IF($A62="Prepago",0,IF(ROUND(($H62+SUM($B$12:$B62))*$T$7,2)&gt;ROUND(SUM($S$11:$S61)+$T$7,2),$T$7*2,$T$7)),"")</f>
        <v/>
      </c>
      <c r="T62" s="3" t="str">
        <f>IF($K62&lt;&gt;"",IF($A62="Prepago",0,IF(ROUND(($H62+SUM($B$12:$B62))*$T$8,2)&gt;ROUND(SUM($T$11:$T61)+$T$8,2),$T$8*2,$T$8)),"")</f>
        <v/>
      </c>
      <c r="U62" s="3" t="str">
        <f t="shared" si="27"/>
        <v/>
      </c>
      <c r="V62" s="3" t="str">
        <f t="shared" si="28"/>
        <v/>
      </c>
      <c r="W62" s="3" t="str">
        <f t="shared" si="29"/>
        <v/>
      </c>
      <c r="X62" s="3" t="str">
        <f t="shared" si="30"/>
        <v/>
      </c>
      <c r="Y62" s="3" t="str">
        <f>IF($K62&lt;&gt;"",IF($M62&gt;X$11,IF($M62&lt;Y$11,$M62-X$11,30),0)*ROUND(($N62+$V61+SUM($X62:X62))*$U$5/3000,2),"")</f>
        <v/>
      </c>
      <c r="Z62" s="3"/>
      <c r="AA62" s="3"/>
    </row>
    <row r="63" spans="5:84" x14ac:dyDescent="0.25">
      <c r="E63" s="5"/>
      <c r="F63" t="str">
        <f t="shared" si="16"/>
        <v/>
      </c>
      <c r="G63" s="5" t="str">
        <f t="shared" si="17"/>
        <v/>
      </c>
      <c r="H63" s="22" t="str">
        <f t="shared" si="18"/>
        <v/>
      </c>
      <c r="I63" s="22" t="str">
        <f t="shared" si="19"/>
        <v/>
      </c>
      <c r="J63" s="22" t="str">
        <f t="shared" si="15"/>
        <v/>
      </c>
      <c r="K63" t="str">
        <f t="shared" si="20"/>
        <v/>
      </c>
      <c r="L63" s="5" t="str">
        <f t="shared" si="21"/>
        <v/>
      </c>
      <c r="M63" s="9" t="str">
        <f t="shared" si="22"/>
        <v/>
      </c>
      <c r="N63" s="3" t="str">
        <f t="shared" si="23"/>
        <v/>
      </c>
      <c r="O63" s="3" t="str">
        <f t="shared" si="24"/>
        <v/>
      </c>
      <c r="P63" s="3" t="str">
        <f t="shared" si="25"/>
        <v/>
      </c>
      <c r="Q63" s="3" t="str">
        <f t="shared" si="26"/>
        <v/>
      </c>
      <c r="R63" s="3" t="str">
        <f>IF($K63&lt;&gt;"",IF($A63="Prepago",0,IF(ROUND(($H63+SUM($B$12:$B63))*$T$6,2)&gt;ROUND(SUM($R$11:$R62)+$T$6,2),$T$6*2,$T$6)),"")</f>
        <v/>
      </c>
      <c r="S63" s="3" t="str">
        <f>IF($K63&lt;&gt;"",IF($A63="Prepago",0,IF(ROUND(($H63+SUM($B$12:$B63))*$T$7,2)&gt;ROUND(SUM($S$11:$S62)+$T$7,2),$T$7*2,$T$7)),"")</f>
        <v/>
      </c>
      <c r="T63" s="3" t="str">
        <f>IF($K63&lt;&gt;"",IF($A63="Prepago",0,IF(ROUND(($H63+SUM($B$12:$B63))*$T$8,2)&gt;ROUND(SUM($T$11:$T62)+$T$8,2),$T$8*2,$T$8)),"")</f>
        <v/>
      </c>
      <c r="U63" s="3" t="str">
        <f t="shared" si="27"/>
        <v/>
      </c>
      <c r="V63" s="3" t="str">
        <f t="shared" si="28"/>
        <v/>
      </c>
      <c r="W63" s="3" t="str">
        <f t="shared" si="29"/>
        <v/>
      </c>
      <c r="X63" s="3" t="str">
        <f t="shared" si="30"/>
        <v/>
      </c>
      <c r="Y63" s="3" t="str">
        <f>IF($K63&lt;&gt;"",IF($M63&gt;X$11,IF($M63&lt;Y$11,$M63-X$11,30),0)*ROUND(($N63+$V62+SUM($X63:X63))*$U$5/3000,2),"")</f>
        <v/>
      </c>
      <c r="Z63" s="3"/>
      <c r="AA63" s="3"/>
    </row>
    <row r="64" spans="5:84" x14ac:dyDescent="0.25">
      <c r="E64" s="5"/>
      <c r="F64" t="str">
        <f t="shared" si="16"/>
        <v/>
      </c>
      <c r="G64" s="5" t="str">
        <f t="shared" si="17"/>
        <v/>
      </c>
      <c r="H64" s="22" t="str">
        <f t="shared" si="18"/>
        <v/>
      </c>
      <c r="I64" s="22" t="str">
        <f t="shared" si="19"/>
        <v/>
      </c>
      <c r="J64" s="22" t="str">
        <f t="shared" si="15"/>
        <v/>
      </c>
      <c r="K64" t="str">
        <f t="shared" si="20"/>
        <v/>
      </c>
      <c r="L64" s="5" t="str">
        <f t="shared" si="21"/>
        <v/>
      </c>
      <c r="M64" s="9" t="str">
        <f t="shared" si="22"/>
        <v/>
      </c>
      <c r="N64" s="3" t="str">
        <f t="shared" si="23"/>
        <v/>
      </c>
      <c r="O64" s="3" t="str">
        <f t="shared" si="24"/>
        <v/>
      </c>
      <c r="P64" s="3" t="str">
        <f t="shared" si="25"/>
        <v/>
      </c>
      <c r="Q64" s="3" t="str">
        <f t="shared" si="26"/>
        <v/>
      </c>
      <c r="R64" s="3" t="str">
        <f>IF($K64&lt;&gt;"",IF($A64="Prepago",0,IF(ROUND(($H64+SUM($B$12:$B64))*$T$6,2)&gt;ROUND(SUM($R$11:$R63)+$T$6,2),$T$6*2,$T$6)),"")</f>
        <v/>
      </c>
      <c r="S64" s="3" t="str">
        <f>IF($K64&lt;&gt;"",IF($A64="Prepago",0,IF(ROUND(($H64+SUM($B$12:$B64))*$T$7,2)&gt;ROUND(SUM($S$11:$S63)+$T$7,2),$T$7*2,$T$7)),"")</f>
        <v/>
      </c>
      <c r="T64" s="3" t="str">
        <f>IF($K64&lt;&gt;"",IF($A64="Prepago",0,IF(ROUND(($H64+SUM($B$12:$B64))*$T$8,2)&gt;ROUND(SUM($T$11:$T63)+$T$8,2),$T$8*2,$T$8)),"")</f>
        <v/>
      </c>
      <c r="U64" s="3" t="str">
        <f t="shared" si="27"/>
        <v/>
      </c>
      <c r="V64" s="3" t="str">
        <f t="shared" si="28"/>
        <v/>
      </c>
      <c r="W64" s="3" t="str">
        <f t="shared" si="29"/>
        <v/>
      </c>
      <c r="X64" s="3" t="str">
        <f t="shared" si="30"/>
        <v/>
      </c>
      <c r="Y64" s="3" t="str">
        <f>IF($K64&lt;&gt;"",IF($M64&gt;X$11,IF($M64&lt;Y$11,$M64-X$11,30),0)*ROUND(($N64+$V63+SUM($X64:X64))*$U$5/3000,2),"")</f>
        <v/>
      </c>
      <c r="Z64" s="3"/>
      <c r="AA64" s="3"/>
    </row>
    <row r="65" spans="5:27" x14ac:dyDescent="0.25">
      <c r="E65" s="5"/>
      <c r="F65" t="str">
        <f t="shared" si="16"/>
        <v/>
      </c>
      <c r="G65" s="5" t="str">
        <f t="shared" si="17"/>
        <v/>
      </c>
      <c r="H65" s="22" t="str">
        <f t="shared" si="18"/>
        <v/>
      </c>
      <c r="I65" s="22" t="str">
        <f t="shared" si="19"/>
        <v/>
      </c>
      <c r="J65" s="22" t="str">
        <f t="shared" si="15"/>
        <v/>
      </c>
      <c r="K65" t="str">
        <f t="shared" si="20"/>
        <v/>
      </c>
      <c r="L65" s="5" t="str">
        <f t="shared" si="21"/>
        <v/>
      </c>
      <c r="M65" s="9" t="str">
        <f t="shared" si="22"/>
        <v/>
      </c>
      <c r="N65" s="3" t="str">
        <f t="shared" si="23"/>
        <v/>
      </c>
      <c r="O65" s="3" t="str">
        <f t="shared" si="24"/>
        <v/>
      </c>
      <c r="P65" s="3" t="str">
        <f t="shared" si="25"/>
        <v/>
      </c>
      <c r="Q65" s="3" t="str">
        <f t="shared" si="26"/>
        <v/>
      </c>
      <c r="R65" s="3" t="str">
        <f>IF($K65&lt;&gt;"",IF($A65="Prepago",0,IF(ROUND(($H65+SUM($B$12:$B65))*$T$6,2)&gt;ROUND(SUM($R$11:$R64)+$T$6,2),$T$6*2,$T$6)),"")</f>
        <v/>
      </c>
      <c r="S65" s="3" t="str">
        <f>IF($K65&lt;&gt;"",IF($A65="Prepago",0,IF(ROUND(($H65+SUM($B$12:$B65))*$T$7,2)&gt;ROUND(SUM($S$11:$S64)+$T$7,2),$T$7*2,$T$7)),"")</f>
        <v/>
      </c>
      <c r="T65" s="3" t="str">
        <f>IF($K65&lt;&gt;"",IF($A65="Prepago",0,IF(ROUND(($H65+SUM($B$12:$B65))*$T$8,2)&gt;ROUND(SUM($T$11:$T64)+$T$8,2),$T$8*2,$T$8)),"")</f>
        <v/>
      </c>
      <c r="U65" s="3" t="str">
        <f t="shared" si="27"/>
        <v/>
      </c>
      <c r="V65" s="3" t="str">
        <f t="shared" si="28"/>
        <v/>
      </c>
      <c r="W65" s="3" t="str">
        <f t="shared" si="29"/>
        <v/>
      </c>
      <c r="X65" s="3" t="str">
        <f t="shared" si="30"/>
        <v/>
      </c>
      <c r="Y65" s="3" t="str">
        <f>IF($K65&lt;&gt;"",IF($M65&gt;X$11,IF($M65&lt;Y$11,$M65-X$11,30),0)*ROUND(($N65+$V64+SUM($X65:X65))*$U$5/3000,2),"")</f>
        <v/>
      </c>
      <c r="Z65" s="3"/>
      <c r="AA65" s="3"/>
    </row>
    <row r="66" spans="5:27" x14ac:dyDescent="0.25">
      <c r="E66" s="5"/>
      <c r="F66" t="str">
        <f t="shared" si="16"/>
        <v/>
      </c>
      <c r="G66" s="5" t="str">
        <f t="shared" si="17"/>
        <v/>
      </c>
      <c r="H66" s="22" t="str">
        <f t="shared" si="18"/>
        <v/>
      </c>
      <c r="I66" s="22" t="str">
        <f t="shared" si="19"/>
        <v/>
      </c>
      <c r="J66" s="22" t="str">
        <f t="shared" si="15"/>
        <v/>
      </c>
      <c r="K66" t="str">
        <f t="shared" si="20"/>
        <v/>
      </c>
      <c r="L66" s="5" t="str">
        <f t="shared" si="21"/>
        <v/>
      </c>
      <c r="M66" s="9" t="str">
        <f t="shared" si="22"/>
        <v/>
      </c>
      <c r="N66" s="3" t="str">
        <f t="shared" si="23"/>
        <v/>
      </c>
      <c r="O66" s="3" t="str">
        <f t="shared" si="24"/>
        <v/>
      </c>
      <c r="P66" s="3" t="str">
        <f t="shared" si="25"/>
        <v/>
      </c>
      <c r="Q66" s="3" t="str">
        <f t="shared" si="26"/>
        <v/>
      </c>
      <c r="R66" s="3" t="str">
        <f>IF($K66&lt;&gt;"",IF($A66="Prepago",0,IF(ROUND(($H66+SUM($B$12:$B66))*$T$6,2)&gt;ROUND(SUM($R$11:$R65)+$T$6,2),$T$6*2,$T$6)),"")</f>
        <v/>
      </c>
      <c r="S66" s="3" t="str">
        <f>IF($K66&lt;&gt;"",IF($A66="Prepago",0,IF(ROUND(($H66+SUM($B$12:$B66))*$T$7,2)&gt;ROUND(SUM($S$11:$S65)+$T$7,2),$T$7*2,$T$7)),"")</f>
        <v/>
      </c>
      <c r="T66" s="3" t="str">
        <f>IF($K66&lt;&gt;"",IF($A66="Prepago",0,IF(ROUND(($H66+SUM($B$12:$B66))*$T$8,2)&gt;ROUND(SUM($T$11:$T65)+$T$8,2),$T$8*2,$T$8)),"")</f>
        <v/>
      </c>
      <c r="U66" s="3" t="str">
        <f t="shared" si="27"/>
        <v/>
      </c>
      <c r="V66" s="3" t="str">
        <f t="shared" si="28"/>
        <v/>
      </c>
      <c r="W66" s="3" t="str">
        <f t="shared" si="29"/>
        <v/>
      </c>
      <c r="X66" s="3" t="str">
        <f t="shared" si="30"/>
        <v/>
      </c>
      <c r="Y66" s="3" t="str">
        <f>IF($K66&lt;&gt;"",IF($M66&gt;X$11,IF($M66&lt;Y$11,$M66-X$11,30),0)*ROUND(($N66+$V65+SUM($X66:X66))*$U$5/3000,2),"")</f>
        <v/>
      </c>
      <c r="Z66" s="3"/>
      <c r="AA66" s="3"/>
    </row>
    <row r="67" spans="5:27" x14ac:dyDescent="0.25">
      <c r="E67" s="5"/>
      <c r="F67" t="str">
        <f t="shared" si="16"/>
        <v/>
      </c>
      <c r="G67" s="5" t="str">
        <f t="shared" si="17"/>
        <v/>
      </c>
      <c r="H67" s="22" t="str">
        <f t="shared" si="18"/>
        <v/>
      </c>
      <c r="I67" s="22" t="str">
        <f t="shared" si="19"/>
        <v/>
      </c>
      <c r="J67" s="22" t="str">
        <f t="shared" si="15"/>
        <v/>
      </c>
      <c r="K67" t="str">
        <f t="shared" si="20"/>
        <v/>
      </c>
      <c r="L67" s="5" t="str">
        <f t="shared" si="21"/>
        <v/>
      </c>
      <c r="M67" s="9" t="str">
        <f t="shared" si="22"/>
        <v/>
      </c>
      <c r="N67" s="3" t="str">
        <f t="shared" si="23"/>
        <v/>
      </c>
      <c r="O67" s="3" t="str">
        <f t="shared" si="24"/>
        <v/>
      </c>
      <c r="P67" s="3" t="str">
        <f t="shared" si="25"/>
        <v/>
      </c>
      <c r="Q67" s="3" t="str">
        <f t="shared" si="26"/>
        <v/>
      </c>
      <c r="R67" s="3" t="str">
        <f>IF($K67&lt;&gt;"",IF($A67="Prepago",0,IF(ROUND(($H67+SUM($B$12:$B67))*$T$6,2)&gt;ROUND(SUM($R$11:$R66)+$T$6,2),$T$6*2,$T$6)),"")</f>
        <v/>
      </c>
      <c r="S67" s="3" t="str">
        <f>IF($K67&lt;&gt;"",IF($A67="Prepago",0,IF(ROUND(($H67+SUM($B$12:$B67))*$T$7,2)&gt;ROUND(SUM($S$11:$S66)+$T$7,2),$T$7*2,$T$7)),"")</f>
        <v/>
      </c>
      <c r="T67" s="3" t="str">
        <f>IF($K67&lt;&gt;"",IF($A67="Prepago",0,IF(ROUND(($H67+SUM($B$12:$B67))*$T$8,2)&gt;ROUND(SUM($T$11:$T66)+$T$8,2),$T$8*2,$T$8)),"")</f>
        <v/>
      </c>
      <c r="U67" s="3" t="str">
        <f t="shared" si="27"/>
        <v/>
      </c>
      <c r="V67" s="3" t="str">
        <f t="shared" si="28"/>
        <v/>
      </c>
      <c r="W67" s="3" t="str">
        <f t="shared" si="29"/>
        <v/>
      </c>
      <c r="X67" s="3" t="str">
        <f t="shared" si="30"/>
        <v/>
      </c>
      <c r="Y67" s="3" t="str">
        <f>IF($K67&lt;&gt;"",IF($M67&gt;X$11,IF($M67&lt;Y$11,$M67-X$11,30),0)*ROUND(($N67+$V66+SUM($X67:X67))*$U$5/3000,2),"")</f>
        <v/>
      </c>
      <c r="Z67" s="3"/>
      <c r="AA67" s="3"/>
    </row>
    <row r="68" spans="5:27" x14ac:dyDescent="0.25">
      <c r="E68" s="5"/>
      <c r="F68" t="str">
        <f t="shared" si="16"/>
        <v/>
      </c>
      <c r="G68" s="5" t="str">
        <f t="shared" si="17"/>
        <v/>
      </c>
      <c r="H68" s="22" t="str">
        <f t="shared" si="18"/>
        <v/>
      </c>
      <c r="I68" s="22" t="str">
        <f t="shared" si="19"/>
        <v/>
      </c>
      <c r="J68" s="22" t="str">
        <f t="shared" si="15"/>
        <v/>
      </c>
      <c r="K68" t="str">
        <f t="shared" si="20"/>
        <v/>
      </c>
      <c r="L68" s="5" t="str">
        <f t="shared" si="21"/>
        <v/>
      </c>
      <c r="M68" s="9" t="str">
        <f t="shared" si="22"/>
        <v/>
      </c>
      <c r="N68" s="3" t="str">
        <f t="shared" si="23"/>
        <v/>
      </c>
      <c r="O68" s="3" t="str">
        <f t="shared" si="24"/>
        <v/>
      </c>
      <c r="P68" s="3" t="str">
        <f t="shared" si="25"/>
        <v/>
      </c>
      <c r="Q68" s="3" t="str">
        <f t="shared" si="26"/>
        <v/>
      </c>
      <c r="R68" s="3" t="str">
        <f>IF($K68&lt;&gt;"",IF($A68="Prepago",0,IF(ROUND(($H68+SUM($B$12:$B68))*$T$6,2)&gt;ROUND(SUM($R$11:$R67)+$T$6,2),$T$6*2,$T$6)),"")</f>
        <v/>
      </c>
      <c r="S68" s="3" t="str">
        <f>IF($K68&lt;&gt;"",IF($A68="Prepago",0,IF(ROUND(($H68+SUM($B$12:$B68))*$T$7,2)&gt;ROUND(SUM($S$11:$S67)+$T$7,2),$T$7*2,$T$7)),"")</f>
        <v/>
      </c>
      <c r="T68" s="3" t="str">
        <f>IF($K68&lt;&gt;"",IF($A68="Prepago",0,IF(ROUND(($H68+SUM($B$12:$B68))*$T$8,2)&gt;ROUND(SUM($T$11:$T67)+$T$8,2),$T$8*2,$T$8)),"")</f>
        <v/>
      </c>
      <c r="U68" s="3" t="str">
        <f t="shared" si="27"/>
        <v/>
      </c>
      <c r="V68" s="3" t="str">
        <f t="shared" si="28"/>
        <v/>
      </c>
      <c r="W68" s="3" t="str">
        <f t="shared" si="29"/>
        <v/>
      </c>
      <c r="X68" s="3" t="str">
        <f t="shared" si="30"/>
        <v/>
      </c>
      <c r="Y68" s="3" t="str">
        <f>IF($K68&lt;&gt;"",IF($M68&gt;X$11,IF($M68&lt;Y$11,$M68-X$11,30),0)*ROUND(($N68+$V67+SUM($X68:X68))*$U$5/3000,2),"")</f>
        <v/>
      </c>
      <c r="Z68" s="3"/>
      <c r="AA68" s="3"/>
    </row>
    <row r="69" spans="5:27" x14ac:dyDescent="0.25">
      <c r="E69" s="5"/>
      <c r="F69" t="str">
        <f t="shared" si="16"/>
        <v/>
      </c>
      <c r="G69" s="5" t="str">
        <f t="shared" si="17"/>
        <v/>
      </c>
      <c r="H69" s="22" t="str">
        <f t="shared" si="18"/>
        <v/>
      </c>
      <c r="I69" s="22" t="str">
        <f t="shared" si="19"/>
        <v/>
      </c>
      <c r="J69" s="22" t="str">
        <f t="shared" si="15"/>
        <v/>
      </c>
      <c r="K69" t="str">
        <f t="shared" si="20"/>
        <v/>
      </c>
      <c r="L69" s="5" t="str">
        <f t="shared" si="21"/>
        <v/>
      </c>
      <c r="M69" s="9" t="str">
        <f t="shared" si="22"/>
        <v/>
      </c>
      <c r="N69" s="3" t="str">
        <f t="shared" si="23"/>
        <v/>
      </c>
      <c r="O69" s="3" t="str">
        <f t="shared" si="24"/>
        <v/>
      </c>
      <c r="P69" s="3" t="str">
        <f t="shared" si="25"/>
        <v/>
      </c>
      <c r="Q69" s="3" t="str">
        <f t="shared" si="26"/>
        <v/>
      </c>
      <c r="R69" s="3" t="str">
        <f>IF($K69&lt;&gt;"",IF($A69="Prepago",0,IF(ROUND(($H69+SUM($B$12:$B69))*$T$6,2)&gt;ROUND(SUM($R$11:$R68)+$T$6,2),$T$6*2,$T$6)),"")</f>
        <v/>
      </c>
      <c r="S69" s="3" t="str">
        <f>IF($K69&lt;&gt;"",IF($A69="Prepago",0,IF(ROUND(($H69+SUM($B$12:$B69))*$T$7,2)&gt;ROUND(SUM($S$11:$S68)+$T$7,2),$T$7*2,$T$7)),"")</f>
        <v/>
      </c>
      <c r="T69" s="3" t="str">
        <f>IF($K69&lt;&gt;"",IF($A69="Prepago",0,IF(ROUND(($H69+SUM($B$12:$B69))*$T$8,2)&gt;ROUND(SUM($T$11:$T68)+$T$8,2),$T$8*2,$T$8)),"")</f>
        <v/>
      </c>
      <c r="U69" s="3" t="str">
        <f t="shared" si="27"/>
        <v/>
      </c>
      <c r="V69" s="3" t="str">
        <f t="shared" si="28"/>
        <v/>
      </c>
      <c r="W69" s="3" t="str">
        <f t="shared" si="29"/>
        <v/>
      </c>
      <c r="X69" s="3" t="str">
        <f t="shared" si="30"/>
        <v/>
      </c>
      <c r="Y69" s="3" t="str">
        <f>IF($K69&lt;&gt;"",IF($M69&gt;X$11,IF($M69&lt;Y$11,$M69-X$11,30),0)*ROUND(($N69+$V68+SUM($X69:X69))*$U$5/3000,2),"")</f>
        <v/>
      </c>
      <c r="Z69" s="3"/>
      <c r="AA69" s="3"/>
    </row>
    <row r="70" spans="5:27" x14ac:dyDescent="0.25">
      <c r="E70" s="5"/>
      <c r="F70" t="str">
        <f t="shared" si="16"/>
        <v/>
      </c>
      <c r="G70" s="5" t="str">
        <f t="shared" si="17"/>
        <v/>
      </c>
      <c r="H70" s="22" t="str">
        <f t="shared" si="18"/>
        <v/>
      </c>
      <c r="I70" s="22" t="str">
        <f t="shared" si="19"/>
        <v/>
      </c>
      <c r="J70" s="22" t="str">
        <f t="shared" si="15"/>
        <v/>
      </c>
      <c r="K70" t="str">
        <f t="shared" si="20"/>
        <v/>
      </c>
      <c r="L70" s="5" t="str">
        <f t="shared" si="21"/>
        <v/>
      </c>
      <c r="M70" s="9" t="str">
        <f t="shared" si="22"/>
        <v/>
      </c>
      <c r="N70" s="3" t="str">
        <f t="shared" si="23"/>
        <v/>
      </c>
      <c r="O70" s="3" t="str">
        <f t="shared" si="24"/>
        <v/>
      </c>
      <c r="P70" s="3" t="str">
        <f t="shared" si="25"/>
        <v/>
      </c>
      <c r="Q70" s="3" t="str">
        <f t="shared" si="26"/>
        <v/>
      </c>
      <c r="R70" s="3" t="str">
        <f>IF($K70&lt;&gt;"",IF($A70="Prepago",0,IF(ROUND(($H70+SUM($B$12:$B70))*$T$6,2)&gt;ROUND(SUM($R$11:$R69)+$T$6,2),$T$6*2,$T$6)),"")</f>
        <v/>
      </c>
      <c r="S70" s="3" t="str">
        <f>IF($K70&lt;&gt;"",IF($A70="Prepago",0,IF(ROUND(($H70+SUM($B$12:$B70))*$T$7,2)&gt;ROUND(SUM($S$11:$S69)+$T$7,2),$T$7*2,$T$7)),"")</f>
        <v/>
      </c>
      <c r="T70" s="3" t="str">
        <f>IF($K70&lt;&gt;"",IF($A70="Prepago",0,IF(ROUND(($H70+SUM($B$12:$B70))*$T$8,2)&gt;ROUND(SUM($T$11:$T69)+$T$8,2),$T$8*2,$T$8)),"")</f>
        <v/>
      </c>
      <c r="U70" s="3" t="str">
        <f t="shared" si="27"/>
        <v/>
      </c>
      <c r="V70" s="3" t="str">
        <f t="shared" si="28"/>
        <v/>
      </c>
      <c r="W70" s="3" t="str">
        <f t="shared" si="29"/>
        <v/>
      </c>
      <c r="X70" s="3" t="str">
        <f t="shared" si="30"/>
        <v/>
      </c>
      <c r="Y70" s="3" t="str">
        <f>IF($K70&lt;&gt;"",IF($M70&gt;X$11,IF($M70&lt;Y$11,$M70-X$11,30),0)*ROUND(($N70+$V69+SUM($X70:X70))*$U$5/3000,2),"")</f>
        <v/>
      </c>
      <c r="Z70" s="3"/>
      <c r="AA70" s="3"/>
    </row>
    <row r="71" spans="5:27" x14ac:dyDescent="0.25">
      <c r="E71" s="5"/>
      <c r="F71" t="str">
        <f t="shared" si="16"/>
        <v/>
      </c>
      <c r="G71" s="5" t="str">
        <f t="shared" si="17"/>
        <v/>
      </c>
      <c r="H71" s="22" t="str">
        <f t="shared" si="18"/>
        <v/>
      </c>
      <c r="I71" s="22" t="str">
        <f t="shared" si="19"/>
        <v/>
      </c>
      <c r="J71" s="22" t="str">
        <f t="shared" si="15"/>
        <v/>
      </c>
      <c r="K71" t="str">
        <f t="shared" si="20"/>
        <v/>
      </c>
      <c r="L71" s="5" t="str">
        <f t="shared" si="21"/>
        <v/>
      </c>
      <c r="M71" s="9" t="str">
        <f t="shared" si="22"/>
        <v/>
      </c>
      <c r="N71" s="3" t="str">
        <f t="shared" si="23"/>
        <v/>
      </c>
      <c r="O71" s="3" t="str">
        <f t="shared" si="24"/>
        <v/>
      </c>
      <c r="P71" s="3" t="str">
        <f t="shared" si="25"/>
        <v/>
      </c>
      <c r="Q71" s="3" t="str">
        <f t="shared" si="26"/>
        <v/>
      </c>
      <c r="R71" s="3" t="str">
        <f>IF($K71&lt;&gt;"",IF($A71="Prepago",0,IF(ROUND(($H71+SUM($B$12:$B71))*$T$6,2)&gt;ROUND(SUM($R$11:$R70)+$T$6,2),$T$6*2,$T$6)),"")</f>
        <v/>
      </c>
      <c r="S71" s="3" t="str">
        <f>IF($K71&lt;&gt;"",IF($A71="Prepago",0,IF(ROUND(($H71+SUM($B$12:$B71))*$T$7,2)&gt;ROUND(SUM($S$11:$S70)+$T$7,2),$T$7*2,$T$7)),"")</f>
        <v/>
      </c>
      <c r="T71" s="3" t="str">
        <f>IF($K71&lt;&gt;"",IF($A71="Prepago",0,IF(ROUND(($H71+SUM($B$12:$B71))*$T$8,2)&gt;ROUND(SUM($T$11:$T70)+$T$8,2),$T$8*2,$T$8)),"")</f>
        <v/>
      </c>
      <c r="U71" s="3" t="str">
        <f t="shared" si="27"/>
        <v/>
      </c>
      <c r="V71" s="3" t="str">
        <f t="shared" si="28"/>
        <v/>
      </c>
      <c r="W71" s="3" t="str">
        <f t="shared" si="29"/>
        <v/>
      </c>
      <c r="X71" s="3" t="str">
        <f t="shared" si="30"/>
        <v/>
      </c>
      <c r="Y71" s="3" t="str">
        <f>IF($K71&lt;&gt;"",IF($M71&gt;X$11,IF($M71&lt;Y$11,$M71-X$11,30),0)*ROUND(($N71+$V70+SUM($X71:X71))*$U$5/3000,2),"")</f>
        <v/>
      </c>
      <c r="Z71" s="3"/>
      <c r="AA71" s="3"/>
    </row>
    <row r="72" spans="5:27" x14ac:dyDescent="0.25">
      <c r="E72" s="5"/>
      <c r="F72" t="str">
        <f t="shared" si="16"/>
        <v/>
      </c>
      <c r="G72" s="5" t="str">
        <f t="shared" si="17"/>
        <v/>
      </c>
      <c r="H72" s="22" t="str">
        <f t="shared" si="18"/>
        <v/>
      </c>
      <c r="I72" s="22" t="str">
        <f t="shared" si="19"/>
        <v/>
      </c>
      <c r="J72" s="22" t="str">
        <f t="shared" si="15"/>
        <v/>
      </c>
      <c r="K72" t="str">
        <f t="shared" si="20"/>
        <v/>
      </c>
      <c r="L72" s="5" t="str">
        <f t="shared" si="21"/>
        <v/>
      </c>
      <c r="M72" s="9" t="str">
        <f t="shared" si="22"/>
        <v/>
      </c>
      <c r="N72" s="3" t="str">
        <f t="shared" si="23"/>
        <v/>
      </c>
      <c r="O72" s="3" t="str">
        <f t="shared" si="24"/>
        <v/>
      </c>
      <c r="P72" s="3" t="str">
        <f t="shared" si="25"/>
        <v/>
      </c>
      <c r="Q72" s="3" t="str">
        <f t="shared" si="26"/>
        <v/>
      </c>
      <c r="R72" s="3" t="str">
        <f>IF($K72&lt;&gt;"",IF($A72="Prepago",0,IF(ROUND(($H72+SUM($B$12:$B72))*$T$6,2)&gt;ROUND(SUM($R$11:$R71)+$T$6,2),$T$6*2,$T$6)),"")</f>
        <v/>
      </c>
      <c r="S72" s="3" t="str">
        <f>IF($K72&lt;&gt;"",IF($A72="Prepago",0,IF(ROUND(($H72+SUM($B$12:$B72))*$T$7,2)&gt;ROUND(SUM($S$11:$S71)+$T$7,2),$T$7*2,$T$7)),"")</f>
        <v/>
      </c>
      <c r="T72" s="3" t="str">
        <f>IF($K72&lt;&gt;"",IF($A72="Prepago",0,IF(ROUND(($H72+SUM($B$12:$B72))*$T$8,2)&gt;ROUND(SUM($T$11:$T71)+$T$8,2),$T$8*2,$T$8)),"")</f>
        <v/>
      </c>
      <c r="U72" s="3" t="str">
        <f t="shared" si="27"/>
        <v/>
      </c>
      <c r="V72" s="3" t="str">
        <f t="shared" si="28"/>
        <v/>
      </c>
      <c r="W72" s="3" t="str">
        <f t="shared" si="29"/>
        <v/>
      </c>
      <c r="X72" s="3" t="str">
        <f t="shared" si="30"/>
        <v/>
      </c>
      <c r="Y72" s="3" t="str">
        <f>IF($K72&lt;&gt;"",IF($M72&gt;X$11,IF($M72&lt;Y$11,$M72-X$11,30),0)*ROUND(($N72+$V71+SUM($X72:X72))*$U$5/3000,2),"")</f>
        <v/>
      </c>
      <c r="Z72" s="3"/>
      <c r="AA72" s="3"/>
    </row>
    <row r="73" spans="5:27" x14ac:dyDescent="0.25">
      <c r="E73" s="5"/>
      <c r="F73" t="str">
        <f t="shared" si="16"/>
        <v/>
      </c>
      <c r="G73" s="5" t="str">
        <f t="shared" si="17"/>
        <v/>
      </c>
      <c r="H73" s="22" t="str">
        <f t="shared" si="18"/>
        <v/>
      </c>
      <c r="I73" s="22" t="str">
        <f t="shared" si="19"/>
        <v/>
      </c>
      <c r="J73" s="22" t="str">
        <f t="shared" si="15"/>
        <v/>
      </c>
      <c r="K73" t="str">
        <f t="shared" si="20"/>
        <v/>
      </c>
      <c r="L73" s="5" t="str">
        <f t="shared" si="21"/>
        <v/>
      </c>
      <c r="M73" s="9" t="str">
        <f t="shared" si="22"/>
        <v/>
      </c>
      <c r="N73" s="3" t="str">
        <f t="shared" si="23"/>
        <v/>
      </c>
      <c r="O73" s="3" t="str">
        <f t="shared" si="24"/>
        <v/>
      </c>
      <c r="P73" s="3" t="str">
        <f t="shared" si="25"/>
        <v/>
      </c>
      <c r="Q73" s="3" t="str">
        <f t="shared" si="26"/>
        <v/>
      </c>
      <c r="R73" s="3" t="str">
        <f>IF($K73&lt;&gt;"",IF($A73="Prepago",0,IF(ROUND(($H73+SUM($B$12:$B73))*$T$6,2)&gt;ROUND(SUM($R$11:$R72)+$T$6,2),$T$6*2,$T$6)),"")</f>
        <v/>
      </c>
      <c r="S73" s="3" t="str">
        <f>IF($K73&lt;&gt;"",IF($A73="Prepago",0,IF(ROUND(($H73+SUM($B$12:$B73))*$T$7,2)&gt;ROUND(SUM($S$11:$S72)+$T$7,2),$T$7*2,$T$7)),"")</f>
        <v/>
      </c>
      <c r="T73" s="3" t="str">
        <f>IF($K73&lt;&gt;"",IF($A73="Prepago",0,IF(ROUND(($H73+SUM($B$12:$B73))*$T$8,2)&gt;ROUND(SUM($T$11:$T72)+$T$8,2),$T$8*2,$T$8)),"")</f>
        <v/>
      </c>
      <c r="U73" s="3" t="str">
        <f t="shared" si="27"/>
        <v/>
      </c>
      <c r="V73" s="3" t="str">
        <f t="shared" si="28"/>
        <v/>
      </c>
      <c r="W73" s="3" t="str">
        <f t="shared" si="29"/>
        <v/>
      </c>
      <c r="X73" s="3" t="str">
        <f t="shared" si="30"/>
        <v/>
      </c>
      <c r="Y73" s="3" t="str">
        <f>IF($K73&lt;&gt;"",IF($M73&gt;X$11,IF($M73&lt;Y$11,$M73-X$11,30),0)*ROUND(($N73+$V72+SUM($X73:X73))*$U$5/3000,2),"")</f>
        <v/>
      </c>
      <c r="Z73" s="3"/>
      <c r="AA73" s="3"/>
    </row>
    <row r="74" spans="5:27" x14ac:dyDescent="0.25">
      <c r="E74" s="5"/>
      <c r="F74" t="str">
        <f t="shared" si="16"/>
        <v/>
      </c>
      <c r="G74" s="5" t="str">
        <f t="shared" si="17"/>
        <v/>
      </c>
      <c r="H74" s="22" t="str">
        <f t="shared" si="18"/>
        <v/>
      </c>
      <c r="I74" s="22" t="str">
        <f t="shared" si="19"/>
        <v/>
      </c>
      <c r="J74" s="22" t="str">
        <f t="shared" si="15"/>
        <v/>
      </c>
      <c r="K74" t="str">
        <f t="shared" si="20"/>
        <v/>
      </c>
      <c r="L74" s="5" t="str">
        <f t="shared" si="21"/>
        <v/>
      </c>
      <c r="M74" s="9" t="str">
        <f t="shared" si="22"/>
        <v/>
      </c>
      <c r="N74" s="3" t="str">
        <f t="shared" si="23"/>
        <v/>
      </c>
      <c r="O74" s="3" t="str">
        <f t="shared" si="24"/>
        <v/>
      </c>
      <c r="P74" s="3" t="str">
        <f t="shared" si="25"/>
        <v/>
      </c>
      <c r="Q74" s="3" t="str">
        <f t="shared" si="26"/>
        <v/>
      </c>
      <c r="R74" s="3" t="str">
        <f>IF($K74&lt;&gt;"",IF($A74="Prepago",0,IF(ROUND(($H74+SUM($B$12:$B74))*$T$6,2)&gt;ROUND(SUM($R$11:$R73)+$T$6,2),$T$6*2,$T$6)),"")</f>
        <v/>
      </c>
      <c r="S74" s="3" t="str">
        <f>IF($K74&lt;&gt;"",IF($A74="Prepago",0,IF(ROUND(($H74+SUM($B$12:$B74))*$T$7,2)&gt;ROUND(SUM($S$11:$S73)+$T$7,2),$T$7*2,$T$7)),"")</f>
        <v/>
      </c>
      <c r="T74" s="3" t="str">
        <f>IF($K74&lt;&gt;"",IF($A74="Prepago",0,IF(ROUND(($H74+SUM($B$12:$B74))*$T$8,2)&gt;ROUND(SUM($T$11:$T73)+$T$8,2),$T$8*2,$T$8)),"")</f>
        <v/>
      </c>
      <c r="U74" s="3" t="str">
        <f t="shared" si="27"/>
        <v/>
      </c>
      <c r="V74" s="3" t="str">
        <f t="shared" si="28"/>
        <v/>
      </c>
      <c r="W74" s="3" t="str">
        <f t="shared" si="29"/>
        <v/>
      </c>
      <c r="X74" s="3" t="str">
        <f t="shared" si="30"/>
        <v/>
      </c>
      <c r="Y74" s="3" t="str">
        <f>IF($K74&lt;&gt;"",IF($M74&gt;X$11,IF($M74&lt;Y$11,$M74-X$11,30),0)*ROUND(($N74+$V73+SUM($X74:X74))*$U$5/3000,2),"")</f>
        <v/>
      </c>
      <c r="Z74" s="3"/>
      <c r="AA74" s="3"/>
    </row>
    <row r="75" spans="5:27" x14ac:dyDescent="0.25">
      <c r="E75" s="5"/>
      <c r="F75" t="str">
        <f t="shared" si="16"/>
        <v/>
      </c>
      <c r="G75" s="5" t="str">
        <f t="shared" si="17"/>
        <v/>
      </c>
      <c r="H75" s="22" t="str">
        <f t="shared" si="18"/>
        <v/>
      </c>
      <c r="I75" s="22" t="str">
        <f t="shared" si="19"/>
        <v/>
      </c>
      <c r="J75" s="22" t="str">
        <f t="shared" si="15"/>
        <v/>
      </c>
      <c r="K75" t="str">
        <f t="shared" si="20"/>
        <v/>
      </c>
      <c r="L75" s="5" t="str">
        <f t="shared" si="21"/>
        <v/>
      </c>
      <c r="M75" s="9" t="str">
        <f t="shared" si="22"/>
        <v/>
      </c>
      <c r="N75" s="3" t="str">
        <f t="shared" si="23"/>
        <v/>
      </c>
      <c r="O75" s="3" t="str">
        <f t="shared" si="24"/>
        <v/>
      </c>
      <c r="P75" s="3" t="str">
        <f t="shared" si="25"/>
        <v/>
      </c>
      <c r="Q75" s="3" t="str">
        <f t="shared" si="26"/>
        <v/>
      </c>
      <c r="R75" s="3" t="str">
        <f>IF($K75&lt;&gt;"",IF($A75="Prepago",0,IF(ROUND(($H75+SUM($B$12:$B75))*$T$6,2)&gt;ROUND(SUM($R$11:$R74)+$T$6,2),$T$6*2,$T$6)),"")</f>
        <v/>
      </c>
      <c r="S75" s="3" t="str">
        <f>IF($K75&lt;&gt;"",IF($A75="Prepago",0,IF(ROUND(($H75+SUM($B$12:$B75))*$T$7,2)&gt;ROUND(SUM($S$11:$S74)+$T$7,2),$T$7*2,$T$7)),"")</f>
        <v/>
      </c>
      <c r="T75" s="3" t="str">
        <f>IF($K75&lt;&gt;"",IF($A75="Prepago",0,IF(ROUND(($H75+SUM($B$12:$B75))*$T$8,2)&gt;ROUND(SUM($T$11:$T74)+$T$8,2),$T$8*2,$T$8)),"")</f>
        <v/>
      </c>
      <c r="U75" s="3" t="str">
        <f t="shared" si="27"/>
        <v/>
      </c>
      <c r="V75" s="3" t="str">
        <f t="shared" si="28"/>
        <v/>
      </c>
      <c r="W75" s="3" t="str">
        <f t="shared" si="29"/>
        <v/>
      </c>
      <c r="X75" s="3" t="str">
        <f t="shared" si="30"/>
        <v/>
      </c>
      <c r="Y75" s="3" t="str">
        <f>IF($K75&lt;&gt;"",IF($M75&gt;X$11,IF($M75&lt;Y$11,$M75-X$11,30),0)*ROUND(($N75+$V74+SUM($X75:X75))*$U$5/3000,2),"")</f>
        <v/>
      </c>
      <c r="Z75" s="3"/>
      <c r="AA75" s="3"/>
    </row>
    <row r="76" spans="5:27" x14ac:dyDescent="0.25">
      <c r="E76" s="5"/>
      <c r="F76" t="str">
        <f t="shared" ref="F76:F97" si="31">IF($K76&lt;&gt;"",TEXT(L76,"DDD"),"")</f>
        <v/>
      </c>
      <c r="G76" s="5" t="str">
        <f t="shared" ref="G76:G97" si="32">IF($K76&lt;&gt;"",EOMONTH($L$11,H76),"")</f>
        <v/>
      </c>
      <c r="H76" s="22" t="str">
        <f t="shared" ref="H76:H97" si="33">IF($K76&lt;&gt;"",IF($A76="Prepago",$H75,$H75+1)+B76,"")</f>
        <v/>
      </c>
      <c r="I76" s="22" t="str">
        <f t="shared" ref="I76:I97" si="34">IF(K76&lt;&gt;"",IF(COUNTA($X76:$XFD76)*30&lt;$M76,1,0),"")</f>
        <v/>
      </c>
      <c r="J76" s="22" t="str">
        <f t="shared" si="15"/>
        <v/>
      </c>
      <c r="K76" t="str">
        <f t="shared" ref="K76:K97" si="35">IF($K75&lt;NCUOTAS+CUOTAADICIONAL+PGRACIA,$K75+1,"")</f>
        <v/>
      </c>
      <c r="L76" s="5" t="str">
        <f t="shared" ref="L76:L97" si="36">IF($K76&lt;&gt;"",IF(DAY(G76)&lt;$M$7,G76,DATE(YEAR(G76),MONTH(G76),$M$7)),"")</f>
        <v/>
      </c>
      <c r="M76" s="9" t="str">
        <f t="shared" ref="M76:M97" si="37">IF($K76&lt;&gt;"",$L76-$L75,"")</f>
        <v/>
      </c>
      <c r="N76" s="3" t="str">
        <f t="shared" ref="N76:N97" si="38">IF($K76&lt;&gt;"",$U75,"")</f>
        <v/>
      </c>
      <c r="O76" s="3" t="str">
        <f t="shared" ref="O76:O96" si="39">IF($K76&lt;&gt;"",IF($A76="Gracia Parcial",IF(AND($C76&lt;$W76+$R76+$S76+$T76+$V75,$C76&gt;0),$C76,$W76+$R76+$S76+$T76+$V75),IF($A76="Gracia Total",0,IF($A76="Prepago",$C76,IF(ISNUMBER($C76),$C76*VALUE(MID($C$1,MONTH($L76),1)),$P$5*VALUE(MID($C$1,MONTH($L76),1))))))-IF($K77="",ARREGLO,0),"")</f>
        <v/>
      </c>
      <c r="P76" s="3" t="str">
        <f t="shared" ref="P76:P97" si="40">IF($K76&lt;&gt;"",IF($O76-$Q76&gt;0,$O76-$Q76-$R76-$S76-$T76,0),"")</f>
        <v/>
      </c>
      <c r="Q76" s="3" t="str">
        <f t="shared" ref="Q76:Q97" si="41">IF($K76&lt;&gt;"",IF($O76&gt;=IF($D76="",$W76,$D76)+$V75+$R76+$S76+$T76,IF($D76="",$W76,$D76)+$V75,$O76-$R76-$S76-$T76),"")</f>
        <v/>
      </c>
      <c r="R76" s="3" t="str">
        <f>IF($K76&lt;&gt;"",IF($A76="Prepago",0,IF(ROUND(($H76+SUM($B$12:$B76))*$T$6,2)&gt;ROUND(SUM($R$11:$R75)+$T$6,2),$T$6*2,$T$6)),"")</f>
        <v/>
      </c>
      <c r="S76" s="3" t="str">
        <f>IF($K76&lt;&gt;"",IF($A76="Prepago",0,IF(ROUND(($H76+SUM($B$12:$B76))*$T$7,2)&gt;ROUND(SUM($S$11:$S75)+$T$7,2),$T$7*2,$T$7)),"")</f>
        <v/>
      </c>
      <c r="T76" s="3" t="str">
        <f>IF($K76&lt;&gt;"",IF($A76="Prepago",0,IF(ROUND(($H76+SUM($B$12:$B76))*$T$8,2)&gt;ROUND(SUM($T$11:$T75)+$T$8,2),$T$8*2,$T$8)),"")</f>
        <v/>
      </c>
      <c r="U76" s="3" t="str">
        <f t="shared" ref="U76:U97" si="42">IF($K76&lt;&gt;"",$N76-$P76,"")</f>
        <v/>
      </c>
      <c r="V76" s="3" t="str">
        <f t="shared" ref="V76:V97" si="43">IF($K76&lt;&gt;"",+$V75+IF($D76="",$W76,$D76)-$Q76,"")</f>
        <v/>
      </c>
      <c r="W76" s="3" t="str">
        <f t="shared" ref="W76:W97" si="44">IF($K76&lt;&gt;"",SUM($X76:$XFD76),"")</f>
        <v/>
      </c>
      <c r="X76" s="3" t="str">
        <f t="shared" ref="X76:X97" si="45">IF($K76&lt;&gt;"",IF($M76&gt;X$11,30,$M76)*ROUND(($N76+$V75)*$U$5/3000,2),"")</f>
        <v/>
      </c>
      <c r="Y76" s="3" t="str">
        <f>IF($K76&lt;&gt;"",IF($M76&gt;X$11,IF($M76&lt;Y$11,$M76-X$11,30),0)*ROUND(($N76+$V75+SUM($X76:X76))*$U$5/3000,2),"")</f>
        <v/>
      </c>
      <c r="Z76" s="3"/>
      <c r="AA76" s="3"/>
    </row>
    <row r="77" spans="5:27" x14ac:dyDescent="0.25">
      <c r="E77" s="5"/>
      <c r="F77" t="str">
        <f t="shared" si="31"/>
        <v/>
      </c>
      <c r="G77" s="5" t="str">
        <f t="shared" si="32"/>
        <v/>
      </c>
      <c r="H77" s="22" t="str">
        <f t="shared" si="33"/>
        <v/>
      </c>
      <c r="I77" s="22" t="str">
        <f t="shared" si="34"/>
        <v/>
      </c>
      <c r="J77" s="22" t="str">
        <f t="shared" ref="J77:J97" si="46">IF($K77&lt;&gt;"",IF(OR(A77&lt;&gt;"",C77&lt;&gt;""),1,0),"")</f>
        <v/>
      </c>
      <c r="K77" t="str">
        <f t="shared" si="35"/>
        <v/>
      </c>
      <c r="L77" s="5" t="str">
        <f t="shared" si="36"/>
        <v/>
      </c>
      <c r="M77" s="9" t="str">
        <f t="shared" si="37"/>
        <v/>
      </c>
      <c r="N77" s="3" t="str">
        <f t="shared" si="38"/>
        <v/>
      </c>
      <c r="O77" s="3" t="str">
        <f t="shared" si="39"/>
        <v/>
      </c>
      <c r="P77" s="3" t="str">
        <f t="shared" si="40"/>
        <v/>
      </c>
      <c r="Q77" s="3" t="str">
        <f t="shared" si="41"/>
        <v/>
      </c>
      <c r="R77" s="3" t="str">
        <f>IF($K77&lt;&gt;"",IF($A77="Prepago",0,IF(ROUND(($H77+SUM($B$12:$B77))*$T$6,2)&gt;ROUND(SUM($R$11:$R76)+$T$6,2),$T$6*2,$T$6)),"")</f>
        <v/>
      </c>
      <c r="S77" s="3" t="str">
        <f>IF($K77&lt;&gt;"",IF($A77="Prepago",0,IF(ROUND(($H77+SUM($B$12:$B77))*$T$7,2)&gt;ROUND(SUM($S$11:$S76)+$T$7,2),$T$7*2,$T$7)),"")</f>
        <v/>
      </c>
      <c r="T77" s="3" t="str">
        <f>IF($K77&lt;&gt;"",IF($A77="Prepago",0,IF(ROUND(($H77+SUM($B$12:$B77))*$T$8,2)&gt;ROUND(SUM($T$11:$T76)+$T$8,2),$T$8*2,$T$8)),"")</f>
        <v/>
      </c>
      <c r="U77" s="3" t="str">
        <f t="shared" si="42"/>
        <v/>
      </c>
      <c r="V77" s="3" t="str">
        <f t="shared" si="43"/>
        <v/>
      </c>
      <c r="W77" s="3" t="str">
        <f t="shared" si="44"/>
        <v/>
      </c>
      <c r="X77" s="3" t="str">
        <f t="shared" si="45"/>
        <v/>
      </c>
      <c r="Y77" s="3" t="str">
        <f>IF($K77&lt;&gt;"",IF($M77&gt;X$11,IF($M77&lt;Y$11,$M77-X$11,30),0)*ROUND(($N77+$V76+SUM($X77:X77))*$U$5/3000,2),"")</f>
        <v/>
      </c>
      <c r="Z77" s="3"/>
      <c r="AA77" s="3"/>
    </row>
    <row r="78" spans="5:27" x14ac:dyDescent="0.25">
      <c r="E78" s="5"/>
      <c r="F78" t="str">
        <f t="shared" si="31"/>
        <v/>
      </c>
      <c r="G78" s="5" t="str">
        <f t="shared" si="32"/>
        <v/>
      </c>
      <c r="H78" s="22" t="str">
        <f t="shared" si="33"/>
        <v/>
      </c>
      <c r="I78" s="22" t="str">
        <f t="shared" si="34"/>
        <v/>
      </c>
      <c r="J78" s="22" t="str">
        <f t="shared" si="46"/>
        <v/>
      </c>
      <c r="K78" t="str">
        <f t="shared" si="35"/>
        <v/>
      </c>
      <c r="L78" s="5" t="str">
        <f t="shared" si="36"/>
        <v/>
      </c>
      <c r="M78" s="9" t="str">
        <f t="shared" si="37"/>
        <v/>
      </c>
      <c r="N78" s="3" t="str">
        <f t="shared" si="38"/>
        <v/>
      </c>
      <c r="O78" s="3" t="str">
        <f t="shared" si="39"/>
        <v/>
      </c>
      <c r="P78" s="3" t="str">
        <f t="shared" si="40"/>
        <v/>
      </c>
      <c r="Q78" s="3" t="str">
        <f t="shared" si="41"/>
        <v/>
      </c>
      <c r="R78" s="3" t="str">
        <f>IF($K78&lt;&gt;"",IF($A78="Prepago",0,IF(ROUND(($H78+SUM($B$12:$B78))*$T$6,2)&gt;ROUND(SUM($R$11:$R77)+$T$6,2),$T$6*2,$T$6)),"")</f>
        <v/>
      </c>
      <c r="S78" s="3" t="str">
        <f>IF($K78&lt;&gt;"",IF($A78="Prepago",0,IF(ROUND(($H78+SUM($B$12:$B78))*$T$7,2)&gt;ROUND(SUM($S$11:$S77)+$T$7,2),$T$7*2,$T$7)),"")</f>
        <v/>
      </c>
      <c r="T78" s="3" t="str">
        <f>IF($K78&lt;&gt;"",IF($A78="Prepago",0,IF(ROUND(($H78+SUM($B$12:$B78))*$T$8,2)&gt;ROUND(SUM($T$11:$T77)+$T$8,2),$T$8*2,$T$8)),"")</f>
        <v/>
      </c>
      <c r="U78" s="3" t="str">
        <f t="shared" si="42"/>
        <v/>
      </c>
      <c r="V78" s="3" t="str">
        <f t="shared" si="43"/>
        <v/>
      </c>
      <c r="W78" s="3" t="str">
        <f t="shared" si="44"/>
        <v/>
      </c>
      <c r="X78" s="3" t="str">
        <f t="shared" si="45"/>
        <v/>
      </c>
      <c r="Y78" s="3" t="str">
        <f>IF($K78&lt;&gt;"",IF($M78&gt;X$11,IF($M78&lt;Y$11,$M78-X$11,30),0)*ROUND(($N78+$V77+SUM($X78:X78))*$U$5/3000,2),"")</f>
        <v/>
      </c>
      <c r="Z78" s="3"/>
      <c r="AA78" s="3"/>
    </row>
    <row r="79" spans="5:27" x14ac:dyDescent="0.25">
      <c r="E79" s="5"/>
      <c r="F79" t="str">
        <f t="shared" si="31"/>
        <v/>
      </c>
      <c r="G79" s="5" t="str">
        <f t="shared" si="32"/>
        <v/>
      </c>
      <c r="H79" s="22" t="str">
        <f t="shared" si="33"/>
        <v/>
      </c>
      <c r="I79" s="22" t="str">
        <f t="shared" si="34"/>
        <v/>
      </c>
      <c r="J79" s="22" t="str">
        <f t="shared" si="46"/>
        <v/>
      </c>
      <c r="K79" t="str">
        <f t="shared" si="35"/>
        <v/>
      </c>
      <c r="L79" s="5" t="str">
        <f t="shared" si="36"/>
        <v/>
      </c>
      <c r="M79" s="9" t="str">
        <f t="shared" si="37"/>
        <v/>
      </c>
      <c r="N79" s="3" t="str">
        <f t="shared" si="38"/>
        <v/>
      </c>
      <c r="O79" s="3" t="str">
        <f t="shared" si="39"/>
        <v/>
      </c>
      <c r="P79" s="3" t="str">
        <f t="shared" si="40"/>
        <v/>
      </c>
      <c r="Q79" s="3" t="str">
        <f t="shared" si="41"/>
        <v/>
      </c>
      <c r="R79" s="3" t="str">
        <f>IF($K79&lt;&gt;"",IF($A79="Prepago",0,IF(ROUND(($H79+SUM($B$12:$B79))*$T$6,2)&gt;ROUND(SUM($R$11:$R78)+$T$6,2),$T$6*2,$T$6)),"")</f>
        <v/>
      </c>
      <c r="S79" s="3" t="str">
        <f>IF($K79&lt;&gt;"",IF($A79="Prepago",0,IF(ROUND(($H79+SUM($B$12:$B79))*$T$7,2)&gt;ROUND(SUM($S$11:$S78)+$T$7,2),$T$7*2,$T$7)),"")</f>
        <v/>
      </c>
      <c r="T79" s="3" t="str">
        <f>IF($K79&lt;&gt;"",IF($A79="Prepago",0,IF(ROUND(($H79+SUM($B$12:$B79))*$T$8,2)&gt;ROUND(SUM($T$11:$T78)+$T$8,2),$T$8*2,$T$8)),"")</f>
        <v/>
      </c>
      <c r="U79" s="3" t="str">
        <f t="shared" si="42"/>
        <v/>
      </c>
      <c r="V79" s="3" t="str">
        <f t="shared" si="43"/>
        <v/>
      </c>
      <c r="W79" s="3" t="str">
        <f t="shared" si="44"/>
        <v/>
      </c>
      <c r="X79" s="3" t="str">
        <f t="shared" si="45"/>
        <v/>
      </c>
      <c r="Y79" s="3" t="str">
        <f>IF($K79&lt;&gt;"",IF($M79&gt;X$11,IF($M79&lt;Y$11,$M79-X$11,30),0)*ROUND(($N79+$V78+SUM($X79:X79))*$U$5/3000,2),"")</f>
        <v/>
      </c>
      <c r="Z79" s="3"/>
      <c r="AA79" s="3"/>
    </row>
    <row r="80" spans="5:27" x14ac:dyDescent="0.25">
      <c r="E80" s="5"/>
      <c r="F80" t="str">
        <f t="shared" si="31"/>
        <v/>
      </c>
      <c r="G80" s="5" t="str">
        <f t="shared" si="32"/>
        <v/>
      </c>
      <c r="H80" s="22" t="str">
        <f t="shared" si="33"/>
        <v/>
      </c>
      <c r="I80" s="22" t="str">
        <f t="shared" si="34"/>
        <v/>
      </c>
      <c r="J80" s="22" t="str">
        <f t="shared" si="46"/>
        <v/>
      </c>
      <c r="K80" t="str">
        <f t="shared" si="35"/>
        <v/>
      </c>
      <c r="L80" s="5" t="str">
        <f t="shared" si="36"/>
        <v/>
      </c>
      <c r="M80" s="9" t="str">
        <f t="shared" si="37"/>
        <v/>
      </c>
      <c r="N80" s="3" t="str">
        <f t="shared" si="38"/>
        <v/>
      </c>
      <c r="O80" s="3" t="str">
        <f t="shared" si="39"/>
        <v/>
      </c>
      <c r="P80" s="3" t="str">
        <f t="shared" si="40"/>
        <v/>
      </c>
      <c r="Q80" s="3" t="str">
        <f t="shared" si="41"/>
        <v/>
      </c>
      <c r="R80" s="3" t="str">
        <f>IF($K80&lt;&gt;"",IF($A80="Prepago",0,IF(ROUND(($H80+SUM($B$12:$B80))*$T$6,2)&gt;ROUND(SUM($R$11:$R79)+$T$6,2),$T$6*2,$T$6)),"")</f>
        <v/>
      </c>
      <c r="S80" s="3" t="str">
        <f>IF($K80&lt;&gt;"",IF($A80="Prepago",0,IF(ROUND(($H80+SUM($B$12:$B80))*$T$7,2)&gt;ROUND(SUM($S$11:$S79)+$T$7,2),$T$7*2,$T$7)),"")</f>
        <v/>
      </c>
      <c r="T80" s="3" t="str">
        <f>IF($K80&lt;&gt;"",IF($A80="Prepago",0,IF(ROUND(($H80+SUM($B$12:$B80))*$T$8,2)&gt;ROUND(SUM($T$11:$T79)+$T$8,2),$T$8*2,$T$8)),"")</f>
        <v/>
      </c>
      <c r="U80" s="3" t="str">
        <f t="shared" si="42"/>
        <v/>
      </c>
      <c r="V80" s="3" t="str">
        <f t="shared" si="43"/>
        <v/>
      </c>
      <c r="W80" s="3" t="str">
        <f t="shared" si="44"/>
        <v/>
      </c>
      <c r="X80" s="3" t="str">
        <f t="shared" si="45"/>
        <v/>
      </c>
      <c r="Y80" s="3" t="str">
        <f>IF($K80&lt;&gt;"",IF($M80&gt;X$11,IF($M80&lt;Y$11,$M80-X$11,30),0)*ROUND(($N80+$V79+SUM($X80:X80))*$U$5/3000,2),"")</f>
        <v/>
      </c>
      <c r="Z80" s="3"/>
      <c r="AA80" s="3"/>
    </row>
    <row r="81" spans="5:27" x14ac:dyDescent="0.25">
      <c r="E81" s="5"/>
      <c r="F81" t="str">
        <f t="shared" si="31"/>
        <v/>
      </c>
      <c r="G81" s="5" t="str">
        <f t="shared" si="32"/>
        <v/>
      </c>
      <c r="H81" s="22" t="str">
        <f t="shared" si="33"/>
        <v/>
      </c>
      <c r="I81" s="22" t="str">
        <f t="shared" si="34"/>
        <v/>
      </c>
      <c r="J81" s="22" t="str">
        <f t="shared" si="46"/>
        <v/>
      </c>
      <c r="K81" t="str">
        <f t="shared" si="35"/>
        <v/>
      </c>
      <c r="L81" s="5" t="str">
        <f t="shared" si="36"/>
        <v/>
      </c>
      <c r="M81" s="9" t="str">
        <f t="shared" si="37"/>
        <v/>
      </c>
      <c r="N81" s="3" t="str">
        <f t="shared" si="38"/>
        <v/>
      </c>
      <c r="O81" s="3" t="str">
        <f t="shared" si="39"/>
        <v/>
      </c>
      <c r="P81" s="3" t="str">
        <f t="shared" si="40"/>
        <v/>
      </c>
      <c r="Q81" s="3" t="str">
        <f t="shared" si="41"/>
        <v/>
      </c>
      <c r="R81" s="3" t="str">
        <f>IF($K81&lt;&gt;"",IF($A81="Prepago",0,IF(ROUND(($H81+SUM($B$12:$B81))*$T$6,2)&gt;ROUND(SUM($R$11:$R80)+$T$6,2),$T$6*2,$T$6)),"")</f>
        <v/>
      </c>
      <c r="S81" s="3" t="str">
        <f>IF($K81&lt;&gt;"",IF($A81="Prepago",0,IF(ROUND(($H81+SUM($B$12:$B81))*$T$7,2)&gt;ROUND(SUM($S$11:$S80)+$T$7,2),$T$7*2,$T$7)),"")</f>
        <v/>
      </c>
      <c r="T81" s="3" t="str">
        <f>IF($K81&lt;&gt;"",IF($A81="Prepago",0,IF(ROUND(($H81+SUM($B$12:$B81))*$T$8,2)&gt;ROUND(SUM($T$11:$T80)+$T$8,2),$T$8*2,$T$8)),"")</f>
        <v/>
      </c>
      <c r="U81" s="3" t="str">
        <f t="shared" si="42"/>
        <v/>
      </c>
      <c r="V81" s="3" t="str">
        <f t="shared" si="43"/>
        <v/>
      </c>
      <c r="W81" s="3" t="str">
        <f t="shared" si="44"/>
        <v/>
      </c>
      <c r="X81" s="3" t="str">
        <f t="shared" si="45"/>
        <v/>
      </c>
      <c r="Y81" s="3" t="str">
        <f>IF($K81&lt;&gt;"",IF($M81&gt;X$11,IF($M81&lt;Y$11,$M81-X$11,30),0)*ROUND(($N81+$V80+SUM($X81:X81))*$U$5/3000,2),"")</f>
        <v/>
      </c>
      <c r="Z81" s="3"/>
      <c r="AA81" s="3"/>
    </row>
    <row r="82" spans="5:27" x14ac:dyDescent="0.25">
      <c r="E82" s="5"/>
      <c r="F82" t="str">
        <f t="shared" si="31"/>
        <v/>
      </c>
      <c r="G82" s="5" t="str">
        <f t="shared" si="32"/>
        <v/>
      </c>
      <c r="H82" s="22" t="str">
        <f t="shared" si="33"/>
        <v/>
      </c>
      <c r="I82" s="22" t="str">
        <f t="shared" si="34"/>
        <v/>
      </c>
      <c r="J82" s="22" t="str">
        <f t="shared" si="46"/>
        <v/>
      </c>
      <c r="K82" t="str">
        <f t="shared" si="35"/>
        <v/>
      </c>
      <c r="L82" s="5" t="str">
        <f t="shared" si="36"/>
        <v/>
      </c>
      <c r="M82" s="9" t="str">
        <f t="shared" si="37"/>
        <v/>
      </c>
      <c r="N82" s="3" t="str">
        <f t="shared" si="38"/>
        <v/>
      </c>
      <c r="O82" s="3" t="str">
        <f t="shared" si="39"/>
        <v/>
      </c>
      <c r="P82" s="3" t="str">
        <f t="shared" si="40"/>
        <v/>
      </c>
      <c r="Q82" s="3" t="str">
        <f t="shared" si="41"/>
        <v/>
      </c>
      <c r="R82" s="3" t="str">
        <f>IF($K82&lt;&gt;"",IF($A82="Prepago",0,IF(ROUND(($H82+SUM($B$12:$B82))*$T$6,2)&gt;ROUND(SUM($R$11:$R81)+$T$6,2),$T$6*2,$T$6)),"")</f>
        <v/>
      </c>
      <c r="S82" s="3" t="str">
        <f>IF($K82&lt;&gt;"",IF($A82="Prepago",0,IF(ROUND(($H82+SUM($B$12:$B82))*$T$7,2)&gt;ROUND(SUM($S$11:$S81)+$T$7,2),$T$7*2,$T$7)),"")</f>
        <v/>
      </c>
      <c r="T82" s="3" t="str">
        <f>IF($K82&lt;&gt;"",IF($A82="Prepago",0,IF(ROUND(($H82+SUM($B$12:$B82))*$T$8,2)&gt;ROUND(SUM($T$11:$T81)+$T$8,2),$T$8*2,$T$8)),"")</f>
        <v/>
      </c>
      <c r="U82" s="3" t="str">
        <f t="shared" si="42"/>
        <v/>
      </c>
      <c r="V82" s="3" t="str">
        <f t="shared" si="43"/>
        <v/>
      </c>
      <c r="W82" s="3" t="str">
        <f t="shared" si="44"/>
        <v/>
      </c>
      <c r="X82" s="3" t="str">
        <f t="shared" si="45"/>
        <v/>
      </c>
      <c r="Y82" s="3" t="str">
        <f>IF($K82&lt;&gt;"",IF($M82&gt;X$11,IF($M82&lt;Y$11,$M82-X$11,30),0)*ROUND(($N82+$V81+SUM($X82:X82))*$U$5/3000,2),"")</f>
        <v/>
      </c>
      <c r="Z82" s="3"/>
      <c r="AA82" s="3"/>
    </row>
    <row r="83" spans="5:27" x14ac:dyDescent="0.25">
      <c r="E83" s="5"/>
      <c r="F83" t="str">
        <f t="shared" si="31"/>
        <v/>
      </c>
      <c r="G83" s="5" t="str">
        <f t="shared" si="32"/>
        <v/>
      </c>
      <c r="H83" s="22" t="str">
        <f t="shared" si="33"/>
        <v/>
      </c>
      <c r="I83" s="22" t="str">
        <f t="shared" si="34"/>
        <v/>
      </c>
      <c r="J83" s="22" t="str">
        <f t="shared" si="46"/>
        <v/>
      </c>
      <c r="K83" t="str">
        <f t="shared" si="35"/>
        <v/>
      </c>
      <c r="L83" s="5" t="str">
        <f t="shared" si="36"/>
        <v/>
      </c>
      <c r="M83" s="9" t="str">
        <f t="shared" si="37"/>
        <v/>
      </c>
      <c r="N83" s="3" t="str">
        <f t="shared" si="38"/>
        <v/>
      </c>
      <c r="O83" s="3" t="str">
        <f t="shared" si="39"/>
        <v/>
      </c>
      <c r="P83" s="3" t="str">
        <f t="shared" si="40"/>
        <v/>
      </c>
      <c r="Q83" s="3" t="str">
        <f t="shared" si="41"/>
        <v/>
      </c>
      <c r="R83" s="3" t="str">
        <f>IF($K83&lt;&gt;"",IF($A83="Prepago",0,IF(ROUND(($H83+SUM($B$12:$B83))*$T$6,2)&gt;ROUND(SUM($R$11:$R82)+$T$6,2),$T$6*2,$T$6)),"")</f>
        <v/>
      </c>
      <c r="S83" s="3" t="str">
        <f>IF($K83&lt;&gt;"",IF($A83="Prepago",0,IF(ROUND(($H83+SUM($B$12:$B83))*$T$7,2)&gt;ROUND(SUM($S$11:$S82)+$T$7,2),$T$7*2,$T$7)),"")</f>
        <v/>
      </c>
      <c r="T83" s="3" t="str">
        <f>IF($K83&lt;&gt;"",IF($A83="Prepago",0,IF(ROUND(($H83+SUM($B$12:$B83))*$T$8,2)&gt;ROUND(SUM($T$11:$T82)+$T$8,2),$T$8*2,$T$8)),"")</f>
        <v/>
      </c>
      <c r="U83" s="3" t="str">
        <f t="shared" si="42"/>
        <v/>
      </c>
      <c r="V83" s="3" t="str">
        <f t="shared" si="43"/>
        <v/>
      </c>
      <c r="W83" s="3" t="str">
        <f t="shared" si="44"/>
        <v/>
      </c>
      <c r="X83" s="3" t="str">
        <f t="shared" si="45"/>
        <v/>
      </c>
      <c r="Y83" s="3" t="str">
        <f>IF($K83&lt;&gt;"",IF($M83&gt;X$11,IF($M83&lt;Y$11,$M83-X$11,30),0)*ROUND(($N83+$V82+SUM($X83:X83))*$U$5/3000,2),"")</f>
        <v/>
      </c>
      <c r="Z83" s="3"/>
      <c r="AA83" s="3"/>
    </row>
    <row r="84" spans="5:27" x14ac:dyDescent="0.25">
      <c r="E84" s="5"/>
      <c r="F84" t="str">
        <f t="shared" si="31"/>
        <v/>
      </c>
      <c r="G84" s="5" t="str">
        <f t="shared" si="32"/>
        <v/>
      </c>
      <c r="H84" s="22" t="str">
        <f t="shared" si="33"/>
        <v/>
      </c>
      <c r="I84" s="22" t="str">
        <f t="shared" si="34"/>
        <v/>
      </c>
      <c r="J84" s="22" t="str">
        <f t="shared" si="46"/>
        <v/>
      </c>
      <c r="K84" t="str">
        <f t="shared" si="35"/>
        <v/>
      </c>
      <c r="L84" s="5" t="str">
        <f t="shared" si="36"/>
        <v/>
      </c>
      <c r="M84" s="9" t="str">
        <f t="shared" si="37"/>
        <v/>
      </c>
      <c r="N84" s="3" t="str">
        <f t="shared" si="38"/>
        <v/>
      </c>
      <c r="O84" s="3" t="str">
        <f t="shared" si="39"/>
        <v/>
      </c>
      <c r="P84" s="3" t="str">
        <f t="shared" si="40"/>
        <v/>
      </c>
      <c r="Q84" s="3" t="str">
        <f t="shared" si="41"/>
        <v/>
      </c>
      <c r="R84" s="3" t="str">
        <f>IF($K84&lt;&gt;"",IF($A84="Prepago",0,IF(ROUND(($H84+SUM($B$12:$B84))*$T$6,2)&gt;ROUND(SUM($R$11:$R83)+$T$6,2),$T$6*2,$T$6)),"")</f>
        <v/>
      </c>
      <c r="S84" s="3" t="str">
        <f>IF($K84&lt;&gt;"",IF($A84="Prepago",0,IF(ROUND(($H84+SUM($B$12:$B84))*$T$7,2)&gt;ROUND(SUM($S$11:$S83)+$T$7,2),$T$7*2,$T$7)),"")</f>
        <v/>
      </c>
      <c r="T84" s="3" t="str">
        <f>IF($K84&lt;&gt;"",IF($A84="Prepago",0,IF(ROUND(($H84+SUM($B$12:$B84))*$T$8,2)&gt;ROUND(SUM($T$11:$T83)+$T$8,2),$T$8*2,$T$8)),"")</f>
        <v/>
      </c>
      <c r="U84" s="3" t="str">
        <f t="shared" si="42"/>
        <v/>
      </c>
      <c r="V84" s="3" t="str">
        <f t="shared" si="43"/>
        <v/>
      </c>
      <c r="W84" s="3" t="str">
        <f t="shared" si="44"/>
        <v/>
      </c>
      <c r="X84" s="3" t="str">
        <f t="shared" si="45"/>
        <v/>
      </c>
      <c r="Y84" s="3" t="str">
        <f>IF($K84&lt;&gt;"",IF($M84&gt;X$11,IF($M84&lt;Y$11,$M84-X$11,30),0)*ROUND(($N84+$V83+SUM($X84:X84))*$U$5/3000,2),"")</f>
        <v/>
      </c>
      <c r="Z84" s="3"/>
      <c r="AA84" s="3"/>
    </row>
    <row r="85" spans="5:27" x14ac:dyDescent="0.25">
      <c r="E85" s="5"/>
      <c r="F85" t="str">
        <f t="shared" si="31"/>
        <v/>
      </c>
      <c r="G85" s="5" t="str">
        <f t="shared" si="32"/>
        <v/>
      </c>
      <c r="H85" s="22" t="str">
        <f t="shared" si="33"/>
        <v/>
      </c>
      <c r="I85" s="22" t="str">
        <f t="shared" si="34"/>
        <v/>
      </c>
      <c r="J85" s="22" t="str">
        <f t="shared" si="46"/>
        <v/>
      </c>
      <c r="K85" t="str">
        <f t="shared" si="35"/>
        <v/>
      </c>
      <c r="L85" s="5" t="str">
        <f t="shared" si="36"/>
        <v/>
      </c>
      <c r="M85" s="9" t="str">
        <f t="shared" si="37"/>
        <v/>
      </c>
      <c r="N85" s="3" t="str">
        <f t="shared" si="38"/>
        <v/>
      </c>
      <c r="O85" s="3" t="str">
        <f t="shared" si="39"/>
        <v/>
      </c>
      <c r="P85" s="3" t="str">
        <f t="shared" si="40"/>
        <v/>
      </c>
      <c r="Q85" s="3" t="str">
        <f t="shared" si="41"/>
        <v/>
      </c>
      <c r="R85" s="3" t="str">
        <f>IF($K85&lt;&gt;"",IF($A85="Prepago",0,IF(ROUND(($H85+SUM($B$12:$B85))*$T$6,2)&gt;ROUND(SUM($R$11:$R84)+$T$6,2),$T$6*2,$T$6)),"")</f>
        <v/>
      </c>
      <c r="S85" s="3" t="str">
        <f>IF($K85&lt;&gt;"",IF($A85="Prepago",0,IF(ROUND(($H85+SUM($B$12:$B85))*$T$7,2)&gt;ROUND(SUM($S$11:$S84)+$T$7,2),$T$7*2,$T$7)),"")</f>
        <v/>
      </c>
      <c r="T85" s="3" t="str">
        <f>IF($K85&lt;&gt;"",IF($A85="Prepago",0,IF(ROUND(($H85+SUM($B$12:$B85))*$T$8,2)&gt;ROUND(SUM($T$11:$T84)+$T$8,2),$T$8*2,$T$8)),"")</f>
        <v/>
      </c>
      <c r="U85" s="3" t="str">
        <f t="shared" si="42"/>
        <v/>
      </c>
      <c r="V85" s="3" t="str">
        <f t="shared" si="43"/>
        <v/>
      </c>
      <c r="W85" s="3" t="str">
        <f t="shared" si="44"/>
        <v/>
      </c>
      <c r="X85" s="3" t="str">
        <f t="shared" si="45"/>
        <v/>
      </c>
      <c r="Y85" s="3" t="str">
        <f>IF($K85&lt;&gt;"",IF($M85&gt;X$11,IF($M85&lt;Y$11,$M85-X$11,30),0)*ROUND(($N85+$V84+SUM($X85:X85))*$U$5/3000,2),"")</f>
        <v/>
      </c>
      <c r="Z85" s="3"/>
      <c r="AA85" s="3"/>
    </row>
    <row r="86" spans="5:27" x14ac:dyDescent="0.25">
      <c r="E86" s="5"/>
      <c r="F86" t="str">
        <f t="shared" si="31"/>
        <v/>
      </c>
      <c r="G86" s="5" t="str">
        <f t="shared" si="32"/>
        <v/>
      </c>
      <c r="H86" s="22" t="str">
        <f t="shared" si="33"/>
        <v/>
      </c>
      <c r="I86" s="22" t="str">
        <f t="shared" si="34"/>
        <v/>
      </c>
      <c r="J86" s="22" t="str">
        <f t="shared" si="46"/>
        <v/>
      </c>
      <c r="K86" t="str">
        <f t="shared" si="35"/>
        <v/>
      </c>
      <c r="L86" s="5" t="str">
        <f t="shared" si="36"/>
        <v/>
      </c>
      <c r="M86" s="9" t="str">
        <f t="shared" si="37"/>
        <v/>
      </c>
      <c r="N86" s="3" t="str">
        <f t="shared" si="38"/>
        <v/>
      </c>
      <c r="O86" s="3" t="str">
        <f t="shared" si="39"/>
        <v/>
      </c>
      <c r="P86" s="3" t="str">
        <f t="shared" si="40"/>
        <v/>
      </c>
      <c r="Q86" s="3" t="str">
        <f t="shared" si="41"/>
        <v/>
      </c>
      <c r="R86" s="3" t="str">
        <f>IF($K86&lt;&gt;"",IF($A86="Prepago",0,IF(ROUND(($H86+SUM($B$12:$B86))*$T$6,2)&gt;ROUND(SUM($R$11:$R85)+$T$6,2),$T$6*2,$T$6)),"")</f>
        <v/>
      </c>
      <c r="S86" s="3" t="str">
        <f>IF($K86&lt;&gt;"",IF($A86="Prepago",0,IF(ROUND(($H86+SUM($B$12:$B86))*$T$7,2)&gt;ROUND(SUM($S$11:$S85)+$T$7,2),$T$7*2,$T$7)),"")</f>
        <v/>
      </c>
      <c r="T86" s="3" t="str">
        <f>IF($K86&lt;&gt;"",IF($A86="Prepago",0,IF(ROUND(($H86+SUM($B$12:$B86))*$T$8,2)&gt;ROUND(SUM($T$11:$T85)+$T$8,2),$T$8*2,$T$8)),"")</f>
        <v/>
      </c>
      <c r="U86" s="3" t="str">
        <f t="shared" si="42"/>
        <v/>
      </c>
      <c r="V86" s="3" t="str">
        <f t="shared" si="43"/>
        <v/>
      </c>
      <c r="W86" s="3" t="str">
        <f t="shared" si="44"/>
        <v/>
      </c>
      <c r="X86" s="3" t="str">
        <f t="shared" si="45"/>
        <v/>
      </c>
      <c r="Y86" s="3" t="str">
        <f>IF($K86&lt;&gt;"",IF($M86&gt;X$11,IF($M86&lt;Y$11,$M86-X$11,30),0)*ROUND(($N86+$V85+SUM($X86:X86))*$U$5/3000,2),"")</f>
        <v/>
      </c>
      <c r="Z86" s="3"/>
      <c r="AA86" s="3"/>
    </row>
    <row r="87" spans="5:27" x14ac:dyDescent="0.25">
      <c r="E87" s="5"/>
      <c r="F87" t="str">
        <f t="shared" si="31"/>
        <v/>
      </c>
      <c r="G87" s="5" t="str">
        <f t="shared" si="32"/>
        <v/>
      </c>
      <c r="H87" s="22" t="str">
        <f t="shared" si="33"/>
        <v/>
      </c>
      <c r="I87" s="22" t="str">
        <f t="shared" si="34"/>
        <v/>
      </c>
      <c r="J87" s="22" t="str">
        <f t="shared" si="46"/>
        <v/>
      </c>
      <c r="K87" t="str">
        <f t="shared" si="35"/>
        <v/>
      </c>
      <c r="L87" s="5" t="str">
        <f t="shared" si="36"/>
        <v/>
      </c>
      <c r="M87" s="9" t="str">
        <f t="shared" si="37"/>
        <v/>
      </c>
      <c r="N87" s="3" t="str">
        <f t="shared" si="38"/>
        <v/>
      </c>
      <c r="O87" s="3" t="str">
        <f t="shared" si="39"/>
        <v/>
      </c>
      <c r="P87" s="3" t="str">
        <f t="shared" si="40"/>
        <v/>
      </c>
      <c r="Q87" s="3" t="str">
        <f t="shared" si="41"/>
        <v/>
      </c>
      <c r="R87" s="3" t="str">
        <f>IF($K87&lt;&gt;"",IF($A87="Prepago",0,IF(ROUND(($H87+SUM($B$12:$B87))*$T$6,2)&gt;ROUND(SUM($R$11:$R86)+$T$6,2),$T$6*2,$T$6)),"")</f>
        <v/>
      </c>
      <c r="S87" s="3" t="str">
        <f>IF($K87&lt;&gt;"",IF($A87="Prepago",0,IF(ROUND(($H87+SUM($B$12:$B87))*$T$7,2)&gt;ROUND(SUM($S$11:$S86)+$T$7,2),$T$7*2,$T$7)),"")</f>
        <v/>
      </c>
      <c r="T87" s="3" t="str">
        <f>IF($K87&lt;&gt;"",IF($A87="Prepago",0,IF(ROUND(($H87+SUM($B$12:$B87))*$T$8,2)&gt;ROUND(SUM($T$11:$T86)+$T$8,2),$T$8*2,$T$8)),"")</f>
        <v/>
      </c>
      <c r="U87" s="3" t="str">
        <f t="shared" si="42"/>
        <v/>
      </c>
      <c r="V87" s="3" t="str">
        <f t="shared" si="43"/>
        <v/>
      </c>
      <c r="W87" s="3" t="str">
        <f t="shared" si="44"/>
        <v/>
      </c>
      <c r="X87" s="3" t="str">
        <f t="shared" si="45"/>
        <v/>
      </c>
      <c r="Y87" s="3" t="str">
        <f>IF($K87&lt;&gt;"",IF($M87&gt;X$11,IF($M87&lt;Y$11,$M87-X$11,30),0)*ROUND(($N87+$V86+SUM($X87:X87))*$U$5/3000,2),"")</f>
        <v/>
      </c>
      <c r="Z87" s="3"/>
      <c r="AA87" s="3"/>
    </row>
    <row r="88" spans="5:27" x14ac:dyDescent="0.25">
      <c r="E88" s="5"/>
      <c r="F88" t="str">
        <f t="shared" si="31"/>
        <v/>
      </c>
      <c r="G88" s="5" t="str">
        <f t="shared" si="32"/>
        <v/>
      </c>
      <c r="H88" s="22" t="str">
        <f t="shared" si="33"/>
        <v/>
      </c>
      <c r="I88" s="22" t="str">
        <f t="shared" si="34"/>
        <v/>
      </c>
      <c r="J88" s="22" t="str">
        <f t="shared" si="46"/>
        <v/>
      </c>
      <c r="K88" t="str">
        <f t="shared" si="35"/>
        <v/>
      </c>
      <c r="L88" s="5" t="str">
        <f t="shared" si="36"/>
        <v/>
      </c>
      <c r="M88" s="9" t="str">
        <f t="shared" si="37"/>
        <v/>
      </c>
      <c r="N88" s="3" t="str">
        <f t="shared" si="38"/>
        <v/>
      </c>
      <c r="O88" s="3" t="str">
        <f t="shared" si="39"/>
        <v/>
      </c>
      <c r="P88" s="3" t="str">
        <f t="shared" si="40"/>
        <v/>
      </c>
      <c r="Q88" s="3" t="str">
        <f t="shared" si="41"/>
        <v/>
      </c>
      <c r="R88" s="3" t="str">
        <f>IF($K88&lt;&gt;"",IF($A88="Prepago",0,IF(ROUND(($H88+SUM($B$12:$B88))*$T$6,2)&gt;ROUND(SUM($R$11:$R87)+$T$6,2),$T$6*2,$T$6)),"")</f>
        <v/>
      </c>
      <c r="S88" s="3" t="str">
        <f>IF($K88&lt;&gt;"",IF($A88="Prepago",0,IF(ROUND(($H88+SUM($B$12:$B88))*$T$7,2)&gt;ROUND(SUM($S$11:$S87)+$T$7,2),$T$7*2,$T$7)),"")</f>
        <v/>
      </c>
      <c r="T88" s="3" t="str">
        <f>IF($K88&lt;&gt;"",IF($A88="Prepago",0,IF(ROUND(($H88+SUM($B$12:$B88))*$T$8,2)&gt;ROUND(SUM($T$11:$T87)+$T$8,2),$T$8*2,$T$8)),"")</f>
        <v/>
      </c>
      <c r="U88" s="3" t="str">
        <f t="shared" si="42"/>
        <v/>
      </c>
      <c r="V88" s="3" t="str">
        <f t="shared" si="43"/>
        <v/>
      </c>
      <c r="W88" s="3" t="str">
        <f t="shared" si="44"/>
        <v/>
      </c>
      <c r="X88" s="3" t="str">
        <f t="shared" si="45"/>
        <v/>
      </c>
      <c r="Y88" s="3" t="str">
        <f>IF($K88&lt;&gt;"",IF($M88&gt;X$11,IF($M88&lt;Y$11,$M88-X$11,30),0)*ROUND(($N88+$V87+SUM($X88:X88))*$U$5/3000,2),"")</f>
        <v/>
      </c>
      <c r="Z88" s="3"/>
      <c r="AA88" s="3"/>
    </row>
    <row r="89" spans="5:27" x14ac:dyDescent="0.25">
      <c r="E89" s="5"/>
      <c r="F89" t="str">
        <f t="shared" si="31"/>
        <v/>
      </c>
      <c r="G89" s="5" t="str">
        <f t="shared" si="32"/>
        <v/>
      </c>
      <c r="H89" s="22" t="str">
        <f t="shared" si="33"/>
        <v/>
      </c>
      <c r="I89" s="22" t="str">
        <f t="shared" si="34"/>
        <v/>
      </c>
      <c r="J89" s="22" t="str">
        <f t="shared" si="46"/>
        <v/>
      </c>
      <c r="K89" t="str">
        <f t="shared" si="35"/>
        <v/>
      </c>
      <c r="L89" s="5" t="str">
        <f t="shared" si="36"/>
        <v/>
      </c>
      <c r="M89" s="9" t="str">
        <f t="shared" si="37"/>
        <v/>
      </c>
      <c r="N89" s="3" t="str">
        <f t="shared" si="38"/>
        <v/>
      </c>
      <c r="O89" s="3" t="str">
        <f t="shared" si="39"/>
        <v/>
      </c>
      <c r="P89" s="3" t="str">
        <f t="shared" si="40"/>
        <v/>
      </c>
      <c r="Q89" s="3" t="str">
        <f t="shared" si="41"/>
        <v/>
      </c>
      <c r="R89" s="3" t="str">
        <f>IF($K89&lt;&gt;"",IF($A89="Prepago",0,IF(ROUND(($H89+SUM($B$12:$B89))*$T$6,2)&gt;ROUND(SUM($R$11:$R88)+$T$6,2),$T$6*2,$T$6)),"")</f>
        <v/>
      </c>
      <c r="S89" s="3" t="str">
        <f>IF($K89&lt;&gt;"",IF($A89="Prepago",0,IF(ROUND(($H89+SUM($B$12:$B89))*$T$7,2)&gt;ROUND(SUM($S$11:$S88)+$T$7,2),$T$7*2,$T$7)),"")</f>
        <v/>
      </c>
      <c r="T89" s="3" t="str">
        <f>IF($K89&lt;&gt;"",IF($A89="Prepago",0,IF(ROUND(($H89+SUM($B$12:$B89))*$T$8,2)&gt;ROUND(SUM($T$11:$T88)+$T$8,2),$T$8*2,$T$8)),"")</f>
        <v/>
      </c>
      <c r="U89" s="3" t="str">
        <f t="shared" si="42"/>
        <v/>
      </c>
      <c r="V89" s="3" t="str">
        <f t="shared" si="43"/>
        <v/>
      </c>
      <c r="W89" s="3" t="str">
        <f t="shared" si="44"/>
        <v/>
      </c>
      <c r="X89" s="3" t="str">
        <f t="shared" si="45"/>
        <v/>
      </c>
      <c r="Y89" s="3" t="str">
        <f>IF($K89&lt;&gt;"",IF($M89&gt;X$11,IF($M89&lt;Y$11,$M89-X$11,30),0)*ROUND(($N89+$V88+SUM($X89:X89))*$U$5/3000,2),"")</f>
        <v/>
      </c>
      <c r="Z89" s="3"/>
      <c r="AA89" s="3"/>
    </row>
    <row r="90" spans="5:27" x14ac:dyDescent="0.25">
      <c r="E90" s="5"/>
      <c r="F90" t="str">
        <f t="shared" si="31"/>
        <v/>
      </c>
      <c r="G90" s="5" t="str">
        <f t="shared" si="32"/>
        <v/>
      </c>
      <c r="H90" s="22" t="str">
        <f t="shared" si="33"/>
        <v/>
      </c>
      <c r="I90" s="22" t="str">
        <f t="shared" si="34"/>
        <v/>
      </c>
      <c r="J90" s="22" t="str">
        <f t="shared" si="46"/>
        <v/>
      </c>
      <c r="K90" t="str">
        <f t="shared" si="35"/>
        <v/>
      </c>
      <c r="L90" s="5" t="str">
        <f t="shared" si="36"/>
        <v/>
      </c>
      <c r="M90" s="9" t="str">
        <f t="shared" si="37"/>
        <v/>
      </c>
      <c r="N90" s="3" t="str">
        <f t="shared" si="38"/>
        <v/>
      </c>
      <c r="O90" s="3" t="str">
        <f t="shared" si="39"/>
        <v/>
      </c>
      <c r="P90" s="3" t="str">
        <f t="shared" si="40"/>
        <v/>
      </c>
      <c r="Q90" s="3" t="str">
        <f t="shared" si="41"/>
        <v/>
      </c>
      <c r="R90" s="3" t="str">
        <f>IF($K90&lt;&gt;"",IF($A90="Prepago",0,IF(ROUND(($H90+SUM($B$12:$B90))*$T$6,2)&gt;ROUND(SUM($R$11:$R89)+$T$6,2),$T$6*2,$T$6)),"")</f>
        <v/>
      </c>
      <c r="S90" s="3" t="str">
        <f>IF($K90&lt;&gt;"",IF($A90="Prepago",0,IF(ROUND(($H90+SUM($B$12:$B90))*$T$7,2)&gt;ROUND(SUM($S$11:$S89)+$T$7,2),$T$7*2,$T$7)),"")</f>
        <v/>
      </c>
      <c r="T90" s="3" t="str">
        <f>IF($K90&lt;&gt;"",IF($A90="Prepago",0,IF(ROUND(($H90+SUM($B$12:$B90))*$T$8,2)&gt;ROUND(SUM($T$11:$T89)+$T$8,2),$T$8*2,$T$8)),"")</f>
        <v/>
      </c>
      <c r="U90" s="3" t="str">
        <f t="shared" si="42"/>
        <v/>
      </c>
      <c r="V90" s="3" t="str">
        <f t="shared" si="43"/>
        <v/>
      </c>
      <c r="W90" s="3" t="str">
        <f t="shared" si="44"/>
        <v/>
      </c>
      <c r="X90" s="3" t="str">
        <f t="shared" si="45"/>
        <v/>
      </c>
      <c r="Y90" s="3" t="str">
        <f>IF($K90&lt;&gt;"",IF($M90&gt;X$11,IF($M90&lt;Y$11,$M90-X$11,30),0)*ROUND(($N90+$V89+SUM($X90:X90))*$U$5/3000,2),"")</f>
        <v/>
      </c>
      <c r="Z90" s="3"/>
      <c r="AA90" s="3"/>
    </row>
    <row r="91" spans="5:27" x14ac:dyDescent="0.25">
      <c r="E91" s="5"/>
      <c r="F91" t="str">
        <f t="shared" si="31"/>
        <v/>
      </c>
      <c r="G91" s="5" t="str">
        <f t="shared" si="32"/>
        <v/>
      </c>
      <c r="H91" s="22" t="str">
        <f t="shared" si="33"/>
        <v/>
      </c>
      <c r="I91" s="22" t="str">
        <f t="shared" si="34"/>
        <v/>
      </c>
      <c r="J91" s="22" t="str">
        <f t="shared" si="46"/>
        <v/>
      </c>
      <c r="K91" t="str">
        <f t="shared" si="35"/>
        <v/>
      </c>
      <c r="L91" s="5" t="str">
        <f t="shared" si="36"/>
        <v/>
      </c>
      <c r="M91" s="9" t="str">
        <f t="shared" si="37"/>
        <v/>
      </c>
      <c r="N91" s="3" t="str">
        <f t="shared" si="38"/>
        <v/>
      </c>
      <c r="O91" s="3" t="str">
        <f t="shared" si="39"/>
        <v/>
      </c>
      <c r="P91" s="3" t="str">
        <f t="shared" si="40"/>
        <v/>
      </c>
      <c r="Q91" s="3" t="str">
        <f t="shared" si="41"/>
        <v/>
      </c>
      <c r="R91" s="3" t="str">
        <f>IF($K91&lt;&gt;"",IF($A91="Prepago",0,IF(ROUND(($H91+SUM($B$12:$B91))*$T$6,2)&gt;ROUND(SUM($R$11:$R90)+$T$6,2),$T$6*2,$T$6)),"")</f>
        <v/>
      </c>
      <c r="S91" s="3" t="str">
        <f>IF($K91&lt;&gt;"",IF($A91="Prepago",0,IF(ROUND(($H91+SUM($B$12:$B91))*$T$7,2)&gt;ROUND(SUM($S$11:$S90)+$T$7,2),$T$7*2,$T$7)),"")</f>
        <v/>
      </c>
      <c r="T91" s="3" t="str">
        <f>IF($K91&lt;&gt;"",IF($A91="Prepago",0,IF(ROUND(($H91+SUM($B$12:$B91))*$T$8,2)&gt;ROUND(SUM($T$11:$T90)+$T$8,2),$T$8*2,$T$8)),"")</f>
        <v/>
      </c>
      <c r="U91" s="3" t="str">
        <f t="shared" si="42"/>
        <v/>
      </c>
      <c r="V91" s="3" t="str">
        <f t="shared" si="43"/>
        <v/>
      </c>
      <c r="W91" s="3" t="str">
        <f t="shared" si="44"/>
        <v/>
      </c>
      <c r="X91" s="3" t="str">
        <f t="shared" si="45"/>
        <v/>
      </c>
      <c r="Y91" s="3" t="str">
        <f>IF($K91&lt;&gt;"",IF($M91&gt;X$11,IF($M91&lt;Y$11,$M91-X$11,30),0)*ROUND(($N91+$V90+SUM($X91:X91))*$U$5/3000,2),"")</f>
        <v/>
      </c>
      <c r="Z91" s="3"/>
      <c r="AA91" s="3"/>
    </row>
    <row r="92" spans="5:27" x14ac:dyDescent="0.25">
      <c r="E92" s="5"/>
      <c r="F92" t="str">
        <f t="shared" si="31"/>
        <v/>
      </c>
      <c r="G92" s="5" t="str">
        <f t="shared" si="32"/>
        <v/>
      </c>
      <c r="H92" s="22" t="str">
        <f t="shared" si="33"/>
        <v/>
      </c>
      <c r="I92" s="22" t="str">
        <f t="shared" si="34"/>
        <v/>
      </c>
      <c r="J92" s="22" t="str">
        <f t="shared" si="46"/>
        <v/>
      </c>
      <c r="K92" t="str">
        <f t="shared" si="35"/>
        <v/>
      </c>
      <c r="L92" s="5" t="str">
        <f t="shared" si="36"/>
        <v/>
      </c>
      <c r="M92" s="9" t="str">
        <f t="shared" si="37"/>
        <v/>
      </c>
      <c r="N92" s="3" t="str">
        <f t="shared" si="38"/>
        <v/>
      </c>
      <c r="O92" s="3" t="str">
        <f t="shared" si="39"/>
        <v/>
      </c>
      <c r="P92" s="3" t="str">
        <f t="shared" si="40"/>
        <v/>
      </c>
      <c r="Q92" s="3" t="str">
        <f t="shared" si="41"/>
        <v/>
      </c>
      <c r="R92" s="3" t="str">
        <f>IF($K92&lt;&gt;"",IF($A92="Prepago",0,IF(ROUND(($H92+SUM($B$12:$B92))*$T$6,2)&gt;ROUND(SUM($R$11:$R91)+$T$6,2),$T$6*2,$T$6)),"")</f>
        <v/>
      </c>
      <c r="S92" s="3" t="str">
        <f>IF($K92&lt;&gt;"",IF($A92="Prepago",0,IF(ROUND(($H92+SUM($B$12:$B92))*$T$7,2)&gt;ROUND(SUM($S$11:$S91)+$T$7,2),$T$7*2,$T$7)),"")</f>
        <v/>
      </c>
      <c r="T92" s="3" t="str">
        <f>IF($K92&lt;&gt;"",IF($A92="Prepago",0,IF(ROUND(($H92+SUM($B$12:$B92))*$T$8,2)&gt;ROUND(SUM($T$11:$T91)+$T$8,2),$T$8*2,$T$8)),"")</f>
        <v/>
      </c>
      <c r="U92" s="3" t="str">
        <f t="shared" si="42"/>
        <v/>
      </c>
      <c r="V92" s="3" t="str">
        <f t="shared" si="43"/>
        <v/>
      </c>
      <c r="W92" s="3" t="str">
        <f t="shared" si="44"/>
        <v/>
      </c>
      <c r="X92" s="3" t="str">
        <f t="shared" si="45"/>
        <v/>
      </c>
      <c r="Y92" s="3" t="str">
        <f>IF($K92&lt;&gt;"",IF($M92&gt;X$11,IF($M92&lt;Y$11,$M92-X$11,30),0)*ROUND(($N92+$V91+SUM($X92:X92))*$U$5/3000,2),"")</f>
        <v/>
      </c>
      <c r="Z92" s="3"/>
      <c r="AA92" s="3"/>
    </row>
    <row r="93" spans="5:27" x14ac:dyDescent="0.25">
      <c r="E93" s="5"/>
      <c r="F93" t="str">
        <f t="shared" si="31"/>
        <v/>
      </c>
      <c r="G93" s="5" t="str">
        <f t="shared" si="32"/>
        <v/>
      </c>
      <c r="H93" s="22" t="str">
        <f t="shared" si="33"/>
        <v/>
      </c>
      <c r="I93" s="22" t="str">
        <f t="shared" si="34"/>
        <v/>
      </c>
      <c r="J93" s="22" t="str">
        <f t="shared" si="46"/>
        <v/>
      </c>
      <c r="K93" t="str">
        <f t="shared" si="35"/>
        <v/>
      </c>
      <c r="L93" s="5" t="str">
        <f t="shared" si="36"/>
        <v/>
      </c>
      <c r="M93" s="9" t="str">
        <f t="shared" si="37"/>
        <v/>
      </c>
      <c r="N93" s="3" t="str">
        <f t="shared" si="38"/>
        <v/>
      </c>
      <c r="O93" s="3" t="str">
        <f t="shared" si="39"/>
        <v/>
      </c>
      <c r="P93" s="3" t="str">
        <f t="shared" si="40"/>
        <v/>
      </c>
      <c r="Q93" s="3" t="str">
        <f t="shared" si="41"/>
        <v/>
      </c>
      <c r="R93" s="3" t="str">
        <f>IF($K93&lt;&gt;"",IF($A93="Prepago",0,IF(ROUND(($H93+SUM($B$12:$B93))*$T$6,2)&gt;ROUND(SUM($R$11:$R92)+$T$6,2),$T$6*2,$T$6)),"")</f>
        <v/>
      </c>
      <c r="S93" s="3" t="str">
        <f>IF($K93&lt;&gt;"",IF($A93="Prepago",0,IF(ROUND(($H93+SUM($B$12:$B93))*$T$7,2)&gt;ROUND(SUM($S$11:$S92)+$T$7,2),$T$7*2,$T$7)),"")</f>
        <v/>
      </c>
      <c r="T93" s="3" t="str">
        <f>IF($K93&lt;&gt;"",IF($A93="Prepago",0,IF(ROUND(($H93+SUM($B$12:$B93))*$T$8,2)&gt;ROUND(SUM($T$11:$T92)+$T$8,2),$T$8*2,$T$8)),"")</f>
        <v/>
      </c>
      <c r="U93" s="3" t="str">
        <f t="shared" si="42"/>
        <v/>
      </c>
      <c r="V93" s="3" t="str">
        <f t="shared" si="43"/>
        <v/>
      </c>
      <c r="W93" s="3" t="str">
        <f t="shared" si="44"/>
        <v/>
      </c>
      <c r="X93" s="3" t="str">
        <f t="shared" si="45"/>
        <v/>
      </c>
      <c r="Y93" s="3" t="str">
        <f>IF($K93&lt;&gt;"",IF($M93&gt;X$11,IF($M93&lt;Y$11,$M93-X$11,30),0)*ROUND(($N93+$V92+SUM($X93:X93))*$U$5/3000,2),"")</f>
        <v/>
      </c>
      <c r="Z93" s="3"/>
      <c r="AA93" s="3"/>
    </row>
    <row r="94" spans="5:27" x14ac:dyDescent="0.25">
      <c r="E94" s="5"/>
      <c r="F94" t="str">
        <f t="shared" si="31"/>
        <v/>
      </c>
      <c r="G94" s="5" t="str">
        <f t="shared" si="32"/>
        <v/>
      </c>
      <c r="H94" s="22" t="str">
        <f t="shared" si="33"/>
        <v/>
      </c>
      <c r="I94" s="22" t="str">
        <f t="shared" si="34"/>
        <v/>
      </c>
      <c r="J94" s="22" t="str">
        <f t="shared" si="46"/>
        <v/>
      </c>
      <c r="K94" t="str">
        <f t="shared" si="35"/>
        <v/>
      </c>
      <c r="L94" s="5" t="str">
        <f t="shared" si="36"/>
        <v/>
      </c>
      <c r="M94" s="9" t="str">
        <f t="shared" si="37"/>
        <v/>
      </c>
      <c r="N94" s="3" t="str">
        <f t="shared" si="38"/>
        <v/>
      </c>
      <c r="O94" s="3" t="str">
        <f t="shared" si="39"/>
        <v/>
      </c>
      <c r="P94" s="3" t="str">
        <f t="shared" si="40"/>
        <v/>
      </c>
      <c r="Q94" s="3" t="str">
        <f t="shared" si="41"/>
        <v/>
      </c>
      <c r="R94" s="3" t="str">
        <f>IF($K94&lt;&gt;"",IF($A94="Prepago",0,IF(ROUND(($H94+SUM($B$12:$B94))*$T$6,2)&gt;ROUND(SUM($R$11:$R93)+$T$6,2),$T$6*2,$T$6)),"")</f>
        <v/>
      </c>
      <c r="S94" s="3" t="str">
        <f>IF($K94&lt;&gt;"",IF($A94="Prepago",0,IF(ROUND(($H94+SUM($B$12:$B94))*$T$7,2)&gt;ROUND(SUM($S$11:$S93)+$T$7,2),$T$7*2,$T$7)),"")</f>
        <v/>
      </c>
      <c r="T94" s="3" t="str">
        <f>IF($K94&lt;&gt;"",IF($A94="Prepago",0,IF(ROUND(($H94+SUM($B$12:$B94))*$T$8,2)&gt;ROUND(SUM($T$11:$T93)+$T$8,2),$T$8*2,$T$8)),"")</f>
        <v/>
      </c>
      <c r="U94" s="3" t="str">
        <f t="shared" si="42"/>
        <v/>
      </c>
      <c r="V94" s="3" t="str">
        <f t="shared" si="43"/>
        <v/>
      </c>
      <c r="W94" s="3" t="str">
        <f t="shared" si="44"/>
        <v/>
      </c>
      <c r="X94" s="3" t="str">
        <f t="shared" si="45"/>
        <v/>
      </c>
      <c r="Y94" s="3" t="str">
        <f>IF($K94&lt;&gt;"",IF($M94&gt;X$11,IF($M94&lt;Y$11,$M94-X$11,30),0)*ROUND(($N94+$V93+SUM($X94:X94))*$U$5/3000,2),"")</f>
        <v/>
      </c>
      <c r="Z94" s="3"/>
      <c r="AA94" s="3"/>
    </row>
    <row r="95" spans="5:27" x14ac:dyDescent="0.25">
      <c r="E95" s="5"/>
      <c r="F95" t="str">
        <f t="shared" si="31"/>
        <v/>
      </c>
      <c r="G95" s="5" t="str">
        <f t="shared" si="32"/>
        <v/>
      </c>
      <c r="H95" s="22" t="str">
        <f t="shared" si="33"/>
        <v/>
      </c>
      <c r="I95" s="22" t="str">
        <f t="shared" si="34"/>
        <v/>
      </c>
      <c r="J95" s="22" t="str">
        <f t="shared" si="46"/>
        <v/>
      </c>
      <c r="K95" t="str">
        <f t="shared" si="35"/>
        <v/>
      </c>
      <c r="L95" s="5" t="str">
        <f t="shared" si="36"/>
        <v/>
      </c>
      <c r="M95" s="9" t="str">
        <f t="shared" si="37"/>
        <v/>
      </c>
      <c r="N95" s="3" t="str">
        <f t="shared" si="38"/>
        <v/>
      </c>
      <c r="O95" s="3" t="str">
        <f t="shared" si="39"/>
        <v/>
      </c>
      <c r="P95" s="3" t="str">
        <f t="shared" si="40"/>
        <v/>
      </c>
      <c r="Q95" s="3" t="str">
        <f t="shared" si="41"/>
        <v/>
      </c>
      <c r="R95" s="3" t="str">
        <f>IF($K95&lt;&gt;"",IF($A95="Prepago",0,IF(ROUND(($H95+SUM($B$12:$B95))*$T$6,2)&gt;ROUND(SUM($R$11:$R94)+$T$6,2),$T$6*2,$T$6)),"")</f>
        <v/>
      </c>
      <c r="S95" s="3" t="str">
        <f>IF($K95&lt;&gt;"",IF($A95="Prepago",0,IF(ROUND(($H95+SUM($B$12:$B95))*$T$7,2)&gt;ROUND(SUM($S$11:$S94)+$T$7,2),$T$7*2,$T$7)),"")</f>
        <v/>
      </c>
      <c r="T95" s="3" t="str">
        <f>IF($K95&lt;&gt;"",IF($A95="Prepago",0,IF(ROUND(($H95+SUM($B$12:$B95))*$T$8,2)&gt;ROUND(SUM($T$11:$T94)+$T$8,2),$T$8*2,$T$8)),"")</f>
        <v/>
      </c>
      <c r="U95" s="3" t="str">
        <f t="shared" si="42"/>
        <v/>
      </c>
      <c r="V95" s="3" t="str">
        <f t="shared" si="43"/>
        <v/>
      </c>
      <c r="W95" s="3" t="str">
        <f t="shared" si="44"/>
        <v/>
      </c>
      <c r="X95" s="3" t="str">
        <f t="shared" si="45"/>
        <v/>
      </c>
      <c r="Y95" s="3" t="str">
        <f>IF($K95&lt;&gt;"",IF($M95&gt;X$11,IF($M95&lt;Y$11,$M95-X$11,30),0)*ROUND(($N95+$V94+SUM($X95:X95))*$U$5/3000,2),"")</f>
        <v/>
      </c>
      <c r="Z95" s="3"/>
      <c r="AA95" s="3"/>
    </row>
    <row r="96" spans="5:27" x14ac:dyDescent="0.25">
      <c r="E96" s="5"/>
      <c r="F96" t="str">
        <f t="shared" si="31"/>
        <v/>
      </c>
      <c r="G96" s="5" t="str">
        <f t="shared" si="32"/>
        <v/>
      </c>
      <c r="H96" s="22" t="str">
        <f t="shared" si="33"/>
        <v/>
      </c>
      <c r="I96" s="22" t="str">
        <f t="shared" si="34"/>
        <v/>
      </c>
      <c r="J96" s="22" t="str">
        <f t="shared" si="46"/>
        <v/>
      </c>
      <c r="K96" t="str">
        <f t="shared" si="35"/>
        <v/>
      </c>
      <c r="L96" s="5" t="str">
        <f t="shared" si="36"/>
        <v/>
      </c>
      <c r="M96" s="9" t="str">
        <f t="shared" si="37"/>
        <v/>
      </c>
      <c r="N96" s="3" t="str">
        <f t="shared" si="38"/>
        <v/>
      </c>
      <c r="O96" s="3" t="str">
        <f t="shared" si="39"/>
        <v/>
      </c>
      <c r="P96" s="3" t="str">
        <f t="shared" si="40"/>
        <v/>
      </c>
      <c r="Q96" s="3" t="str">
        <f t="shared" si="41"/>
        <v/>
      </c>
      <c r="R96" s="3" t="str">
        <f>IF($K96&lt;&gt;"",IF($A96="Prepago",0,IF(ROUND(($H96+SUM($B$12:$B96))*$T$6,2)&gt;ROUND(SUM($R$11:$R95)+$T$6,2),$T$6*2,$T$6)),"")</f>
        <v/>
      </c>
      <c r="S96" s="3" t="str">
        <f>IF($K96&lt;&gt;"",IF($A96="Prepago",0,IF(ROUND(($H96+SUM($B$12:$B96))*$T$7,2)&gt;ROUND(SUM($S$11:$S95)+$T$7,2),$T$7*2,$T$7)),"")</f>
        <v/>
      </c>
      <c r="T96" s="3" t="str">
        <f>IF($K96&lt;&gt;"",IF($A96="Prepago",0,IF(ROUND(($H96+SUM($B$12:$B96))*$T$8,2)&gt;ROUND(SUM($T$11:$T95)+$T$8,2),$T$8*2,$T$8)),"")</f>
        <v/>
      </c>
      <c r="U96" s="3" t="str">
        <f t="shared" si="42"/>
        <v/>
      </c>
      <c r="V96" s="3" t="str">
        <f t="shared" si="43"/>
        <v/>
      </c>
      <c r="W96" s="3" t="str">
        <f t="shared" si="44"/>
        <v/>
      </c>
      <c r="X96" s="3" t="str">
        <f t="shared" si="45"/>
        <v/>
      </c>
      <c r="Y96" s="3" t="str">
        <f>IF($K96&lt;&gt;"",IF($M96&gt;X$11,IF($M96&lt;Y$11,$M96-X$11,30),0)*ROUND(($N96+$V95+SUM($X96:X96))*$U$5/3000,2),"")</f>
        <v/>
      </c>
      <c r="Z96" s="3"/>
      <c r="AA96" s="3"/>
    </row>
    <row r="97" spans="5:27" x14ac:dyDescent="0.25">
      <c r="E97" s="5"/>
      <c r="F97" t="str">
        <f t="shared" si="31"/>
        <v/>
      </c>
      <c r="G97" s="5" t="str">
        <f t="shared" si="32"/>
        <v/>
      </c>
      <c r="H97" s="22" t="str">
        <f t="shared" si="33"/>
        <v/>
      </c>
      <c r="I97" s="22" t="str">
        <f t="shared" si="34"/>
        <v/>
      </c>
      <c r="J97" s="22" t="str">
        <f t="shared" si="46"/>
        <v/>
      </c>
      <c r="K97" t="str">
        <f t="shared" si="35"/>
        <v/>
      </c>
      <c r="L97" s="5" t="str">
        <f t="shared" si="36"/>
        <v/>
      </c>
      <c r="M97" s="9" t="str">
        <f t="shared" si="37"/>
        <v/>
      </c>
      <c r="N97" s="3" t="str">
        <f t="shared" si="38"/>
        <v/>
      </c>
      <c r="O97" s="3" t="str">
        <f>IF($K97&lt;&gt;"",IF($A97="Gracia Parcial",IF(AND($C97&lt;$W97+$R97+$S97+$T97+$V96,$C97&gt;0),$C97,$W97+$R97+$S97+$T97+$V96),IF($A97="Gracia Total",0,IF($A97="Prepago",$C97,IF(ISNUMBER($C97),$C97*VALUE(MID($C$1,MONTH($L97),1)),$P$5*VALUE(MID($C$1,MONTH($L97),1))))))-IF(#REF!="",ARREGLO,0),"")</f>
        <v/>
      </c>
      <c r="P97" s="3" t="str">
        <f t="shared" si="40"/>
        <v/>
      </c>
      <c r="Q97" s="3" t="str">
        <f t="shared" si="41"/>
        <v/>
      </c>
      <c r="R97" s="3" t="str">
        <f>IF($K97&lt;&gt;"",IF($A97="Prepago",0,IF(ROUND(($H97+SUM($B$12:$B97))*$T$6,2)&gt;ROUND(SUM($R$11:$R96)+$T$6,2),$T$6*2,$T$6)),"")</f>
        <v/>
      </c>
      <c r="S97" s="3" t="str">
        <f>IF($K97&lt;&gt;"",IF($A97="Prepago",0,IF(ROUND(($H97+SUM($B$12:$B97))*$T$7,2)&gt;ROUND(SUM($S$11:$S96)+$T$7,2),$T$7*2,$T$7)),"")</f>
        <v/>
      </c>
      <c r="T97" s="3" t="str">
        <f>IF($K97&lt;&gt;"",IF($A97="Prepago",0,IF(ROUND(($H97+SUM($B$12:$B97))*$T$8,2)&gt;ROUND(SUM($T$11:$T96)+$T$8,2),$T$8*2,$T$8)),"")</f>
        <v/>
      </c>
      <c r="U97" s="3" t="str">
        <f t="shared" si="42"/>
        <v/>
      </c>
      <c r="V97" s="3" t="str">
        <f t="shared" si="43"/>
        <v/>
      </c>
      <c r="W97" s="3" t="str">
        <f t="shared" si="44"/>
        <v/>
      </c>
      <c r="X97" s="3" t="str">
        <f t="shared" si="45"/>
        <v/>
      </c>
      <c r="Y97" s="3" t="str">
        <f>IF($K97&lt;&gt;"",IF($M97&gt;X$11,IF($M97&lt;Y$11,$M97-X$11,30),0)*ROUND(($N97+$V96+SUM($X97:X97))*$U$5/3000,2),"")</f>
        <v/>
      </c>
      <c r="Z97" s="3"/>
      <c r="AA97" s="3"/>
    </row>
  </sheetData>
  <protectedRanges>
    <protectedRange algorithmName="SHA-512" hashValue="saOoXsqAoQxcXXYzXQIOV3/apjOtIOId7A6E3Kbbks0v/+hkXCO7VppjyeJOkYNfZLM9Y82SgohJPBHQ4upYMw==" saltValue="AI4kOYg9mvAOcytG4WhlkQ==" spinCount="100000" sqref="AB10:AC10 AV11 AX11 AZ11 BB11 BD11 BF11 BH11 BJ11 BL11 BN11 BP11 BR11 BT11 BV11 BX11 BZ11 CB11 CD11 CF11 AF11 AH11 AJ11 AL11 AN11 AP11 AR11 AT11 AB13:AC15 AD11 AB25:AC60 AB21:AC23 AC16 BV12:CF12 AD13:CF16 AG17:CF17 AD20:CF60 AE18:CF18 Q12:Q97 K10:P97 Q10:AA11 U12:X97 AG19:CF19" name="Rango1"/>
    <protectedRange algorithmName="SHA-512" hashValue="saOoXsqAoQxcXXYzXQIOV3/apjOtIOId7A6E3Kbbks0v/+hkXCO7VppjyeJOkYNfZLM9Y82SgohJPBHQ4upYMw==" saltValue="AI4kOYg9mvAOcytG4WhlkQ==" spinCount="100000" sqref="Y18:Y97 Z24:AC24 Z21:AA23 Z20:AC20 Y16:AB16 Y13:AA15 Y12:BU12 Y17:AF17 Z25:AA97 Z18:AD18 Z19:AF19" name="Rango1_1"/>
    <protectedRange algorithmName="SHA-512" hashValue="saOoXsqAoQxcXXYzXQIOV3/apjOtIOId7A6E3Kbbks0v/+hkXCO7VppjyeJOkYNfZLM9Y82SgohJPBHQ4upYMw==" saltValue="AI4kOYg9mvAOcytG4WhlkQ==" spinCount="100000" sqref="R12:T97" name="Rango1_2"/>
  </protectedRanges>
  <mergeCells count="2">
    <mergeCell ref="AB6:AC6"/>
    <mergeCell ref="K1:K2"/>
  </mergeCells>
  <conditionalFormatting sqref="W10 L11:W97">
    <cfRule type="expression" dxfId="8" priority="21">
      <formula>AND($K10&lt;&gt;"")</formula>
    </cfRule>
  </conditionalFormatting>
  <conditionalFormatting sqref="U12:V97 Q11:V11 Q12:Q97 L11:P97">
    <cfRule type="expression" dxfId="7" priority="9">
      <formula>AND(ROUND(L11,0)&lt;0)</formula>
    </cfRule>
  </conditionalFormatting>
  <conditionalFormatting sqref="Z7">
    <cfRule type="expression" dxfId="6" priority="8">
      <formula>AND($Z$7&lt;&gt;0)</formula>
    </cfRule>
  </conditionalFormatting>
  <conditionalFormatting sqref="AH7">
    <cfRule type="expression" dxfId="5" priority="6">
      <formula>AND($AH$7&lt;&gt;"OK")</formula>
    </cfRule>
  </conditionalFormatting>
  <conditionalFormatting sqref="AH6">
    <cfRule type="expression" dxfId="4" priority="5">
      <formula>AND($AH$6&lt;&gt;"OK")</formula>
    </cfRule>
  </conditionalFormatting>
  <conditionalFormatting sqref="H12:J97 A12:E97">
    <cfRule type="expression" dxfId="3" priority="48">
      <formula>AND($K12&lt;&gt;"")</formula>
    </cfRule>
  </conditionalFormatting>
  <conditionalFormatting sqref="K10 F10:G10">
    <cfRule type="expression" dxfId="2" priority="53">
      <formula>AND(COUNTA($K:$K)-2&lt;$P$6)</formula>
    </cfRule>
  </conditionalFormatting>
  <conditionalFormatting sqref="R12:T97">
    <cfRule type="expression" dxfId="1" priority="1">
      <formula>AND(ROUND(R12,0)&lt;0)</formula>
    </cfRule>
  </conditionalFormatting>
  <conditionalFormatting sqref="K12:K1048576 F12:G1048576">
    <cfRule type="expression" dxfId="0" priority="77">
      <formula>AND(COUNTA($X12:$XFD12)*30&lt;$M12,$K12&lt;&gt;"")</formula>
    </cfRule>
  </conditionalFormatting>
  <dataValidations count="7">
    <dataValidation type="decimal" operator="greaterThanOrEqual" allowBlank="1" showInputMessage="1" showErrorMessage="1" errorTitle="TEA" error="Debe ser un numero positivo" sqref="T5" xr:uid="{00000000-0002-0000-0000-000000000000}">
      <formula1>0</formula1>
    </dataValidation>
    <dataValidation operator="greaterThanOrEqual" allowBlank="1" showInputMessage="1" showErrorMessage="1" errorTitle="Meses de Gracia Inicial" error="Debe ser un numero entero positivo" sqref="P7:P8" xr:uid="{00000000-0002-0000-0000-000001000000}"/>
    <dataValidation type="whole" operator="greaterThan" allowBlank="1" showInputMessage="1" showErrorMessage="1" errorTitle="Numero de Cuotas" error="Debe ser un numero entero positivo" sqref="P6" xr:uid="{00000000-0002-0000-0000-000002000000}">
      <formula1>0</formula1>
    </dataValidation>
    <dataValidation operator="greaterThan" showInputMessage="1" showErrorMessage="1" errorTitle="Fecha de la 1ra Cuota" error="Debe ser una Fecha posterior al desembolso" sqref="M7" xr:uid="{00000000-0002-0000-0000-000003000000}"/>
    <dataValidation type="date" operator="greaterThanOrEqual" showInputMessage="1" showErrorMessage="1" errorTitle="Fecha de desembolso" error="Debe ser una Fecha" sqref="M6" xr:uid="{00000000-0002-0000-0000-000004000000}">
      <formula1>36892</formula1>
    </dataValidation>
    <dataValidation type="decimal" operator="notEqual" showInputMessage="1" showErrorMessage="1" errorTitle="Monto" error="Debe ser un dato numérico" sqref="M8" xr:uid="{00000000-0002-0000-0000-000005000000}">
      <formula1>0</formula1>
    </dataValidation>
    <dataValidation type="list" allowBlank="1" showInputMessage="1" showErrorMessage="1" sqref="A12:B97" xr:uid="{00000000-0002-0000-0000-000006000000}">
      <formula1>TIPO_CUOTAS</formula1>
    </dataValidation>
  </dataValidations>
  <pageMargins left="0.70866141732283472" right="0.70866141732283472" top="0.74803149606299213" bottom="0.35433070866141736" header="0.31496062992125984" footer="0.31496062992125984"/>
  <pageSetup scale="5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btnLimpiar">
          <controlPr defaultSize="0" autoLine="0" autoPict="0" r:id="rId5">
            <anchor moveWithCells="1">
              <from>
                <xdr:col>0</xdr:col>
                <xdr:colOff>238125</xdr:colOff>
                <xdr:row>7</xdr:row>
                <xdr:rowOff>28575</xdr:rowOff>
              </from>
              <to>
                <xdr:col>3</xdr:col>
                <xdr:colOff>552450</xdr:colOff>
                <xdr:row>8</xdr:row>
                <xdr:rowOff>133350</xdr:rowOff>
              </to>
            </anchor>
          </controlPr>
        </control>
      </mc:Choice>
      <mc:Fallback>
        <control shapeId="1025" r:id="rId4" name="btnLimpiar"/>
      </mc:Fallback>
    </mc:AlternateContent>
    <mc:AlternateContent xmlns:mc="http://schemas.openxmlformats.org/markup-compatibility/2006">
      <mc:Choice Requires="x14">
        <control shapeId="1027" r:id="rId6" name="btAjustar">
          <controlPr defaultSize="0" autoLine="0" autoPict="0" r:id="rId7">
            <anchor moveWithCells="1">
              <from>
                <xdr:col>16</xdr:col>
                <xdr:colOff>285750</xdr:colOff>
                <xdr:row>4</xdr:row>
                <xdr:rowOff>57150</xdr:rowOff>
              </from>
              <to>
                <xdr:col>17</xdr:col>
                <xdr:colOff>276225</xdr:colOff>
                <xdr:row>6</xdr:row>
                <xdr:rowOff>104775</xdr:rowOff>
              </to>
            </anchor>
          </controlPr>
        </control>
      </mc:Choice>
      <mc:Fallback>
        <control shapeId="1027" r:id="rId6" name="btAjustar"/>
      </mc:Fallback>
    </mc:AlternateContent>
    <mc:AlternateContent xmlns:mc="http://schemas.openxmlformats.org/markup-compatibility/2006">
      <mc:Choice Requires="x14">
        <control shapeId="1029" r:id="rId8" name="Option Button 5">
          <controlPr defaultSize="0" autoFill="0" autoLine="0" autoPict="0" altText="Mensual Fijo">
            <anchor moveWithCells="1">
              <from>
                <xdr:col>2</xdr:col>
                <xdr:colOff>57150</xdr:colOff>
                <xdr:row>1</xdr:row>
                <xdr:rowOff>47625</xdr:rowOff>
              </from>
              <to>
                <xdr:col>4</xdr:col>
                <xdr:colOff>38100</xdr:colOff>
                <xdr:row>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9" name="Option Button 6">
          <controlPr defaultSize="0" autoFill="0" autoLine="0" autoPict="0" altText="Mensual Fijo">
            <anchor moveWithCells="1">
              <from>
                <xdr:col>2</xdr:col>
                <xdr:colOff>57150</xdr:colOff>
                <xdr:row>2</xdr:row>
                <xdr:rowOff>123825</xdr:rowOff>
              </from>
              <to>
                <xdr:col>4</xdr:col>
                <xdr:colOff>19050</xdr:colOff>
                <xdr:row>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0" name="Option Button 7">
          <controlPr defaultSize="0" autoFill="0" autoLine="0" autoPict="0" altText="Mensual Fijo">
            <anchor moveWithCells="1">
              <from>
                <xdr:col>2</xdr:col>
                <xdr:colOff>57150</xdr:colOff>
                <xdr:row>4</xdr:row>
                <xdr:rowOff>47625</xdr:rowOff>
              </from>
              <to>
                <xdr:col>4</xdr:col>
                <xdr:colOff>38100</xdr:colOff>
                <xdr:row>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1" name="Button 19">
          <controlPr defaultSize="0" print="0" autoFill="0" autoPict="0" macro="[0]!GenerarCSV">
            <anchor moveWithCells="1" sizeWithCells="1">
              <from>
                <xdr:col>21</xdr:col>
                <xdr:colOff>419100</xdr:colOff>
                <xdr:row>3</xdr:row>
                <xdr:rowOff>171450</xdr:rowOff>
              </from>
              <to>
                <xdr:col>23</xdr:col>
                <xdr:colOff>657225</xdr:colOff>
                <xdr:row>6</xdr:row>
                <xdr:rowOff>142875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5"/>
  <sheetViews>
    <sheetView workbookViewId="0"/>
  </sheetViews>
  <sheetFormatPr baseColWidth="10" defaultRowHeight="15" x14ac:dyDescent="0.25"/>
  <cols>
    <col min="1" max="1" width="14.140625" customWidth="1"/>
  </cols>
  <sheetData>
    <row r="1" spans="1:1" x14ac:dyDescent="0.25">
      <c r="A1" t="s">
        <v>100</v>
      </c>
    </row>
    <row r="3" spans="1:1" x14ac:dyDescent="0.25">
      <c r="A3" t="s">
        <v>102</v>
      </c>
    </row>
    <row r="4" spans="1:1" x14ac:dyDescent="0.25">
      <c r="A4" t="s">
        <v>101</v>
      </c>
    </row>
    <row r="5" spans="1:1" x14ac:dyDescent="0.25">
      <c r="A5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17</vt:i4>
      </vt:variant>
    </vt:vector>
  </HeadingPairs>
  <TitlesOfParts>
    <vt:vector size="19" baseType="lpstr">
      <vt:lpstr>Hoja1</vt:lpstr>
      <vt:lpstr>Hoja2</vt:lpstr>
      <vt:lpstr>areaFija</vt:lpstr>
      <vt:lpstr>areaFija2</vt:lpstr>
      <vt:lpstr>ARREGLO</vt:lpstr>
      <vt:lpstr>CUOTA</vt:lpstr>
      <vt:lpstr>CUOTAADICIONAL</vt:lpstr>
      <vt:lpstr>dataGracia</vt:lpstr>
      <vt:lpstr>FIN_REF</vt:lpstr>
      <vt:lpstr>FinLimpiar</vt:lpstr>
      <vt:lpstr>INICIO_REF</vt:lpstr>
      <vt:lpstr>InicioLimpiar</vt:lpstr>
      <vt:lpstr>MONTO</vt:lpstr>
      <vt:lpstr>NCUOTAS</vt:lpstr>
      <vt:lpstr>OBJETIVO</vt:lpstr>
      <vt:lpstr>PGRACIA</vt:lpstr>
      <vt:lpstr>TIPO_CUOTAS</vt:lpstr>
      <vt:lpstr>TOTALCUOTAS</vt:lpstr>
      <vt:lpstr>ULTIMODIA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djhoncon</dc:creator>
  <cp:lastModifiedBy>Kenji Jhoncon</cp:lastModifiedBy>
  <cp:lastPrinted>2018-02-05T18:12:04Z</cp:lastPrinted>
  <dcterms:created xsi:type="dcterms:W3CDTF">2017-07-14T15:21:18Z</dcterms:created>
  <dcterms:modified xsi:type="dcterms:W3CDTF">2020-10-21T23:01:11Z</dcterms:modified>
</cp:coreProperties>
</file>