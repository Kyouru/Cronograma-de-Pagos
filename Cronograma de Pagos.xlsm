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Cronograma\"/>
    </mc:Choice>
  </mc:AlternateContent>
  <xr:revisionPtr revIDLastSave="0" documentId="13_ncr:1_{D619EDBA-E271-4FCD-8E93-2BA597A1FA0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Hoja1!$AA$8</definedName>
    <definedName name="CAPITALFIJOPAGADO">Hoja1!$K$11</definedName>
    <definedName name="CUOTA">Hoja1!$Q$5</definedName>
    <definedName name="CUOTAADICIONAL">Hoja1!$Q$7</definedName>
    <definedName name="dataGracia">Hoja1!$A$11</definedName>
    <definedName name="FIN_REF">Hoja1!$V$11</definedName>
    <definedName name="FinLimpiar">Hoja1!$E$12</definedName>
    <definedName name="INICIO_REF">Hoja1!$L$11</definedName>
    <definedName name="InicioLimpiar">Hoja1!$A$12</definedName>
    <definedName name="MESADICIONAL">Hoja1!$B$1</definedName>
    <definedName name="MONTO">Hoja1!$N$8</definedName>
    <definedName name="NCUOTAS">Hoja1!$Q$6</definedName>
    <definedName name="OBJETIVO">Hoja1!$AA$7</definedName>
    <definedName name="PAGO_SIN_FIJAR">Hoja1!#REF!</definedName>
    <definedName name="PGRACIA">Hoja1!$Q$9</definedName>
    <definedName name="TIPO_CUOTAS">Hoja2!$A$2:$A$5</definedName>
    <definedName name="TOTALCUOTAS">Hoja1!$R$8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6" i="1" l="1"/>
  <c r="M13" i="1" l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12" i="1"/>
  <c r="B11" i="1" l="1"/>
  <c r="M11" i="1" l="1"/>
  <c r="Q9" i="1" l="1"/>
  <c r="Q8" i="1" l="1"/>
  <c r="R8" i="1" s="1"/>
  <c r="L12" i="1"/>
  <c r="J12" i="1" s="1"/>
  <c r="H12" i="1" l="1"/>
  <c r="U12" i="1" s="1"/>
  <c r="L13" i="1"/>
  <c r="J13" i="1" s="1"/>
  <c r="V11" i="1"/>
  <c r="O12" i="1" s="1"/>
  <c r="AB1" i="1"/>
  <c r="AA6" i="1"/>
  <c r="V5" i="1"/>
  <c r="G12" i="1" l="1"/>
  <c r="S12" i="1"/>
  <c r="T12" i="1"/>
  <c r="H13" i="1"/>
  <c r="G13" i="1" s="1"/>
  <c r="L14" i="1"/>
  <c r="J14" i="1" l="1"/>
  <c r="U13" i="1"/>
  <c r="T13" i="1"/>
  <c r="S13" i="1"/>
  <c r="H14" i="1"/>
  <c r="G14" i="1" s="1"/>
  <c r="L15" i="1"/>
  <c r="J15" i="1" l="1"/>
  <c r="U14" i="1"/>
  <c r="S14" i="1"/>
  <c r="T14" i="1"/>
  <c r="H15" i="1"/>
  <c r="G15" i="1" s="1"/>
  <c r="L16" i="1"/>
  <c r="C1" i="1"/>
  <c r="J16" i="1" l="1"/>
  <c r="U15" i="1"/>
  <c r="S15" i="1"/>
  <c r="T15" i="1"/>
  <c r="H16" i="1"/>
  <c r="G16" i="1" s="1"/>
  <c r="L17" i="1"/>
  <c r="J17" i="1" l="1"/>
  <c r="S16" i="1"/>
  <c r="T16" i="1"/>
  <c r="H17" i="1"/>
  <c r="G17" i="1" s="1"/>
  <c r="L18" i="1"/>
  <c r="J18" i="1" l="1"/>
  <c r="L19" i="1"/>
  <c r="S17" i="1"/>
  <c r="U17" i="1"/>
  <c r="T17" i="1"/>
  <c r="H18" i="1"/>
  <c r="G18" i="1" s="1"/>
  <c r="F12" i="1"/>
  <c r="L20" i="1"/>
  <c r="J20" i="1" l="1"/>
  <c r="J19" i="1"/>
  <c r="U18" i="1"/>
  <c r="S18" i="1"/>
  <c r="T18" i="1"/>
  <c r="H19" i="1"/>
  <c r="G19" i="1" s="1"/>
  <c r="L21" i="1"/>
  <c r="N12" i="1"/>
  <c r="J21" i="1" l="1"/>
  <c r="U19" i="1"/>
  <c r="S19" i="1"/>
  <c r="T19" i="1"/>
  <c r="H20" i="1"/>
  <c r="G20" i="1" s="1"/>
  <c r="Y12" i="1"/>
  <c r="L22" i="1"/>
  <c r="J22" i="1" l="1"/>
  <c r="U20" i="1"/>
  <c r="S20" i="1"/>
  <c r="T20" i="1"/>
  <c r="H21" i="1"/>
  <c r="L23" i="1"/>
  <c r="Z12" i="1"/>
  <c r="J23" i="1" l="1"/>
  <c r="H22" i="1"/>
  <c r="G22" i="1" s="1"/>
  <c r="G21" i="1"/>
  <c r="T21" i="1"/>
  <c r="T22" i="1" s="1"/>
  <c r="U21" i="1"/>
  <c r="U22" i="1" s="1"/>
  <c r="S21" i="1"/>
  <c r="S22" i="1" s="1"/>
  <c r="H23" i="1"/>
  <c r="G23" i="1" s="1"/>
  <c r="L24" i="1"/>
  <c r="F13" i="1"/>
  <c r="AA12" i="1"/>
  <c r="AB12" i="1" s="1"/>
  <c r="N13" i="1"/>
  <c r="J24" i="1" l="1"/>
  <c r="S23" i="1"/>
  <c r="U23" i="1"/>
  <c r="T23" i="1"/>
  <c r="H24" i="1"/>
  <c r="G24" i="1" s="1"/>
  <c r="L25" i="1"/>
  <c r="F14" i="1"/>
  <c r="AC12" i="1"/>
  <c r="N14" i="1"/>
  <c r="J25" i="1" l="1"/>
  <c r="U24" i="1"/>
  <c r="T24" i="1"/>
  <c r="S24" i="1"/>
  <c r="H25" i="1"/>
  <c r="G25" i="1" s="1"/>
  <c r="N15" i="1"/>
  <c r="F15" i="1"/>
  <c r="L26" i="1"/>
  <c r="AD12" i="1"/>
  <c r="J26" i="1" l="1"/>
  <c r="S25" i="1"/>
  <c r="T25" i="1"/>
  <c r="U25" i="1"/>
  <c r="H26" i="1"/>
  <c r="G26" i="1" s="1"/>
  <c r="P17" i="1"/>
  <c r="L27" i="1"/>
  <c r="F16" i="1"/>
  <c r="AE12" i="1"/>
  <c r="N16" i="1"/>
  <c r="J27" i="1" l="1"/>
  <c r="T26" i="1"/>
  <c r="S26" i="1"/>
  <c r="U26" i="1"/>
  <c r="H27" i="1"/>
  <c r="F17" i="1"/>
  <c r="N17" i="1"/>
  <c r="L28" i="1"/>
  <c r="AF12" i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U27" i="1" l="1"/>
  <c r="J28" i="1"/>
  <c r="G27" i="1"/>
  <c r="S27" i="1"/>
  <c r="T27" i="1"/>
  <c r="H28" i="1"/>
  <c r="U28" i="1" s="1"/>
  <c r="I12" i="1"/>
  <c r="X12" i="1"/>
  <c r="P12" i="1" s="1"/>
  <c r="F18" i="1"/>
  <c r="N18" i="1"/>
  <c r="F19" i="1"/>
  <c r="L29" i="1"/>
  <c r="J29" i="1" l="1"/>
  <c r="G28" i="1"/>
  <c r="T28" i="1"/>
  <c r="S28" i="1"/>
  <c r="H29" i="1"/>
  <c r="G29" i="1" s="1"/>
  <c r="R12" i="1"/>
  <c r="W12" i="1" s="1"/>
  <c r="N19" i="1"/>
  <c r="L30" i="1"/>
  <c r="J30" i="1" l="1"/>
  <c r="S29" i="1"/>
  <c r="T29" i="1"/>
  <c r="U29" i="1"/>
  <c r="H30" i="1"/>
  <c r="G30" i="1" s="1"/>
  <c r="Q12" i="1"/>
  <c r="K12" i="1" s="1"/>
  <c r="P21" i="1"/>
  <c r="L31" i="1"/>
  <c r="F20" i="1"/>
  <c r="N20" i="1"/>
  <c r="J31" i="1" l="1"/>
  <c r="T30" i="1"/>
  <c r="S30" i="1"/>
  <c r="U30" i="1"/>
  <c r="V12" i="1"/>
  <c r="H31" i="1"/>
  <c r="G31" i="1" s="1"/>
  <c r="P22" i="1"/>
  <c r="L32" i="1"/>
  <c r="F21" i="1"/>
  <c r="N21" i="1"/>
  <c r="J32" i="1" l="1"/>
  <c r="S31" i="1"/>
  <c r="T31" i="1"/>
  <c r="U31" i="1"/>
  <c r="H32" i="1"/>
  <c r="G32" i="1" s="1"/>
  <c r="N22" i="1"/>
  <c r="F22" i="1"/>
  <c r="P23" i="1"/>
  <c r="L33" i="1"/>
  <c r="J33" i="1" l="1"/>
  <c r="T32" i="1"/>
  <c r="S32" i="1"/>
  <c r="U32" i="1"/>
  <c r="H33" i="1"/>
  <c r="G33" i="1" s="1"/>
  <c r="P24" i="1"/>
  <c r="N23" i="1"/>
  <c r="F23" i="1"/>
  <c r="L34" i="1"/>
  <c r="J34" i="1" l="1"/>
  <c r="S33" i="1"/>
  <c r="T33" i="1"/>
  <c r="U33" i="1"/>
  <c r="H34" i="1"/>
  <c r="G34" i="1" s="1"/>
  <c r="N24" i="1"/>
  <c r="F24" i="1"/>
  <c r="F25" i="1"/>
  <c r="L35" i="1"/>
  <c r="J35" i="1" l="1"/>
  <c r="U34" i="1"/>
  <c r="T34" i="1"/>
  <c r="S34" i="1"/>
  <c r="H35" i="1"/>
  <c r="N25" i="1"/>
  <c r="P25" i="1"/>
  <c r="L36" i="1"/>
  <c r="P26" i="1"/>
  <c r="J36" i="1" l="1"/>
  <c r="K36" i="1"/>
  <c r="G35" i="1"/>
  <c r="S35" i="1"/>
  <c r="T35" i="1"/>
  <c r="U35" i="1"/>
  <c r="H36" i="1"/>
  <c r="G36" i="1" s="1"/>
  <c r="L37" i="1"/>
  <c r="F26" i="1"/>
  <c r="N26" i="1"/>
  <c r="P27" i="1"/>
  <c r="J37" i="1" l="1"/>
  <c r="K37" i="1"/>
  <c r="G37" i="1"/>
  <c r="U36" i="1"/>
  <c r="T36" i="1"/>
  <c r="S36" i="1"/>
  <c r="H37" i="1"/>
  <c r="P28" i="1"/>
  <c r="L38" i="1"/>
  <c r="F27" i="1"/>
  <c r="N27" i="1"/>
  <c r="J38" i="1" l="1"/>
  <c r="K38" i="1"/>
  <c r="G38" i="1"/>
  <c r="S37" i="1"/>
  <c r="U37" i="1"/>
  <c r="T37" i="1"/>
  <c r="H38" i="1"/>
  <c r="P30" i="1"/>
  <c r="F29" i="1"/>
  <c r="L39" i="1"/>
  <c r="F28" i="1"/>
  <c r="N28" i="1"/>
  <c r="J39" i="1" l="1"/>
  <c r="K39" i="1"/>
  <c r="G39" i="1"/>
  <c r="T38" i="1"/>
  <c r="S38" i="1"/>
  <c r="U38" i="1"/>
  <c r="H39" i="1"/>
  <c r="T39" i="1" s="1"/>
  <c r="F30" i="1"/>
  <c r="N30" i="1"/>
  <c r="P29" i="1"/>
  <c r="N29" i="1"/>
  <c r="L40" i="1"/>
  <c r="J40" i="1" l="1"/>
  <c r="K40" i="1"/>
  <c r="G40" i="1"/>
  <c r="S39" i="1"/>
  <c r="U39" i="1"/>
  <c r="H40" i="1"/>
  <c r="T40" i="1" s="1"/>
  <c r="P31" i="1"/>
  <c r="L41" i="1"/>
  <c r="J41" i="1" l="1"/>
  <c r="K41" i="1"/>
  <c r="G41" i="1"/>
  <c r="U40" i="1"/>
  <c r="S40" i="1"/>
  <c r="H41" i="1"/>
  <c r="U41" i="1" s="1"/>
  <c r="F31" i="1"/>
  <c r="N31" i="1"/>
  <c r="P33" i="1"/>
  <c r="L42" i="1"/>
  <c r="J42" i="1" l="1"/>
  <c r="K42" i="1"/>
  <c r="G42" i="1"/>
  <c r="S41" i="1"/>
  <c r="T41" i="1"/>
  <c r="H42" i="1"/>
  <c r="U42" i="1" s="1"/>
  <c r="F33" i="1"/>
  <c r="P34" i="1"/>
  <c r="L43" i="1"/>
  <c r="J43" i="1" l="1"/>
  <c r="K43" i="1"/>
  <c r="G43" i="1"/>
  <c r="T42" i="1"/>
  <c r="S42" i="1"/>
  <c r="H43" i="1"/>
  <c r="U43" i="1" s="1"/>
  <c r="N34" i="1"/>
  <c r="F34" i="1"/>
  <c r="P35" i="1"/>
  <c r="L44" i="1"/>
  <c r="J44" i="1" l="1"/>
  <c r="K44" i="1"/>
  <c r="G44" i="1"/>
  <c r="S43" i="1"/>
  <c r="T43" i="1"/>
  <c r="H44" i="1"/>
  <c r="U44" i="1" s="1"/>
  <c r="N35" i="1"/>
  <c r="F35" i="1"/>
  <c r="P36" i="1"/>
  <c r="L45" i="1"/>
  <c r="J45" i="1" l="1"/>
  <c r="K45" i="1"/>
  <c r="G45" i="1"/>
  <c r="T44" i="1"/>
  <c r="S44" i="1"/>
  <c r="H45" i="1"/>
  <c r="U45" i="1" s="1"/>
  <c r="N36" i="1"/>
  <c r="F36" i="1"/>
  <c r="L46" i="1"/>
  <c r="J46" i="1" l="1"/>
  <c r="K46" i="1"/>
  <c r="G46" i="1"/>
  <c r="S45" i="1"/>
  <c r="T45" i="1"/>
  <c r="T46" i="1" s="1"/>
  <c r="H46" i="1"/>
  <c r="L47" i="1"/>
  <c r="J47" i="1" l="1"/>
  <c r="K47" i="1"/>
  <c r="G47" i="1"/>
  <c r="U46" i="1"/>
  <c r="S46" i="1"/>
  <c r="S47" i="1" s="1"/>
  <c r="H47" i="1"/>
  <c r="F39" i="1"/>
  <c r="L48" i="1"/>
  <c r="J48" i="1" l="1"/>
  <c r="K48" i="1"/>
  <c r="G48" i="1"/>
  <c r="S48" i="1"/>
  <c r="T48" i="1"/>
  <c r="U48" i="1"/>
  <c r="T47" i="1"/>
  <c r="U47" i="1"/>
  <c r="H48" i="1"/>
  <c r="P39" i="1"/>
  <c r="F40" i="1"/>
  <c r="L49" i="1"/>
  <c r="J49" i="1" l="1"/>
  <c r="K49" i="1"/>
  <c r="G49" i="1"/>
  <c r="S49" i="1"/>
  <c r="T49" i="1"/>
  <c r="U49" i="1"/>
  <c r="H49" i="1"/>
  <c r="P40" i="1"/>
  <c r="N40" i="1"/>
  <c r="P41" i="1"/>
  <c r="L50" i="1"/>
  <c r="J50" i="1" l="1"/>
  <c r="K50" i="1"/>
  <c r="G50" i="1"/>
  <c r="S50" i="1"/>
  <c r="T50" i="1"/>
  <c r="U50" i="1"/>
  <c r="H50" i="1"/>
  <c r="N41" i="1"/>
  <c r="F41" i="1"/>
  <c r="L51" i="1"/>
  <c r="J51" i="1" l="1"/>
  <c r="K51" i="1"/>
  <c r="G51" i="1"/>
  <c r="S51" i="1"/>
  <c r="T51" i="1"/>
  <c r="U51" i="1"/>
  <c r="H51" i="1"/>
  <c r="L52" i="1"/>
  <c r="J52" i="1" l="1"/>
  <c r="K52" i="1"/>
  <c r="G52" i="1"/>
  <c r="S52" i="1"/>
  <c r="T52" i="1"/>
  <c r="U52" i="1"/>
  <c r="H52" i="1"/>
  <c r="L53" i="1"/>
  <c r="J53" i="1" l="1"/>
  <c r="K53" i="1"/>
  <c r="G53" i="1"/>
  <c r="S53" i="1"/>
  <c r="T53" i="1"/>
  <c r="U53" i="1"/>
  <c r="H53" i="1"/>
  <c r="P45" i="1"/>
  <c r="L54" i="1"/>
  <c r="J54" i="1" l="1"/>
  <c r="K54" i="1"/>
  <c r="G54" i="1"/>
  <c r="S54" i="1"/>
  <c r="T54" i="1"/>
  <c r="U54" i="1"/>
  <c r="H54" i="1"/>
  <c r="F45" i="1"/>
  <c r="F46" i="1"/>
  <c r="R54" i="1"/>
  <c r="W54" i="1"/>
  <c r="L55" i="1"/>
  <c r="J55" i="1" l="1"/>
  <c r="K55" i="1"/>
  <c r="G55" i="1"/>
  <c r="T55" i="1"/>
  <c r="S55" i="1"/>
  <c r="U55" i="1"/>
  <c r="H55" i="1"/>
  <c r="P46" i="1"/>
  <c r="N46" i="1"/>
  <c r="R55" i="1"/>
  <c r="W55" i="1"/>
  <c r="L56" i="1"/>
  <c r="J56" i="1" l="1"/>
  <c r="K56" i="1"/>
  <c r="G56" i="1"/>
  <c r="S56" i="1"/>
  <c r="T56" i="1"/>
  <c r="U56" i="1"/>
  <c r="H56" i="1"/>
  <c r="F48" i="1"/>
  <c r="W56" i="1"/>
  <c r="R56" i="1"/>
  <c r="P48" i="1"/>
  <c r="L57" i="1"/>
  <c r="J57" i="1" l="1"/>
  <c r="K57" i="1"/>
  <c r="G57" i="1"/>
  <c r="S57" i="1"/>
  <c r="U57" i="1"/>
  <c r="T57" i="1"/>
  <c r="H57" i="1"/>
  <c r="N48" i="1"/>
  <c r="W57" i="1"/>
  <c r="R57" i="1"/>
  <c r="P49" i="1"/>
  <c r="L58" i="1"/>
  <c r="F49" i="1"/>
  <c r="N49" i="1"/>
  <c r="J58" i="1" l="1"/>
  <c r="K58" i="1"/>
  <c r="G58" i="1"/>
  <c r="U58" i="1"/>
  <c r="T58" i="1"/>
  <c r="S58" i="1"/>
  <c r="H58" i="1"/>
  <c r="W58" i="1"/>
  <c r="R58" i="1"/>
  <c r="P50" i="1"/>
  <c r="L59" i="1"/>
  <c r="F50" i="1"/>
  <c r="N50" i="1"/>
  <c r="J59" i="1" l="1"/>
  <c r="K59" i="1"/>
  <c r="G59" i="1"/>
  <c r="T59" i="1"/>
  <c r="U59" i="1"/>
  <c r="S59" i="1"/>
  <c r="H59" i="1"/>
  <c r="W59" i="1"/>
  <c r="R59" i="1"/>
  <c r="P51" i="1"/>
  <c r="L60" i="1"/>
  <c r="F51" i="1"/>
  <c r="N51" i="1"/>
  <c r="J60" i="1" l="1"/>
  <c r="K60" i="1"/>
  <c r="G60" i="1"/>
  <c r="S60" i="1"/>
  <c r="T60" i="1"/>
  <c r="U60" i="1"/>
  <c r="H60" i="1"/>
  <c r="W60" i="1"/>
  <c r="R60" i="1"/>
  <c r="P52" i="1"/>
  <c r="L61" i="1"/>
  <c r="F52" i="1"/>
  <c r="N52" i="1"/>
  <c r="J61" i="1" l="1"/>
  <c r="K61" i="1"/>
  <c r="G61" i="1"/>
  <c r="S61" i="1"/>
  <c r="T61" i="1"/>
  <c r="U61" i="1"/>
  <c r="H61" i="1"/>
  <c r="W61" i="1"/>
  <c r="R61" i="1"/>
  <c r="L62" i="1"/>
  <c r="F53" i="1"/>
  <c r="N53" i="1"/>
  <c r="J62" i="1" l="1"/>
  <c r="K62" i="1"/>
  <c r="G62" i="1"/>
  <c r="S62" i="1"/>
  <c r="T62" i="1"/>
  <c r="U62" i="1"/>
  <c r="H62" i="1"/>
  <c r="W62" i="1"/>
  <c r="R62" i="1"/>
  <c r="P54" i="1"/>
  <c r="L63" i="1"/>
  <c r="F54" i="1"/>
  <c r="N54" i="1"/>
  <c r="J63" i="1" l="1"/>
  <c r="K63" i="1"/>
  <c r="G63" i="1"/>
  <c r="S63" i="1"/>
  <c r="T63" i="1"/>
  <c r="U63" i="1"/>
  <c r="H63" i="1"/>
  <c r="R63" i="1"/>
  <c r="W63" i="1"/>
  <c r="P55" i="1"/>
  <c r="L64" i="1"/>
  <c r="F55" i="1"/>
  <c r="N55" i="1"/>
  <c r="J64" i="1" l="1"/>
  <c r="K64" i="1"/>
  <c r="G64" i="1"/>
  <c r="S64" i="1"/>
  <c r="T64" i="1"/>
  <c r="U64" i="1"/>
  <c r="H64" i="1"/>
  <c r="R64" i="1"/>
  <c r="W64" i="1"/>
  <c r="P56" i="1"/>
  <c r="L65" i="1"/>
  <c r="F56" i="1"/>
  <c r="N56" i="1"/>
  <c r="J65" i="1" l="1"/>
  <c r="K65" i="1"/>
  <c r="G65" i="1"/>
  <c r="S65" i="1"/>
  <c r="T65" i="1"/>
  <c r="U65" i="1"/>
  <c r="H65" i="1"/>
  <c r="R65" i="1"/>
  <c r="W65" i="1"/>
  <c r="P57" i="1"/>
  <c r="L66" i="1"/>
  <c r="F57" i="1"/>
  <c r="N57" i="1"/>
  <c r="J66" i="1" l="1"/>
  <c r="K66" i="1"/>
  <c r="G66" i="1"/>
  <c r="U66" i="1"/>
  <c r="S66" i="1"/>
  <c r="T66" i="1"/>
  <c r="H66" i="1"/>
  <c r="R66" i="1"/>
  <c r="W66" i="1"/>
  <c r="P58" i="1"/>
  <c r="L67" i="1"/>
  <c r="F58" i="1"/>
  <c r="N58" i="1"/>
  <c r="J67" i="1" l="1"/>
  <c r="K67" i="1"/>
  <c r="G67" i="1"/>
  <c r="T67" i="1"/>
  <c r="U67" i="1"/>
  <c r="S67" i="1"/>
  <c r="H67" i="1"/>
  <c r="W67" i="1"/>
  <c r="R67" i="1"/>
  <c r="P59" i="1"/>
  <c r="L68" i="1"/>
  <c r="F59" i="1"/>
  <c r="N59" i="1"/>
  <c r="J68" i="1" l="1"/>
  <c r="K68" i="1"/>
  <c r="G68" i="1"/>
  <c r="S68" i="1"/>
  <c r="T68" i="1"/>
  <c r="U68" i="1"/>
  <c r="H68" i="1"/>
  <c r="R68" i="1"/>
  <c r="W68" i="1"/>
  <c r="P60" i="1"/>
  <c r="L69" i="1"/>
  <c r="F60" i="1"/>
  <c r="N60" i="1"/>
  <c r="J69" i="1" l="1"/>
  <c r="K69" i="1"/>
  <c r="G69" i="1"/>
  <c r="U69" i="1"/>
  <c r="S69" i="1"/>
  <c r="T69" i="1"/>
  <c r="H69" i="1"/>
  <c r="W69" i="1"/>
  <c r="R69" i="1"/>
  <c r="P61" i="1"/>
  <c r="L70" i="1"/>
  <c r="F61" i="1"/>
  <c r="N61" i="1"/>
  <c r="J70" i="1" l="1"/>
  <c r="K70" i="1"/>
  <c r="G70" i="1"/>
  <c r="U70" i="1"/>
  <c r="T70" i="1"/>
  <c r="S70" i="1"/>
  <c r="H70" i="1"/>
  <c r="W70" i="1"/>
  <c r="R70" i="1"/>
  <c r="P62" i="1"/>
  <c r="L71" i="1"/>
  <c r="F62" i="1"/>
  <c r="N62" i="1"/>
  <c r="J71" i="1" l="1"/>
  <c r="K71" i="1"/>
  <c r="G71" i="1"/>
  <c r="T71" i="1"/>
  <c r="U71" i="1"/>
  <c r="S71" i="1"/>
  <c r="H71" i="1"/>
  <c r="W71" i="1"/>
  <c r="R71" i="1"/>
  <c r="P63" i="1"/>
  <c r="L72" i="1"/>
  <c r="F63" i="1"/>
  <c r="N63" i="1"/>
  <c r="J72" i="1" l="1"/>
  <c r="K72" i="1"/>
  <c r="G72" i="1"/>
  <c r="S72" i="1"/>
  <c r="T72" i="1"/>
  <c r="U72" i="1"/>
  <c r="H72" i="1"/>
  <c r="W72" i="1"/>
  <c r="R72" i="1"/>
  <c r="P64" i="1"/>
  <c r="L73" i="1"/>
  <c r="F64" i="1"/>
  <c r="N64" i="1"/>
  <c r="J73" i="1" l="1"/>
  <c r="K73" i="1"/>
  <c r="G73" i="1"/>
  <c r="S73" i="1"/>
  <c r="T73" i="1"/>
  <c r="U73" i="1"/>
  <c r="H73" i="1"/>
  <c r="R73" i="1"/>
  <c r="W73" i="1"/>
  <c r="P65" i="1"/>
  <c r="L74" i="1"/>
  <c r="F65" i="1"/>
  <c r="N65" i="1"/>
  <c r="J74" i="1" l="1"/>
  <c r="K74" i="1"/>
  <c r="G74" i="1"/>
  <c r="S74" i="1"/>
  <c r="T74" i="1"/>
  <c r="U74" i="1"/>
  <c r="H74" i="1"/>
  <c r="R74" i="1"/>
  <c r="W74" i="1"/>
  <c r="P66" i="1"/>
  <c r="L75" i="1"/>
  <c r="F66" i="1"/>
  <c r="N66" i="1"/>
  <c r="J75" i="1" l="1"/>
  <c r="K75" i="1"/>
  <c r="G75" i="1"/>
  <c r="S75" i="1"/>
  <c r="T75" i="1"/>
  <c r="U75" i="1"/>
  <c r="H75" i="1"/>
  <c r="R75" i="1"/>
  <c r="W75" i="1"/>
  <c r="P67" i="1"/>
  <c r="L76" i="1"/>
  <c r="F67" i="1"/>
  <c r="N67" i="1"/>
  <c r="J76" i="1" l="1"/>
  <c r="K76" i="1"/>
  <c r="G76" i="1"/>
  <c r="S76" i="1"/>
  <c r="T76" i="1"/>
  <c r="U76" i="1"/>
  <c r="H76" i="1"/>
  <c r="R76" i="1"/>
  <c r="W76" i="1"/>
  <c r="P68" i="1"/>
  <c r="L77" i="1"/>
  <c r="F68" i="1"/>
  <c r="N68" i="1"/>
  <c r="J77" i="1" l="1"/>
  <c r="K77" i="1"/>
  <c r="G77" i="1"/>
  <c r="S77" i="1"/>
  <c r="U77" i="1"/>
  <c r="T77" i="1"/>
  <c r="H77" i="1"/>
  <c r="R77" i="1"/>
  <c r="W77" i="1"/>
  <c r="P69" i="1"/>
  <c r="L78" i="1"/>
  <c r="F69" i="1"/>
  <c r="N69" i="1"/>
  <c r="J78" i="1" l="1"/>
  <c r="K78" i="1"/>
  <c r="G78" i="1"/>
  <c r="S78" i="1"/>
  <c r="U78" i="1"/>
  <c r="T78" i="1"/>
  <c r="H78" i="1"/>
  <c r="W78" i="1"/>
  <c r="R78" i="1"/>
  <c r="P70" i="1"/>
  <c r="L79" i="1"/>
  <c r="F70" i="1"/>
  <c r="N70" i="1"/>
  <c r="J79" i="1" l="1"/>
  <c r="K79" i="1"/>
  <c r="G79" i="1"/>
  <c r="U79" i="1"/>
  <c r="T79" i="1"/>
  <c r="S79" i="1"/>
  <c r="H79" i="1"/>
  <c r="R79" i="1"/>
  <c r="W79" i="1"/>
  <c r="P71" i="1"/>
  <c r="L80" i="1"/>
  <c r="F71" i="1"/>
  <c r="N71" i="1"/>
  <c r="J80" i="1" l="1"/>
  <c r="K80" i="1"/>
  <c r="G80" i="1"/>
  <c r="S80" i="1"/>
  <c r="T80" i="1"/>
  <c r="U80" i="1"/>
  <c r="H80" i="1"/>
  <c r="W80" i="1"/>
  <c r="R80" i="1"/>
  <c r="P72" i="1"/>
  <c r="L81" i="1"/>
  <c r="F72" i="1"/>
  <c r="N72" i="1"/>
  <c r="J81" i="1" l="1"/>
  <c r="K81" i="1"/>
  <c r="G81" i="1"/>
  <c r="S81" i="1"/>
  <c r="U81" i="1"/>
  <c r="T81" i="1"/>
  <c r="H81" i="1"/>
  <c r="W81" i="1"/>
  <c r="R81" i="1"/>
  <c r="P73" i="1"/>
  <c r="L82" i="1"/>
  <c r="F73" i="1"/>
  <c r="N73" i="1"/>
  <c r="J82" i="1" l="1"/>
  <c r="K82" i="1"/>
  <c r="G82" i="1"/>
  <c r="U82" i="1"/>
  <c r="T82" i="1"/>
  <c r="S82" i="1"/>
  <c r="H82" i="1"/>
  <c r="W82" i="1"/>
  <c r="R82" i="1"/>
  <c r="P74" i="1"/>
  <c r="L83" i="1"/>
  <c r="F74" i="1"/>
  <c r="N74" i="1"/>
  <c r="J83" i="1" l="1"/>
  <c r="K83" i="1"/>
  <c r="G83" i="1"/>
  <c r="T83" i="1"/>
  <c r="S83" i="1"/>
  <c r="U83" i="1"/>
  <c r="H83" i="1"/>
  <c r="W83" i="1"/>
  <c r="R83" i="1"/>
  <c r="P75" i="1"/>
  <c r="L84" i="1"/>
  <c r="F75" i="1"/>
  <c r="N75" i="1"/>
  <c r="J84" i="1" l="1"/>
  <c r="K84" i="1"/>
  <c r="G84" i="1"/>
  <c r="S84" i="1"/>
  <c r="T84" i="1"/>
  <c r="U84" i="1"/>
  <c r="H84" i="1"/>
  <c r="R84" i="1"/>
  <c r="W84" i="1"/>
  <c r="P76" i="1"/>
  <c r="L85" i="1"/>
  <c r="F76" i="1"/>
  <c r="N76" i="1"/>
  <c r="J85" i="1" l="1"/>
  <c r="K85" i="1"/>
  <c r="G85" i="1"/>
  <c r="U85" i="1"/>
  <c r="S85" i="1"/>
  <c r="T85" i="1"/>
  <c r="H85" i="1"/>
  <c r="W85" i="1"/>
  <c r="R85" i="1"/>
  <c r="P77" i="1"/>
  <c r="L86" i="1"/>
  <c r="F77" i="1"/>
  <c r="N77" i="1"/>
  <c r="J86" i="1" l="1"/>
  <c r="K86" i="1"/>
  <c r="G86" i="1"/>
  <c r="U86" i="1"/>
  <c r="S86" i="1"/>
  <c r="T86" i="1"/>
  <c r="H86" i="1"/>
  <c r="R86" i="1"/>
  <c r="W86" i="1"/>
  <c r="P78" i="1"/>
  <c r="L87" i="1"/>
  <c r="F78" i="1"/>
  <c r="N78" i="1"/>
  <c r="J87" i="1" l="1"/>
  <c r="K87" i="1"/>
  <c r="G87" i="1"/>
  <c r="S87" i="1"/>
  <c r="T87" i="1"/>
  <c r="U87" i="1"/>
  <c r="H87" i="1"/>
  <c r="W87" i="1"/>
  <c r="R87" i="1"/>
  <c r="P79" i="1"/>
  <c r="L88" i="1"/>
  <c r="F79" i="1"/>
  <c r="N79" i="1"/>
  <c r="J88" i="1" l="1"/>
  <c r="K88" i="1"/>
  <c r="G88" i="1"/>
  <c r="S88" i="1"/>
  <c r="T88" i="1"/>
  <c r="U88" i="1"/>
  <c r="H88" i="1"/>
  <c r="R88" i="1"/>
  <c r="W88" i="1"/>
  <c r="P80" i="1"/>
  <c r="L89" i="1"/>
  <c r="F80" i="1"/>
  <c r="N80" i="1"/>
  <c r="J89" i="1" l="1"/>
  <c r="K89" i="1"/>
  <c r="G89" i="1"/>
  <c r="U89" i="1"/>
  <c r="S89" i="1"/>
  <c r="T89" i="1"/>
  <c r="H89" i="1"/>
  <c r="R89" i="1"/>
  <c r="W89" i="1"/>
  <c r="P81" i="1"/>
  <c r="L90" i="1"/>
  <c r="F81" i="1"/>
  <c r="N81" i="1"/>
  <c r="J90" i="1" l="1"/>
  <c r="K90" i="1"/>
  <c r="G90" i="1"/>
  <c r="U90" i="1"/>
  <c r="S90" i="1"/>
  <c r="T90" i="1"/>
  <c r="H90" i="1"/>
  <c r="R90" i="1"/>
  <c r="W90" i="1"/>
  <c r="P82" i="1"/>
  <c r="L91" i="1"/>
  <c r="F82" i="1"/>
  <c r="N82" i="1"/>
  <c r="J91" i="1" l="1"/>
  <c r="K91" i="1"/>
  <c r="G91" i="1"/>
  <c r="U91" i="1"/>
  <c r="S91" i="1"/>
  <c r="T91" i="1"/>
  <c r="H91" i="1"/>
  <c r="W91" i="1"/>
  <c r="R91" i="1"/>
  <c r="P83" i="1"/>
  <c r="L92" i="1"/>
  <c r="F83" i="1"/>
  <c r="N83" i="1"/>
  <c r="J92" i="1" l="1"/>
  <c r="K92" i="1"/>
  <c r="G92" i="1"/>
  <c r="S92" i="1"/>
  <c r="T92" i="1"/>
  <c r="U92" i="1"/>
  <c r="H92" i="1"/>
  <c r="R92" i="1"/>
  <c r="W92" i="1"/>
  <c r="P84" i="1"/>
  <c r="L93" i="1"/>
  <c r="F84" i="1"/>
  <c r="N84" i="1"/>
  <c r="J93" i="1" l="1"/>
  <c r="K93" i="1"/>
  <c r="G93" i="1"/>
  <c r="U93" i="1"/>
  <c r="S93" i="1"/>
  <c r="T93" i="1"/>
  <c r="H93" i="1"/>
  <c r="W93" i="1"/>
  <c r="R93" i="1"/>
  <c r="P85" i="1"/>
  <c r="L94" i="1"/>
  <c r="F85" i="1"/>
  <c r="N85" i="1"/>
  <c r="J94" i="1" l="1"/>
  <c r="K94" i="1"/>
  <c r="G94" i="1"/>
  <c r="U94" i="1"/>
  <c r="T94" i="1"/>
  <c r="S94" i="1"/>
  <c r="H94" i="1"/>
  <c r="W94" i="1"/>
  <c r="R94" i="1"/>
  <c r="P86" i="1"/>
  <c r="L95" i="1"/>
  <c r="F86" i="1"/>
  <c r="N86" i="1"/>
  <c r="J95" i="1" l="1"/>
  <c r="K95" i="1"/>
  <c r="G95" i="1"/>
  <c r="T95" i="1"/>
  <c r="U95" i="1"/>
  <c r="S95" i="1"/>
  <c r="H95" i="1"/>
  <c r="W95" i="1"/>
  <c r="R95" i="1"/>
  <c r="P87" i="1"/>
  <c r="L96" i="1"/>
  <c r="F87" i="1"/>
  <c r="N87" i="1"/>
  <c r="J96" i="1" l="1"/>
  <c r="K96" i="1"/>
  <c r="G96" i="1"/>
  <c r="S96" i="1"/>
  <c r="T96" i="1"/>
  <c r="U96" i="1"/>
  <c r="H96" i="1"/>
  <c r="W96" i="1"/>
  <c r="R96" i="1"/>
  <c r="P88" i="1"/>
  <c r="L97" i="1"/>
  <c r="F88" i="1"/>
  <c r="N88" i="1"/>
  <c r="J97" i="1" l="1"/>
  <c r="U97" i="1"/>
  <c r="H97" i="1"/>
  <c r="M97" i="1"/>
  <c r="G97" i="1"/>
  <c r="S97" i="1"/>
  <c r="T97" i="1"/>
  <c r="W97" i="1"/>
  <c r="R97" i="1"/>
  <c r="P89" i="1"/>
  <c r="F89" i="1"/>
  <c r="N89" i="1"/>
  <c r="P90" i="1" l="1"/>
  <c r="F90" i="1"/>
  <c r="N90" i="1"/>
  <c r="P91" i="1" l="1"/>
  <c r="F91" i="1"/>
  <c r="N91" i="1"/>
  <c r="P92" i="1" l="1"/>
  <c r="F92" i="1"/>
  <c r="N92" i="1"/>
  <c r="P93" i="1" l="1"/>
  <c r="F93" i="1"/>
  <c r="N93" i="1"/>
  <c r="P94" i="1" l="1"/>
  <c r="F94" i="1"/>
  <c r="N94" i="1"/>
  <c r="P95" i="1" l="1"/>
  <c r="F95" i="1"/>
  <c r="N95" i="1"/>
  <c r="P96" i="1" l="1"/>
  <c r="F96" i="1"/>
  <c r="N96" i="1"/>
  <c r="P97" i="1" l="1"/>
  <c r="F97" i="1"/>
  <c r="N97" i="1"/>
  <c r="AI6" i="1" l="1"/>
  <c r="V6" i="1"/>
  <c r="V7" i="1"/>
  <c r="V8" i="1"/>
  <c r="Y54" i="1" l="1"/>
  <c r="Z54" i="1" s="1"/>
  <c r="X54" i="1" l="1"/>
  <c r="I54" i="1"/>
  <c r="Q54" i="1" l="1"/>
  <c r="V54" i="1" l="1"/>
  <c r="O55" i="1" s="1"/>
  <c r="Y55" i="1" s="1"/>
  <c r="Z55" i="1" s="1"/>
  <c r="X55" i="1" l="1"/>
  <c r="I55" i="1"/>
  <c r="Q55" i="1" l="1"/>
  <c r="V55" i="1" l="1"/>
  <c r="O56" i="1" s="1"/>
  <c r="Y56" i="1" s="1"/>
  <c r="Z56" i="1" s="1"/>
  <c r="X56" i="1" l="1"/>
  <c r="I56" i="1"/>
  <c r="Q56" i="1" l="1"/>
  <c r="V56" i="1" l="1"/>
  <c r="O57" i="1" s="1"/>
  <c r="Y57" i="1" s="1"/>
  <c r="Z57" i="1" s="1"/>
  <c r="I57" i="1" l="1"/>
  <c r="X57" i="1"/>
  <c r="Q57" i="1" l="1"/>
  <c r="V57" i="1" l="1"/>
  <c r="O58" i="1" s="1"/>
  <c r="Y58" i="1" s="1"/>
  <c r="Z58" i="1" s="1"/>
  <c r="X58" i="1" l="1"/>
  <c r="I58" i="1"/>
  <c r="Q58" i="1" l="1"/>
  <c r="V58" i="1" l="1"/>
  <c r="O59" i="1" s="1"/>
  <c r="Y59" i="1" s="1"/>
  <c r="Z59" i="1" l="1"/>
  <c r="I59" i="1" s="1"/>
  <c r="X59" i="1" l="1"/>
  <c r="Q59" i="1" l="1"/>
  <c r="V59" i="1" l="1"/>
  <c r="O60" i="1" s="1"/>
  <c r="Y60" i="1"/>
  <c r="Z60" i="1" l="1"/>
  <c r="I60" i="1" s="1"/>
  <c r="X60" i="1" l="1"/>
  <c r="Q60" i="1" l="1"/>
  <c r="V60" i="1" l="1"/>
  <c r="O61" i="1" s="1"/>
  <c r="Y61" i="1"/>
  <c r="Z61" i="1" s="1"/>
  <c r="X61" i="1" l="1"/>
  <c r="I61" i="1"/>
  <c r="Q61" i="1" l="1"/>
  <c r="V61" i="1" l="1"/>
  <c r="O62" i="1" s="1"/>
  <c r="Y62" i="1" s="1"/>
  <c r="Z62" i="1" s="1"/>
  <c r="X62" i="1" l="1"/>
  <c r="I62" i="1"/>
  <c r="Q62" i="1" l="1"/>
  <c r="V62" i="1" l="1"/>
  <c r="O63" i="1" s="1"/>
  <c r="Y63" i="1" s="1"/>
  <c r="Z63" i="1" s="1"/>
  <c r="X63" i="1" l="1"/>
  <c r="I63" i="1"/>
  <c r="Q63" i="1" l="1"/>
  <c r="V63" i="1" l="1"/>
  <c r="O64" i="1" s="1"/>
  <c r="Y64" i="1" s="1"/>
  <c r="Z64" i="1" l="1"/>
  <c r="X64" i="1" s="1"/>
  <c r="Q64" i="1" l="1"/>
  <c r="V64" i="1" s="1"/>
  <c r="O65" i="1" s="1"/>
  <c r="I64" i="1"/>
  <c r="Y65" i="1" l="1"/>
  <c r="Z65" i="1" l="1"/>
  <c r="I65" i="1" l="1"/>
  <c r="X65" i="1"/>
  <c r="Q65" i="1" l="1"/>
  <c r="V65" i="1" l="1"/>
  <c r="O66" i="1" s="1"/>
  <c r="Y66" i="1" s="1"/>
  <c r="Z66" i="1" l="1"/>
  <c r="I66" i="1" s="1"/>
  <c r="X66" i="1" l="1"/>
  <c r="Q66" i="1" l="1"/>
  <c r="V66" i="1" l="1"/>
  <c r="O67" i="1" s="1"/>
  <c r="Y67" i="1" s="1"/>
  <c r="Z67" i="1" s="1"/>
  <c r="I67" i="1" l="1"/>
  <c r="X67" i="1"/>
  <c r="Q67" i="1" l="1"/>
  <c r="V67" i="1" l="1"/>
  <c r="O68" i="1" s="1"/>
  <c r="Y68" i="1" s="1"/>
  <c r="Z68" i="1" l="1"/>
  <c r="I68" i="1" s="1"/>
  <c r="X68" i="1" l="1"/>
  <c r="Q68" i="1" l="1"/>
  <c r="V68" i="1" l="1"/>
  <c r="O69" i="1" s="1"/>
  <c r="Y69" i="1"/>
  <c r="Z69" i="1" s="1"/>
  <c r="X69" i="1" l="1"/>
  <c r="I69" i="1"/>
  <c r="Q69" i="1" l="1"/>
  <c r="V69" i="1" l="1"/>
  <c r="O70" i="1" s="1"/>
  <c r="Y70" i="1"/>
  <c r="Z70" i="1" l="1"/>
  <c r="X70" i="1" s="1"/>
  <c r="Q70" i="1" l="1"/>
  <c r="V70" i="1" s="1"/>
  <c r="O71" i="1" s="1"/>
  <c r="I70" i="1"/>
  <c r="Y71" i="1" l="1"/>
  <c r="Z71" i="1" l="1"/>
  <c r="X71" i="1" l="1"/>
  <c r="I71" i="1"/>
  <c r="Q71" i="1" l="1"/>
  <c r="V71" i="1" l="1"/>
  <c r="O72" i="1" s="1"/>
  <c r="Y72" i="1" s="1"/>
  <c r="Z72" i="1" s="1"/>
  <c r="X72" i="1" l="1"/>
  <c r="I72" i="1"/>
  <c r="Q72" i="1" l="1"/>
  <c r="V72" i="1" l="1"/>
  <c r="O73" i="1" s="1"/>
  <c r="Y73" i="1" s="1"/>
  <c r="Z73" i="1" s="1"/>
  <c r="I73" i="1" l="1"/>
  <c r="X73" i="1"/>
  <c r="Q73" i="1" l="1"/>
  <c r="V73" i="1" l="1"/>
  <c r="O74" i="1" s="1"/>
  <c r="Y74" i="1"/>
  <c r="Z74" i="1" s="1"/>
  <c r="I74" i="1" l="1"/>
  <c r="X74" i="1"/>
  <c r="Q74" i="1" l="1"/>
  <c r="V74" i="1" l="1"/>
  <c r="O75" i="1" s="1"/>
  <c r="Y75" i="1" s="1"/>
  <c r="Z75" i="1" l="1"/>
  <c r="X75" i="1" s="1"/>
  <c r="Q75" i="1" l="1"/>
  <c r="V75" i="1" s="1"/>
  <c r="O76" i="1" s="1"/>
  <c r="I75" i="1"/>
  <c r="Y76" i="1" l="1"/>
  <c r="Z76" i="1" s="1"/>
  <c r="I76" i="1" l="1"/>
  <c r="X76" i="1"/>
  <c r="Q76" i="1" l="1"/>
  <c r="V76" i="1" l="1"/>
  <c r="O77" i="1" s="1"/>
  <c r="Y77" i="1" s="1"/>
  <c r="Z77" i="1" s="1"/>
  <c r="X77" i="1" l="1"/>
  <c r="I77" i="1"/>
  <c r="Q77" i="1" l="1"/>
  <c r="V77" i="1" l="1"/>
  <c r="O78" i="1" s="1"/>
  <c r="Y78" i="1"/>
  <c r="Z78" i="1" s="1"/>
  <c r="I78" i="1" l="1"/>
  <c r="X78" i="1"/>
  <c r="Q78" i="1" l="1"/>
  <c r="V78" i="1" l="1"/>
  <c r="O79" i="1" s="1"/>
  <c r="Y79" i="1" s="1"/>
  <c r="Z79" i="1" l="1"/>
  <c r="I79" i="1" s="1"/>
  <c r="X79" i="1" l="1"/>
  <c r="Q79" i="1" l="1"/>
  <c r="V79" i="1" l="1"/>
  <c r="O80" i="1" s="1"/>
  <c r="Y80" i="1" s="1"/>
  <c r="Z80" i="1" l="1"/>
  <c r="I80" i="1" s="1"/>
  <c r="X80" i="1" l="1"/>
  <c r="Q80" i="1" l="1"/>
  <c r="V80" i="1" l="1"/>
  <c r="O81" i="1" s="1"/>
  <c r="Y81" i="1" s="1"/>
  <c r="Z81" i="1" l="1"/>
  <c r="X81" i="1" s="1"/>
  <c r="Q81" i="1" l="1"/>
  <c r="V81" i="1" s="1"/>
  <c r="O82" i="1" s="1"/>
  <c r="I81" i="1"/>
  <c r="Y82" i="1" l="1"/>
  <c r="Z82" i="1" l="1"/>
  <c r="X82" i="1" s="1"/>
  <c r="Q82" i="1" l="1"/>
  <c r="V82" i="1" s="1"/>
  <c r="O83" i="1" s="1"/>
  <c r="I82" i="1"/>
  <c r="Y83" i="1" l="1"/>
  <c r="Z83" i="1" l="1"/>
  <c r="X83" i="1" s="1"/>
  <c r="Q83" i="1" l="1"/>
  <c r="V83" i="1" s="1"/>
  <c r="O84" i="1" s="1"/>
  <c r="I83" i="1"/>
  <c r="Y84" i="1" l="1"/>
  <c r="Z84" i="1" l="1"/>
  <c r="X84" i="1" s="1"/>
  <c r="Q84" i="1" l="1"/>
  <c r="V84" i="1" s="1"/>
  <c r="O85" i="1" s="1"/>
  <c r="I84" i="1"/>
  <c r="Y85" i="1" l="1"/>
  <c r="Z85" i="1" l="1"/>
  <c r="X85" i="1" s="1"/>
  <c r="Q85" i="1" l="1"/>
  <c r="V85" i="1" s="1"/>
  <c r="O86" i="1" s="1"/>
  <c r="I85" i="1"/>
  <c r="Y86" i="1" l="1"/>
  <c r="Z86" i="1" s="1"/>
  <c r="X86" i="1" l="1"/>
  <c r="I86" i="1"/>
  <c r="Q86" i="1" l="1"/>
  <c r="V86" i="1" l="1"/>
  <c r="O87" i="1" s="1"/>
  <c r="Y87" i="1"/>
  <c r="Z87" i="1" s="1"/>
  <c r="X87" i="1" l="1"/>
  <c r="I87" i="1"/>
  <c r="Q87" i="1" l="1"/>
  <c r="V87" i="1" l="1"/>
  <c r="O88" i="1" s="1"/>
  <c r="Y88" i="1" s="1"/>
  <c r="Z88" i="1" s="1"/>
  <c r="X88" i="1" l="1"/>
  <c r="I88" i="1"/>
  <c r="Q88" i="1" l="1"/>
  <c r="V88" i="1" l="1"/>
  <c r="O89" i="1" s="1"/>
  <c r="Y89" i="1"/>
  <c r="Z89" i="1" s="1"/>
  <c r="X89" i="1" l="1"/>
  <c r="I89" i="1"/>
  <c r="Q89" i="1" l="1"/>
  <c r="V89" i="1" l="1"/>
  <c r="O90" i="1" s="1"/>
  <c r="Y90" i="1"/>
  <c r="Z90" i="1" l="1"/>
  <c r="I90" i="1" s="1"/>
  <c r="X90" i="1" l="1"/>
  <c r="Q90" i="1" l="1"/>
  <c r="V90" i="1" l="1"/>
  <c r="O91" i="1" s="1"/>
  <c r="Y91" i="1"/>
  <c r="Z91" i="1" s="1"/>
  <c r="X91" i="1" l="1"/>
  <c r="I91" i="1"/>
  <c r="Q91" i="1" l="1"/>
  <c r="V91" i="1" l="1"/>
  <c r="O92" i="1" s="1"/>
  <c r="Y92" i="1"/>
  <c r="Z92" i="1" s="1"/>
  <c r="I92" i="1" l="1"/>
  <c r="X92" i="1"/>
  <c r="Q92" i="1" l="1"/>
  <c r="V92" i="1" l="1"/>
  <c r="O93" i="1" s="1"/>
  <c r="Y93" i="1"/>
  <c r="Z93" i="1" s="1"/>
  <c r="X93" i="1" l="1"/>
  <c r="I93" i="1"/>
  <c r="Q93" i="1" l="1"/>
  <c r="V93" i="1" l="1"/>
  <c r="O94" i="1" s="1"/>
  <c r="Y94" i="1" s="1"/>
  <c r="Z94" i="1" s="1"/>
  <c r="I94" i="1" l="1"/>
  <c r="X94" i="1"/>
  <c r="Q94" i="1" l="1"/>
  <c r="V94" i="1" l="1"/>
  <c r="O95" i="1" s="1"/>
  <c r="Y95" i="1"/>
  <c r="Z95" i="1" s="1"/>
  <c r="X95" i="1" l="1"/>
  <c r="I95" i="1"/>
  <c r="Q95" i="1" l="1"/>
  <c r="V95" i="1" l="1"/>
  <c r="O96" i="1" s="1"/>
  <c r="Y96" i="1"/>
  <c r="Z96" i="1" s="1"/>
  <c r="X96" i="1" l="1"/>
  <c r="I96" i="1"/>
  <c r="Q96" i="1" l="1"/>
  <c r="V96" i="1" l="1"/>
  <c r="O97" i="1" s="1"/>
  <c r="Y97" i="1" s="1"/>
  <c r="Z97" i="1" s="1"/>
  <c r="I97" i="1" l="1"/>
  <c r="X97" i="1"/>
  <c r="Q97" i="1" l="1"/>
  <c r="V97" i="1" l="1"/>
  <c r="P32" i="1" l="1"/>
  <c r="N33" i="1" l="1"/>
  <c r="F32" i="1"/>
  <c r="N32" i="1"/>
  <c r="N37" i="1" l="1"/>
  <c r="F37" i="1"/>
  <c r="P37" i="1"/>
  <c r="F38" i="1"/>
  <c r="P38" i="1"/>
  <c r="N38" i="1"/>
  <c r="N39" i="1"/>
  <c r="P13" i="1"/>
  <c r="P44" i="1" l="1"/>
  <c r="F44" i="1"/>
  <c r="N44" i="1"/>
  <c r="N45" i="1"/>
  <c r="P43" i="1"/>
  <c r="N43" i="1"/>
  <c r="F43" i="1"/>
  <c r="P42" i="1"/>
  <c r="N42" i="1"/>
  <c r="F42" i="1"/>
  <c r="F47" i="1" l="1"/>
  <c r="P47" i="1"/>
  <c r="N47" i="1"/>
  <c r="O13" i="1"/>
  <c r="Y13" i="1" s="1"/>
  <c r="Z13" i="1" l="1"/>
  <c r="X13" i="1" s="1"/>
  <c r="R13" i="1" l="1"/>
  <c r="W13" i="1" s="1"/>
  <c r="I13" i="1"/>
  <c r="Q13" i="1" l="1"/>
  <c r="K13" i="1" s="1"/>
  <c r="V13" i="1" l="1"/>
  <c r="O14" i="1" s="1"/>
  <c r="Y14" i="1" s="1"/>
  <c r="Z14" i="1" s="1"/>
  <c r="X14" i="1" s="1"/>
  <c r="P14" i="1" s="1"/>
  <c r="R14" i="1" l="1"/>
  <c r="I14" i="1"/>
  <c r="W14" i="1" l="1"/>
  <c r="Q14" i="1"/>
  <c r="K14" i="1" s="1"/>
  <c r="V14" i="1" l="1"/>
  <c r="O15" i="1" s="1"/>
  <c r="Y15" i="1" s="1"/>
  <c r="Z15" i="1" l="1"/>
  <c r="X15" i="1" s="1"/>
  <c r="P15" i="1" s="1"/>
  <c r="R15" i="1" l="1"/>
  <c r="I15" i="1"/>
  <c r="Q15" i="1" l="1"/>
  <c r="W15" i="1"/>
  <c r="V15" i="1" l="1"/>
  <c r="O16" i="1" s="1"/>
  <c r="Y16" i="1" s="1"/>
  <c r="Z16" i="1" s="1"/>
  <c r="X16" i="1" s="1"/>
  <c r="P16" i="1" s="1"/>
  <c r="K15" i="1"/>
  <c r="I16" i="1" l="1"/>
  <c r="R16" i="1"/>
  <c r="W16" i="1" l="1"/>
  <c r="Q16" i="1"/>
  <c r="K16" i="1" s="1"/>
  <c r="V16" i="1" l="1"/>
  <c r="O17" i="1" s="1"/>
  <c r="Y17" i="1" s="1"/>
  <c r="Z17" i="1" s="1"/>
  <c r="X17" i="1" l="1"/>
  <c r="I17" i="1"/>
  <c r="R17" i="1" l="1"/>
  <c r="W17" i="1" l="1"/>
  <c r="Q17" i="1"/>
  <c r="K17" i="1" s="1"/>
  <c r="V17" i="1" l="1"/>
  <c r="O18" i="1" s="1"/>
  <c r="Y18" i="1" l="1"/>
  <c r="Z18" i="1" s="1"/>
  <c r="X18" i="1" l="1"/>
  <c r="P18" i="1" s="1"/>
  <c r="I18" i="1" l="1"/>
  <c r="R18" i="1"/>
  <c r="W18" i="1" l="1"/>
  <c r="Q18" i="1"/>
  <c r="K18" i="1" s="1"/>
  <c r="V18" i="1" l="1"/>
  <c r="O19" i="1" s="1"/>
  <c r="Y19" i="1" l="1"/>
  <c r="Z19" i="1" s="1"/>
  <c r="X19" i="1" l="1"/>
  <c r="I19" i="1"/>
  <c r="P19" i="1" l="1"/>
  <c r="R19" i="1" s="1"/>
  <c r="Q19" i="1" s="1"/>
  <c r="V19" i="1" l="1"/>
  <c r="O20" i="1" s="1"/>
  <c r="K19" i="1"/>
  <c r="W19" i="1"/>
  <c r="Y20" i="1" l="1"/>
  <c r="Z20" i="1" s="1"/>
  <c r="I20" i="1" s="1"/>
  <c r="X20" i="1" l="1"/>
  <c r="P20" i="1"/>
  <c r="R20" i="1" l="1"/>
  <c r="Q20" i="1" s="1"/>
  <c r="V20" i="1" l="1"/>
  <c r="O21" i="1" s="1"/>
  <c r="K20" i="1"/>
  <c r="W20" i="1"/>
  <c r="Y21" i="1" l="1"/>
  <c r="Z21" i="1" s="1"/>
  <c r="X21" i="1" s="1"/>
  <c r="R21" i="1" s="1"/>
  <c r="Q21" i="1" s="1"/>
  <c r="I21" i="1" l="1"/>
  <c r="W21" i="1"/>
  <c r="V21" i="1"/>
  <c r="O22" i="1" s="1"/>
  <c r="K21" i="1"/>
  <c r="Y22" i="1" l="1"/>
  <c r="Z22" i="1" s="1"/>
  <c r="I22" i="1" s="1"/>
  <c r="X22" i="1" l="1"/>
  <c r="R22" i="1" s="1"/>
  <c r="Q22" i="1" s="1"/>
  <c r="V22" i="1" s="1"/>
  <c r="O23" i="1" s="1"/>
  <c r="K22" i="1"/>
  <c r="W22" i="1" l="1"/>
  <c r="Y23" i="1" s="1"/>
  <c r="Z23" i="1" s="1"/>
  <c r="I23" i="1" l="1"/>
  <c r="X23" i="1"/>
  <c r="R23" i="1" s="1"/>
  <c r="Q23" i="1" s="1"/>
  <c r="V23" i="1" l="1"/>
  <c r="O24" i="1" s="1"/>
  <c r="K23" i="1"/>
  <c r="W23" i="1"/>
  <c r="Y24" i="1" l="1"/>
  <c r="Z24" i="1" s="1"/>
  <c r="I24" i="1" s="1"/>
  <c r="X24" i="1" l="1"/>
  <c r="R24" i="1" l="1"/>
  <c r="Q24" i="1" s="1"/>
  <c r="V24" i="1" l="1"/>
  <c r="O25" i="1" s="1"/>
  <c r="K24" i="1"/>
  <c r="W24" i="1"/>
  <c r="Y25" i="1" l="1"/>
  <c r="Z25" i="1" s="1"/>
  <c r="X25" i="1" s="1"/>
  <c r="R25" i="1" l="1"/>
  <c r="Q25" i="1" s="1"/>
  <c r="I25" i="1"/>
  <c r="V25" i="1" l="1"/>
  <c r="O26" i="1" s="1"/>
  <c r="K25" i="1"/>
  <c r="W25" i="1"/>
  <c r="Y26" i="1" l="1"/>
  <c r="Z26" i="1" s="1"/>
  <c r="I26" i="1" s="1"/>
  <c r="X26" i="1" l="1"/>
  <c r="R26" i="1" l="1"/>
  <c r="Q26" i="1" s="1"/>
  <c r="V26" i="1" l="1"/>
  <c r="O27" i="1" s="1"/>
  <c r="K26" i="1"/>
  <c r="W26" i="1"/>
  <c r="Y27" i="1" l="1"/>
  <c r="Z27" i="1" s="1"/>
  <c r="I27" i="1" s="1"/>
  <c r="X27" i="1" l="1"/>
  <c r="R27" i="1" s="1"/>
  <c r="Q27" i="1" s="1"/>
  <c r="V27" i="1" l="1"/>
  <c r="O28" i="1" s="1"/>
  <c r="K27" i="1"/>
  <c r="W27" i="1"/>
  <c r="Y28" i="1" l="1"/>
  <c r="Z28" i="1" s="1"/>
  <c r="I28" i="1" s="1"/>
  <c r="X28" i="1" l="1"/>
  <c r="R28" i="1" l="1"/>
  <c r="Q28" i="1" s="1"/>
  <c r="V28" i="1" l="1"/>
  <c r="O29" i="1" s="1"/>
  <c r="K28" i="1"/>
  <c r="W28" i="1"/>
  <c r="Y29" i="1" l="1"/>
  <c r="Z29" i="1" s="1"/>
  <c r="I29" i="1" s="1"/>
  <c r="X29" i="1" l="1"/>
  <c r="R29" i="1" s="1"/>
  <c r="Q29" i="1" s="1"/>
  <c r="V29" i="1" l="1"/>
  <c r="O30" i="1" s="1"/>
  <c r="K29" i="1"/>
  <c r="W29" i="1"/>
  <c r="Y30" i="1" l="1"/>
  <c r="Z30" i="1" s="1"/>
  <c r="I30" i="1" l="1"/>
  <c r="X30" i="1"/>
  <c r="R30" i="1" s="1"/>
  <c r="Q30" i="1" s="1"/>
  <c r="V30" i="1" l="1"/>
  <c r="O31" i="1" s="1"/>
  <c r="K30" i="1"/>
  <c r="W30" i="1"/>
  <c r="Y31" i="1" s="1"/>
  <c r="Z31" i="1" s="1"/>
  <c r="X31" i="1" l="1"/>
  <c r="I31" i="1"/>
  <c r="R31" i="1" l="1"/>
  <c r="Q31" i="1" s="1"/>
  <c r="V31" i="1" l="1"/>
  <c r="O32" i="1" s="1"/>
  <c r="K31" i="1"/>
  <c r="W31" i="1"/>
  <c r="Y32" i="1" l="1"/>
  <c r="Z32" i="1" s="1"/>
  <c r="I32" i="1" s="1"/>
  <c r="X32" i="1" l="1"/>
  <c r="R32" i="1" l="1"/>
  <c r="Q32" i="1" s="1"/>
  <c r="V32" i="1" l="1"/>
  <c r="O33" i="1" s="1"/>
  <c r="K32" i="1"/>
  <c r="W32" i="1"/>
  <c r="Y33" i="1" l="1"/>
  <c r="Z33" i="1" s="1"/>
  <c r="I33" i="1" l="1"/>
  <c r="X33" i="1"/>
  <c r="R33" i="1" s="1"/>
  <c r="Q33" i="1" s="1"/>
  <c r="V33" i="1" l="1"/>
  <c r="O34" i="1" s="1"/>
  <c r="K33" i="1"/>
  <c r="W33" i="1"/>
  <c r="Y34" i="1" l="1"/>
  <c r="Z34" i="1" s="1"/>
  <c r="X34" i="1" s="1"/>
  <c r="R34" i="1" l="1"/>
  <c r="Q34" i="1" s="1"/>
  <c r="I34" i="1"/>
  <c r="V34" i="1" l="1"/>
  <c r="O35" i="1" s="1"/>
  <c r="K34" i="1"/>
  <c r="W34" i="1"/>
  <c r="Y35" i="1" l="1"/>
  <c r="Z35" i="1" s="1"/>
  <c r="I35" i="1" s="1"/>
  <c r="X35" i="1" l="1"/>
  <c r="R35" i="1" l="1"/>
  <c r="W35" i="1" l="1"/>
  <c r="Q35" i="1"/>
  <c r="K35" i="1" s="1"/>
  <c r="K11" i="1" s="1"/>
  <c r="V35" i="1" l="1"/>
  <c r="O36" i="1" s="1"/>
  <c r="Y36" i="1" l="1"/>
  <c r="Z36" i="1" s="1"/>
  <c r="I36" i="1" s="1"/>
  <c r="X36" i="1" l="1"/>
  <c r="R36" i="1" l="1"/>
  <c r="W36" i="1" s="1"/>
  <c r="Q36" i="1" l="1"/>
  <c r="V36" i="1" l="1"/>
  <c r="O37" i="1" s="1"/>
  <c r="Y37" i="1" l="1"/>
  <c r="Z37" i="1" l="1"/>
  <c r="I37" i="1" s="1"/>
  <c r="X37" i="1" l="1"/>
  <c r="R37" i="1" s="1"/>
  <c r="Q37" i="1" s="1"/>
  <c r="V37" i="1" l="1"/>
  <c r="O38" i="1" s="1"/>
  <c r="W37" i="1"/>
  <c r="Y38" i="1" l="1"/>
  <c r="Z38" i="1" s="1"/>
  <c r="X38" i="1" s="1"/>
  <c r="I38" i="1" l="1"/>
  <c r="R38" i="1"/>
  <c r="W38" i="1" s="1"/>
  <c r="Q38" i="1" l="1"/>
  <c r="V38" i="1" l="1"/>
  <c r="O39" i="1" s="1"/>
  <c r="Y39" i="1" s="1"/>
  <c r="Z39" i="1" s="1"/>
  <c r="I39" i="1" s="1"/>
  <c r="X39" i="1" l="1"/>
  <c r="R39" i="1" l="1"/>
  <c r="W39" i="1" s="1"/>
  <c r="Q39" i="1" l="1"/>
  <c r="V39" i="1" l="1"/>
  <c r="O40" i="1" s="1"/>
  <c r="Y40" i="1" s="1"/>
  <c r="Z40" i="1" l="1"/>
  <c r="I40" i="1" s="1"/>
  <c r="X40" i="1" l="1"/>
  <c r="R40" i="1" s="1"/>
  <c r="Q40" i="1" s="1"/>
  <c r="V40" i="1" s="1"/>
  <c r="O41" i="1" s="1"/>
  <c r="W40" i="1" l="1"/>
  <c r="Y41" i="1" s="1"/>
  <c r="Z41" i="1" l="1"/>
  <c r="X41" i="1" s="1"/>
  <c r="I41" i="1" l="1"/>
  <c r="R41" i="1"/>
  <c r="Q41" i="1" s="1"/>
  <c r="V41" i="1" s="1"/>
  <c r="O42" i="1" s="1"/>
  <c r="W41" i="1" l="1"/>
  <c r="Y42" i="1" s="1"/>
  <c r="Z42" i="1" l="1"/>
  <c r="I42" i="1" s="1"/>
  <c r="X42" i="1" l="1"/>
  <c r="R42" i="1" l="1"/>
  <c r="Q42" i="1" s="1"/>
  <c r="V42" i="1" s="1"/>
  <c r="O43" i="1" s="1"/>
  <c r="W42" i="1" l="1"/>
  <c r="Y43" i="1" s="1"/>
  <c r="Z43" i="1" l="1"/>
  <c r="I43" i="1" s="1"/>
  <c r="X43" i="1" l="1"/>
  <c r="R43" i="1" l="1"/>
  <c r="Q43" i="1" s="1"/>
  <c r="V43" i="1" s="1"/>
  <c r="O44" i="1" s="1"/>
  <c r="W43" i="1" l="1"/>
  <c r="Y44" i="1" s="1"/>
  <c r="Z44" i="1" s="1"/>
  <c r="X44" i="1" s="1"/>
  <c r="I44" i="1" l="1"/>
  <c r="R44" i="1"/>
  <c r="Q44" i="1" s="1"/>
  <c r="V44" i="1" s="1"/>
  <c r="O45" i="1" s="1"/>
  <c r="W44" i="1" l="1"/>
  <c r="Y45" i="1" s="1"/>
  <c r="Z45" i="1" l="1"/>
  <c r="X45" i="1" s="1"/>
  <c r="I45" i="1" l="1"/>
  <c r="R45" i="1"/>
  <c r="Q45" i="1" s="1"/>
  <c r="V45" i="1" s="1"/>
  <c r="O46" i="1" s="1"/>
  <c r="W45" i="1" l="1"/>
  <c r="Y46" i="1" s="1"/>
  <c r="Z46" i="1" s="1"/>
  <c r="X46" i="1" s="1"/>
  <c r="R46" i="1" l="1"/>
  <c r="Q46" i="1" s="1"/>
  <c r="V46" i="1" s="1"/>
  <c r="O47" i="1" s="1"/>
  <c r="I46" i="1"/>
  <c r="W46" i="1" l="1"/>
  <c r="Y47" i="1" s="1"/>
  <c r="Z47" i="1" l="1"/>
  <c r="X47" i="1" s="1"/>
  <c r="I47" i="1" l="1"/>
  <c r="R47" i="1"/>
  <c r="W47" i="1" s="1"/>
  <c r="Q47" i="1" l="1"/>
  <c r="V47" i="1" l="1"/>
  <c r="O48" i="1" s="1"/>
  <c r="Y48" i="1" s="1"/>
  <c r="Z48" i="1" l="1"/>
  <c r="X48" i="1" s="1"/>
  <c r="I48" i="1" l="1"/>
  <c r="R48" i="1"/>
  <c r="W48" i="1" s="1"/>
  <c r="Q48" i="1" l="1"/>
  <c r="V48" i="1" l="1"/>
  <c r="O49" i="1" s="1"/>
  <c r="Y49" i="1" l="1"/>
  <c r="Z49" i="1" l="1"/>
  <c r="I49" i="1" s="1"/>
  <c r="X49" i="1" l="1"/>
  <c r="R49" i="1" l="1"/>
  <c r="W49" i="1" s="1"/>
  <c r="Q49" i="1" l="1"/>
  <c r="V49" i="1" l="1"/>
  <c r="O50" i="1" s="1"/>
  <c r="Y50" i="1" l="1"/>
  <c r="Z50" i="1" l="1"/>
  <c r="X50" i="1" s="1"/>
  <c r="I50" i="1" l="1"/>
  <c r="R50" i="1"/>
  <c r="W50" i="1" s="1"/>
  <c r="Q50" i="1" l="1"/>
  <c r="V50" i="1" l="1"/>
  <c r="O51" i="1" s="1"/>
  <c r="Y51" i="1" l="1"/>
  <c r="Z51" i="1" l="1"/>
  <c r="I51" i="1" s="1"/>
  <c r="X51" i="1" l="1"/>
  <c r="R51" i="1" s="1"/>
  <c r="W51" i="1" l="1"/>
  <c r="Q51" i="1"/>
  <c r="V51" i="1" l="1"/>
  <c r="O52" i="1" s="1"/>
  <c r="Y52" i="1" s="1"/>
  <c r="Z52" i="1" l="1"/>
  <c r="X52" i="1" s="1"/>
  <c r="I52" i="1" l="1"/>
  <c r="R52" i="1"/>
  <c r="W52" i="1" s="1"/>
  <c r="Q52" i="1" l="1"/>
  <c r="V52" i="1" l="1"/>
  <c r="O53" i="1" s="1"/>
  <c r="Y53" i="1" s="1"/>
  <c r="Z53" i="1" l="1"/>
  <c r="I53" i="1" s="1"/>
  <c r="AI7" i="1" s="1"/>
  <c r="X53" i="1" l="1"/>
  <c r="O54" i="1" l="1"/>
  <c r="P53" i="1" l="1"/>
  <c r="R53" i="1" s="1"/>
  <c r="C11" i="1"/>
  <c r="AA4" i="1" l="1"/>
  <c r="W53" i="1"/>
  <c r="Q53" i="1"/>
  <c r="V53" i="1" s="1"/>
  <c r="AA7" i="1" s="1"/>
  <c r="AA3" i="1"/>
  <c r="A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Q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<sst xmlns="http://schemas.openxmlformats.org/spreadsheetml/2006/main" count="124" uniqueCount="122">
  <si>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</si>
  <si>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</si>
  <si>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</si>
  <si>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</si>
  <si>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</si>
  <si>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</si>
  <si>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</si>
  <si>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</si>
  <si>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</si>
  <si>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</si>
  <si>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</si>
  <si>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</si>
  <si>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</si>
  <si>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</si>
  <si>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</si>
  <si>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</si>
  <si>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</si>
  <si>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</si>
  <si>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</si>
  <si>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</si>
  <si>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</si>
  <si>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</si>
  <si>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</si>
  <si>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</si>
  <si>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</si>
  <si>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</si>
  <si>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</si>
  <si>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</si>
  <si>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</si>
  <si>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</si>
  <si>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</si>
  <si>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</si>
  <si>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</si>
  <si>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</si>
  <si>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</si>
  <si>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</si>
  <si>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</si>
  <si>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</si>
  <si>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</si>
  <si>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</si>
  <si>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</si>
  <si>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</si>
  <si>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</si>
  <si>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</si>
  <si>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</si>
  <si>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</si>
  <si>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</si>
  <si>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</si>
  <si>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</si>
  <si>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</si>
  <si>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</si>
  <si>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</si>
  <si>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</si>
  <si>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</si>
  <si>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</si>
  <si>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</si>
  <si>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</si>
  <si>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</si>
  <si>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</si>
  <si>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</si>
  <si>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</si>
  <si>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</si>
  <si>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</si>
  <si>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</si>
  <si>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</si>
  <si>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</si>
  <si>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</si>
  <si>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</si>
  <si>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</si>
  <si>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</si>
  <si>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</si>
  <si>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</si>
  <si>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</si>
  <si>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</si>
  <si>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</si>
  <si>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</si>
  <si>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</si>
  <si>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</si>
  <si>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</si>
  <si>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</si>
  <si>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</si>
  <si>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</si>
  <si>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</si>
  <si>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</si>
  <si>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</si>
  <si>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</si>
  <si>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</si>
  <si>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</si>
  <si>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</si>
  <si>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</si>
  <si>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</si>
  <si>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</si>
  <si>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</si>
  <si>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</si>
  <si>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</si>
  <si>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</si>
  <si>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</si>
  <si>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</si>
  <si>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</si>
  <si>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</si>
  <si>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</si>
  <si>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</si>
  <si>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</si>
  <si>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</si>
  <si>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</si>
  <si>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</si>
  <si>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</si>
  <si>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</si>
  <si>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</si>
  <si>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</si>
  <si>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</si>
  <si>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</si>
  <si>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</si>
  <si>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</si>
  <si>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</si>
  <si>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</si>
  <si>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</si>
  <si>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</si>
  <si>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</si>
  <si>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v7.0</t>
  </si>
  <si>
    <t>CuotaFija</t>
  </si>
  <si>
    <t>CAPITALFIJOPAGADO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</si>
</sst>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3">
    <cellStyle name="Millares" xfId="1" builtinId="3"/>
    <cellStyle name="Normal" xfId="0" builtinId="0"/>
    <cellStyle name="Porcentaje" xfId="2" builtinId="5"/>
  </cellStyles>
  <dxfs count="1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</xdr:row>
          <xdr:rowOff>57150</xdr:rowOff>
        </xdr:from>
        <xdr:to>
          <xdr:col>18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4</xdr:col>
          <xdr:colOff>38100</xdr:colOff>
          <xdr:row>2</xdr:row>
          <xdr:rowOff>85725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4</xdr:col>
          <xdr:colOff>19050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4</xdr:col>
          <xdr:colOff>38100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171450</xdr:rowOff>
        </xdr:from>
        <xdr:to>
          <xdr:col>24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171450</xdr:rowOff>
        </xdr:from>
        <xdr:to>
          <xdr:col>14</xdr:col>
          <xdr:colOff>981075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97"/>
  <sheetViews>
    <sheetView tabSelected="1" zoomScale="80" zoomScaleNormal="80" workbookViewId="0">
      <pane ySplit="10" topLeftCell="A14" activePane="bottomLeft" state="frozen"/>
      <selection pane="bottomLeft" activeCell="T24" sqref="T24"/>
    </sheetView>
  </sheetViews>
  <sheetFormatPr baseColWidth="10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1" width="9.28515625" style="22" hidden="1" customWidth="1"/>
    <col min="12" max="12" width="5.140625" customWidth="1"/>
    <col min="13" max="13" width="13.7109375" customWidth="1"/>
    <col min="14" max="14" width="15.85546875" customWidth="1"/>
    <col min="15" max="15" width="15" customWidth="1"/>
    <col min="16" max="16" width="14" customWidth="1"/>
    <col min="17" max="17" width="14.28515625" customWidth="1"/>
    <col min="18" max="21" width="13.7109375" customWidth="1"/>
    <col min="22" max="22" width="19.28515625" customWidth="1"/>
    <col min="23" max="23" width="13.28515625" customWidth="1"/>
    <col min="24" max="24" width="15.5703125" hidden="1" customWidth="1"/>
    <col min="25" max="25" width="13.7109375" customWidth="1"/>
    <col min="26" max="26" width="13.5703125" customWidth="1"/>
    <col min="27" max="27" width="14.7109375" customWidth="1"/>
  </cols>
  <sheetData>
    <row r="1" spans="1:85" ht="16.5" customHeight="1" x14ac:dyDescent="0.25">
      <c r="A1" s="1">
        <v>1</v>
      </c>
      <c r="B1" s="1" t="b">
        <v>0</v>
      </c>
      <c r="C1" s="19" t="str">
        <f>CONCATENATE($N$1,$N$2,$P$1,$P$2,$R$1,$R$2,$T$1,$T$2,$V$1,$V$2,$Y$1,$Y$2)</f>
        <v>111111111111</v>
      </c>
      <c r="D1" s="19"/>
      <c r="E1" s="4"/>
      <c r="H1" s="21"/>
      <c r="I1" s="21"/>
      <c r="J1" s="21"/>
      <c r="K1" s="21"/>
      <c r="L1" s="31" t="s">
        <v>118</v>
      </c>
      <c r="M1" s="2" t="s">
        <v>0</v>
      </c>
      <c r="N1" s="11">
        <v>1</v>
      </c>
      <c r="O1" s="2" t="s">
        <v>1</v>
      </c>
      <c r="P1" s="11">
        <v>1</v>
      </c>
      <c r="Q1" s="2" t="s">
        <v>2</v>
      </c>
      <c r="R1" s="11">
        <v>1</v>
      </c>
      <c r="S1" s="2" t="s">
        <v>3</v>
      </c>
      <c r="T1" s="11">
        <v>1</v>
      </c>
      <c r="U1" s="2" t="s">
        <v>4</v>
      </c>
      <c r="V1" s="11">
        <v>1</v>
      </c>
      <c r="W1" s="2" t="s">
        <v>5</v>
      </c>
      <c r="X1" s="2"/>
      <c r="Y1" s="11">
        <v>1</v>
      </c>
      <c r="AA1" s="14">
        <v>1.388843</v>
      </c>
      <c r="AB1" s="27">
        <f>ROUND(($AA$1/100+1)^12-1,2)</f>
        <v>0.18</v>
      </c>
    </row>
    <row r="2" spans="1:85" ht="18" customHeight="1" x14ac:dyDescent="0.25">
      <c r="A2" t="s">
        <v>119</v>
      </c>
      <c r="L2" s="32"/>
      <c r="M2" s="2" t="s">
        <v>6</v>
      </c>
      <c r="N2" s="11">
        <v>1</v>
      </c>
      <c r="O2" s="2" t="s">
        <v>7</v>
      </c>
      <c r="P2" s="11">
        <v>1</v>
      </c>
      <c r="Q2" s="2" t="s">
        <v>8</v>
      </c>
      <c r="R2" s="11">
        <v>1</v>
      </c>
      <c r="S2" s="2" t="s">
        <v>9</v>
      </c>
      <c r="T2" s="11">
        <v>1</v>
      </c>
      <c r="U2" s="2" t="s">
        <v>10</v>
      </c>
      <c r="V2" s="11">
        <v>1</v>
      </c>
      <c r="W2" s="2" t="s">
        <v>11</v>
      </c>
      <c r="X2" s="2"/>
      <c r="Y2" s="11">
        <v>1</v>
      </c>
    </row>
    <row r="3" spans="1:85" x14ac:dyDescent="0.25">
      <c r="Z3" s="17" t="s">
        <v>112</v>
      </c>
      <c r="AA3" s="3">
        <f>INDEX($P$12:$P889,+NCUOTAS+CUOTAADICIONAL+PGRACIA)</f>
        <v>482.16000000000008</v>
      </c>
    </row>
    <row r="4" spans="1:85" x14ac:dyDescent="0.25">
      <c r="Z4" s="17" t="s">
        <v>36</v>
      </c>
      <c r="AA4" s="3">
        <f>SUM($R$12:$R889)</f>
        <v>1336.44</v>
      </c>
      <c r="AC4" s="25" t="s">
        <v>105</v>
      </c>
    </row>
    <row r="5" spans="1:85" x14ac:dyDescent="0.25">
      <c r="O5" s="5"/>
      <c r="P5" t="s">
        <v>13</v>
      </c>
      <c r="Q5" s="8">
        <v>482.36000000000007</v>
      </c>
      <c r="T5" t="s">
        <v>39</v>
      </c>
      <c r="U5" s="16">
        <v>0.1285</v>
      </c>
      <c r="V5" s="18">
        <f>ROUND(((1+$U$5)^(1/12)-1)*100,6)</f>
        <v>1.012502</v>
      </c>
      <c r="Z5" s="17" t="s">
        <v>60</v>
      </c>
      <c r="AA5" s="3">
        <f>SUM($P$12:$P889)</f>
        <v>11576.440000000002</v>
      </c>
    </row>
    <row r="6" spans="1:85" x14ac:dyDescent="0.25">
      <c r="G6" s="5"/>
      <c r="M6" t="s">
        <v>12</v>
      </c>
      <c r="N6" s="12">
        <v>43763</v>
      </c>
      <c r="O6" s="23"/>
      <c r="P6" t="s">
        <v>16</v>
      </c>
      <c r="Q6" s="14">
        <v>24</v>
      </c>
      <c r="T6" t="s">
        <v>34</v>
      </c>
      <c r="U6" s="15">
        <v>0</v>
      </c>
      <c r="V6" s="3">
        <f>SUM($S$12:$S889)</f>
        <v>0</v>
      </c>
      <c r="X6" s="3"/>
      <c r="Z6" s="17" t="s">
        <v>38</v>
      </c>
      <c r="AA6">
        <f>DAY($N$7)</f>
        <v>25</v>
      </c>
      <c r="AC6" s="30" t="s">
        <v>106</v>
      </c>
      <c r="AD6" s="30"/>
      <c r="AI6" t="str">
        <f>IF(COUNTA($L$12:$L889)&lt;$Q$6,"Falta Extender la formula hacia abajo","OK")</f>
        <v>OK</v>
      </c>
    </row>
    <row r="7" spans="1:85" x14ac:dyDescent="0.25">
      <c r="M7" t="s">
        <v>38</v>
      </c>
      <c r="N7" s="29">
        <v>25</v>
      </c>
      <c r="P7" s="3" t="s">
        <v>111</v>
      </c>
      <c r="Q7" s="14">
        <v>0</v>
      </c>
      <c r="T7" t="s">
        <v>35</v>
      </c>
      <c r="U7" s="15">
        <v>0</v>
      </c>
      <c r="V7" s="3">
        <f>SUM($T$12:$T889)</f>
        <v>0</v>
      </c>
      <c r="X7" s="8"/>
      <c r="Z7" s="17" t="s">
        <v>15</v>
      </c>
      <c r="AA7" s="3">
        <f>ROUND(INDEX($V$12:$V889,+NCUOTAS+CUOTAADICIONAL+PGRACIA),2)</f>
        <v>0</v>
      </c>
      <c r="AC7" s="26" t="s">
        <v>107</v>
      </c>
      <c r="AD7" s="26"/>
      <c r="AI7" t="str">
        <f>IF(SUM($I$12:$I889)&gt;0,"Falta Extender la formula hacia la derecha","OK")</f>
        <v>OK</v>
      </c>
    </row>
    <row r="8" spans="1:85" x14ac:dyDescent="0.25">
      <c r="M8" t="s">
        <v>18</v>
      </c>
      <c r="N8" s="13">
        <v>10000</v>
      </c>
      <c r="P8" t="s">
        <v>115</v>
      </c>
      <c r="Q8">
        <f>SUM($B$12:$B1048576)</f>
        <v>0</v>
      </c>
      <c r="R8">
        <f>SUM(Q6:Q8)</f>
        <v>24</v>
      </c>
      <c r="T8" t="s">
        <v>33</v>
      </c>
      <c r="U8" s="15">
        <v>10</v>
      </c>
      <c r="V8" s="3">
        <f>SUM($U$12:$U889)</f>
        <v>240</v>
      </c>
      <c r="X8" s="3"/>
      <c r="Z8" s="17" t="s">
        <v>104</v>
      </c>
      <c r="AA8" s="8">
        <v>0.2</v>
      </c>
    </row>
    <row r="9" spans="1:85" x14ac:dyDescent="0.25">
      <c r="M9" s="5"/>
      <c r="N9" s="6"/>
      <c r="P9" s="3" t="s">
        <v>114</v>
      </c>
      <c r="Q9">
        <f>COUNTIF($A$12:$A1048576,"Prepago")</f>
        <v>0</v>
      </c>
    </row>
    <row r="10" spans="1:85" x14ac:dyDescent="0.25">
      <c r="A10" t="s">
        <v>99</v>
      </c>
      <c r="B10" t="s">
        <v>110</v>
      </c>
      <c r="C10" s="24" t="s">
        <v>98</v>
      </c>
      <c r="D10" s="24" t="s">
        <v>117</v>
      </c>
      <c r="E10" t="s">
        <v>109</v>
      </c>
      <c r="F10" t="s">
        <v>113</v>
      </c>
      <c r="G10" s="22" t="s">
        <v>116</v>
      </c>
      <c r="H10" s="22" t="s">
        <v>103</v>
      </c>
      <c r="I10" s="22" t="s">
        <v>108</v>
      </c>
      <c r="J10" s="22" t="s">
        <v>120</v>
      </c>
      <c r="K10" s="22" t="s">
        <v>121</v>
      </c>
      <c r="L10" t="s">
        <v>20</v>
      </c>
      <c r="M10" t="s">
        <v>21</v>
      </c>
      <c r="N10" t="s">
        <v>22</v>
      </c>
      <c r="O10" t="s">
        <v>23</v>
      </c>
      <c r="P10" t="s">
        <v>20</v>
      </c>
      <c r="Q10" t="s">
        <v>24</v>
      </c>
      <c r="R10" t="s">
        <v>25</v>
      </c>
      <c r="S10" t="s">
        <v>14</v>
      </c>
      <c r="T10" t="s">
        <v>17</v>
      </c>
      <c r="U10" t="s">
        <v>19</v>
      </c>
      <c r="V10" t="s">
        <v>26</v>
      </c>
      <c r="W10" t="s">
        <v>27</v>
      </c>
      <c r="X10" t="s">
        <v>40</v>
      </c>
      <c r="Y10" t="s">
        <v>28</v>
      </c>
      <c r="Z10" t="s">
        <v>29</v>
      </c>
      <c r="AA10" t="s">
        <v>30</v>
      </c>
      <c r="AB10" t="s">
        <v>31</v>
      </c>
      <c r="AC10" t="s">
        <v>32</v>
      </c>
      <c r="AD10" t="s">
        <v>37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  <c r="AM10" t="s">
        <v>50</v>
      </c>
      <c r="AN10" t="s">
        <v>51</v>
      </c>
      <c r="AO10" t="s">
        <v>52</v>
      </c>
      <c r="AP10" t="s">
        <v>53</v>
      </c>
      <c r="AQ10" t="s">
        <v>54</v>
      </c>
      <c r="AR10" t="s">
        <v>55</v>
      </c>
      <c r="AS10" t="s">
        <v>56</v>
      </c>
      <c r="AT10" t="s">
        <v>57</v>
      </c>
      <c r="AU10" t="s">
        <v>58</v>
      </c>
      <c r="AV10" t="s">
        <v>59</v>
      </c>
      <c r="AW10" t="s">
        <v>61</v>
      </c>
      <c r="AX10" t="s">
        <v>62</v>
      </c>
      <c r="AY10" t="s">
        <v>63</v>
      </c>
      <c r="AZ10" t="s">
        <v>64</v>
      </c>
      <c r="BA10" t="s">
        <v>65</v>
      </c>
      <c r="BB10" t="s">
        <v>66</v>
      </c>
      <c r="BC10" t="s">
        <v>67</v>
      </c>
      <c r="BD10" t="s">
        <v>68</v>
      </c>
      <c r="BE10" t="s">
        <v>69</v>
      </c>
      <c r="BF10" t="s">
        <v>70</v>
      </c>
      <c r="BG10" t="s">
        <v>71</v>
      </c>
      <c r="BH10" t="s">
        <v>72</v>
      </c>
      <c r="BI10" t="s">
        <v>73</v>
      </c>
      <c r="BJ10" t="s">
        <v>74</v>
      </c>
      <c r="BK10" t="s">
        <v>75</v>
      </c>
      <c r="BL10" t="s">
        <v>76</v>
      </c>
      <c r="BM10" t="s">
        <v>77</v>
      </c>
      <c r="BN10" t="s">
        <v>78</v>
      </c>
      <c r="BO10" t="s">
        <v>79</v>
      </c>
      <c r="BP10" t="s">
        <v>80</v>
      </c>
      <c r="BQ10" t="s">
        <v>81</v>
      </c>
      <c r="BR10" t="s">
        <v>82</v>
      </c>
      <c r="BS10" t="s">
        <v>83</v>
      </c>
      <c r="BT10" t="s">
        <v>84</v>
      </c>
      <c r="BU10" t="s">
        <v>85</v>
      </c>
      <c r="BV10" t="s">
        <v>86</v>
      </c>
      <c r="BW10" t="s">
        <v>87</v>
      </c>
      <c r="BX10" t="s">
        <v>88</v>
      </c>
      <c r="BY10" t="s">
        <v>89</v>
      </c>
      <c r="BZ10" t="s">
        <v>90</v>
      </c>
      <c r="CA10" t="s">
        <v>91</v>
      </c>
      <c r="CB10" t="s">
        <v>92</v>
      </c>
      <c r="CC10" t="s">
        <v>93</v>
      </c>
      <c r="CD10" t="s">
        <v>94</v>
      </c>
      <c r="CE10" t="s">
        <v>95</v>
      </c>
      <c r="CF10" t="s">
        <v>96</v>
      </c>
      <c r="CG10" t="s">
        <v>97</v>
      </c>
    </row>
    <row r="11" spans="1:85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H11" s="22">
        <v>0</v>
      </c>
      <c r="K11" s="22">
        <f>SUM(K12:K1000)</f>
        <v>0</v>
      </c>
      <c r="L11">
        <v>0</v>
      </c>
      <c r="M11" s="7">
        <f>$N$6</f>
        <v>43763</v>
      </c>
      <c r="V11" s="8">
        <f>$N$8</f>
        <v>10000</v>
      </c>
      <c r="Y11">
        <v>30</v>
      </c>
      <c r="Z11">
        <v>60</v>
      </c>
      <c r="AA11">
        <v>90</v>
      </c>
      <c r="AB11">
        <v>120</v>
      </c>
      <c r="AC11">
        <v>150</v>
      </c>
      <c r="AD11">
        <v>180</v>
      </c>
      <c r="AE11">
        <v>210</v>
      </c>
      <c r="AF11">
        <v>240</v>
      </c>
      <c r="AG11">
        <v>270</v>
      </c>
      <c r="AH11">
        <v>300</v>
      </c>
      <c r="AI11">
        <v>330</v>
      </c>
      <c r="AJ11">
        <v>360</v>
      </c>
      <c r="AK11">
        <v>390</v>
      </c>
      <c r="AL11">
        <v>420</v>
      </c>
      <c r="AM11">
        <v>450</v>
      </c>
      <c r="AN11">
        <v>480</v>
      </c>
      <c r="AO11">
        <v>510</v>
      </c>
      <c r="AP11">
        <v>540</v>
      </c>
      <c r="AQ11">
        <v>570</v>
      </c>
      <c r="AR11">
        <v>600</v>
      </c>
      <c r="AS11">
        <v>630</v>
      </c>
      <c r="AT11">
        <v>660</v>
      </c>
      <c r="AU11">
        <v>690</v>
      </c>
      <c r="AV11">
        <v>720</v>
      </c>
      <c r="AW11">
        <v>750</v>
      </c>
      <c r="AX11">
        <v>780</v>
      </c>
      <c r="AY11">
        <v>810</v>
      </c>
      <c r="AZ11">
        <v>840</v>
      </c>
      <c r="BA11">
        <v>870</v>
      </c>
      <c r="BB11">
        <v>900</v>
      </c>
      <c r="BC11">
        <v>930</v>
      </c>
      <c r="BD11">
        <v>960</v>
      </c>
      <c r="BE11">
        <v>990</v>
      </c>
      <c r="BF11">
        <v>1020</v>
      </c>
      <c r="BG11">
        <v>1050</v>
      </c>
      <c r="BH11">
        <v>1080</v>
      </c>
      <c r="BI11">
        <v>1110</v>
      </c>
      <c r="BJ11">
        <v>1140</v>
      </c>
      <c r="BK11">
        <v>1170</v>
      </c>
      <c r="BL11">
        <v>1200</v>
      </c>
      <c r="BM11">
        <v>1230</v>
      </c>
      <c r="BN11">
        <v>1260</v>
      </c>
      <c r="BO11">
        <v>1290</v>
      </c>
      <c r="BP11">
        <v>1320</v>
      </c>
      <c r="BQ11">
        <v>1350</v>
      </c>
      <c r="BR11">
        <v>1380</v>
      </c>
      <c r="BS11">
        <v>1410</v>
      </c>
      <c r="BT11">
        <v>1440</v>
      </c>
      <c r="BU11">
        <v>1470</v>
      </c>
      <c r="BV11">
        <v>1500</v>
      </c>
      <c r="BW11">
        <v>1530</v>
      </c>
      <c r="BX11">
        <v>1560</v>
      </c>
      <c r="BY11">
        <v>1590</v>
      </c>
      <c r="BZ11">
        <v>1620</v>
      </c>
      <c r="CA11">
        <v>1650</v>
      </c>
      <c r="CB11">
        <v>1680</v>
      </c>
      <c r="CC11">
        <v>1710</v>
      </c>
      <c r="CD11">
        <v>1740</v>
      </c>
      <c r="CE11">
        <v>1770</v>
      </c>
      <c r="CF11">
        <v>1800</v>
      </c>
      <c r="CG11">
        <v>1830</v>
      </c>
    </row>
    <row r="12" spans="1:85" x14ac:dyDescent="0.25">
      <c r="E12" s="5"/>
      <c r="F12" t="str">
        <f t="shared" ref="F12:F43" si="0">IF($L12&lt;&gt;"",TEXT(M12,"DDD"),"")</f>
        <v>lu</v>
      </c>
      <c r="G12" s="5">
        <f t="shared" ref="G12:G43" si="1">IF($L12&lt;&gt;"",EOMONTH($M$11,$H12+IF(MESADICIONAL=TRUE,1,0)),"")</f>
        <v>43799</v>
      </c>
      <c r="H12" s="22">
        <f t="shared" ref="H12:H43" si="2">IF($L12&lt;&gt;"",IF($A12="Prepago",$H11,$H11+1)+B12,"")</f>
        <v>1</v>
      </c>
      <c r="I12" s="22">
        <f t="shared" ref="I12:I43" si="3">IF(L12&lt;&gt;"",IF(COUNTA($Y12:$XFD12)*30&lt;$N12,1,0),"")</f>
        <v>0</v>
      </c>
      <c r="J12" s="22">
        <f t="shared" ref="J12:J43" si="4">IF($L12&lt;&gt;"",IF(OR(A12&lt;&gt;"",C12&lt;&gt;""),1,0),"")</f>
        <v>0</v>
      </c>
      <c r="K12" s="22">
        <f>IF($L12&lt;&gt;"",IF(J12=1,Q12,0),"")</f>
        <v>0</v>
      </c>
      <c r="L12">
        <f t="shared" ref="L12:L43" si="5">IF($L11&lt;NCUOTAS+CUOTAADICIONAL+PGRACIA,$L11+1,"")</f>
        <v>1</v>
      </c>
      <c r="M12" s="5">
        <f>IF($L12&lt;&gt;"",IF($E12="",IF(DAY($G12)&lt;$N$7,$G12,DATE(YEAR($G12),MONTH($G12),$N$7)),$E12),"")</f>
        <v>43794</v>
      </c>
      <c r="N12" s="9">
        <f t="shared" ref="N12:N43" si="6">IF($L12&lt;&gt;"",$M12-$M11,"")</f>
        <v>31</v>
      </c>
      <c r="O12" s="3">
        <f t="shared" ref="O12:O43" si="7">IF($L12&lt;&gt;"",$V11,"")</f>
        <v>10000</v>
      </c>
      <c r="P12" s="3">
        <f t="shared" ref="P12:P43" si="8">IF($L12&lt;&gt;"",IF($A12="Gracia Parcial",IF(AND($C12&lt;$X12+$S12+$T12+$U12+$W11,$C12&gt;0),$C12,$X12+$S12+$T12+$U12+$W11),IF($A12="Gracia Total",0,IF($A12="Prepago",$C12,IF(ISNUMBER($C12),$C12*VALUE(MID($C$1,MONTH($M12),1)),$Q$5*VALUE(MID($C$1,MONTH($M12),1))))))-IF($L13="",ARREGLO,0),"")</f>
        <v>482.36000000000007</v>
      </c>
      <c r="Q12" s="3">
        <f t="shared" ref="Q12:Q43" si="9">IF($L12&lt;&gt;"",IF($P12-$R12&gt;0,$P12-$R12-$S12-$T12-$U12,0),"")</f>
        <v>367.55000000000007</v>
      </c>
      <c r="R12" s="3">
        <f t="shared" ref="R12:R43" si="10">IF($L12&lt;&gt;"",IF($P12&gt;=IF($D12="",$X12,$D12)+$W11+$S12+$T12+$U12,IF($D12="",$X12,$D12)+$W11,$P12-$S12-$T12-$U12),"")</f>
        <v>104.80999999999999</v>
      </c>
      <c r="S12" s="3">
        <f>IF($L12&lt;&gt;"",IF($A12="Prepago",0,IF($H12*$U$6&gt;SUM($S$11:$S11)+$U$6,$U$6*2,$U$6)),"")</f>
        <v>0</v>
      </c>
      <c r="T12" s="3">
        <f>IF($L12&lt;&gt;"",IF($A12="Prepago",0,IF($H12*$U$7&gt;SUM($T$11:$T11)+$U$7,$U$7*2,$U$7)),"")</f>
        <v>0</v>
      </c>
      <c r="U12" s="3">
        <f>IF($L12&lt;&gt;"",IF($A12="Prepago",0,IF($H12*$U$8&gt;SUM($U$11:$U11)+$U$8,$U$8*2,$U$8)),"")</f>
        <v>10</v>
      </c>
      <c r="V12" s="3">
        <f t="shared" ref="V12:V43" si="11">IF($L12&lt;&gt;"",$O12-$Q12,"")</f>
        <v>9632.4500000000007</v>
      </c>
      <c r="W12" s="3">
        <f t="shared" ref="W12:W43" si="12">IF($L12&lt;&gt;"",+$W11+IF($D12="",$X12,$D12)-$R12,"")</f>
        <v>0</v>
      </c>
      <c r="X12" s="3">
        <f t="shared" ref="X12:X43" si="13">IF($L12&lt;&gt;"",SUM($Y12:$XFD12),"")</f>
        <v>104.80999999999999</v>
      </c>
      <c r="Y12" s="3">
        <f t="shared" ref="Y12:Y43" si="14">IF($L12&lt;&gt;"",IF($N12&gt;Y$11,30,$N12)*ROUND(($O12+$W11)*$V$5/3000,2),"")</f>
        <v>101.39999999999999</v>
      </c>
      <c r="Z12" s="3">
        <f>IF($L12&lt;&gt;"",IF($N12&gt;Y$11,IF($N12&lt;Z$11,$N12-Y$11,30),0)*ROUND(($O12+$W11+SUM($Y12:Y12))*$V$5/3000,2),"")</f>
        <v>3.41</v>
      </c>
      <c r="AA12" s="3">
        <f>IF($L12&lt;&gt;"",IF($N12&gt;Z$11,IF($N12&lt;AA$11,$N12-Z$11,30),0)*ROUND(($O12+$W11+SUM($Y12:Z12))*$V$5/3000,2),"")</f>
        <v>0</v>
      </c>
      <c r="AB12" s="3">
        <f>IF($L12&lt;&gt;"",IF($N12&gt;AA$11,IF($N12&lt;AB$11,$N12-AA$11,30),0)*ROUND(($O12+$W11+SUM($Y12:AA12))*$V$5/3000,2),"")</f>
        <v>0</v>
      </c>
      <c r="AC12" s="3">
        <f>IF($L12&lt;&gt;"",IF($N12&gt;AB$11,IF($N12&lt;AC$11,$N12-AB$11,30),0)*ROUND(($O12+$W11+SUM($Y12:AB12))*$V$5/3000,2),"")</f>
        <v>0</v>
      </c>
      <c r="AD12" s="3">
        <f>IF($L12&lt;&gt;"",IF($N12&gt;AC$11,IF($N12&lt;AD$11,$N12-AC$11,30),0)*ROUND(($O12+$W11+SUM($Y12:AC12))*$V$5/3000,2),"")</f>
        <v>0</v>
      </c>
      <c r="AE12" s="3">
        <f>IF($L12&lt;&gt;"",IF($N12&gt;AD$11,IF($N12&lt;AE$11,$N12-AD$11,30),0)*ROUND(($O12+$W11+SUM($Y12:AD12))*$V$5/3000,2),"")</f>
        <v>0</v>
      </c>
      <c r="AF12" s="3">
        <f>IF($L12&lt;&gt;"",IF($N12&gt;AE$11,IF($N12&lt;AF$11,$N12-AE$11,30),0)*ROUND(($O12+$W11+SUM($Y12:AE12))*$V$5/3000,2),"")</f>
        <v>0</v>
      </c>
      <c r="AG12" s="3">
        <f>IF($L12&lt;&gt;"",IF($N12&gt;AF$11,IF($N12&lt;AG$11,$N12-AF$11,30),0)*ROUND(($O12+$W11+SUM($Y12:AF12))*$V$5/3000,2),"")</f>
        <v>0</v>
      </c>
      <c r="AH12" s="3">
        <f>IF($L12&lt;&gt;"",IF($N12&gt;AG$11,IF($N12&lt;AH$11,$N12-AG$11,30),0)*ROUND(($O12+$W11+SUM($Y12:AG12))*$V$5/3000,2),"")</f>
        <v>0</v>
      </c>
      <c r="AI12" s="3">
        <f>IF($L12&lt;&gt;"",IF($N12&gt;AH$11,IF($N12&lt;AI$11,$N12-AH$11,30),0)*ROUND(($O12+$W11+SUM($Y12:AH12))*$V$5/3000,2),"")</f>
        <v>0</v>
      </c>
      <c r="AJ12" s="3">
        <f>IF($L12&lt;&gt;"",IF($N12&gt;AI$11,IF($N12&lt;AJ$11,$N12-AI$11,30),0)*ROUND(($O12+$W11+SUM($Y12:AI12))*$V$5/3000,2),"")</f>
        <v>0</v>
      </c>
      <c r="AK12" s="3">
        <f>IF($L12&lt;&gt;"",IF($N12&gt;AJ$11,IF($N12&lt;AK$11,$N12-AJ$11,30),0)*ROUND(($O12+$W11+SUM($Y12:AJ12))*$V$5/3000,2),"")</f>
        <v>0</v>
      </c>
      <c r="AL12" s="3">
        <f>IF($L12&lt;&gt;"",IF($N12&gt;AK$11,IF($N12&lt;AL$11,$N12-AK$11,30),0)*ROUND(($O12+$W11+SUM($Y12:AK12))*$V$5/3000,2),"")</f>
        <v>0</v>
      </c>
      <c r="AM12" s="3">
        <f>IF($L12&lt;&gt;"",IF($N12&gt;AL$11,IF($N12&lt;AM$11,$N12-AL$11,30),0)*ROUND(($O12+$W11+SUM($Y12:AL12))*$V$5/3000,2),"")</f>
        <v>0</v>
      </c>
      <c r="AN12" s="3">
        <f>IF($L12&lt;&gt;"",IF($N12&gt;AM$11,IF($N12&lt;AN$11,$N12-AM$11,30),0)*ROUND(($O12+$W11+SUM($Y12:AM12))*$V$5/3000,2),"")</f>
        <v>0</v>
      </c>
      <c r="AO12" s="3">
        <f>IF($L12&lt;&gt;"",IF($N12&gt;AN$11,IF($N12&lt;AO$11,$N12-AN$11,30),0)*ROUND(($O12+$W11+SUM($Y12:AN12))*$V$5/3000,2),"")</f>
        <v>0</v>
      </c>
      <c r="AP12" s="3">
        <f>IF($L12&lt;&gt;"",IF($N12&gt;AO$11,IF($N12&lt;AP$11,$N12-AO$11,30),0)*ROUND(($O12+$W11+SUM($Y12:AO12))*$V$5/3000,2),"")</f>
        <v>0</v>
      </c>
      <c r="AQ12" s="3">
        <f>IF($L12&lt;&gt;"",IF($N12&gt;AP$11,IF($N12&lt;AQ$11,$N12-AP$11,30),0)*ROUND(($O12+$W11+SUM($Y12:AP12))*$V$5/3000,2),"")</f>
        <v>0</v>
      </c>
      <c r="AR12" s="3">
        <f>IF($L12&lt;&gt;"",IF($N12&gt;AQ$11,IF($N12&lt;AR$11,$N12-AQ$11,30),0)*ROUND(($O12+$W11+SUM($Y12:AQ12))*$V$5/3000,2),"")</f>
        <v>0</v>
      </c>
      <c r="AS12" s="3">
        <f>IF($L12&lt;&gt;"",IF($N12&gt;AR$11,IF($N12&lt;AS$11,$N12-AR$11,30),0)*ROUND(($O12+$W11+SUM($Y12:AR12))*$V$5/3000,2),"")</f>
        <v>0</v>
      </c>
      <c r="AT12" s="3">
        <f>IF($L12&lt;&gt;"",IF($N12&gt;AS$11,IF($N12&lt;AT$11,$N12-AS$11,30),0)*ROUND(($O12+$W11+SUM($Y12:AS12))*$V$5/3000,2),"")</f>
        <v>0</v>
      </c>
      <c r="AU12" s="3">
        <f>IF($L12&lt;&gt;"",IF($N12&gt;AT$11,IF($N12&lt;AU$11,$N12-AT$11,30),0)*ROUND(($O12+$W11+SUM($Y12:AT12))*$V$5/3000,2),"")</f>
        <v>0</v>
      </c>
      <c r="AV12" s="3">
        <f>IF($L12&lt;&gt;"",IF($N12&gt;AU$11,IF($N12&lt;AV$11,$N12-AU$11,30),0)*ROUND(($O12+$W11+SUM($Y12:AU12))*$V$5/3000,2),"")</f>
        <v>0</v>
      </c>
      <c r="AW12" s="3">
        <f>IF($L12&lt;&gt;"",IF($N12&gt;AV$11,IF($N12&lt;AW$11,$N12-AV$11,30),0)*ROUND(($O12+$W11+SUM($Y12:AV12))*$V$5/3000,2),"")</f>
        <v>0</v>
      </c>
      <c r="AX12" s="3">
        <f>IF($L12&lt;&gt;"",IF($N12&gt;AW$11,IF($N12&lt;AX$11,$N12-AW$11,30),0)*ROUND(($O12+$W11+SUM($Y12:AW12))*$V$5/3000,2),"")</f>
        <v>0</v>
      </c>
      <c r="AY12" s="3">
        <f>IF($L12&lt;&gt;"",IF($N12&gt;AX$11,IF($N12&lt;AY$11,$N12-AX$11,30),0)*ROUND(($O12+$W11+SUM($Y12:AX12))*$V$5/3000,2),"")</f>
        <v>0</v>
      </c>
      <c r="AZ12" s="3">
        <f>IF($L12&lt;&gt;"",IF($N12&gt;AY$11,IF($N12&lt;AZ$11,$N12-AY$11,30),0)*ROUND(($O12+$W11+SUM($Y12:AY12))*$V$5/3000,2),"")</f>
        <v>0</v>
      </c>
      <c r="BA12" s="3">
        <f>IF($L12&lt;&gt;"",IF($N12&gt;AZ$11,IF($N12&lt;BA$11,$N12-AZ$11,30),0)*ROUND(($O12+$W11+SUM($Y12:AZ12))*$V$5/3000,2),"")</f>
        <v>0</v>
      </c>
      <c r="BB12" s="3">
        <f>IF($L12&lt;&gt;"",IF($N12&gt;BA$11,IF($N12&lt;BB$11,$N12-BA$11,30),0)*ROUND(($O12+$W11+SUM($Y12:BA12))*$V$5/3000,2),"")</f>
        <v>0</v>
      </c>
      <c r="BC12" s="3">
        <f>IF($L12&lt;&gt;"",IF($N12&gt;BB$11,IF($N12&lt;BC$11,$N12-BB$11,30),0)*ROUND(($O12+$W11+SUM($Y12:BB12))*$V$5/3000,2),"")</f>
        <v>0</v>
      </c>
      <c r="BD12" s="3">
        <f>IF($L12&lt;&gt;"",IF($N12&gt;BC$11,IF($N12&lt;BD$11,$N12-BC$11,30),0)*ROUND(($O12+$W11+SUM($Y12:BC12))*$V$5/3000,2),"")</f>
        <v>0</v>
      </c>
      <c r="BE12" s="3">
        <f>IF($L12&lt;&gt;"",IF($N12&gt;BD$11,IF($N12&lt;BE$11,$N12-BD$11,30),0)*ROUND(($O12+$W11+SUM($Y12:BD12))*$V$5/3000,2),"")</f>
        <v>0</v>
      </c>
      <c r="BF12" s="3">
        <f>IF($L12&lt;&gt;"",IF($N12&gt;BE$11,IF($N12&lt;BF$11,$N12-BE$11,30),0)*ROUND(($O12+$W11+SUM($Y12:BE12))*$V$5/3000,2),"")</f>
        <v>0</v>
      </c>
      <c r="BG12" s="3">
        <f>IF($L12&lt;&gt;"",IF($N12&gt;BF$11,IF($N12&lt;BG$11,$N12-BF$11,30),0)*ROUND(($O12+$W11+SUM($Y12:BF12))*$V$5/3000,2),"")</f>
        <v>0</v>
      </c>
      <c r="BH12" s="3">
        <f>IF($L12&lt;&gt;"",IF($N12&gt;BG$11,IF($N12&lt;BH$11,$N12-BG$11,30),0)*ROUND(($O12+$W11+SUM($Y12:BG12))*$V$5/3000,2),"")</f>
        <v>0</v>
      </c>
      <c r="BI12" s="3">
        <f>IF($L12&lt;&gt;"",IF($N12&gt;BH$11,IF($N12&lt;BI$11,$N12-BH$11,30),0)*ROUND(($O12+$W11+SUM($Y12:BH12))*$V$5/3000,2),"")</f>
        <v>0</v>
      </c>
      <c r="BJ12" s="3">
        <f>IF($L12&lt;&gt;"",IF($N12&gt;BI$11,IF($N12&lt;BJ$11,$N12-BI$11,30),0)*ROUND(($O12+$W11+SUM($Y12:BI12))*$V$5/3000,2),"")</f>
        <v>0</v>
      </c>
      <c r="BK12" s="3">
        <f>IF($L12&lt;&gt;"",IF($N12&gt;BJ$11,IF($N12&lt;BK$11,$N12-BJ$11,30),0)*ROUND(($O12+$W11+SUM($Y12:BJ12))*$V$5/3000,2),"")</f>
        <v>0</v>
      </c>
      <c r="BL12" s="3">
        <f>IF($L12&lt;&gt;"",IF($N12&gt;BK$11,IF($N12&lt;BL$11,$N12-BK$11,30),0)*ROUND(($O12+$W11+SUM($Y12:BK12))*$V$5/3000,2),"")</f>
        <v>0</v>
      </c>
      <c r="BM12" s="3">
        <f>IF($L12&lt;&gt;"",IF($N12&gt;BL$11,IF($N12&lt;BM$11,$N12-BL$11,30),0)*ROUND(($O12+$W11+SUM($Y12:BL12))*$V$5/3000,2),"")</f>
        <v>0</v>
      </c>
      <c r="BN12" s="3">
        <f>IF($L12&lt;&gt;"",IF($N12&gt;BM$11,IF($N12&lt;BN$11,$N12-BM$11,30),0)*ROUND(($O12+$W11+SUM($Y12:BM12))*$V$5/3000,2),"")</f>
        <v>0</v>
      </c>
      <c r="BO12" s="3">
        <f>IF($L12&lt;&gt;"",IF($N12&gt;BN$11,IF($N12&lt;BO$11,$N12-BN$11,30),0)*ROUND(($O12+$W11+SUM($Y12:BN12))*$V$5/3000,2),"")</f>
        <v>0</v>
      </c>
      <c r="BP12" s="3">
        <f>IF($L12&lt;&gt;"",IF($N12&gt;BO$11,IF($N12&lt;BP$11,$N12-BO$11,30),0)*ROUND(($O12+$W11+SUM($Y12:BO12))*$V$5/3000,2),"")</f>
        <v>0</v>
      </c>
      <c r="BQ12" s="3">
        <f>IF($L12&lt;&gt;"",IF($N12&gt;BP$11,IF($N12&lt;BQ$11,$N12-BP$11,30),0)*ROUND(($O12+$W11+SUM($Y12:BP12))*$V$5/3000,2),"")</f>
        <v>0</v>
      </c>
      <c r="BR12" s="3">
        <f>IF($L12&lt;&gt;"",IF($N12&gt;BQ$11,IF($N12&lt;BR$11,$N12-BQ$11,30),0)*ROUND(($O12+$W11+SUM($Y12:BQ12))*$V$5/3000,2),"")</f>
        <v>0</v>
      </c>
      <c r="BS12" s="3">
        <f>IF($L12&lt;&gt;"",IF($N12&gt;BR$11,IF($N12&lt;BS$11,$N12-BR$11,30),0)*ROUND(($O12+$W11+SUM($Y12:BR12))*$V$5/3000,2),"")</f>
        <v>0</v>
      </c>
      <c r="BT12" s="3">
        <f>IF($L12&lt;&gt;"",IF($N12&gt;BS$11,IF($N12&lt;BT$11,$N12-BS$11,30),0)*ROUND(($O12+$W11+SUM($Y12:BS12))*$V$5/3000,2),"")</f>
        <v>0</v>
      </c>
      <c r="BU12" s="3">
        <f>IF($L12&lt;&gt;"",IF($N12&gt;BT$11,IF($N12&lt;BU$11,$N12-BT$11,30),0)*ROUND(($O12+$W11+SUM($Y12:BT12))*$V$5/3000,2),"")</f>
        <v>0</v>
      </c>
      <c r="BV12" s="3">
        <f>IF($L12&lt;&gt;"",IF($N12&gt;BU$11,IF($N12&lt;BV$11,$N12-BU$11,30),0)*ROUND(($O12+$W11+SUM($Y12:BU12))*$V$5/3000,2),"")</f>
        <v>0</v>
      </c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</row>
    <row r="13" spans="1:85" x14ac:dyDescent="0.25">
      <c r="E13" s="5"/>
      <c r="F13" t="str">
        <f t="shared" si="0"/>
        <v>mi</v>
      </c>
      <c r="G13" s="5">
        <f t="shared" si="1"/>
        <v>43830</v>
      </c>
      <c r="H13" s="22">
        <f t="shared" si="2"/>
        <v>2</v>
      </c>
      <c r="I13" s="22">
        <f t="shared" si="3"/>
        <v>0</v>
      </c>
      <c r="J13" s="22">
        <f t="shared" si="4"/>
        <v>0</v>
      </c>
      <c r="K13" s="22">
        <f t="shared" ref="K13:K76" si="15">IF($L13&lt;&gt;"",IF(J13=1,Q13,0),"")</f>
        <v>0</v>
      </c>
      <c r="L13">
        <f t="shared" si="5"/>
        <v>2</v>
      </c>
      <c r="M13" s="5">
        <f t="shared" ref="M13:M76" si="16">IF($L13&lt;&gt;"",IF($E13="",IF(DAY($G13)&lt;$N$7,$G13,DATE(YEAR($G13),MONTH($G13),$N$7)),$E13),"")</f>
        <v>43824</v>
      </c>
      <c r="N13" s="9">
        <f t="shared" si="6"/>
        <v>30</v>
      </c>
      <c r="O13" s="3">
        <f t="shared" si="7"/>
        <v>9632.4500000000007</v>
      </c>
      <c r="P13" s="3">
        <f t="shared" si="8"/>
        <v>482.36000000000007</v>
      </c>
      <c r="Q13" s="3">
        <f t="shared" si="9"/>
        <v>374.86000000000007</v>
      </c>
      <c r="R13" s="3">
        <f t="shared" si="10"/>
        <v>97.5</v>
      </c>
      <c r="S13" s="3">
        <f>IF($L13&lt;&gt;"",IF($A13="Prepago",0,IF($H13*$U$6&gt;SUM($S$11:$S12)+$U$6,$U$6*2,$U$6)),"")</f>
        <v>0</v>
      </c>
      <c r="T13" s="3">
        <f>IF($L13&lt;&gt;"",IF($A13="Prepago",0,IF($H13*$U$7&gt;SUM($T$11:$T12)+$U$7,$U$7*2,$U$7)),"")</f>
        <v>0</v>
      </c>
      <c r="U13" s="3">
        <f>IF($L13&lt;&gt;"",IF($A13="Prepago",0,IF($H13*$U$8&gt;SUM($U$11:$U12)+$U$8,$U$8*2,$U$8)),"")</f>
        <v>10</v>
      </c>
      <c r="V13" s="3">
        <f t="shared" si="11"/>
        <v>9257.59</v>
      </c>
      <c r="W13" s="3">
        <f t="shared" si="12"/>
        <v>0</v>
      </c>
      <c r="X13" s="3">
        <f t="shared" si="13"/>
        <v>97.5</v>
      </c>
      <c r="Y13" s="3">
        <f t="shared" si="14"/>
        <v>97.5</v>
      </c>
      <c r="Z13" s="3">
        <f>IF($L13&lt;&gt;"",IF($N13&gt;Y$11,IF($N13&lt;Z$11,$N13-Y$11,30),0)*ROUND(($O13+$W12+SUM($Y13:Y13))*$V$5/3000,2),"")</f>
        <v>0</v>
      </c>
      <c r="AA13" s="3"/>
      <c r="AB13" s="3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</row>
    <row r="14" spans="1:85" x14ac:dyDescent="0.25">
      <c r="E14" s="5"/>
      <c r="F14" t="str">
        <f t="shared" si="0"/>
        <v>sá</v>
      </c>
      <c r="G14" s="5">
        <f t="shared" si="1"/>
        <v>43861</v>
      </c>
      <c r="H14" s="22">
        <f t="shared" si="2"/>
        <v>3</v>
      </c>
      <c r="I14" s="22">
        <f t="shared" si="3"/>
        <v>0</v>
      </c>
      <c r="J14" s="22">
        <f t="shared" si="4"/>
        <v>0</v>
      </c>
      <c r="K14" s="22">
        <f t="shared" si="15"/>
        <v>0</v>
      </c>
      <c r="L14">
        <f t="shared" si="5"/>
        <v>3</v>
      </c>
      <c r="M14" s="5">
        <f t="shared" si="16"/>
        <v>43855</v>
      </c>
      <c r="N14" s="9">
        <f t="shared" si="6"/>
        <v>31</v>
      </c>
      <c r="O14" s="3">
        <f t="shared" si="7"/>
        <v>9257.59</v>
      </c>
      <c r="P14" s="3">
        <f t="shared" si="8"/>
        <v>482.36000000000007</v>
      </c>
      <c r="Q14" s="3">
        <f t="shared" si="9"/>
        <v>375.60000000000008</v>
      </c>
      <c r="R14" s="3">
        <f t="shared" si="10"/>
        <v>96.76</v>
      </c>
      <c r="S14" s="3">
        <f>IF($L14&lt;&gt;"",IF($A14="Prepago",0,IF($H14*$U$6&gt;SUM($S$11:$S13)+$U$6,$U$6*2,$U$6)),"")</f>
        <v>0</v>
      </c>
      <c r="T14" s="3">
        <f>IF($L14&lt;&gt;"",IF($A14="Prepago",0,IF($H14*$U$7&gt;SUM($T$11:$T13)+$U$7,$U$7*2,$U$7)),"")</f>
        <v>0</v>
      </c>
      <c r="U14" s="3">
        <f>IF($L14&lt;&gt;"",IF($A14="Prepago",0,IF($H14*$U$8&gt;SUM($U$11:$U13)+$U$8,$U$8*2,$U$8)),"")</f>
        <v>10</v>
      </c>
      <c r="V14" s="3">
        <f t="shared" si="11"/>
        <v>8881.99</v>
      </c>
      <c r="W14" s="3">
        <f t="shared" si="12"/>
        <v>0</v>
      </c>
      <c r="X14" s="3">
        <f t="shared" si="13"/>
        <v>96.76</v>
      </c>
      <c r="Y14" s="3">
        <f t="shared" si="14"/>
        <v>93.600000000000009</v>
      </c>
      <c r="Z14" s="3">
        <f>IF($L14&lt;&gt;"",IF($N14&gt;Y$11,IF($N14&lt;Z$11,$N14-Y$11,30),0)*ROUND(($O14+$W13+SUM($Y14:Y14))*$V$5/3000,2),"")</f>
        <v>3.16</v>
      </c>
      <c r="AA14" s="3"/>
      <c r="AB14" s="3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85" x14ac:dyDescent="0.25">
      <c r="E15" s="5"/>
      <c r="F15" t="str">
        <f t="shared" si="0"/>
        <v>ma</v>
      </c>
      <c r="G15" s="5">
        <f t="shared" si="1"/>
        <v>43890</v>
      </c>
      <c r="H15" s="22">
        <f t="shared" si="2"/>
        <v>4</v>
      </c>
      <c r="I15" s="22">
        <f t="shared" si="3"/>
        <v>0</v>
      </c>
      <c r="J15" s="22">
        <f t="shared" si="4"/>
        <v>0</v>
      </c>
      <c r="K15" s="22">
        <f t="shared" si="15"/>
        <v>0</v>
      </c>
      <c r="L15">
        <f t="shared" si="5"/>
        <v>4</v>
      </c>
      <c r="M15" s="5">
        <f t="shared" si="16"/>
        <v>43886</v>
      </c>
      <c r="N15" s="9">
        <f t="shared" si="6"/>
        <v>31</v>
      </c>
      <c r="O15" s="3">
        <f t="shared" si="7"/>
        <v>8881.99</v>
      </c>
      <c r="P15" s="3">
        <f t="shared" si="8"/>
        <v>482.36000000000007</v>
      </c>
      <c r="Q15" s="3">
        <f t="shared" si="9"/>
        <v>379.33000000000004</v>
      </c>
      <c r="R15" s="3">
        <f t="shared" si="10"/>
        <v>93.03</v>
      </c>
      <c r="S15" s="3">
        <f>IF($L15&lt;&gt;"",IF($A15="Prepago",0,IF($H15*$U$6&gt;SUM($S$11:$S14)+$U$6,$U$6*2,$U$6)),"")</f>
        <v>0</v>
      </c>
      <c r="T15" s="3">
        <f>IF($L15&lt;&gt;"",IF($A15="Prepago",0,IF($H15*$U$7&gt;SUM($T$11:$T14)+$U$7,$U$7*2,$U$7)),"")</f>
        <v>0</v>
      </c>
      <c r="U15" s="3">
        <f>IF($L15&lt;&gt;"",IF($A15="Prepago",0,IF($H15*$U$8&gt;SUM($U$11:$U14)+$U$8,$U$8*2,$U$8)),"")</f>
        <v>10</v>
      </c>
      <c r="V15" s="3">
        <f t="shared" si="11"/>
        <v>8502.66</v>
      </c>
      <c r="W15" s="3">
        <f t="shared" si="12"/>
        <v>0</v>
      </c>
      <c r="X15" s="3">
        <f t="shared" si="13"/>
        <v>93.03</v>
      </c>
      <c r="Y15" s="3">
        <f t="shared" si="14"/>
        <v>90</v>
      </c>
      <c r="Z15" s="3">
        <f>IF($L15&lt;&gt;"",IF($N15&gt;Y$11,IF($N15&lt;Z$11,$N15-Y$11,30),0)*ROUND(($O15+$W14+SUM($Y15:Y15))*$V$5/3000,2),"")</f>
        <v>3.03</v>
      </c>
      <c r="AA15" s="3"/>
      <c r="AB15" s="3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</row>
    <row r="16" spans="1:85" x14ac:dyDescent="0.25">
      <c r="E16" s="5"/>
      <c r="F16" t="str">
        <f t="shared" si="0"/>
        <v>mi</v>
      </c>
      <c r="G16" s="5">
        <f t="shared" si="1"/>
        <v>43921</v>
      </c>
      <c r="H16" s="22">
        <f t="shared" si="2"/>
        <v>5</v>
      </c>
      <c r="I16" s="22">
        <f t="shared" si="3"/>
        <v>0</v>
      </c>
      <c r="J16" s="22">
        <f t="shared" si="4"/>
        <v>0</v>
      </c>
      <c r="K16" s="22">
        <f t="shared" si="15"/>
        <v>0</v>
      </c>
      <c r="L16">
        <f t="shared" si="5"/>
        <v>5</v>
      </c>
      <c r="M16" s="5">
        <f t="shared" si="16"/>
        <v>43915</v>
      </c>
      <c r="N16" s="9">
        <f t="shared" si="6"/>
        <v>29</v>
      </c>
      <c r="O16" s="3">
        <f t="shared" si="7"/>
        <v>8502.66</v>
      </c>
      <c r="P16" s="3">
        <f t="shared" si="8"/>
        <v>482.36000000000007</v>
      </c>
      <c r="Q16" s="3">
        <f t="shared" si="9"/>
        <v>389.13000000000005</v>
      </c>
      <c r="R16" s="3">
        <f t="shared" si="10"/>
        <v>83.23</v>
      </c>
      <c r="S16" s="3">
        <f>IF($L16&lt;&gt;"",IF($A16="Prepago",0,IF($H16*$U$6&gt;SUM($S$11:$S15)+$U$6,$U$6*2,$U$6)),"")</f>
        <v>0</v>
      </c>
      <c r="T16" s="3">
        <f>IF($L16&lt;&gt;"",IF($A16="Prepago",0,IF($H16*$U$7&gt;SUM($T$11:$T15)+$U$7,$U$7*2,$U$7)),"")</f>
        <v>0</v>
      </c>
      <c r="U16" s="3">
        <f>IF($L16&lt;&gt;"",IF($A16="Prepago",0,IF($H16*$U$8&gt;SUM($U$11:$U15)+$U$8,$U$8*2,$U$8)),"")</f>
        <v>10</v>
      </c>
      <c r="V16" s="3">
        <f t="shared" si="11"/>
        <v>8113.53</v>
      </c>
      <c r="W16" s="3">
        <f t="shared" si="12"/>
        <v>0</v>
      </c>
      <c r="X16" s="3">
        <f t="shared" si="13"/>
        <v>83.23</v>
      </c>
      <c r="Y16" s="3">
        <f t="shared" si="14"/>
        <v>83.23</v>
      </c>
      <c r="Z16" s="3">
        <f>IF($L16&lt;&gt;"",IF($N16&gt;Y$11,IF($N16&lt;Z$11,$N16-Y$11,30),0)*ROUND(($O16+$W15+SUM($Y16:Y16))*$V$5/3000,2),"")</f>
        <v>0</v>
      </c>
      <c r="AA16" s="3"/>
      <c r="AB16" s="3"/>
      <c r="AC16" s="3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</row>
    <row r="17" spans="1:85" x14ac:dyDescent="0.25">
      <c r="E17" s="5"/>
      <c r="F17" t="str">
        <f t="shared" si="0"/>
        <v>sá</v>
      </c>
      <c r="G17" s="5">
        <f t="shared" si="1"/>
        <v>43951</v>
      </c>
      <c r="H17" s="22">
        <f t="shared" si="2"/>
        <v>6</v>
      </c>
      <c r="I17" s="22">
        <f t="shared" si="3"/>
        <v>0</v>
      </c>
      <c r="J17" s="22">
        <f t="shared" si="4"/>
        <v>0</v>
      </c>
      <c r="K17" s="22">
        <f t="shared" si="15"/>
        <v>0</v>
      </c>
      <c r="L17">
        <f t="shared" si="5"/>
        <v>6</v>
      </c>
      <c r="M17" s="5">
        <f t="shared" si="16"/>
        <v>43946</v>
      </c>
      <c r="N17" s="9">
        <f t="shared" si="6"/>
        <v>31</v>
      </c>
      <c r="O17" s="3">
        <f t="shared" si="7"/>
        <v>8113.53</v>
      </c>
      <c r="P17" s="3">
        <f t="shared" si="8"/>
        <v>482.36000000000007</v>
      </c>
      <c r="Q17" s="3">
        <f t="shared" si="9"/>
        <v>387.3900000000001</v>
      </c>
      <c r="R17" s="3">
        <f t="shared" si="10"/>
        <v>84.97</v>
      </c>
      <c r="S17" s="3">
        <f>IF($L17&lt;&gt;"",IF($A17="Prepago",0,IF($H17*$U$6&gt;SUM($S$11:$S16)+$U$6,$U$6*2,$U$6)),"")</f>
        <v>0</v>
      </c>
      <c r="T17" s="3">
        <f>IF($L17&lt;&gt;"",IF($A17="Prepago",0,IF($H17*$U$7&gt;SUM($T$11:$T16)+$U$7,$U$7*2,$U$7)),"")</f>
        <v>0</v>
      </c>
      <c r="U17" s="3">
        <f>IF($L17&lt;&gt;"",IF($A17="Prepago",0,IF($H17*$U$8&gt;SUM($U$11:$U16)+$U$8,$U$8*2,$U$8)),"")</f>
        <v>10</v>
      </c>
      <c r="V17" s="3">
        <f t="shared" si="11"/>
        <v>7726.1399999999994</v>
      </c>
      <c r="W17" s="3">
        <f t="shared" si="12"/>
        <v>0</v>
      </c>
      <c r="X17" s="3">
        <f t="shared" si="13"/>
        <v>84.97</v>
      </c>
      <c r="Y17" s="3">
        <f t="shared" si="14"/>
        <v>82.2</v>
      </c>
      <c r="Z17" s="3">
        <f>IF($L17&lt;&gt;"",IF($N17&gt;Y$11,IF($N17&lt;Z$11,$N17-Y$11,30),0)*ROUND(($O17+$W16+SUM($Y17:Y17))*$V$5/3000,2),"")</f>
        <v>2.77</v>
      </c>
      <c r="AA17" s="3"/>
      <c r="AB17" s="3"/>
      <c r="AC17" s="3"/>
      <c r="AD17" s="3"/>
      <c r="AE17" s="3"/>
      <c r="AF17" s="3"/>
      <c r="AG17" s="3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</row>
    <row r="18" spans="1:85" x14ac:dyDescent="0.25">
      <c r="E18" s="5"/>
      <c r="F18" t="str">
        <f t="shared" si="0"/>
        <v>lu</v>
      </c>
      <c r="G18" s="5">
        <f t="shared" si="1"/>
        <v>43982</v>
      </c>
      <c r="H18" s="22">
        <f t="shared" si="2"/>
        <v>7</v>
      </c>
      <c r="I18" s="22">
        <f t="shared" si="3"/>
        <v>0</v>
      </c>
      <c r="J18" s="22">
        <f t="shared" si="4"/>
        <v>0</v>
      </c>
      <c r="K18" s="22">
        <f t="shared" si="15"/>
        <v>0</v>
      </c>
      <c r="L18">
        <f t="shared" si="5"/>
        <v>7</v>
      </c>
      <c r="M18" s="5">
        <f t="shared" si="16"/>
        <v>43976</v>
      </c>
      <c r="N18" s="9">
        <f t="shared" si="6"/>
        <v>30</v>
      </c>
      <c r="O18" s="3">
        <f t="shared" si="7"/>
        <v>7726.1399999999994</v>
      </c>
      <c r="P18" s="3">
        <f t="shared" si="8"/>
        <v>482.36000000000007</v>
      </c>
      <c r="Q18" s="3">
        <f t="shared" si="9"/>
        <v>394.06000000000006</v>
      </c>
      <c r="R18" s="3">
        <f t="shared" si="10"/>
        <v>78.3</v>
      </c>
      <c r="S18" s="3">
        <f>IF($L18&lt;&gt;"",IF($A18="Prepago",0,IF($H18*$U$6&gt;SUM($S$11:$S17)+$U$6,$U$6*2,$U$6)),"")</f>
        <v>0</v>
      </c>
      <c r="T18" s="3">
        <f>IF($L18&lt;&gt;"",IF($A18="Prepago",0,IF($H18*$U$7&gt;SUM($T$11:$T17)+$U$7,$U$7*2,$U$7)),"")</f>
        <v>0</v>
      </c>
      <c r="U18" s="3">
        <f>IF($L18&lt;&gt;"",IF($A18="Prepago",0,IF($H18*$U$8&gt;SUM($U$11:$U17)+$U$8,$U$8*2,$U$8)),"")</f>
        <v>10</v>
      </c>
      <c r="V18" s="3">
        <f t="shared" si="11"/>
        <v>7332.079999999999</v>
      </c>
      <c r="W18" s="3">
        <f t="shared" si="12"/>
        <v>0</v>
      </c>
      <c r="X18" s="3">
        <f t="shared" si="13"/>
        <v>78.3</v>
      </c>
      <c r="Y18" s="3">
        <f t="shared" si="14"/>
        <v>78.3</v>
      </c>
      <c r="Z18" s="3">
        <f>IF($L18&lt;&gt;"",IF($N18&gt;Y$11,IF($N18&lt;Z$11,$N18-Y$11,30),0)*ROUND(($O18+$W17+SUM($Y18:Y18))*$V$5/3000,2),"")</f>
        <v>0</v>
      </c>
      <c r="AA18" s="3"/>
      <c r="AB18" s="3"/>
      <c r="AC18" s="3"/>
      <c r="AD18" s="3"/>
      <c r="AE18" s="3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</row>
    <row r="19" spans="1:85" x14ac:dyDescent="0.25">
      <c r="E19" s="5"/>
      <c r="F19" t="str">
        <f t="shared" si="0"/>
        <v>ju</v>
      </c>
      <c r="G19" s="5">
        <f t="shared" si="1"/>
        <v>44012</v>
      </c>
      <c r="H19" s="22">
        <f t="shared" si="2"/>
        <v>8</v>
      </c>
      <c r="I19" s="22">
        <f t="shared" si="3"/>
        <v>0</v>
      </c>
      <c r="J19" s="22">
        <f t="shared" si="4"/>
        <v>0</v>
      </c>
      <c r="K19" s="22">
        <f t="shared" si="15"/>
        <v>0</v>
      </c>
      <c r="L19">
        <f t="shared" si="5"/>
        <v>8</v>
      </c>
      <c r="M19" s="5">
        <f t="shared" si="16"/>
        <v>44007</v>
      </c>
      <c r="N19" s="9">
        <f t="shared" si="6"/>
        <v>31</v>
      </c>
      <c r="O19" s="3">
        <f t="shared" si="7"/>
        <v>7332.079999999999</v>
      </c>
      <c r="P19" s="3">
        <f t="shared" si="8"/>
        <v>482.36000000000007</v>
      </c>
      <c r="Q19" s="3">
        <f t="shared" si="9"/>
        <v>395.76000000000005</v>
      </c>
      <c r="R19" s="3">
        <f t="shared" si="10"/>
        <v>76.600000000000009</v>
      </c>
      <c r="S19" s="3">
        <f>IF($L19&lt;&gt;"",IF($A19="Prepago",0,IF($H19*$U$6&gt;SUM($S$11:$S18)+$U$6,$U$6*2,$U$6)),"")</f>
        <v>0</v>
      </c>
      <c r="T19" s="3">
        <f>IF($L19&lt;&gt;"",IF($A19="Prepago",0,IF($H19*$U$7&gt;SUM($T$11:$T18)+$U$7,$U$7*2,$U$7)),"")</f>
        <v>0</v>
      </c>
      <c r="U19" s="3">
        <f>IF($L19&lt;&gt;"",IF($A19="Prepago",0,IF($H19*$U$8&gt;SUM($U$11:$U18)+$U$8,$U$8*2,$U$8)),"")</f>
        <v>10</v>
      </c>
      <c r="V19" s="3">
        <f t="shared" si="11"/>
        <v>6936.3199999999988</v>
      </c>
      <c r="W19" s="3">
        <f t="shared" si="12"/>
        <v>0</v>
      </c>
      <c r="X19" s="3">
        <f t="shared" si="13"/>
        <v>76.600000000000009</v>
      </c>
      <c r="Y19" s="3">
        <f t="shared" si="14"/>
        <v>74.100000000000009</v>
      </c>
      <c r="Z19" s="3">
        <f>IF($L19&lt;&gt;"",IF($N19&gt;Y$11,IF($N19&lt;Z$11,$N19-Y$11,30),0)*ROUND(($O19+$W18+SUM($Y19:Y19))*$V$5/3000,2),"")</f>
        <v>2.5</v>
      </c>
      <c r="AA19" s="3"/>
      <c r="AB19" s="3"/>
      <c r="AC19" s="3"/>
      <c r="AD19" s="3"/>
      <c r="AE19" s="3"/>
      <c r="AF19" s="3"/>
      <c r="AG19" s="3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</row>
    <row r="20" spans="1:85" s="10" customFormat="1" x14ac:dyDescent="0.25">
      <c r="A20"/>
      <c r="B20"/>
      <c r="C20" s="20"/>
      <c r="D20" s="20"/>
      <c r="E20" s="5"/>
      <c r="F20" t="str">
        <f t="shared" si="0"/>
        <v>sá</v>
      </c>
      <c r="G20" s="5">
        <f t="shared" si="1"/>
        <v>44043</v>
      </c>
      <c r="H20" s="22">
        <f t="shared" si="2"/>
        <v>9</v>
      </c>
      <c r="I20" s="22">
        <f t="shared" si="3"/>
        <v>0</v>
      </c>
      <c r="J20" s="22">
        <f t="shared" si="4"/>
        <v>0</v>
      </c>
      <c r="K20" s="22">
        <f t="shared" si="15"/>
        <v>0</v>
      </c>
      <c r="L20">
        <f t="shared" si="5"/>
        <v>9</v>
      </c>
      <c r="M20" s="5">
        <f t="shared" si="16"/>
        <v>44037</v>
      </c>
      <c r="N20" s="9">
        <f t="shared" si="6"/>
        <v>30</v>
      </c>
      <c r="O20" s="3">
        <f t="shared" si="7"/>
        <v>6936.3199999999988</v>
      </c>
      <c r="P20" s="3">
        <f t="shared" si="8"/>
        <v>482.36000000000007</v>
      </c>
      <c r="Q20" s="3">
        <f t="shared" si="9"/>
        <v>402.16000000000008</v>
      </c>
      <c r="R20" s="3">
        <f t="shared" si="10"/>
        <v>70.199999999999989</v>
      </c>
      <c r="S20" s="3">
        <f>IF($L20&lt;&gt;"",IF($A20="Prepago",0,IF($H20*$U$6&gt;SUM($S$11:$S19)+$U$6,$U$6*2,$U$6)),"")</f>
        <v>0</v>
      </c>
      <c r="T20" s="3">
        <f>IF($L20&lt;&gt;"",IF($A20="Prepago",0,IF($H20*$U$7&gt;SUM($T$11:$T19)+$U$7,$U$7*2,$U$7)),"")</f>
        <v>0</v>
      </c>
      <c r="U20" s="3">
        <f>IF($L20&lt;&gt;"",IF($A20="Prepago",0,IF($H20*$U$8&gt;SUM($U$11:$U19)+$U$8,$U$8*2,$U$8)),"")</f>
        <v>10</v>
      </c>
      <c r="V20" s="3">
        <f t="shared" si="11"/>
        <v>6534.1599999999989</v>
      </c>
      <c r="W20" s="3">
        <f t="shared" si="12"/>
        <v>0</v>
      </c>
      <c r="X20" s="3">
        <f t="shared" si="13"/>
        <v>70.199999999999989</v>
      </c>
      <c r="Y20" s="3">
        <f t="shared" si="14"/>
        <v>70.199999999999989</v>
      </c>
      <c r="Z20" s="3">
        <f>IF($L20&lt;&gt;"",IF($N20&gt;Y$11,IF($N20&lt;Z$11,$N20-Y$11,30),0)*ROUND(($O20+$W19+SUM($Y20:Y20))*$V$5/3000,2),"")</f>
        <v>0</v>
      </c>
      <c r="AA20" s="3"/>
      <c r="AB20" s="3"/>
      <c r="AC20" s="3"/>
      <c r="AD20" s="3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</row>
    <row r="21" spans="1:85" x14ac:dyDescent="0.25">
      <c r="E21" s="5"/>
      <c r="F21" t="str">
        <f t="shared" si="0"/>
        <v>ma</v>
      </c>
      <c r="G21" s="5">
        <f t="shared" si="1"/>
        <v>44074</v>
      </c>
      <c r="H21" s="22">
        <f t="shared" si="2"/>
        <v>10</v>
      </c>
      <c r="I21" s="22">
        <f t="shared" si="3"/>
        <v>0</v>
      </c>
      <c r="J21" s="22">
        <f t="shared" si="4"/>
        <v>0</v>
      </c>
      <c r="K21" s="22">
        <f t="shared" si="15"/>
        <v>0</v>
      </c>
      <c r="L21">
        <f t="shared" si="5"/>
        <v>10</v>
      </c>
      <c r="M21" s="5">
        <f t="shared" si="16"/>
        <v>44068</v>
      </c>
      <c r="N21" s="9">
        <f t="shared" si="6"/>
        <v>31</v>
      </c>
      <c r="O21" s="3">
        <f t="shared" si="7"/>
        <v>6534.1599999999989</v>
      </c>
      <c r="P21" s="3">
        <f t="shared" si="8"/>
        <v>482.36000000000007</v>
      </c>
      <c r="Q21" s="3">
        <f t="shared" si="9"/>
        <v>403.83000000000004</v>
      </c>
      <c r="R21" s="3">
        <f t="shared" si="10"/>
        <v>68.53</v>
      </c>
      <c r="S21" s="3">
        <f>IF($L21&lt;&gt;"",IF($A21="Prepago",0,IF($H21*$U$6&gt;SUM($S$11:$S20)+$U$6,$U$6*2,$U$6)),"")</f>
        <v>0</v>
      </c>
      <c r="T21" s="3">
        <f>IF($L21&lt;&gt;"",IF($A21="Prepago",0,IF($H21*$U$7&gt;SUM($T$11:$T20)+$U$7,$U$7*2,$U$7)),"")</f>
        <v>0</v>
      </c>
      <c r="U21" s="3">
        <f>IF($L21&lt;&gt;"",IF($A21="Prepago",0,IF($H21*$U$8&gt;SUM($U$11:$U20)+$U$8,$U$8*2,$U$8)),"")</f>
        <v>10</v>
      </c>
      <c r="V21" s="3">
        <f t="shared" si="11"/>
        <v>6130.329999999999</v>
      </c>
      <c r="W21" s="3">
        <f t="shared" si="12"/>
        <v>0</v>
      </c>
      <c r="X21" s="3">
        <f t="shared" si="13"/>
        <v>68.53</v>
      </c>
      <c r="Y21" s="3">
        <f t="shared" si="14"/>
        <v>66.3</v>
      </c>
      <c r="Z21" s="3">
        <f>IF($L21&lt;&gt;"",IF($N21&gt;Y$11,IF($N21&lt;Z$11,$N21-Y$11,30),0)*ROUND(($O21+$W20+SUM($Y21:Y21))*$V$5/3000,2),"")</f>
        <v>2.23</v>
      </c>
      <c r="AA21" s="3"/>
      <c r="AB21" s="3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</row>
    <row r="22" spans="1:85" x14ac:dyDescent="0.25">
      <c r="E22" s="5"/>
      <c r="F22" t="str">
        <f t="shared" si="0"/>
        <v>vi</v>
      </c>
      <c r="G22" s="5">
        <f t="shared" si="1"/>
        <v>44104</v>
      </c>
      <c r="H22" s="22">
        <f t="shared" si="2"/>
        <v>11</v>
      </c>
      <c r="I22" s="22">
        <f t="shared" si="3"/>
        <v>0</v>
      </c>
      <c r="J22" s="22">
        <f t="shared" si="4"/>
        <v>0</v>
      </c>
      <c r="K22" s="22">
        <f t="shared" si="15"/>
        <v>0</v>
      </c>
      <c r="L22">
        <f t="shared" si="5"/>
        <v>11</v>
      </c>
      <c r="M22" s="5">
        <f t="shared" si="16"/>
        <v>44099</v>
      </c>
      <c r="N22" s="9">
        <f t="shared" si="6"/>
        <v>31</v>
      </c>
      <c r="O22" s="3">
        <f t="shared" si="7"/>
        <v>6130.329999999999</v>
      </c>
      <c r="P22" s="3">
        <f t="shared" si="8"/>
        <v>482.36000000000007</v>
      </c>
      <c r="Q22" s="3">
        <f t="shared" si="9"/>
        <v>408.17000000000007</v>
      </c>
      <c r="R22" s="3">
        <f t="shared" si="10"/>
        <v>64.19</v>
      </c>
      <c r="S22" s="3">
        <f>IF($L22&lt;&gt;"",IF($A22="Prepago",0,IF($H22*$U$6&gt;SUM($S$11:$S21)+$U$6,$U$6*2,$U$6)),"")</f>
        <v>0</v>
      </c>
      <c r="T22" s="3">
        <f>IF($L22&lt;&gt;"",IF($A22="Prepago",0,IF($H22*$U$7&gt;SUM($T$11:$T21)+$U$7,$U$7*2,$U$7)),"")</f>
        <v>0</v>
      </c>
      <c r="U22" s="3">
        <f>IF($L22&lt;&gt;"",IF($A22="Prepago",0,IF($H22*$U$8&gt;SUM($U$11:$U21)+$U$8,$U$8*2,$U$8)),"")</f>
        <v>10</v>
      </c>
      <c r="V22" s="3">
        <f t="shared" si="11"/>
        <v>5722.1599999999989</v>
      </c>
      <c r="W22" s="3">
        <f t="shared" si="12"/>
        <v>0</v>
      </c>
      <c r="X22" s="3">
        <f t="shared" si="13"/>
        <v>64.19</v>
      </c>
      <c r="Y22" s="3">
        <f t="shared" si="14"/>
        <v>62.099999999999994</v>
      </c>
      <c r="Z22" s="3">
        <f>IF($L22&lt;&gt;"",IF($N22&gt;Y$11,IF($N22&lt;Z$11,$N22-Y$11,30),0)*ROUND(($O22+$W21+SUM($Y22:Y22))*$V$5/3000,2),"")</f>
        <v>2.09</v>
      </c>
      <c r="AA22" s="3"/>
      <c r="AB22" s="3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</row>
    <row r="23" spans="1:85" x14ac:dyDescent="0.25">
      <c r="E23" s="5"/>
      <c r="F23" t="str">
        <f t="shared" si="0"/>
        <v>do</v>
      </c>
      <c r="G23" s="5">
        <f t="shared" si="1"/>
        <v>44135</v>
      </c>
      <c r="H23" s="22">
        <f t="shared" si="2"/>
        <v>12</v>
      </c>
      <c r="I23" s="22">
        <f t="shared" si="3"/>
        <v>0</v>
      </c>
      <c r="J23" s="22">
        <f t="shared" si="4"/>
        <v>0</v>
      </c>
      <c r="K23" s="22">
        <f t="shared" si="15"/>
        <v>0</v>
      </c>
      <c r="L23">
        <f t="shared" si="5"/>
        <v>12</v>
      </c>
      <c r="M23" s="5">
        <f t="shared" si="16"/>
        <v>44129</v>
      </c>
      <c r="N23" s="9">
        <f t="shared" si="6"/>
        <v>30</v>
      </c>
      <c r="O23" s="3">
        <f t="shared" si="7"/>
        <v>5722.1599999999989</v>
      </c>
      <c r="P23" s="3">
        <f t="shared" si="8"/>
        <v>482.36000000000007</v>
      </c>
      <c r="Q23" s="3">
        <f t="shared" si="9"/>
        <v>414.46000000000009</v>
      </c>
      <c r="R23" s="3">
        <f t="shared" si="10"/>
        <v>57.9</v>
      </c>
      <c r="S23" s="3">
        <f>IF($L23&lt;&gt;"",IF($A23="Prepago",0,IF($H23*$U$6&gt;SUM($S$11:$S22)+$U$6,$U$6*2,$U$6)),"")</f>
        <v>0</v>
      </c>
      <c r="T23" s="3">
        <f>IF($L23&lt;&gt;"",IF($A23="Prepago",0,IF($H23*$U$7&gt;SUM($T$11:$T22)+$U$7,$U$7*2,$U$7)),"")</f>
        <v>0</v>
      </c>
      <c r="U23" s="3">
        <f>IF($L23&lt;&gt;"",IF($A23="Prepago",0,IF($H23*$U$8&gt;SUM($U$11:$U22)+$U$8,$U$8*2,$U$8)),"")</f>
        <v>10</v>
      </c>
      <c r="V23" s="3">
        <f t="shared" si="11"/>
        <v>5307.6999999999989</v>
      </c>
      <c r="W23" s="3">
        <f t="shared" si="12"/>
        <v>0</v>
      </c>
      <c r="X23" s="3">
        <f t="shared" si="13"/>
        <v>57.9</v>
      </c>
      <c r="Y23" s="3">
        <f t="shared" si="14"/>
        <v>57.9</v>
      </c>
      <c r="Z23" s="3">
        <f>IF($L23&lt;&gt;"",IF($N23&gt;Y$11,IF($N23&lt;Z$11,$N23-Y$11,30),0)*ROUND(($O23+$W22+SUM($Y23:Y23))*$V$5/3000,2),"")</f>
        <v>0</v>
      </c>
      <c r="AA23" s="3"/>
      <c r="AB23" s="3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</row>
    <row r="24" spans="1:85" x14ac:dyDescent="0.25">
      <c r="E24" s="5"/>
      <c r="F24" t="str">
        <f t="shared" si="0"/>
        <v>mi</v>
      </c>
      <c r="G24" s="5">
        <f t="shared" si="1"/>
        <v>44165</v>
      </c>
      <c r="H24" s="22">
        <f t="shared" si="2"/>
        <v>13</v>
      </c>
      <c r="I24" s="22">
        <f t="shared" si="3"/>
        <v>0</v>
      </c>
      <c r="J24" s="22">
        <f t="shared" si="4"/>
        <v>0</v>
      </c>
      <c r="K24" s="22">
        <f t="shared" si="15"/>
        <v>0</v>
      </c>
      <c r="L24">
        <f t="shared" si="5"/>
        <v>13</v>
      </c>
      <c r="M24" s="5">
        <f t="shared" si="16"/>
        <v>44160</v>
      </c>
      <c r="N24" s="9">
        <f t="shared" si="6"/>
        <v>31</v>
      </c>
      <c r="O24" s="3">
        <f t="shared" si="7"/>
        <v>5307.6999999999989</v>
      </c>
      <c r="P24" s="3">
        <f t="shared" si="8"/>
        <v>482.36000000000007</v>
      </c>
      <c r="Q24" s="3">
        <f t="shared" si="9"/>
        <v>416.85000000000008</v>
      </c>
      <c r="R24" s="3">
        <f t="shared" si="10"/>
        <v>55.510000000000005</v>
      </c>
      <c r="S24" s="3">
        <f>IF($L24&lt;&gt;"",IF($A24="Prepago",0,IF($H24*$U$6&gt;SUM($S$11:$S23)+$U$6,$U$6*2,$U$6)),"")</f>
        <v>0</v>
      </c>
      <c r="T24" s="3">
        <f>IF($L24&lt;&gt;"",IF($A24="Prepago",0,IF($H24*$U$7&gt;SUM($T$11:$T23)+$U$7,$U$7*2,$U$7)),"")</f>
        <v>0</v>
      </c>
      <c r="U24" s="3">
        <f>IF($L24&lt;&gt;"",IF($A24="Prepago",0,IF($H24*$U$8&gt;SUM($U$11:$U23)+$U$8,$U$8*2,$U$8)),"")</f>
        <v>10</v>
      </c>
      <c r="V24" s="3">
        <f t="shared" si="11"/>
        <v>4890.8499999999985</v>
      </c>
      <c r="W24" s="3">
        <f t="shared" si="12"/>
        <v>0</v>
      </c>
      <c r="X24" s="3">
        <f t="shared" si="13"/>
        <v>55.510000000000005</v>
      </c>
      <c r="Y24" s="3">
        <f t="shared" si="14"/>
        <v>53.7</v>
      </c>
      <c r="Z24" s="3">
        <f>IF($L24&lt;&gt;"",IF($N24&gt;Y$11,IF($N24&lt;Z$11,$N24-Y$11,30),0)*ROUND(($O24+$W23+SUM($Y24:Y24))*$V$5/3000,2),"")</f>
        <v>1.81</v>
      </c>
      <c r="AA24" s="3"/>
      <c r="AB24" s="3"/>
      <c r="AC24" s="3"/>
      <c r="AD24" s="3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</row>
    <row r="25" spans="1:85" x14ac:dyDescent="0.25">
      <c r="E25" s="5"/>
      <c r="F25" t="str">
        <f t="shared" si="0"/>
        <v>vi</v>
      </c>
      <c r="G25" s="5">
        <f t="shared" si="1"/>
        <v>44196</v>
      </c>
      <c r="H25" s="22">
        <f t="shared" si="2"/>
        <v>14</v>
      </c>
      <c r="I25" s="22">
        <f t="shared" si="3"/>
        <v>0</v>
      </c>
      <c r="J25" s="22">
        <f t="shared" si="4"/>
        <v>0</v>
      </c>
      <c r="K25" s="22">
        <f t="shared" si="15"/>
        <v>0</v>
      </c>
      <c r="L25">
        <f t="shared" si="5"/>
        <v>14</v>
      </c>
      <c r="M25" s="5">
        <f t="shared" si="16"/>
        <v>44190</v>
      </c>
      <c r="N25" s="9">
        <f t="shared" si="6"/>
        <v>30</v>
      </c>
      <c r="O25" s="3">
        <f t="shared" si="7"/>
        <v>4890.8499999999985</v>
      </c>
      <c r="P25" s="3">
        <f t="shared" si="8"/>
        <v>482.36000000000007</v>
      </c>
      <c r="Q25" s="3">
        <f t="shared" si="9"/>
        <v>422.86000000000007</v>
      </c>
      <c r="R25" s="3">
        <f t="shared" si="10"/>
        <v>49.5</v>
      </c>
      <c r="S25" s="3">
        <f>IF($L25&lt;&gt;"",IF($A25="Prepago",0,IF($H25*$U$6&gt;SUM($S$11:$S24)+$U$6,$U$6*2,$U$6)),"")</f>
        <v>0</v>
      </c>
      <c r="T25" s="3">
        <f>IF($L25&lt;&gt;"",IF($A25="Prepago",0,IF($H25*$U$7&gt;SUM($T$11:$T24)+$U$7,$U$7*2,$U$7)),"")</f>
        <v>0</v>
      </c>
      <c r="U25" s="3">
        <f>IF($L25&lt;&gt;"",IF($A25="Prepago",0,IF($H25*$U$8&gt;SUM($U$11:$U24)+$U$8,$U$8*2,$U$8)),"")</f>
        <v>10</v>
      </c>
      <c r="V25" s="3">
        <f t="shared" si="11"/>
        <v>4467.9899999999989</v>
      </c>
      <c r="W25" s="3">
        <f t="shared" si="12"/>
        <v>0</v>
      </c>
      <c r="X25" s="3">
        <f t="shared" si="13"/>
        <v>49.5</v>
      </c>
      <c r="Y25" s="3">
        <f t="shared" si="14"/>
        <v>49.5</v>
      </c>
      <c r="Z25" s="3">
        <f>IF($L25&lt;&gt;"",IF($N25&gt;Y$11,IF($N25&lt;Z$11,$N25-Y$11,30),0)*ROUND(($O25+$W24+SUM($Y25:Y25))*$V$5/3000,2),"")</f>
        <v>0</v>
      </c>
      <c r="AA25" s="3"/>
      <c r="AB25" s="3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</row>
    <row r="26" spans="1:85" x14ac:dyDescent="0.25">
      <c r="E26" s="5"/>
      <c r="F26" t="str">
        <f t="shared" si="0"/>
        <v>lu</v>
      </c>
      <c r="G26" s="5">
        <f t="shared" si="1"/>
        <v>44227</v>
      </c>
      <c r="H26" s="22">
        <f t="shared" si="2"/>
        <v>15</v>
      </c>
      <c r="I26" s="22">
        <f t="shared" si="3"/>
        <v>0</v>
      </c>
      <c r="J26" s="22">
        <f t="shared" si="4"/>
        <v>0</v>
      </c>
      <c r="K26" s="22">
        <f t="shared" si="15"/>
        <v>0</v>
      </c>
      <c r="L26">
        <f t="shared" si="5"/>
        <v>15</v>
      </c>
      <c r="M26" s="5">
        <f t="shared" si="16"/>
        <v>44221</v>
      </c>
      <c r="N26" s="9">
        <f t="shared" si="6"/>
        <v>31</v>
      </c>
      <c r="O26" s="3">
        <f t="shared" si="7"/>
        <v>4467.9899999999989</v>
      </c>
      <c r="P26" s="3">
        <f t="shared" si="8"/>
        <v>482.36000000000007</v>
      </c>
      <c r="Q26" s="3">
        <f t="shared" si="9"/>
        <v>425.54000000000008</v>
      </c>
      <c r="R26" s="3">
        <f t="shared" si="10"/>
        <v>46.82</v>
      </c>
      <c r="S26" s="3">
        <f>IF($L26&lt;&gt;"",IF($A26="Prepago",0,IF($H26*$U$6&gt;SUM($S$11:$S25)+$U$6,$U$6*2,$U$6)),"")</f>
        <v>0</v>
      </c>
      <c r="T26" s="3">
        <f>IF($L26&lt;&gt;"",IF($A26="Prepago",0,IF($H26*$U$7&gt;SUM($T$11:$T25)+$U$7,$U$7*2,$U$7)),"")</f>
        <v>0</v>
      </c>
      <c r="U26" s="3">
        <f>IF($L26&lt;&gt;"",IF($A26="Prepago",0,IF($H26*$U$8&gt;SUM($U$11:$U25)+$U$8,$U$8*2,$U$8)),"")</f>
        <v>10</v>
      </c>
      <c r="V26" s="3">
        <f t="shared" si="11"/>
        <v>4042.4499999999989</v>
      </c>
      <c r="W26" s="3">
        <f t="shared" si="12"/>
        <v>0</v>
      </c>
      <c r="X26" s="3">
        <f t="shared" si="13"/>
        <v>46.82</v>
      </c>
      <c r="Y26" s="3">
        <f t="shared" si="14"/>
        <v>45.3</v>
      </c>
      <c r="Z26" s="3">
        <f>IF($L26&lt;&gt;"",IF($N26&gt;Y$11,IF($N26&lt;Z$11,$N26-Y$11,30),0)*ROUND(($O26+$W25+SUM($Y26:Y26))*$V$5/3000,2),"")</f>
        <v>1.52</v>
      </c>
      <c r="AA26" s="3"/>
      <c r="AB26" s="3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x14ac:dyDescent="0.25">
      <c r="E27" s="5"/>
      <c r="F27" t="str">
        <f t="shared" si="0"/>
        <v>ju</v>
      </c>
      <c r="G27" s="5">
        <f t="shared" si="1"/>
        <v>44255</v>
      </c>
      <c r="H27" s="22">
        <f t="shared" si="2"/>
        <v>16</v>
      </c>
      <c r="I27" s="22">
        <f t="shared" si="3"/>
        <v>0</v>
      </c>
      <c r="J27" s="22">
        <f t="shared" si="4"/>
        <v>0</v>
      </c>
      <c r="K27" s="22">
        <f t="shared" si="15"/>
        <v>0</v>
      </c>
      <c r="L27">
        <f t="shared" si="5"/>
        <v>16</v>
      </c>
      <c r="M27" s="5">
        <f t="shared" si="16"/>
        <v>44252</v>
      </c>
      <c r="N27" s="9">
        <f t="shared" si="6"/>
        <v>31</v>
      </c>
      <c r="O27" s="3">
        <f t="shared" si="7"/>
        <v>4042.4499999999989</v>
      </c>
      <c r="P27" s="3">
        <f t="shared" si="8"/>
        <v>482.36000000000007</v>
      </c>
      <c r="Q27" s="3">
        <f t="shared" si="9"/>
        <v>430.18000000000006</v>
      </c>
      <c r="R27" s="3">
        <f t="shared" si="10"/>
        <v>42.180000000000007</v>
      </c>
      <c r="S27" s="3">
        <f>IF($L27&lt;&gt;"",IF($A27="Prepago",0,IF($H27*$U$6&gt;SUM($S$11:$S26)+$U$6,$U$6*2,$U$6)),"")</f>
        <v>0</v>
      </c>
      <c r="T27" s="3">
        <f>IF($L27&lt;&gt;"",IF($A27="Prepago",0,IF($H27*$U$7&gt;SUM($T$11:$T26)+$U$7,$U$7*2,$U$7)),"")</f>
        <v>0</v>
      </c>
      <c r="U27" s="3">
        <f>IF($L27&lt;&gt;"",IF($A27="Prepago",0,IF($H27*$U$8&gt;SUM($U$11:$U26)+$U$8,$U$8*2,$U$8)),"")</f>
        <v>10</v>
      </c>
      <c r="V27" s="3">
        <f t="shared" si="11"/>
        <v>3612.2699999999986</v>
      </c>
      <c r="W27" s="3">
        <f t="shared" si="12"/>
        <v>0</v>
      </c>
      <c r="X27" s="3">
        <f t="shared" si="13"/>
        <v>42.180000000000007</v>
      </c>
      <c r="Y27" s="3">
        <f t="shared" si="14"/>
        <v>40.800000000000004</v>
      </c>
      <c r="Z27" s="3">
        <f>IF($L27&lt;&gt;"",IF($N27&gt;Y$11,IF($N27&lt;Z$11,$N27-Y$11,30),0)*ROUND(($O27+$W26+SUM($Y27:Y27))*$V$5/3000,2),"")</f>
        <v>1.38</v>
      </c>
      <c r="AA27" s="3"/>
      <c r="AB27" s="3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x14ac:dyDescent="0.25">
      <c r="E28" s="5"/>
      <c r="F28" t="str">
        <f t="shared" si="0"/>
        <v>ju</v>
      </c>
      <c r="G28" s="5">
        <f t="shared" si="1"/>
        <v>44286</v>
      </c>
      <c r="H28" s="22">
        <f t="shared" si="2"/>
        <v>17</v>
      </c>
      <c r="I28" s="22">
        <f t="shared" si="3"/>
        <v>0</v>
      </c>
      <c r="J28" s="22">
        <f t="shared" si="4"/>
        <v>0</v>
      </c>
      <c r="K28" s="22">
        <f t="shared" si="15"/>
        <v>0</v>
      </c>
      <c r="L28">
        <f t="shared" si="5"/>
        <v>17</v>
      </c>
      <c r="M28" s="5">
        <f t="shared" si="16"/>
        <v>44280</v>
      </c>
      <c r="N28" s="9">
        <f t="shared" si="6"/>
        <v>28</v>
      </c>
      <c r="O28" s="3">
        <f t="shared" si="7"/>
        <v>3612.2699999999986</v>
      </c>
      <c r="P28" s="3">
        <f t="shared" si="8"/>
        <v>482.36000000000007</v>
      </c>
      <c r="Q28" s="3">
        <f t="shared" si="9"/>
        <v>438.20000000000005</v>
      </c>
      <c r="R28" s="3">
        <f t="shared" si="10"/>
        <v>34.159999999999997</v>
      </c>
      <c r="S28" s="3">
        <f>IF($L28&lt;&gt;"",IF($A28="Prepago",0,IF($H28*$U$6&gt;SUM($S$11:$S27)+$U$6,$U$6*2,$U$6)),"")</f>
        <v>0</v>
      </c>
      <c r="T28" s="3">
        <f>IF($L28&lt;&gt;"",IF($A28="Prepago",0,IF($H28*$U$7&gt;SUM($T$11:$T27)+$U$7,$U$7*2,$U$7)),"")</f>
        <v>0</v>
      </c>
      <c r="U28" s="3">
        <f>IF($L28&lt;&gt;"",IF($A28="Prepago",0,IF($H28*$U$8&gt;SUM($U$11:$U27)+$U$8,$U$8*2,$U$8)),"")</f>
        <v>10</v>
      </c>
      <c r="V28" s="3">
        <f t="shared" si="11"/>
        <v>3174.0699999999988</v>
      </c>
      <c r="W28" s="3">
        <f t="shared" si="12"/>
        <v>0</v>
      </c>
      <c r="X28" s="3">
        <f t="shared" si="13"/>
        <v>34.159999999999997</v>
      </c>
      <c r="Y28" s="3">
        <f t="shared" si="14"/>
        <v>34.159999999999997</v>
      </c>
      <c r="Z28" s="3">
        <f>IF($L28&lt;&gt;"",IF($N28&gt;Y$11,IF($N28&lt;Z$11,$N28-Y$11,30),0)*ROUND(($O28+$W27+SUM($Y28:Y28))*$V$5/3000,2),"")</f>
        <v>0</v>
      </c>
      <c r="AA28" s="3"/>
      <c r="AB28" s="3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x14ac:dyDescent="0.25">
      <c r="E29" s="5"/>
      <c r="F29" t="str">
        <f t="shared" si="0"/>
        <v>do</v>
      </c>
      <c r="G29" s="5">
        <f t="shared" si="1"/>
        <v>44316</v>
      </c>
      <c r="H29" s="22">
        <f t="shared" si="2"/>
        <v>18</v>
      </c>
      <c r="I29" s="22">
        <f t="shared" si="3"/>
        <v>0</v>
      </c>
      <c r="J29" s="22">
        <f t="shared" si="4"/>
        <v>0</v>
      </c>
      <c r="K29" s="22">
        <f t="shared" si="15"/>
        <v>0</v>
      </c>
      <c r="L29">
        <f t="shared" si="5"/>
        <v>18</v>
      </c>
      <c r="M29" s="5">
        <f t="shared" si="16"/>
        <v>44311</v>
      </c>
      <c r="N29" s="9">
        <f t="shared" si="6"/>
        <v>31</v>
      </c>
      <c r="O29" s="3">
        <f t="shared" si="7"/>
        <v>3174.0699999999988</v>
      </c>
      <c r="P29" s="3">
        <f t="shared" si="8"/>
        <v>482.36000000000007</v>
      </c>
      <c r="Q29" s="3">
        <f t="shared" si="9"/>
        <v>439.18000000000006</v>
      </c>
      <c r="R29" s="3">
        <f t="shared" si="10"/>
        <v>33.18</v>
      </c>
      <c r="S29" s="3">
        <f>IF($L29&lt;&gt;"",IF($A29="Prepago",0,IF($H29*$U$6&gt;SUM($S$11:$S28)+$U$6,$U$6*2,$U$6)),"")</f>
        <v>0</v>
      </c>
      <c r="T29" s="3">
        <f>IF($L29&lt;&gt;"",IF($A29="Prepago",0,IF($H29*$U$7&gt;SUM($T$11:$T28)+$U$7,$U$7*2,$U$7)),"")</f>
        <v>0</v>
      </c>
      <c r="U29" s="3">
        <f>IF($L29&lt;&gt;"",IF($A29="Prepago",0,IF($H29*$U$8&gt;SUM($U$11:$U28)+$U$8,$U$8*2,$U$8)),"")</f>
        <v>10</v>
      </c>
      <c r="V29" s="3">
        <f t="shared" si="11"/>
        <v>2734.8899999999985</v>
      </c>
      <c r="W29" s="3">
        <f t="shared" si="12"/>
        <v>0</v>
      </c>
      <c r="X29" s="3">
        <f t="shared" si="13"/>
        <v>33.18</v>
      </c>
      <c r="Y29" s="3">
        <f t="shared" si="14"/>
        <v>32.1</v>
      </c>
      <c r="Z29" s="3">
        <f>IF($L29&lt;&gt;"",IF($N29&gt;Y$11,IF($N29&lt;Z$11,$N29-Y$11,30),0)*ROUND(($O29+$W28+SUM($Y29:Y29))*$V$5/3000,2),"")</f>
        <v>1.08</v>
      </c>
      <c r="AA29" s="3"/>
      <c r="AB29" s="3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</row>
    <row r="30" spans="1:85" x14ac:dyDescent="0.25">
      <c r="E30" s="5"/>
      <c r="F30" t="str">
        <f t="shared" si="0"/>
        <v>ma</v>
      </c>
      <c r="G30" s="5">
        <f t="shared" si="1"/>
        <v>44347</v>
      </c>
      <c r="H30" s="22">
        <f t="shared" si="2"/>
        <v>19</v>
      </c>
      <c r="I30" s="22">
        <f t="shared" si="3"/>
        <v>0</v>
      </c>
      <c r="J30" s="22">
        <f t="shared" si="4"/>
        <v>0</v>
      </c>
      <c r="K30" s="22">
        <f t="shared" si="15"/>
        <v>0</v>
      </c>
      <c r="L30">
        <f t="shared" si="5"/>
        <v>19</v>
      </c>
      <c r="M30" s="5">
        <f t="shared" si="16"/>
        <v>44341</v>
      </c>
      <c r="N30" s="9">
        <f t="shared" si="6"/>
        <v>30</v>
      </c>
      <c r="O30" s="3">
        <f t="shared" si="7"/>
        <v>2734.8899999999985</v>
      </c>
      <c r="P30" s="3">
        <f t="shared" si="8"/>
        <v>482.36000000000007</v>
      </c>
      <c r="Q30" s="3">
        <f t="shared" si="9"/>
        <v>444.76000000000005</v>
      </c>
      <c r="R30" s="3">
        <f t="shared" si="10"/>
        <v>27.6</v>
      </c>
      <c r="S30" s="3">
        <f>IF($L30&lt;&gt;"",IF($A30="Prepago",0,IF($H30*$U$6&gt;SUM($S$11:$S29)+$U$6,$U$6*2,$U$6)),"")</f>
        <v>0</v>
      </c>
      <c r="T30" s="3">
        <f>IF($L30&lt;&gt;"",IF($A30="Prepago",0,IF($H30*$U$7&gt;SUM($T$11:$T29)+$U$7,$U$7*2,$U$7)),"")</f>
        <v>0</v>
      </c>
      <c r="U30" s="3">
        <f>IF($L30&lt;&gt;"",IF($A30="Prepago",0,IF($H30*$U$8&gt;SUM($U$11:$U29)+$U$8,$U$8*2,$U$8)),"")</f>
        <v>10</v>
      </c>
      <c r="V30" s="3">
        <f t="shared" si="11"/>
        <v>2290.1299999999983</v>
      </c>
      <c r="W30" s="3">
        <f t="shared" si="12"/>
        <v>0</v>
      </c>
      <c r="X30" s="3">
        <f t="shared" si="13"/>
        <v>27.6</v>
      </c>
      <c r="Y30" s="3">
        <f t="shared" si="14"/>
        <v>27.6</v>
      </c>
      <c r="Z30" s="3">
        <f>IF($L30&lt;&gt;"",IF($N30&gt;Y$11,IF($N30&lt;Z$11,$N30-Y$11,30),0)*ROUND(($O30+$W29+SUM($Y30:Y30))*$V$5/3000,2),"")</f>
        <v>0</v>
      </c>
      <c r="AA30" s="3"/>
      <c r="AB30" s="3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1" spans="1:85" x14ac:dyDescent="0.25">
      <c r="E31" s="5"/>
      <c r="F31" t="str">
        <f t="shared" si="0"/>
        <v>vi</v>
      </c>
      <c r="G31" s="5">
        <f t="shared" si="1"/>
        <v>44377</v>
      </c>
      <c r="H31" s="22">
        <f t="shared" si="2"/>
        <v>20</v>
      </c>
      <c r="I31" s="22">
        <f t="shared" si="3"/>
        <v>0</v>
      </c>
      <c r="J31" s="22">
        <f t="shared" si="4"/>
        <v>0</v>
      </c>
      <c r="K31" s="22">
        <f t="shared" si="15"/>
        <v>0</v>
      </c>
      <c r="L31">
        <f t="shared" si="5"/>
        <v>20</v>
      </c>
      <c r="M31" s="5">
        <f t="shared" si="16"/>
        <v>44372</v>
      </c>
      <c r="N31" s="9">
        <f t="shared" si="6"/>
        <v>31</v>
      </c>
      <c r="O31" s="3">
        <f t="shared" si="7"/>
        <v>2290.1299999999983</v>
      </c>
      <c r="P31" s="3">
        <f t="shared" si="8"/>
        <v>482.36000000000007</v>
      </c>
      <c r="Q31" s="3">
        <f t="shared" si="9"/>
        <v>448.48000000000008</v>
      </c>
      <c r="R31" s="3">
        <f t="shared" si="10"/>
        <v>23.880000000000003</v>
      </c>
      <c r="S31" s="3">
        <f>IF($L31&lt;&gt;"",IF($A31="Prepago",0,IF($H31*$U$6&gt;SUM($S$11:$S30)+$U$6,$U$6*2,$U$6)),"")</f>
        <v>0</v>
      </c>
      <c r="T31" s="3">
        <f>IF($L31&lt;&gt;"",IF($A31="Prepago",0,IF($H31*$U$7&gt;SUM($T$11:$T30)+$U$7,$U$7*2,$U$7)),"")</f>
        <v>0</v>
      </c>
      <c r="U31" s="3">
        <f>IF($L31&lt;&gt;"",IF($A31="Prepago",0,IF($H31*$U$8&gt;SUM($U$11:$U30)+$U$8,$U$8*2,$U$8)),"")</f>
        <v>10</v>
      </c>
      <c r="V31" s="3">
        <f t="shared" si="11"/>
        <v>1841.6499999999983</v>
      </c>
      <c r="W31" s="3">
        <f t="shared" si="12"/>
        <v>0</v>
      </c>
      <c r="X31" s="3">
        <f t="shared" si="13"/>
        <v>23.880000000000003</v>
      </c>
      <c r="Y31" s="3">
        <f t="shared" si="14"/>
        <v>23.1</v>
      </c>
      <c r="Z31" s="3">
        <f>IF($L31&lt;&gt;"",IF($N31&gt;Y$11,IF($N31&lt;Z$11,$N31-Y$11,30),0)*ROUND(($O31+$W30+SUM($Y31:Y31))*$V$5/3000,2),"")</f>
        <v>0.78</v>
      </c>
      <c r="AA31" s="3"/>
      <c r="AB31" s="3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</row>
    <row r="32" spans="1:85" x14ac:dyDescent="0.25">
      <c r="E32" s="5"/>
      <c r="F32" t="str">
        <f t="shared" si="0"/>
        <v>do</v>
      </c>
      <c r="G32" s="5">
        <f t="shared" si="1"/>
        <v>44408</v>
      </c>
      <c r="H32" s="22">
        <f t="shared" si="2"/>
        <v>21</v>
      </c>
      <c r="I32" s="22">
        <f t="shared" si="3"/>
        <v>0</v>
      </c>
      <c r="J32" s="22">
        <f t="shared" si="4"/>
        <v>0</v>
      </c>
      <c r="K32" s="22">
        <f t="shared" si="15"/>
        <v>0</v>
      </c>
      <c r="L32">
        <f t="shared" si="5"/>
        <v>21</v>
      </c>
      <c r="M32" s="5">
        <f t="shared" si="16"/>
        <v>44402</v>
      </c>
      <c r="N32" s="9">
        <f t="shared" si="6"/>
        <v>30</v>
      </c>
      <c r="O32" s="3">
        <f t="shared" si="7"/>
        <v>1841.6499999999983</v>
      </c>
      <c r="P32" s="3">
        <f t="shared" si="8"/>
        <v>482.36000000000007</v>
      </c>
      <c r="Q32" s="3">
        <f t="shared" si="9"/>
        <v>453.76000000000005</v>
      </c>
      <c r="R32" s="3">
        <f t="shared" si="10"/>
        <v>18.600000000000001</v>
      </c>
      <c r="S32" s="3">
        <f>IF($L32&lt;&gt;"",IF($A32="Prepago",0,IF($H32*$U$6&gt;SUM($S$11:$S31)+$U$6,$U$6*2,$U$6)),"")</f>
        <v>0</v>
      </c>
      <c r="T32" s="3">
        <f>IF($L32&lt;&gt;"",IF($A32="Prepago",0,IF($H32*$U$7&gt;SUM($T$11:$T31)+$U$7,$U$7*2,$U$7)),"")</f>
        <v>0</v>
      </c>
      <c r="U32" s="3">
        <f>IF($L32&lt;&gt;"",IF($A32="Prepago",0,IF($H32*$U$8&gt;SUM($U$11:$U31)+$U$8,$U$8*2,$U$8)),"")</f>
        <v>10</v>
      </c>
      <c r="V32" s="3">
        <f t="shared" si="11"/>
        <v>1387.8899999999983</v>
      </c>
      <c r="W32" s="3">
        <f t="shared" si="12"/>
        <v>0</v>
      </c>
      <c r="X32" s="3">
        <f t="shared" si="13"/>
        <v>18.600000000000001</v>
      </c>
      <c r="Y32" s="3">
        <f t="shared" si="14"/>
        <v>18.600000000000001</v>
      </c>
      <c r="Z32" s="3">
        <f>IF($L32&lt;&gt;"",IF($N32&gt;Y$11,IF($N32&lt;Z$11,$N32-Y$11,30),0)*ROUND(($O32+$W31+SUM($Y32:Y32))*$V$5/3000,2),"")</f>
        <v>0</v>
      </c>
      <c r="AA32" s="3"/>
      <c r="AB32" s="3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</row>
    <row r="33" spans="5:85" x14ac:dyDescent="0.25">
      <c r="E33" s="5"/>
      <c r="F33" t="str">
        <f t="shared" si="0"/>
        <v>mi</v>
      </c>
      <c r="G33" s="5">
        <f t="shared" si="1"/>
        <v>44439</v>
      </c>
      <c r="H33" s="22">
        <f t="shared" si="2"/>
        <v>22</v>
      </c>
      <c r="I33" s="22">
        <f t="shared" si="3"/>
        <v>0</v>
      </c>
      <c r="J33" s="22">
        <f t="shared" si="4"/>
        <v>0</v>
      </c>
      <c r="K33" s="22">
        <f t="shared" si="15"/>
        <v>0</v>
      </c>
      <c r="L33">
        <f t="shared" si="5"/>
        <v>22</v>
      </c>
      <c r="M33" s="5">
        <f t="shared" si="16"/>
        <v>44433</v>
      </c>
      <c r="N33" s="9">
        <f t="shared" si="6"/>
        <v>31</v>
      </c>
      <c r="O33" s="3">
        <f t="shared" si="7"/>
        <v>1387.8899999999983</v>
      </c>
      <c r="P33" s="3">
        <f t="shared" si="8"/>
        <v>482.36000000000007</v>
      </c>
      <c r="Q33" s="3">
        <f t="shared" si="9"/>
        <v>457.79000000000008</v>
      </c>
      <c r="R33" s="3">
        <f t="shared" si="10"/>
        <v>14.57</v>
      </c>
      <c r="S33" s="3">
        <f>IF($L33&lt;&gt;"",IF($A33="Prepago",0,IF($H33*$U$6&gt;SUM($S$11:$S32)+$U$6,$U$6*2,$U$6)),"")</f>
        <v>0</v>
      </c>
      <c r="T33" s="3">
        <f>IF($L33&lt;&gt;"",IF($A33="Prepago",0,IF($H33*$U$7&gt;SUM($T$11:$T32)+$U$7,$U$7*2,$U$7)),"")</f>
        <v>0</v>
      </c>
      <c r="U33" s="3">
        <f>IF($L33&lt;&gt;"",IF($A33="Prepago",0,IF($H33*$U$8&gt;SUM($U$11:$U32)+$U$8,$U$8*2,$U$8)),"")</f>
        <v>10</v>
      </c>
      <c r="V33" s="3">
        <f t="shared" si="11"/>
        <v>930.0999999999982</v>
      </c>
      <c r="W33" s="3">
        <f t="shared" si="12"/>
        <v>0</v>
      </c>
      <c r="X33" s="3">
        <f t="shared" si="13"/>
        <v>14.57</v>
      </c>
      <c r="Y33" s="3">
        <f t="shared" si="14"/>
        <v>14.1</v>
      </c>
      <c r="Z33" s="3">
        <f>IF($L33&lt;&gt;"",IF($N33&gt;Y$11,IF($N33&lt;Z$11,$N33-Y$11,30),0)*ROUND(($O33+$W32+SUM($Y33:Y33))*$V$5/3000,2),"")</f>
        <v>0.47</v>
      </c>
      <c r="AA33" s="3"/>
      <c r="AB33" s="3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</row>
    <row r="34" spans="5:85" x14ac:dyDescent="0.25">
      <c r="E34" s="5"/>
      <c r="F34" t="str">
        <f t="shared" si="0"/>
        <v>sá</v>
      </c>
      <c r="G34" s="5">
        <f t="shared" si="1"/>
        <v>44469</v>
      </c>
      <c r="H34" s="22">
        <f t="shared" si="2"/>
        <v>23</v>
      </c>
      <c r="I34" s="22">
        <f t="shared" si="3"/>
        <v>0</v>
      </c>
      <c r="J34" s="22">
        <f t="shared" si="4"/>
        <v>0</v>
      </c>
      <c r="K34" s="22">
        <f t="shared" si="15"/>
        <v>0</v>
      </c>
      <c r="L34">
        <f t="shared" si="5"/>
        <v>23</v>
      </c>
      <c r="M34" s="5">
        <f t="shared" si="16"/>
        <v>44464</v>
      </c>
      <c r="N34" s="9">
        <f t="shared" si="6"/>
        <v>31</v>
      </c>
      <c r="O34" s="3">
        <f t="shared" si="7"/>
        <v>930.0999999999982</v>
      </c>
      <c r="P34" s="3">
        <f t="shared" si="8"/>
        <v>482.36000000000007</v>
      </c>
      <c r="Q34" s="3">
        <f t="shared" si="9"/>
        <v>462.74000000000007</v>
      </c>
      <c r="R34" s="3">
        <f t="shared" si="10"/>
        <v>9.620000000000001</v>
      </c>
      <c r="S34" s="3">
        <f>IF($L34&lt;&gt;"",IF($A34="Prepago",0,IF($H34*$U$6&gt;SUM($S$11:$S33)+$U$6,$U$6*2,$U$6)),"")</f>
        <v>0</v>
      </c>
      <c r="T34" s="3">
        <f>IF($L34&lt;&gt;"",IF($A34="Prepago",0,IF($H34*$U$7&gt;SUM($T$11:$T33)+$U$7,$U$7*2,$U$7)),"")</f>
        <v>0</v>
      </c>
      <c r="U34" s="3">
        <f>IF($L34&lt;&gt;"",IF($A34="Prepago",0,IF($H34*$U$8&gt;SUM($U$11:$U33)+$U$8,$U$8*2,$U$8)),"")</f>
        <v>10</v>
      </c>
      <c r="V34" s="3">
        <f t="shared" si="11"/>
        <v>467.35999999999814</v>
      </c>
      <c r="W34" s="3">
        <f t="shared" si="12"/>
        <v>0</v>
      </c>
      <c r="X34" s="3">
        <f t="shared" si="13"/>
        <v>9.620000000000001</v>
      </c>
      <c r="Y34" s="3">
        <f t="shared" si="14"/>
        <v>9.3000000000000007</v>
      </c>
      <c r="Z34" s="3">
        <f>IF($L34&lt;&gt;"",IF($N34&gt;Y$11,IF($N34&lt;Z$11,$N34-Y$11,30),0)*ROUND(($O34+$W33+SUM($Y34:Y34))*$V$5/3000,2),"")</f>
        <v>0.32</v>
      </c>
      <c r="AA34" s="3"/>
      <c r="AB34" s="3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</row>
    <row r="35" spans="5:85" x14ac:dyDescent="0.25">
      <c r="E35" s="5"/>
      <c r="F35" t="str">
        <f t="shared" si="0"/>
        <v>lu</v>
      </c>
      <c r="G35" s="5">
        <f t="shared" si="1"/>
        <v>44500</v>
      </c>
      <c r="H35" s="22">
        <f t="shared" si="2"/>
        <v>24</v>
      </c>
      <c r="I35" s="22">
        <f t="shared" si="3"/>
        <v>0</v>
      </c>
      <c r="J35" s="22">
        <f t="shared" si="4"/>
        <v>0</v>
      </c>
      <c r="K35" s="22">
        <f t="shared" si="15"/>
        <v>0</v>
      </c>
      <c r="L35">
        <f t="shared" si="5"/>
        <v>24</v>
      </c>
      <c r="M35" s="5">
        <f t="shared" si="16"/>
        <v>44494</v>
      </c>
      <c r="N35" s="9">
        <f t="shared" si="6"/>
        <v>30</v>
      </c>
      <c r="O35" s="3">
        <f t="shared" si="7"/>
        <v>467.35999999999814</v>
      </c>
      <c r="P35" s="3">
        <f t="shared" si="8"/>
        <v>482.16000000000008</v>
      </c>
      <c r="Q35" s="3">
        <f t="shared" si="9"/>
        <v>467.36000000000007</v>
      </c>
      <c r="R35" s="3">
        <f t="shared" si="10"/>
        <v>4.8</v>
      </c>
      <c r="S35" s="3">
        <f>IF($L35&lt;&gt;"",IF($A35="Prepago",0,IF($H35*$U$6&gt;SUM($S$11:$S34)+$U$6,$U$6*2,$U$6)),"")</f>
        <v>0</v>
      </c>
      <c r="T35" s="3">
        <f>IF($L35&lt;&gt;"",IF($A35="Prepago",0,IF($H35*$U$7&gt;SUM($T$11:$T34)+$U$7,$U$7*2,$U$7)),"")</f>
        <v>0</v>
      </c>
      <c r="U35" s="3">
        <f>IF($L35&lt;&gt;"",IF($A35="Prepago",0,IF($H35*$U$8&gt;SUM($U$11:$U34)+$U$8,$U$8*2,$U$8)),"")</f>
        <v>10</v>
      </c>
      <c r="V35" s="3">
        <f t="shared" si="11"/>
        <v>-1.9326762412674725E-12</v>
      </c>
      <c r="W35" s="3">
        <f t="shared" si="12"/>
        <v>0</v>
      </c>
      <c r="X35" s="3">
        <f t="shared" si="13"/>
        <v>4.8</v>
      </c>
      <c r="Y35" s="3">
        <f t="shared" si="14"/>
        <v>4.8</v>
      </c>
      <c r="Z35" s="3">
        <f>IF($L35&lt;&gt;"",IF($N35&gt;Y$11,IF($N35&lt;Z$11,$N35-Y$11,30),0)*ROUND(($O35+$W34+SUM($Y35:Y35))*$V$5/3000,2),"")</f>
        <v>0</v>
      </c>
      <c r="AA35" s="3"/>
      <c r="AB35" s="3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</row>
    <row r="36" spans="5:85" x14ac:dyDescent="0.25">
      <c r="E36" s="5"/>
      <c r="F36" t="str">
        <f t="shared" si="0"/>
        <v/>
      </c>
      <c r="G36" s="5" t="str">
        <f t="shared" si="1"/>
        <v/>
      </c>
      <c r="H36" s="22" t="str">
        <f t="shared" si="2"/>
        <v/>
      </c>
      <c r="I36" s="22" t="str">
        <f t="shared" si="3"/>
        <v/>
      </c>
      <c r="J36" s="22" t="str">
        <f t="shared" si="4"/>
        <v/>
      </c>
      <c r="K36" s="22" t="str">
        <f t="shared" si="15"/>
        <v/>
      </c>
      <c r="L36" t="str">
        <f t="shared" si="5"/>
        <v/>
      </c>
      <c r="M36" s="5" t="str">
        <f t="shared" si="16"/>
        <v/>
      </c>
      <c r="N36" s="9" t="str">
        <f t="shared" si="6"/>
        <v/>
      </c>
      <c r="O36" s="3" t="str">
        <f t="shared" si="7"/>
        <v/>
      </c>
      <c r="P36" s="3" t="str">
        <f t="shared" si="8"/>
        <v/>
      </c>
      <c r="Q36" s="3" t="str">
        <f t="shared" si="9"/>
        <v/>
      </c>
      <c r="R36" s="3" t="str">
        <f t="shared" si="10"/>
        <v/>
      </c>
      <c r="S36" s="3" t="str">
        <f>IF($L36&lt;&gt;"",IF($A36="Prepago",0,IF($H36*$U$6&gt;SUM($S$11:$S35)+$U$6,$U$6*2,$U$6)),"")</f>
        <v/>
      </c>
      <c r="T36" s="3" t="str">
        <f>IF($L36&lt;&gt;"",IF($A36="Prepago",0,IF($H36*$U$7&gt;SUM($T$11:$T35)+$U$7,$U$7*2,$U$7)),"")</f>
        <v/>
      </c>
      <c r="U36" s="3" t="str">
        <f>IF($L36&lt;&gt;"",IF($A36="Prepago",0,IF($H36*$U$8&gt;SUM($U$11:$U35)+$U$8,$U$8*2,$U$8)),"")</f>
        <v/>
      </c>
      <c r="V36" s="3" t="str">
        <f t="shared" si="11"/>
        <v/>
      </c>
      <c r="W36" s="3" t="str">
        <f t="shared" si="12"/>
        <v/>
      </c>
      <c r="X36" s="3" t="str">
        <f t="shared" si="13"/>
        <v/>
      </c>
      <c r="Y36" s="3" t="str">
        <f t="shared" si="14"/>
        <v/>
      </c>
      <c r="Z36" s="3" t="str">
        <f>IF($L36&lt;&gt;"",IF($N36&gt;Y$11,IF($N36&lt;Z$11,$N36-Y$11,30),0)*ROUND(($O36+$W35+SUM($Y36:Y36))*$V$5/3000,2),"")</f>
        <v/>
      </c>
      <c r="AA36" s="3"/>
      <c r="AB36" s="3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</row>
    <row r="37" spans="5:85" x14ac:dyDescent="0.25">
      <c r="E37" s="5"/>
      <c r="F37" t="str">
        <f t="shared" si="0"/>
        <v/>
      </c>
      <c r="G37" s="5" t="str">
        <f t="shared" si="1"/>
        <v/>
      </c>
      <c r="H37" s="22" t="str">
        <f t="shared" si="2"/>
        <v/>
      </c>
      <c r="I37" s="22" t="str">
        <f t="shared" si="3"/>
        <v/>
      </c>
      <c r="J37" s="22" t="str">
        <f t="shared" si="4"/>
        <v/>
      </c>
      <c r="K37" s="22" t="str">
        <f t="shared" si="15"/>
        <v/>
      </c>
      <c r="L37" t="str">
        <f t="shared" si="5"/>
        <v/>
      </c>
      <c r="M37" s="5" t="str">
        <f t="shared" si="16"/>
        <v/>
      </c>
      <c r="N37" s="9" t="str">
        <f t="shared" si="6"/>
        <v/>
      </c>
      <c r="O37" s="3" t="str">
        <f t="shared" si="7"/>
        <v/>
      </c>
      <c r="P37" s="3" t="str">
        <f t="shared" si="8"/>
        <v/>
      </c>
      <c r="Q37" s="3" t="str">
        <f t="shared" si="9"/>
        <v/>
      </c>
      <c r="R37" s="3" t="str">
        <f t="shared" si="10"/>
        <v/>
      </c>
      <c r="S37" s="3" t="str">
        <f>IF($L37&lt;&gt;"",IF($A37="Prepago",0,IF($H37*$U$6&gt;SUM($S$11:$S36)+$U$6,$U$6*2,$U$6)),"")</f>
        <v/>
      </c>
      <c r="T37" s="3" t="str">
        <f>IF($L37&lt;&gt;"",IF($A37="Prepago",0,IF($H37*$U$7&gt;SUM($T$11:$T36)+$U$7,$U$7*2,$U$7)),"")</f>
        <v/>
      </c>
      <c r="U37" s="3" t="str">
        <f>IF($L37&lt;&gt;"",IF($A37="Prepago",0,IF($H37*$U$8&gt;SUM($U$11:$U36)+$U$8,$U$8*2,$U$8)),"")</f>
        <v/>
      </c>
      <c r="V37" s="3" t="str">
        <f t="shared" si="11"/>
        <v/>
      </c>
      <c r="W37" s="3" t="str">
        <f t="shared" si="12"/>
        <v/>
      </c>
      <c r="X37" s="3" t="str">
        <f t="shared" si="13"/>
        <v/>
      </c>
      <c r="Y37" s="3" t="str">
        <f t="shared" si="14"/>
        <v/>
      </c>
      <c r="Z37" s="3" t="str">
        <f>IF($L37&lt;&gt;"",IF($N37&gt;Y$11,IF($N37&lt;Z$11,$N37-Y$11,30),0)*ROUND(($O37+$W36+SUM($Y37:Y37))*$V$5/3000,2),"")</f>
        <v/>
      </c>
      <c r="AA37" s="3"/>
      <c r="AB37" s="3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</row>
    <row r="38" spans="5:85" x14ac:dyDescent="0.25">
      <c r="E38" s="5"/>
      <c r="F38" t="str">
        <f t="shared" si="0"/>
        <v/>
      </c>
      <c r="G38" s="5" t="str">
        <f t="shared" si="1"/>
        <v/>
      </c>
      <c r="H38" s="22" t="str">
        <f t="shared" si="2"/>
        <v/>
      </c>
      <c r="I38" s="22" t="str">
        <f t="shared" si="3"/>
        <v/>
      </c>
      <c r="J38" s="22" t="str">
        <f t="shared" si="4"/>
        <v/>
      </c>
      <c r="K38" s="22" t="str">
        <f t="shared" si="15"/>
        <v/>
      </c>
      <c r="L38" t="str">
        <f t="shared" si="5"/>
        <v/>
      </c>
      <c r="M38" s="5" t="str">
        <f t="shared" si="16"/>
        <v/>
      </c>
      <c r="N38" s="9" t="str">
        <f t="shared" si="6"/>
        <v/>
      </c>
      <c r="O38" s="3" t="str">
        <f t="shared" si="7"/>
        <v/>
      </c>
      <c r="P38" s="3" t="str">
        <f t="shared" si="8"/>
        <v/>
      </c>
      <c r="Q38" s="3" t="str">
        <f t="shared" si="9"/>
        <v/>
      </c>
      <c r="R38" s="3" t="str">
        <f t="shared" si="10"/>
        <v/>
      </c>
      <c r="S38" s="3" t="str">
        <f>IF($L38&lt;&gt;"",IF($A38="Prepago",0,IF($H38*$U$6&gt;SUM($S$11:$S37)+$U$6,$U$6*2,$U$6)),"")</f>
        <v/>
      </c>
      <c r="T38" s="3" t="str">
        <f>IF($L38&lt;&gt;"",IF($A38="Prepago",0,IF($H38*$U$7&gt;SUM($T$11:$T37)+$U$7,$U$7*2,$U$7)),"")</f>
        <v/>
      </c>
      <c r="U38" s="3" t="str">
        <f>IF($L38&lt;&gt;"",IF($A38="Prepago",0,IF($H38*$U$8&gt;SUM($U$11:$U37)+$U$8,$U$8*2,$U$8)),"")</f>
        <v/>
      </c>
      <c r="V38" s="3" t="str">
        <f t="shared" si="11"/>
        <v/>
      </c>
      <c r="W38" s="3" t="str">
        <f t="shared" si="12"/>
        <v/>
      </c>
      <c r="X38" s="3" t="str">
        <f t="shared" si="13"/>
        <v/>
      </c>
      <c r="Y38" s="3" t="str">
        <f t="shared" si="14"/>
        <v/>
      </c>
      <c r="Z38" s="3" t="str">
        <f>IF($L38&lt;&gt;"",IF($N38&gt;Y$11,IF($N38&lt;Z$11,$N38-Y$11,30),0)*ROUND(($O38+$W37+SUM($Y38:Y38))*$V$5/3000,2),"")</f>
        <v/>
      </c>
      <c r="AA38" s="3"/>
      <c r="AB38" s="3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</row>
    <row r="39" spans="5:85" x14ac:dyDescent="0.25">
      <c r="E39" s="5"/>
      <c r="F39" t="str">
        <f t="shared" si="0"/>
        <v/>
      </c>
      <c r="G39" s="5" t="str">
        <f t="shared" si="1"/>
        <v/>
      </c>
      <c r="H39" s="22" t="str">
        <f t="shared" si="2"/>
        <v/>
      </c>
      <c r="I39" s="22" t="str">
        <f t="shared" si="3"/>
        <v/>
      </c>
      <c r="J39" s="22" t="str">
        <f t="shared" si="4"/>
        <v/>
      </c>
      <c r="K39" s="22" t="str">
        <f t="shared" si="15"/>
        <v/>
      </c>
      <c r="L39" t="str">
        <f t="shared" si="5"/>
        <v/>
      </c>
      <c r="M39" s="5" t="str">
        <f t="shared" si="16"/>
        <v/>
      </c>
      <c r="N39" s="9" t="str">
        <f t="shared" si="6"/>
        <v/>
      </c>
      <c r="O39" s="3" t="str">
        <f t="shared" si="7"/>
        <v/>
      </c>
      <c r="P39" s="3" t="str">
        <f t="shared" si="8"/>
        <v/>
      </c>
      <c r="Q39" s="3" t="str">
        <f t="shared" si="9"/>
        <v/>
      </c>
      <c r="R39" s="3" t="str">
        <f t="shared" si="10"/>
        <v/>
      </c>
      <c r="S39" s="3" t="str">
        <f>IF($L39&lt;&gt;"",IF($A39="Prepago",0,IF($H39*$U$6&gt;SUM($S$11:$S38)+$U$6,$U$6*2,$U$6)),"")</f>
        <v/>
      </c>
      <c r="T39" s="3" t="str">
        <f>IF($L39&lt;&gt;"",IF($A39="Prepago",0,IF($H39*$U$7&gt;SUM($T$11:$T38)+$U$7,$U$7*2,$U$7)),"")</f>
        <v/>
      </c>
      <c r="U39" s="3" t="str">
        <f>IF($L39&lt;&gt;"",IF($A39="Prepago",0,IF($H39*$U$8&gt;SUM($U$11:$U38)+$U$8,$U$8*2,$U$8)),"")</f>
        <v/>
      </c>
      <c r="V39" s="3" t="str">
        <f t="shared" si="11"/>
        <v/>
      </c>
      <c r="W39" s="3" t="str">
        <f t="shared" si="12"/>
        <v/>
      </c>
      <c r="X39" s="3" t="str">
        <f t="shared" si="13"/>
        <v/>
      </c>
      <c r="Y39" s="3" t="str">
        <f t="shared" si="14"/>
        <v/>
      </c>
      <c r="Z39" s="3" t="str">
        <f>IF($L39&lt;&gt;"",IF($N39&gt;Y$11,IF($N39&lt;Z$11,$N39-Y$11,30),0)*ROUND(($O39+$W38+SUM($Y39:Y39))*$V$5/3000,2),"")</f>
        <v/>
      </c>
      <c r="AA39" s="3"/>
      <c r="AB39" s="3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</row>
    <row r="40" spans="5:85" x14ac:dyDescent="0.25">
      <c r="E40" s="5"/>
      <c r="F40" t="str">
        <f t="shared" si="0"/>
        <v/>
      </c>
      <c r="G40" s="5" t="str">
        <f t="shared" si="1"/>
        <v/>
      </c>
      <c r="H40" s="22" t="str">
        <f t="shared" si="2"/>
        <v/>
      </c>
      <c r="I40" s="22" t="str">
        <f t="shared" si="3"/>
        <v/>
      </c>
      <c r="J40" s="22" t="str">
        <f t="shared" si="4"/>
        <v/>
      </c>
      <c r="K40" s="22" t="str">
        <f t="shared" si="15"/>
        <v/>
      </c>
      <c r="L40" t="str">
        <f t="shared" si="5"/>
        <v/>
      </c>
      <c r="M40" s="5" t="str">
        <f t="shared" si="16"/>
        <v/>
      </c>
      <c r="N40" s="9" t="str">
        <f t="shared" si="6"/>
        <v/>
      </c>
      <c r="O40" s="3" t="str">
        <f t="shared" si="7"/>
        <v/>
      </c>
      <c r="P40" s="3" t="str">
        <f t="shared" si="8"/>
        <v/>
      </c>
      <c r="Q40" s="3" t="str">
        <f t="shared" si="9"/>
        <v/>
      </c>
      <c r="R40" s="3" t="str">
        <f t="shared" si="10"/>
        <v/>
      </c>
      <c r="S40" s="3" t="str">
        <f>IF($L40&lt;&gt;"",IF($A40="Prepago",0,IF($H40*$U$6&gt;SUM($S$11:$S39)+$U$6,$U$6*2,$U$6)),"")</f>
        <v/>
      </c>
      <c r="T40" s="3" t="str">
        <f>IF($L40&lt;&gt;"",IF($A40="Prepago",0,IF($H40*$U$7&gt;SUM($T$11:$T39)+$U$7,$U$7*2,$U$7)),"")</f>
        <v/>
      </c>
      <c r="U40" s="3" t="str">
        <f>IF($L40&lt;&gt;"",IF($A40="Prepago",0,IF($H40*$U$8&gt;SUM($U$11:$U39)+$U$8,$U$8*2,$U$8)),"")</f>
        <v/>
      </c>
      <c r="V40" s="3" t="str">
        <f t="shared" si="11"/>
        <v/>
      </c>
      <c r="W40" s="3" t="str">
        <f t="shared" si="12"/>
        <v/>
      </c>
      <c r="X40" s="3" t="str">
        <f t="shared" si="13"/>
        <v/>
      </c>
      <c r="Y40" s="3" t="str">
        <f t="shared" si="14"/>
        <v/>
      </c>
      <c r="Z40" s="3" t="str">
        <f>IF($L40&lt;&gt;"",IF($N40&gt;Y$11,IF($N40&lt;Z$11,$N40-Y$11,30),0)*ROUND(($O40+$W39+SUM($Y40:Y40))*$V$5/3000,2),"")</f>
        <v/>
      </c>
      <c r="AA40" s="3"/>
      <c r="AB40" s="3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</row>
    <row r="41" spans="5:85" x14ac:dyDescent="0.25">
      <c r="E41" s="5"/>
      <c r="F41" t="str">
        <f t="shared" si="0"/>
        <v/>
      </c>
      <c r="G41" s="5" t="str">
        <f t="shared" si="1"/>
        <v/>
      </c>
      <c r="H41" s="22" t="str">
        <f t="shared" si="2"/>
        <v/>
      </c>
      <c r="I41" s="22" t="str">
        <f t="shared" si="3"/>
        <v/>
      </c>
      <c r="J41" s="22" t="str">
        <f t="shared" si="4"/>
        <v/>
      </c>
      <c r="K41" s="22" t="str">
        <f t="shared" si="15"/>
        <v/>
      </c>
      <c r="L41" t="str">
        <f t="shared" si="5"/>
        <v/>
      </c>
      <c r="M41" s="5" t="str">
        <f t="shared" si="16"/>
        <v/>
      </c>
      <c r="N41" s="9" t="str">
        <f t="shared" si="6"/>
        <v/>
      </c>
      <c r="O41" s="3" t="str">
        <f t="shared" si="7"/>
        <v/>
      </c>
      <c r="P41" s="3" t="str">
        <f t="shared" si="8"/>
        <v/>
      </c>
      <c r="Q41" s="3" t="str">
        <f t="shared" si="9"/>
        <v/>
      </c>
      <c r="R41" s="3" t="str">
        <f t="shared" si="10"/>
        <v/>
      </c>
      <c r="S41" s="3" t="str">
        <f>IF($L41&lt;&gt;"",IF($A41="Prepago",0,IF($H41*$U$6&gt;SUM($S$11:$S40)+$U$6,$U$6*2,$U$6)),"")</f>
        <v/>
      </c>
      <c r="T41" s="3" t="str">
        <f>IF($L41&lt;&gt;"",IF($A41="Prepago",0,IF($H41*$U$7&gt;SUM($T$11:$T40)+$U$7,$U$7*2,$U$7)),"")</f>
        <v/>
      </c>
      <c r="U41" s="3" t="str">
        <f>IF($L41&lt;&gt;"",IF($A41="Prepago",0,IF($H41*$U$8&gt;SUM($U$11:$U40)+$U$8,$U$8*2,$U$8)),"")</f>
        <v/>
      </c>
      <c r="V41" s="3" t="str">
        <f t="shared" si="11"/>
        <v/>
      </c>
      <c r="W41" s="3" t="str">
        <f t="shared" si="12"/>
        <v/>
      </c>
      <c r="X41" s="3" t="str">
        <f t="shared" si="13"/>
        <v/>
      </c>
      <c r="Y41" s="3" t="str">
        <f t="shared" si="14"/>
        <v/>
      </c>
      <c r="Z41" s="3" t="str">
        <f>IF($L41&lt;&gt;"",IF($N41&gt;Y$11,IF($N41&lt;Z$11,$N41-Y$11,30),0)*ROUND(($O41+$W40+SUM($Y41:Y41))*$V$5/3000,2),"")</f>
        <v/>
      </c>
      <c r="AA41" s="3"/>
      <c r="AB41" s="3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</row>
    <row r="42" spans="5:85" x14ac:dyDescent="0.25">
      <c r="E42" s="5"/>
      <c r="F42" t="str">
        <f t="shared" si="0"/>
        <v/>
      </c>
      <c r="G42" s="5" t="str">
        <f t="shared" si="1"/>
        <v/>
      </c>
      <c r="H42" s="22" t="str">
        <f t="shared" si="2"/>
        <v/>
      </c>
      <c r="I42" s="22" t="str">
        <f t="shared" si="3"/>
        <v/>
      </c>
      <c r="J42" s="22" t="str">
        <f t="shared" si="4"/>
        <v/>
      </c>
      <c r="K42" s="22" t="str">
        <f t="shared" si="15"/>
        <v/>
      </c>
      <c r="L42" t="str">
        <f t="shared" si="5"/>
        <v/>
      </c>
      <c r="M42" s="5" t="str">
        <f t="shared" si="16"/>
        <v/>
      </c>
      <c r="N42" s="9" t="str">
        <f t="shared" si="6"/>
        <v/>
      </c>
      <c r="O42" s="3" t="str">
        <f t="shared" si="7"/>
        <v/>
      </c>
      <c r="P42" s="3" t="str">
        <f t="shared" si="8"/>
        <v/>
      </c>
      <c r="Q42" s="3" t="str">
        <f t="shared" si="9"/>
        <v/>
      </c>
      <c r="R42" s="3" t="str">
        <f t="shared" si="10"/>
        <v/>
      </c>
      <c r="S42" s="3" t="str">
        <f>IF($L42&lt;&gt;"",IF($A42="Prepago",0,IF($H42*$U$6&gt;SUM($S$11:$S41)+$U$6,$U$6*2,$U$6)),"")</f>
        <v/>
      </c>
      <c r="T42" s="3" t="str">
        <f>IF($L42&lt;&gt;"",IF($A42="Prepago",0,IF($H42*$U$7&gt;SUM($T$11:$T41)+$U$7,$U$7*2,$U$7)),"")</f>
        <v/>
      </c>
      <c r="U42" s="3" t="str">
        <f>IF($L42&lt;&gt;"",IF($A42="Prepago",0,IF($H42*$U$8&gt;SUM($U$11:$U41)+$U$8,$U$8*2,$U$8)),"")</f>
        <v/>
      </c>
      <c r="V42" s="3" t="str">
        <f t="shared" si="11"/>
        <v/>
      </c>
      <c r="W42" s="3" t="str">
        <f t="shared" si="12"/>
        <v/>
      </c>
      <c r="X42" s="3" t="str">
        <f t="shared" si="13"/>
        <v/>
      </c>
      <c r="Y42" s="3" t="str">
        <f t="shared" si="14"/>
        <v/>
      </c>
      <c r="Z42" s="3" t="str">
        <f>IF($L42&lt;&gt;"",IF($N42&gt;Y$11,IF($N42&lt;Z$11,$N42-Y$11,30),0)*ROUND(($O42+$W41+SUM($Y42:Y42))*$V$5/3000,2),"")</f>
        <v/>
      </c>
      <c r="AA42" s="3"/>
      <c r="AB42" s="3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</row>
    <row r="43" spans="5:85" x14ac:dyDescent="0.25">
      <c r="E43" s="5"/>
      <c r="F43" t="str">
        <f t="shared" si="0"/>
        <v/>
      </c>
      <c r="G43" s="5" t="str">
        <f t="shared" si="1"/>
        <v/>
      </c>
      <c r="H43" s="22" t="str">
        <f t="shared" si="2"/>
        <v/>
      </c>
      <c r="I43" s="22" t="str">
        <f t="shared" si="3"/>
        <v/>
      </c>
      <c r="J43" s="22" t="str">
        <f t="shared" si="4"/>
        <v/>
      </c>
      <c r="K43" s="22" t="str">
        <f t="shared" si="15"/>
        <v/>
      </c>
      <c r="L43" t="str">
        <f t="shared" si="5"/>
        <v/>
      </c>
      <c r="M43" s="5" t="str">
        <f t="shared" si="16"/>
        <v/>
      </c>
      <c r="N43" s="9" t="str">
        <f t="shared" si="6"/>
        <v/>
      </c>
      <c r="O43" s="3" t="str">
        <f t="shared" si="7"/>
        <v/>
      </c>
      <c r="P43" s="3" t="str">
        <f t="shared" si="8"/>
        <v/>
      </c>
      <c r="Q43" s="3" t="str">
        <f t="shared" si="9"/>
        <v/>
      </c>
      <c r="R43" s="3" t="str">
        <f t="shared" si="10"/>
        <v/>
      </c>
      <c r="S43" s="3" t="str">
        <f>IF($L43&lt;&gt;"",IF($A43="Prepago",0,IF($H43*$U$6&gt;SUM($S$11:$S42)+$U$6,$U$6*2,$U$6)),"")</f>
        <v/>
      </c>
      <c r="T43" s="3" t="str">
        <f>IF($L43&lt;&gt;"",IF($A43="Prepago",0,IF($H43*$U$7&gt;SUM($T$11:$T42)+$U$7,$U$7*2,$U$7)),"")</f>
        <v/>
      </c>
      <c r="U43" s="3" t="str">
        <f>IF($L43&lt;&gt;"",IF($A43="Prepago",0,IF($H43*$U$8&gt;SUM($U$11:$U42)+$U$8,$U$8*2,$U$8)),"")</f>
        <v/>
      </c>
      <c r="V43" s="3" t="str">
        <f t="shared" si="11"/>
        <v/>
      </c>
      <c r="W43" s="3" t="str">
        <f t="shared" si="12"/>
        <v/>
      </c>
      <c r="X43" s="3" t="str">
        <f t="shared" si="13"/>
        <v/>
      </c>
      <c r="Y43" s="3" t="str">
        <f t="shared" si="14"/>
        <v/>
      </c>
      <c r="Z43" s="3" t="str">
        <f>IF($L43&lt;&gt;"",IF($N43&gt;Y$11,IF($N43&lt;Z$11,$N43-Y$11,30),0)*ROUND(($O43+$W42+SUM($Y43:Y43))*$V$5/3000,2),"")</f>
        <v/>
      </c>
      <c r="AA43" s="3"/>
      <c r="AB43" s="3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</row>
    <row r="44" spans="5:85" x14ac:dyDescent="0.25">
      <c r="E44" s="5"/>
      <c r="F44" t="str">
        <f t="shared" ref="F44:F75" si="17">IF($L44&lt;&gt;"",TEXT(M44,"DDD"),"")</f>
        <v/>
      </c>
      <c r="G44" s="5" t="str">
        <f t="shared" ref="G44:G75" si="18">IF($L44&lt;&gt;"",EOMONTH($M$11,$H44+IF(MESADICIONAL=TRUE,1,0)),"")</f>
        <v/>
      </c>
      <c r="H44" s="22" t="str">
        <f t="shared" ref="H44:H75" si="19">IF($L44&lt;&gt;"",IF($A44="Prepago",$H43,$H43+1)+B44,"")</f>
        <v/>
      </c>
      <c r="I44" s="22" t="str">
        <f t="shared" ref="I44:I75" si="20">IF(L44&lt;&gt;"",IF(COUNTA($Y44:$XFD44)*30&lt;$N44,1,0),"")</f>
        <v/>
      </c>
      <c r="J44" s="22" t="str">
        <f t="shared" ref="J44:J76" si="21">IF($L44&lt;&gt;"",IF(OR(A44&lt;&gt;"",C44&lt;&gt;""),1,0),"")</f>
        <v/>
      </c>
      <c r="K44" s="22" t="str">
        <f t="shared" si="15"/>
        <v/>
      </c>
      <c r="L44" t="str">
        <f t="shared" ref="L44:L75" si="22">IF($L43&lt;NCUOTAS+CUOTAADICIONAL+PGRACIA,$L43+1,"")</f>
        <v/>
      </c>
      <c r="M44" s="5" t="str">
        <f t="shared" si="16"/>
        <v/>
      </c>
      <c r="N44" s="9" t="str">
        <f t="shared" ref="N44:N75" si="23">IF($L44&lt;&gt;"",$M44-$M43,"")</f>
        <v/>
      </c>
      <c r="O44" s="3" t="str">
        <f t="shared" ref="O44:O75" si="24">IF($L44&lt;&gt;"",$V43,"")</f>
        <v/>
      </c>
      <c r="P44" s="3" t="str">
        <f t="shared" ref="P44:P75" si="25">IF($L44&lt;&gt;"",IF($A44="Gracia Parcial",IF(AND($C44&lt;$X44+$S44+$T44+$U44+$W43,$C44&gt;0),$C44,$X44+$S44+$T44+$U44+$W43),IF($A44="Gracia Total",0,IF($A44="Prepago",$C44,IF(ISNUMBER($C44),$C44*VALUE(MID($C$1,MONTH($M44),1)),$Q$5*VALUE(MID($C$1,MONTH($M44),1))))))-IF($L45="",ARREGLO,0),"")</f>
        <v/>
      </c>
      <c r="Q44" s="3" t="str">
        <f t="shared" ref="Q44:Q75" si="26">IF($L44&lt;&gt;"",IF($P44-$R44&gt;0,$P44-$R44-$S44-$T44-$U44,0),"")</f>
        <v/>
      </c>
      <c r="R44" s="3" t="str">
        <f t="shared" ref="R44:R75" si="27">IF($L44&lt;&gt;"",IF($P44&gt;=IF($D44="",$X44,$D44)+$W43+$S44+$T44+$U44,IF($D44="",$X44,$D44)+$W43,$P44-$S44-$T44-$U44),"")</f>
        <v/>
      </c>
      <c r="S44" s="3" t="str">
        <f>IF($L44&lt;&gt;"",IF($A44="Prepago",0,IF($H44*$U$6&gt;SUM($S$11:$S43)+$U$6,$U$6*2,$U$6)),"")</f>
        <v/>
      </c>
      <c r="T44" s="3" t="str">
        <f>IF($L44&lt;&gt;"",IF($A44="Prepago",0,IF($H44*$U$7&gt;SUM($T$11:$T43)+$U$7,$U$7*2,$U$7)),"")</f>
        <v/>
      </c>
      <c r="U44" s="3" t="str">
        <f>IF($L44&lt;&gt;"",IF($A44="Prepago",0,IF($H44*$U$8&gt;SUM($U$11:$U43)+$U$8,$U$8*2,$U$8)),"")</f>
        <v/>
      </c>
      <c r="V44" s="3" t="str">
        <f t="shared" ref="V44:V75" si="28">IF($L44&lt;&gt;"",$O44-$Q44,"")</f>
        <v/>
      </c>
      <c r="W44" s="3" t="str">
        <f t="shared" ref="W44:W75" si="29">IF($L44&lt;&gt;"",+$W43+IF($D44="",$X44,$D44)-$R44,"")</f>
        <v/>
      </c>
      <c r="X44" s="3" t="str">
        <f t="shared" ref="X44:X75" si="30">IF($L44&lt;&gt;"",SUM($Y44:$XFD44),"")</f>
        <v/>
      </c>
      <c r="Y44" s="3" t="str">
        <f t="shared" ref="Y44:Y75" si="31">IF($L44&lt;&gt;"",IF($N44&gt;Y$11,30,$N44)*ROUND(($O44+$W43)*$V$5/3000,2),"")</f>
        <v/>
      </c>
      <c r="Z44" s="3" t="str">
        <f>IF($L44&lt;&gt;"",IF($N44&gt;Y$11,IF($N44&lt;Z$11,$N44-Y$11,30),0)*ROUND(($O44+$W43+SUM($Y44:Y44))*$V$5/3000,2),"")</f>
        <v/>
      </c>
      <c r="AA44" s="3"/>
      <c r="AB44" s="3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</row>
    <row r="45" spans="5:85" x14ac:dyDescent="0.25">
      <c r="E45" s="5"/>
      <c r="F45" t="str">
        <f t="shared" si="17"/>
        <v/>
      </c>
      <c r="G45" s="5" t="str">
        <f t="shared" si="18"/>
        <v/>
      </c>
      <c r="H45" s="22" t="str">
        <f t="shared" si="19"/>
        <v/>
      </c>
      <c r="I45" s="22" t="str">
        <f t="shared" si="20"/>
        <v/>
      </c>
      <c r="J45" s="22" t="str">
        <f t="shared" si="21"/>
        <v/>
      </c>
      <c r="K45" s="22" t="str">
        <f t="shared" si="15"/>
        <v/>
      </c>
      <c r="L45" t="str">
        <f t="shared" si="22"/>
        <v/>
      </c>
      <c r="M45" s="5" t="str">
        <f t="shared" si="16"/>
        <v/>
      </c>
      <c r="N45" s="9" t="str">
        <f t="shared" si="23"/>
        <v/>
      </c>
      <c r="O45" s="3" t="str">
        <f t="shared" si="24"/>
        <v/>
      </c>
      <c r="P45" s="3" t="str">
        <f t="shared" si="25"/>
        <v/>
      </c>
      <c r="Q45" s="3" t="str">
        <f t="shared" si="26"/>
        <v/>
      </c>
      <c r="R45" s="3" t="str">
        <f t="shared" si="27"/>
        <v/>
      </c>
      <c r="S45" s="3" t="str">
        <f>IF($L45&lt;&gt;"",IF($A45="Prepago",0,IF($H45*$U$6&gt;SUM($S$11:$S44)+$U$6,$U$6*2,$U$6)),"")</f>
        <v/>
      </c>
      <c r="T45" s="3" t="str">
        <f>IF($L45&lt;&gt;"",IF($A45="Prepago",0,IF($H45*$U$7&gt;SUM($T$11:$T44)+$U$7,$U$7*2,$U$7)),"")</f>
        <v/>
      </c>
      <c r="U45" s="3" t="str">
        <f>IF($L45&lt;&gt;"",IF($A45="Prepago",0,IF($H45*$U$8&gt;SUM($U$11:$U44)+$U$8,$U$8*2,$U$8)),"")</f>
        <v/>
      </c>
      <c r="V45" s="3" t="str">
        <f t="shared" si="28"/>
        <v/>
      </c>
      <c r="W45" s="3" t="str">
        <f t="shared" si="29"/>
        <v/>
      </c>
      <c r="X45" s="3" t="str">
        <f t="shared" si="30"/>
        <v/>
      </c>
      <c r="Y45" s="3" t="str">
        <f t="shared" si="31"/>
        <v/>
      </c>
      <c r="Z45" s="3" t="str">
        <f>IF($L45&lt;&gt;"",IF($N45&gt;Y$11,IF($N45&lt;Z$11,$N45-Y$11,30),0)*ROUND(($O45+$W44+SUM($Y45:Y45))*$V$5/3000,2),"")</f>
        <v/>
      </c>
      <c r="AA45" s="3"/>
      <c r="AB45" s="3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</row>
    <row r="46" spans="5:85" x14ac:dyDescent="0.25">
      <c r="E46" s="5"/>
      <c r="F46" t="str">
        <f t="shared" si="17"/>
        <v/>
      </c>
      <c r="G46" s="5" t="str">
        <f t="shared" si="18"/>
        <v/>
      </c>
      <c r="H46" s="22" t="str">
        <f t="shared" si="19"/>
        <v/>
      </c>
      <c r="I46" s="22" t="str">
        <f t="shared" si="20"/>
        <v/>
      </c>
      <c r="J46" s="22" t="str">
        <f t="shared" si="21"/>
        <v/>
      </c>
      <c r="K46" s="22" t="str">
        <f t="shared" si="15"/>
        <v/>
      </c>
      <c r="L46" t="str">
        <f t="shared" si="22"/>
        <v/>
      </c>
      <c r="M46" s="5" t="str">
        <f t="shared" si="16"/>
        <v/>
      </c>
      <c r="N46" s="9" t="str">
        <f t="shared" si="23"/>
        <v/>
      </c>
      <c r="O46" s="3" t="str">
        <f t="shared" si="24"/>
        <v/>
      </c>
      <c r="P46" s="3" t="str">
        <f t="shared" si="25"/>
        <v/>
      </c>
      <c r="Q46" s="3" t="str">
        <f t="shared" si="26"/>
        <v/>
      </c>
      <c r="R46" s="3" t="str">
        <f t="shared" si="27"/>
        <v/>
      </c>
      <c r="S46" s="3" t="str">
        <f>IF($L46&lt;&gt;"",IF($A46="Prepago",0,IF($H46*$U$6&gt;SUM($S$11:$S45)+$U$6,$U$6*2,$U$6)),"")</f>
        <v/>
      </c>
      <c r="T46" s="3" t="str">
        <f>IF($L46&lt;&gt;"",IF($A46="Prepago",0,IF($H46*$U$7&gt;SUM($T$11:$T45)+$U$7,$U$7*2,$U$7)),"")</f>
        <v/>
      </c>
      <c r="U46" s="3" t="str">
        <f>IF($L46&lt;&gt;"",IF($A46="Prepago",0,IF($H46*$U$8&gt;SUM($U$11:$U45)+$U$8,$U$8*2,$U$8)),"")</f>
        <v/>
      </c>
      <c r="V46" s="3" t="str">
        <f t="shared" si="28"/>
        <v/>
      </c>
      <c r="W46" s="3" t="str">
        <f t="shared" si="29"/>
        <v/>
      </c>
      <c r="X46" s="3" t="str">
        <f t="shared" si="30"/>
        <v/>
      </c>
      <c r="Y46" s="3" t="str">
        <f t="shared" si="31"/>
        <v/>
      </c>
      <c r="Z46" s="3" t="str">
        <f>IF($L46&lt;&gt;"",IF($N46&gt;Y$11,IF($N46&lt;Z$11,$N46-Y$11,30),0)*ROUND(($O46+$W45+SUM($Y46:Y46))*$V$5/3000,2),"")</f>
        <v/>
      </c>
      <c r="AA46" s="3"/>
      <c r="AB46" s="3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</row>
    <row r="47" spans="5:85" x14ac:dyDescent="0.25">
      <c r="E47" s="5"/>
      <c r="F47" t="str">
        <f t="shared" si="17"/>
        <v/>
      </c>
      <c r="G47" s="5" t="str">
        <f t="shared" si="18"/>
        <v/>
      </c>
      <c r="H47" s="22" t="str">
        <f t="shared" si="19"/>
        <v/>
      </c>
      <c r="I47" s="22" t="str">
        <f t="shared" si="20"/>
        <v/>
      </c>
      <c r="J47" s="22" t="str">
        <f t="shared" si="21"/>
        <v/>
      </c>
      <c r="K47" s="22" t="str">
        <f t="shared" si="15"/>
        <v/>
      </c>
      <c r="L47" t="str">
        <f t="shared" si="22"/>
        <v/>
      </c>
      <c r="M47" s="5" t="str">
        <f t="shared" si="16"/>
        <v/>
      </c>
      <c r="N47" s="9" t="str">
        <f t="shared" si="23"/>
        <v/>
      </c>
      <c r="O47" s="3" t="str">
        <f t="shared" si="24"/>
        <v/>
      </c>
      <c r="P47" s="3" t="str">
        <f t="shared" si="25"/>
        <v/>
      </c>
      <c r="Q47" s="3" t="str">
        <f t="shared" si="26"/>
        <v/>
      </c>
      <c r="R47" s="3" t="str">
        <f t="shared" si="27"/>
        <v/>
      </c>
      <c r="S47" s="3" t="str">
        <f>IF($L47&lt;&gt;"",IF($A47="Prepago",0,IF($H47*$U$6&gt;SUM($S$11:$S46)+$U$6,$U$6*2,$U$6)),"")</f>
        <v/>
      </c>
      <c r="T47" s="3" t="str">
        <f>IF($L47&lt;&gt;"",IF($A47="Prepago",0,IF($H47*$U$7&gt;SUM($T$11:$T46)+$U$7,$U$7*2,$U$7)),"")</f>
        <v/>
      </c>
      <c r="U47" s="3" t="str">
        <f>IF($L47&lt;&gt;"",IF($A47="Prepago",0,IF($H47*$U$8&gt;SUM($U$11:$U46)+$U$8,$U$8*2,$U$8)),"")</f>
        <v/>
      </c>
      <c r="V47" s="3" t="str">
        <f t="shared" si="28"/>
        <v/>
      </c>
      <c r="W47" s="3" t="str">
        <f t="shared" si="29"/>
        <v/>
      </c>
      <c r="X47" s="3" t="str">
        <f t="shared" si="30"/>
        <v/>
      </c>
      <c r="Y47" s="3" t="str">
        <f t="shared" si="31"/>
        <v/>
      </c>
      <c r="Z47" s="3" t="str">
        <f>IF($L47&lt;&gt;"",IF($N47&gt;Y$11,IF($N47&lt;Z$11,$N47-Y$11,30),0)*ROUND(($O47+$W46+SUM($Y47:Y47))*$V$5/3000,2),"")</f>
        <v/>
      </c>
      <c r="AA47" s="3"/>
      <c r="AB47" s="3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</row>
    <row r="48" spans="5:85" x14ac:dyDescent="0.25">
      <c r="E48" s="5"/>
      <c r="F48" t="str">
        <f t="shared" si="17"/>
        <v/>
      </c>
      <c r="G48" s="5" t="str">
        <f t="shared" si="18"/>
        <v/>
      </c>
      <c r="H48" s="22" t="str">
        <f t="shared" si="19"/>
        <v/>
      </c>
      <c r="I48" s="22" t="str">
        <f t="shared" si="20"/>
        <v/>
      </c>
      <c r="J48" s="22" t="str">
        <f t="shared" si="21"/>
        <v/>
      </c>
      <c r="K48" s="22" t="str">
        <f t="shared" si="15"/>
        <v/>
      </c>
      <c r="L48" t="str">
        <f t="shared" si="22"/>
        <v/>
      </c>
      <c r="M48" s="5" t="str">
        <f t="shared" si="16"/>
        <v/>
      </c>
      <c r="N48" s="9" t="str">
        <f t="shared" si="23"/>
        <v/>
      </c>
      <c r="O48" s="3" t="str">
        <f t="shared" si="24"/>
        <v/>
      </c>
      <c r="P48" s="3" t="str">
        <f t="shared" si="25"/>
        <v/>
      </c>
      <c r="Q48" s="3" t="str">
        <f t="shared" si="26"/>
        <v/>
      </c>
      <c r="R48" s="3" t="str">
        <f t="shared" si="27"/>
        <v/>
      </c>
      <c r="S48" s="3" t="str">
        <f>IF($L48&lt;&gt;"",IF($A48="Prepago",0,IF($H48*$U$6&gt;SUM($S$11:$S47)+$U$6,$U$6*2,$U$6)),"")</f>
        <v/>
      </c>
      <c r="T48" s="3" t="str">
        <f>IF($L48&lt;&gt;"",IF($A48="Prepago",0,IF($H48*$U$7&gt;SUM($T$11:$T47)+$U$7,$U$7*2,$U$7)),"")</f>
        <v/>
      </c>
      <c r="U48" s="3" t="str">
        <f>IF($L48&lt;&gt;"",IF($A48="Prepago",0,IF($H48*$U$8&gt;SUM($U$11:$U47)+$U$8,$U$8*2,$U$8)),"")</f>
        <v/>
      </c>
      <c r="V48" s="3" t="str">
        <f t="shared" si="28"/>
        <v/>
      </c>
      <c r="W48" s="3" t="str">
        <f t="shared" si="29"/>
        <v/>
      </c>
      <c r="X48" s="3" t="str">
        <f t="shared" si="30"/>
        <v/>
      </c>
      <c r="Y48" s="3" t="str">
        <f t="shared" si="31"/>
        <v/>
      </c>
      <c r="Z48" s="3" t="str">
        <f>IF($L48&lt;&gt;"",IF($N48&gt;Y$11,IF($N48&lt;Z$11,$N48-Y$11,30),0)*ROUND(($O48+$W47+SUM($Y48:Y48))*$V$5/3000,2),"")</f>
        <v/>
      </c>
      <c r="AA48" s="3"/>
      <c r="AB48" s="3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</row>
    <row r="49" spans="5:85" x14ac:dyDescent="0.25">
      <c r="E49" s="5"/>
      <c r="F49" t="str">
        <f t="shared" si="17"/>
        <v/>
      </c>
      <c r="G49" s="5" t="str">
        <f t="shared" si="18"/>
        <v/>
      </c>
      <c r="H49" s="22" t="str">
        <f t="shared" si="19"/>
        <v/>
      </c>
      <c r="I49" s="22" t="str">
        <f t="shared" si="20"/>
        <v/>
      </c>
      <c r="J49" s="22" t="str">
        <f t="shared" si="21"/>
        <v/>
      </c>
      <c r="K49" s="22" t="str">
        <f t="shared" si="15"/>
        <v/>
      </c>
      <c r="L49" t="str">
        <f t="shared" si="22"/>
        <v/>
      </c>
      <c r="M49" s="5" t="str">
        <f t="shared" si="16"/>
        <v/>
      </c>
      <c r="N49" s="9" t="str">
        <f t="shared" si="23"/>
        <v/>
      </c>
      <c r="O49" s="3" t="str">
        <f t="shared" si="24"/>
        <v/>
      </c>
      <c r="P49" s="3" t="str">
        <f t="shared" si="25"/>
        <v/>
      </c>
      <c r="Q49" s="3" t="str">
        <f t="shared" si="26"/>
        <v/>
      </c>
      <c r="R49" s="3" t="str">
        <f t="shared" si="27"/>
        <v/>
      </c>
      <c r="S49" s="3" t="str">
        <f>IF($L49&lt;&gt;"",IF($A49="Prepago",0,IF($H49*$U$6&gt;SUM($S$11:$S48)+$U$6,$U$6*2,$U$6)),"")</f>
        <v/>
      </c>
      <c r="T49" s="3" t="str">
        <f>IF($L49&lt;&gt;"",IF($A49="Prepago",0,IF($H49*$U$7&gt;SUM($T$11:$T48)+$U$7,$U$7*2,$U$7)),"")</f>
        <v/>
      </c>
      <c r="U49" s="3" t="str">
        <f>IF($L49&lt;&gt;"",IF($A49="Prepago",0,IF($H49*$U$8&gt;SUM($U$11:$U48)+$U$8,$U$8*2,$U$8)),"")</f>
        <v/>
      </c>
      <c r="V49" s="3" t="str">
        <f t="shared" si="28"/>
        <v/>
      </c>
      <c r="W49" s="3" t="str">
        <f t="shared" si="29"/>
        <v/>
      </c>
      <c r="X49" s="3" t="str">
        <f t="shared" si="30"/>
        <v/>
      </c>
      <c r="Y49" s="3" t="str">
        <f t="shared" si="31"/>
        <v/>
      </c>
      <c r="Z49" s="3" t="str">
        <f>IF($L49&lt;&gt;"",IF($N49&gt;Y$11,IF($N49&lt;Z$11,$N49-Y$11,30),0)*ROUND(($O49+$W48+SUM($Y49:Y49))*$V$5/3000,2),"")</f>
        <v/>
      </c>
      <c r="AA49" s="3"/>
      <c r="AB49" s="3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</row>
    <row r="50" spans="5:85" x14ac:dyDescent="0.25">
      <c r="E50" s="5"/>
      <c r="F50" t="str">
        <f t="shared" si="17"/>
        <v/>
      </c>
      <c r="G50" s="5" t="str">
        <f t="shared" si="18"/>
        <v/>
      </c>
      <c r="H50" s="22" t="str">
        <f t="shared" si="19"/>
        <v/>
      </c>
      <c r="I50" s="22" t="str">
        <f t="shared" si="20"/>
        <v/>
      </c>
      <c r="J50" s="22" t="str">
        <f t="shared" si="21"/>
        <v/>
      </c>
      <c r="K50" s="22" t="str">
        <f t="shared" si="15"/>
        <v/>
      </c>
      <c r="L50" t="str">
        <f t="shared" si="22"/>
        <v/>
      </c>
      <c r="M50" s="5" t="str">
        <f t="shared" si="16"/>
        <v/>
      </c>
      <c r="N50" s="9" t="str">
        <f t="shared" si="23"/>
        <v/>
      </c>
      <c r="O50" s="3" t="str">
        <f t="shared" si="24"/>
        <v/>
      </c>
      <c r="P50" s="3" t="str">
        <f t="shared" si="25"/>
        <v/>
      </c>
      <c r="Q50" s="3" t="str">
        <f t="shared" si="26"/>
        <v/>
      </c>
      <c r="R50" s="3" t="str">
        <f t="shared" si="27"/>
        <v/>
      </c>
      <c r="S50" s="3" t="str">
        <f>IF($L50&lt;&gt;"",IF($A50="Prepago",0,IF($H50*$U$6&gt;SUM($S$11:$S49)+$U$6,$U$6*2,$U$6)),"")</f>
        <v/>
      </c>
      <c r="T50" s="3" t="str">
        <f>IF($L50&lt;&gt;"",IF($A50="Prepago",0,IF($H50*$U$7&gt;SUM($T$11:$T49)+$U$7,$U$7*2,$U$7)),"")</f>
        <v/>
      </c>
      <c r="U50" s="3" t="str">
        <f>IF($L50&lt;&gt;"",IF($A50="Prepago",0,IF($H50*$U$8&gt;SUM($U$11:$U49)+$U$8,$U$8*2,$U$8)),"")</f>
        <v/>
      </c>
      <c r="V50" s="3" t="str">
        <f t="shared" si="28"/>
        <v/>
      </c>
      <c r="W50" s="3" t="str">
        <f t="shared" si="29"/>
        <v/>
      </c>
      <c r="X50" s="3" t="str">
        <f t="shared" si="30"/>
        <v/>
      </c>
      <c r="Y50" s="3" t="str">
        <f t="shared" si="31"/>
        <v/>
      </c>
      <c r="Z50" s="3" t="str">
        <f>IF($L50&lt;&gt;"",IF($N50&gt;Y$11,IF($N50&lt;Z$11,$N50-Y$11,30),0)*ROUND(($O50+$W49+SUM($Y50:Y50))*$V$5/3000,2),"")</f>
        <v/>
      </c>
      <c r="AA50" s="3"/>
      <c r="AB50" s="3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</row>
    <row r="51" spans="5:85" x14ac:dyDescent="0.25">
      <c r="E51" s="5"/>
      <c r="F51" t="str">
        <f t="shared" si="17"/>
        <v/>
      </c>
      <c r="G51" s="5" t="str">
        <f t="shared" si="18"/>
        <v/>
      </c>
      <c r="H51" s="22" t="str">
        <f t="shared" si="19"/>
        <v/>
      </c>
      <c r="I51" s="22" t="str">
        <f t="shared" si="20"/>
        <v/>
      </c>
      <c r="J51" s="22" t="str">
        <f t="shared" si="21"/>
        <v/>
      </c>
      <c r="K51" s="22" t="str">
        <f t="shared" si="15"/>
        <v/>
      </c>
      <c r="L51" t="str">
        <f t="shared" si="22"/>
        <v/>
      </c>
      <c r="M51" s="5" t="str">
        <f t="shared" si="16"/>
        <v/>
      </c>
      <c r="N51" s="9" t="str">
        <f t="shared" si="23"/>
        <v/>
      </c>
      <c r="O51" s="3" t="str">
        <f t="shared" si="24"/>
        <v/>
      </c>
      <c r="P51" s="3" t="str">
        <f t="shared" si="25"/>
        <v/>
      </c>
      <c r="Q51" s="3" t="str">
        <f t="shared" si="26"/>
        <v/>
      </c>
      <c r="R51" s="3" t="str">
        <f t="shared" si="27"/>
        <v/>
      </c>
      <c r="S51" s="3" t="str">
        <f>IF($L51&lt;&gt;"",IF($A51="Prepago",0,IF($H51*$U$6&gt;SUM($S$11:$S50)+$U$6,$U$6*2,$U$6)),"")</f>
        <v/>
      </c>
      <c r="T51" s="3" t="str">
        <f>IF($L51&lt;&gt;"",IF($A51="Prepago",0,IF($H51*$U$7&gt;SUM($T$11:$T50)+$U$7,$U$7*2,$U$7)),"")</f>
        <v/>
      </c>
      <c r="U51" s="3" t="str">
        <f>IF($L51&lt;&gt;"",IF($A51="Prepago",0,IF($H51*$U$8&gt;SUM($U$11:$U50)+$U$8,$U$8*2,$U$8)),"")</f>
        <v/>
      </c>
      <c r="V51" s="3" t="str">
        <f t="shared" si="28"/>
        <v/>
      </c>
      <c r="W51" s="3" t="str">
        <f t="shared" si="29"/>
        <v/>
      </c>
      <c r="X51" s="3" t="str">
        <f t="shared" si="30"/>
        <v/>
      </c>
      <c r="Y51" s="3" t="str">
        <f t="shared" si="31"/>
        <v/>
      </c>
      <c r="Z51" s="3" t="str">
        <f>IF($L51&lt;&gt;"",IF($N51&gt;Y$11,IF($N51&lt;Z$11,$N51-Y$11,30),0)*ROUND(($O51+$W50+SUM($Y51:Y51))*$V$5/3000,2),"")</f>
        <v/>
      </c>
      <c r="AA51" s="3"/>
      <c r="AB51" s="3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5:85" x14ac:dyDescent="0.25">
      <c r="E52" s="5"/>
      <c r="F52" t="str">
        <f t="shared" si="17"/>
        <v/>
      </c>
      <c r="G52" s="5" t="str">
        <f t="shared" si="18"/>
        <v/>
      </c>
      <c r="H52" s="22" t="str">
        <f t="shared" si="19"/>
        <v/>
      </c>
      <c r="I52" s="22" t="str">
        <f t="shared" si="20"/>
        <v/>
      </c>
      <c r="J52" s="22" t="str">
        <f t="shared" si="21"/>
        <v/>
      </c>
      <c r="K52" s="22" t="str">
        <f t="shared" si="15"/>
        <v/>
      </c>
      <c r="L52" t="str">
        <f t="shared" si="22"/>
        <v/>
      </c>
      <c r="M52" s="5" t="str">
        <f t="shared" si="16"/>
        <v/>
      </c>
      <c r="N52" s="9" t="str">
        <f t="shared" si="23"/>
        <v/>
      </c>
      <c r="O52" s="3" t="str">
        <f t="shared" si="24"/>
        <v/>
      </c>
      <c r="P52" s="3" t="str">
        <f t="shared" si="25"/>
        <v/>
      </c>
      <c r="Q52" s="3" t="str">
        <f t="shared" si="26"/>
        <v/>
      </c>
      <c r="R52" s="3" t="str">
        <f t="shared" si="27"/>
        <v/>
      </c>
      <c r="S52" s="3" t="str">
        <f>IF($L52&lt;&gt;"",IF($A52="Prepago",0,IF($H52*$U$6&gt;SUM($S$11:$S51)+$U$6,$U$6*2,$U$6)),"")</f>
        <v/>
      </c>
      <c r="T52" s="3" t="str">
        <f>IF($L52&lt;&gt;"",IF($A52="Prepago",0,IF($H52*$U$7&gt;SUM($T$11:$T51)+$U$7,$U$7*2,$U$7)),"")</f>
        <v/>
      </c>
      <c r="U52" s="3" t="str">
        <f>IF($L52&lt;&gt;"",IF($A52="Prepago",0,IF($H52*$U$8&gt;SUM($U$11:$U51)+$U$8,$U$8*2,$U$8)),"")</f>
        <v/>
      </c>
      <c r="V52" s="3" t="str">
        <f t="shared" si="28"/>
        <v/>
      </c>
      <c r="W52" s="3" t="str">
        <f t="shared" si="29"/>
        <v/>
      </c>
      <c r="X52" s="3" t="str">
        <f t="shared" si="30"/>
        <v/>
      </c>
      <c r="Y52" s="3" t="str">
        <f t="shared" si="31"/>
        <v/>
      </c>
      <c r="Z52" s="3" t="str">
        <f>IF($L52&lt;&gt;"",IF($N52&gt;Y$11,IF($N52&lt;Z$11,$N52-Y$11,30),0)*ROUND(($O52+$W51+SUM($Y52:Y52))*$V$5/3000,2),"")</f>
        <v/>
      </c>
      <c r="AA52" s="3"/>
      <c r="AB52" s="3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5:85" x14ac:dyDescent="0.25">
      <c r="E53" s="5"/>
      <c r="F53" t="str">
        <f t="shared" si="17"/>
        <v/>
      </c>
      <c r="G53" s="5" t="str">
        <f t="shared" si="18"/>
        <v/>
      </c>
      <c r="H53" s="22" t="str">
        <f t="shared" si="19"/>
        <v/>
      </c>
      <c r="I53" s="22" t="str">
        <f t="shared" si="20"/>
        <v/>
      </c>
      <c r="J53" s="22" t="str">
        <f t="shared" si="21"/>
        <v/>
      </c>
      <c r="K53" s="22" t="str">
        <f t="shared" si="15"/>
        <v/>
      </c>
      <c r="L53" t="str">
        <f t="shared" si="22"/>
        <v/>
      </c>
      <c r="M53" s="5" t="str">
        <f t="shared" si="16"/>
        <v/>
      </c>
      <c r="N53" s="9" t="str">
        <f t="shared" si="23"/>
        <v/>
      </c>
      <c r="O53" s="3" t="str">
        <f t="shared" si="24"/>
        <v/>
      </c>
      <c r="P53" s="3" t="str">
        <f t="shared" si="25"/>
        <v/>
      </c>
      <c r="Q53" s="3" t="str">
        <f t="shared" si="26"/>
        <v/>
      </c>
      <c r="R53" s="3" t="str">
        <f t="shared" si="27"/>
        <v/>
      </c>
      <c r="S53" s="3" t="str">
        <f>IF($L53&lt;&gt;"",IF($A53="Prepago",0,IF($H53*$U$6&gt;SUM($S$11:$S52)+$U$6,$U$6*2,$U$6)),"")</f>
        <v/>
      </c>
      <c r="T53" s="3" t="str">
        <f>IF($L53&lt;&gt;"",IF($A53="Prepago",0,IF($H53*$U$7&gt;SUM($T$11:$T52)+$U$7,$U$7*2,$U$7)),"")</f>
        <v/>
      </c>
      <c r="U53" s="3" t="str">
        <f>IF($L53&lt;&gt;"",IF($A53="Prepago",0,IF($H53*$U$8&gt;SUM($U$11:$U52)+$U$8,$U$8*2,$U$8)),"")</f>
        <v/>
      </c>
      <c r="V53" s="3" t="str">
        <f t="shared" si="28"/>
        <v/>
      </c>
      <c r="W53" s="3" t="str">
        <f t="shared" si="29"/>
        <v/>
      </c>
      <c r="X53" s="3" t="str">
        <f t="shared" si="30"/>
        <v/>
      </c>
      <c r="Y53" s="3" t="str">
        <f t="shared" si="31"/>
        <v/>
      </c>
      <c r="Z53" s="3" t="str">
        <f>IF($L53&lt;&gt;"",IF($N53&gt;Y$11,IF($N53&lt;Z$11,$N53-Y$11,30),0)*ROUND(($O53+$W52+SUM($Y53:Y53))*$V$5/3000,2),"")</f>
        <v/>
      </c>
      <c r="AA53" s="3"/>
      <c r="AB53" s="3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5:85" x14ac:dyDescent="0.25">
      <c r="E54" s="5"/>
      <c r="F54" t="str">
        <f t="shared" si="17"/>
        <v/>
      </c>
      <c r="G54" s="5" t="str">
        <f t="shared" si="18"/>
        <v/>
      </c>
      <c r="H54" s="22" t="str">
        <f t="shared" si="19"/>
        <v/>
      </c>
      <c r="I54" s="22" t="str">
        <f t="shared" si="20"/>
        <v/>
      </c>
      <c r="J54" s="22" t="str">
        <f t="shared" si="21"/>
        <v/>
      </c>
      <c r="K54" s="22" t="str">
        <f t="shared" si="15"/>
        <v/>
      </c>
      <c r="L54" t="str">
        <f t="shared" si="22"/>
        <v/>
      </c>
      <c r="M54" s="5" t="str">
        <f t="shared" si="16"/>
        <v/>
      </c>
      <c r="N54" s="9" t="str">
        <f t="shared" si="23"/>
        <v/>
      </c>
      <c r="O54" s="3" t="str">
        <f t="shared" si="24"/>
        <v/>
      </c>
      <c r="P54" s="3" t="str">
        <f t="shared" si="25"/>
        <v/>
      </c>
      <c r="Q54" s="3" t="str">
        <f t="shared" si="26"/>
        <v/>
      </c>
      <c r="R54" s="3" t="str">
        <f t="shared" si="27"/>
        <v/>
      </c>
      <c r="S54" s="3" t="str">
        <f>IF($L54&lt;&gt;"",IF($A54="Prepago",0,IF($H54*$U$6&gt;SUM($S$11:$S53)+$U$6,$U$6*2,$U$6)),"")</f>
        <v/>
      </c>
      <c r="T54" s="3" t="str">
        <f>IF($L54&lt;&gt;"",IF($A54="Prepago",0,IF($H54*$U$7&gt;SUM($T$11:$T53)+$U$7,$U$7*2,$U$7)),"")</f>
        <v/>
      </c>
      <c r="U54" s="3" t="str">
        <f>IF($L54&lt;&gt;"",IF($A54="Prepago",0,IF($H54*$U$8&gt;SUM($U$11:$U53)+$U$8,$U$8*2,$U$8)),"")</f>
        <v/>
      </c>
      <c r="V54" s="3" t="str">
        <f t="shared" si="28"/>
        <v/>
      </c>
      <c r="W54" s="3" t="str">
        <f t="shared" si="29"/>
        <v/>
      </c>
      <c r="X54" s="3" t="str">
        <f t="shared" si="30"/>
        <v/>
      </c>
      <c r="Y54" s="3" t="str">
        <f t="shared" si="31"/>
        <v/>
      </c>
      <c r="Z54" s="3" t="str">
        <f>IF($L54&lt;&gt;"",IF($N54&gt;Y$11,IF($N54&lt;Z$11,$N54-Y$11,30),0)*ROUND(($O54+$W53+SUM($Y54:Y54))*$V$5/3000,2),"")</f>
        <v/>
      </c>
      <c r="AA54" s="3"/>
      <c r="AB54" s="3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</row>
    <row r="55" spans="5:85" x14ac:dyDescent="0.25">
      <c r="E55" s="5"/>
      <c r="F55" t="str">
        <f t="shared" si="17"/>
        <v/>
      </c>
      <c r="G55" s="5" t="str">
        <f t="shared" si="18"/>
        <v/>
      </c>
      <c r="H55" s="22" t="str">
        <f t="shared" si="19"/>
        <v/>
      </c>
      <c r="I55" s="22" t="str">
        <f t="shared" si="20"/>
        <v/>
      </c>
      <c r="J55" s="22" t="str">
        <f t="shared" si="21"/>
        <v/>
      </c>
      <c r="K55" s="22" t="str">
        <f t="shared" si="15"/>
        <v/>
      </c>
      <c r="L55" t="str">
        <f t="shared" si="22"/>
        <v/>
      </c>
      <c r="M55" s="5" t="str">
        <f t="shared" si="16"/>
        <v/>
      </c>
      <c r="N55" s="9" t="str">
        <f t="shared" si="23"/>
        <v/>
      </c>
      <c r="O55" s="3" t="str">
        <f t="shared" si="24"/>
        <v/>
      </c>
      <c r="P55" s="3" t="str">
        <f t="shared" si="25"/>
        <v/>
      </c>
      <c r="Q55" s="3" t="str">
        <f t="shared" si="26"/>
        <v/>
      </c>
      <c r="R55" s="3" t="str">
        <f t="shared" si="27"/>
        <v/>
      </c>
      <c r="S55" s="3" t="str">
        <f>IF($L55&lt;&gt;"",IF($A55="Prepago",0,IF($H55*$U$6&gt;SUM($S$11:$S54)+$U$6,$U$6*2,$U$6)),"")</f>
        <v/>
      </c>
      <c r="T55" s="3" t="str">
        <f>IF($L55&lt;&gt;"",IF($A55="Prepago",0,IF($H55*$U$7&gt;SUM($T$11:$T54)+$U$7,$U$7*2,$U$7)),"")</f>
        <v/>
      </c>
      <c r="U55" s="3" t="str">
        <f>IF($L55&lt;&gt;"",IF($A55="Prepago",0,IF($H55*$U$8&gt;SUM($U$11:$U54)+$U$8,$U$8*2,$U$8)),"")</f>
        <v/>
      </c>
      <c r="V55" s="3" t="str">
        <f t="shared" si="28"/>
        <v/>
      </c>
      <c r="W55" s="3" t="str">
        <f t="shared" si="29"/>
        <v/>
      </c>
      <c r="X55" s="3" t="str">
        <f t="shared" si="30"/>
        <v/>
      </c>
      <c r="Y55" s="3" t="str">
        <f t="shared" si="31"/>
        <v/>
      </c>
      <c r="Z55" s="3" t="str">
        <f>IF($L55&lt;&gt;"",IF($N55&gt;Y$11,IF($N55&lt;Z$11,$N55-Y$11,30),0)*ROUND(($O55+$W54+SUM($Y55:Y55))*$V$5/3000,2),"")</f>
        <v/>
      </c>
      <c r="AA55" s="3"/>
      <c r="AB55" s="3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6" spans="5:85" x14ac:dyDescent="0.25">
      <c r="E56" s="5"/>
      <c r="F56" t="str">
        <f t="shared" si="17"/>
        <v/>
      </c>
      <c r="G56" s="5" t="str">
        <f t="shared" si="18"/>
        <v/>
      </c>
      <c r="H56" s="22" t="str">
        <f t="shared" si="19"/>
        <v/>
      </c>
      <c r="I56" s="22" t="str">
        <f t="shared" si="20"/>
        <v/>
      </c>
      <c r="J56" s="22" t="str">
        <f t="shared" si="21"/>
        <v/>
      </c>
      <c r="K56" s="22" t="str">
        <f t="shared" si="15"/>
        <v/>
      </c>
      <c r="L56" t="str">
        <f t="shared" si="22"/>
        <v/>
      </c>
      <c r="M56" s="5" t="str">
        <f t="shared" si="16"/>
        <v/>
      </c>
      <c r="N56" s="9" t="str">
        <f t="shared" si="23"/>
        <v/>
      </c>
      <c r="O56" s="3" t="str">
        <f t="shared" si="24"/>
        <v/>
      </c>
      <c r="P56" s="3" t="str">
        <f t="shared" si="25"/>
        <v/>
      </c>
      <c r="Q56" s="3" t="str">
        <f t="shared" si="26"/>
        <v/>
      </c>
      <c r="R56" s="3" t="str">
        <f t="shared" si="27"/>
        <v/>
      </c>
      <c r="S56" s="3" t="str">
        <f>IF($L56&lt;&gt;"",IF($A56="Prepago",0,IF($H56*$U$6&gt;SUM($S$11:$S55)+$U$6,$U$6*2,$U$6)),"")</f>
        <v/>
      </c>
      <c r="T56" s="3" t="str">
        <f>IF($L56&lt;&gt;"",IF($A56="Prepago",0,IF($H56*$U$7&gt;SUM($T$11:$T55)+$U$7,$U$7*2,$U$7)),"")</f>
        <v/>
      </c>
      <c r="U56" s="3" t="str">
        <f>IF($L56&lt;&gt;"",IF($A56="Prepago",0,IF($H56*$U$8&gt;SUM($U$11:$U55)+$U$8,$U$8*2,$U$8)),"")</f>
        <v/>
      </c>
      <c r="V56" s="3" t="str">
        <f t="shared" si="28"/>
        <v/>
      </c>
      <c r="W56" s="3" t="str">
        <f t="shared" si="29"/>
        <v/>
      </c>
      <c r="X56" s="3" t="str">
        <f t="shared" si="30"/>
        <v/>
      </c>
      <c r="Y56" s="3" t="str">
        <f t="shared" si="31"/>
        <v/>
      </c>
      <c r="Z56" s="3" t="str">
        <f>IF($L56&lt;&gt;"",IF($N56&gt;Y$11,IF($N56&lt;Z$11,$N56-Y$11,30),0)*ROUND(($O56+$W55+SUM($Y56:Y56))*$V$5/3000,2),"")</f>
        <v/>
      </c>
      <c r="AA56" s="3"/>
      <c r="AB56" s="3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</row>
    <row r="57" spans="5:85" x14ac:dyDescent="0.25">
      <c r="E57" s="5"/>
      <c r="F57" t="str">
        <f t="shared" si="17"/>
        <v/>
      </c>
      <c r="G57" s="5" t="str">
        <f t="shared" si="18"/>
        <v/>
      </c>
      <c r="H57" s="22" t="str">
        <f t="shared" si="19"/>
        <v/>
      </c>
      <c r="I57" s="22" t="str">
        <f t="shared" si="20"/>
        <v/>
      </c>
      <c r="J57" s="22" t="str">
        <f t="shared" si="21"/>
        <v/>
      </c>
      <c r="K57" s="22" t="str">
        <f t="shared" si="15"/>
        <v/>
      </c>
      <c r="L57" t="str">
        <f t="shared" si="22"/>
        <v/>
      </c>
      <c r="M57" s="5" t="str">
        <f t="shared" si="16"/>
        <v/>
      </c>
      <c r="N57" s="9" t="str">
        <f t="shared" si="23"/>
        <v/>
      </c>
      <c r="O57" s="3" t="str">
        <f t="shared" si="24"/>
        <v/>
      </c>
      <c r="P57" s="3" t="str">
        <f t="shared" si="25"/>
        <v/>
      </c>
      <c r="Q57" s="3" t="str">
        <f t="shared" si="26"/>
        <v/>
      </c>
      <c r="R57" s="3" t="str">
        <f t="shared" si="27"/>
        <v/>
      </c>
      <c r="S57" s="3" t="str">
        <f>IF($L57&lt;&gt;"",IF($A57="Prepago",0,IF($H57*$U$6&gt;SUM($S$11:$S56)+$U$6,$U$6*2,$U$6)),"")</f>
        <v/>
      </c>
      <c r="T57" s="3" t="str">
        <f>IF($L57&lt;&gt;"",IF($A57="Prepago",0,IF($H57*$U$7&gt;SUM($T$11:$T56)+$U$7,$U$7*2,$U$7)),"")</f>
        <v/>
      </c>
      <c r="U57" s="3" t="str">
        <f>IF($L57&lt;&gt;"",IF($A57="Prepago",0,IF($H57*$U$8&gt;SUM($U$11:$U56)+$U$8,$U$8*2,$U$8)),"")</f>
        <v/>
      </c>
      <c r="V57" s="3" t="str">
        <f t="shared" si="28"/>
        <v/>
      </c>
      <c r="W57" s="3" t="str">
        <f t="shared" si="29"/>
        <v/>
      </c>
      <c r="X57" s="3" t="str">
        <f t="shared" si="30"/>
        <v/>
      </c>
      <c r="Y57" s="3" t="str">
        <f t="shared" si="31"/>
        <v/>
      </c>
      <c r="Z57" s="3" t="str">
        <f>IF($L57&lt;&gt;"",IF($N57&gt;Y$11,IF($N57&lt;Z$11,$N57-Y$11,30),0)*ROUND(($O57+$W56+SUM($Y57:Y57))*$V$5/3000,2),"")</f>
        <v/>
      </c>
      <c r="AA57" s="3"/>
      <c r="AB57" s="3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</row>
    <row r="58" spans="5:85" x14ac:dyDescent="0.25">
      <c r="E58" s="5"/>
      <c r="F58" t="str">
        <f t="shared" si="17"/>
        <v/>
      </c>
      <c r="G58" s="5" t="str">
        <f t="shared" si="18"/>
        <v/>
      </c>
      <c r="H58" s="22" t="str">
        <f t="shared" si="19"/>
        <v/>
      </c>
      <c r="I58" s="22" t="str">
        <f t="shared" si="20"/>
        <v/>
      </c>
      <c r="J58" s="22" t="str">
        <f t="shared" si="21"/>
        <v/>
      </c>
      <c r="K58" s="22" t="str">
        <f t="shared" si="15"/>
        <v/>
      </c>
      <c r="L58" t="str">
        <f t="shared" si="22"/>
        <v/>
      </c>
      <c r="M58" s="5" t="str">
        <f t="shared" si="16"/>
        <v/>
      </c>
      <c r="N58" s="9" t="str">
        <f t="shared" si="23"/>
        <v/>
      </c>
      <c r="O58" s="3" t="str">
        <f t="shared" si="24"/>
        <v/>
      </c>
      <c r="P58" s="3" t="str">
        <f t="shared" si="25"/>
        <v/>
      </c>
      <c r="Q58" s="3" t="str">
        <f t="shared" si="26"/>
        <v/>
      </c>
      <c r="R58" s="3" t="str">
        <f t="shared" si="27"/>
        <v/>
      </c>
      <c r="S58" s="3" t="str">
        <f>IF($L58&lt;&gt;"",IF($A58="Prepago",0,IF($H58*$U$6&gt;SUM($S$11:$S57)+$U$6,$U$6*2,$U$6)),"")</f>
        <v/>
      </c>
      <c r="T58" s="3" t="str">
        <f>IF($L58&lt;&gt;"",IF($A58="Prepago",0,IF($H58*$U$7&gt;SUM($T$11:$T57)+$U$7,$U$7*2,$U$7)),"")</f>
        <v/>
      </c>
      <c r="U58" s="3" t="str">
        <f>IF($L58&lt;&gt;"",IF($A58="Prepago",0,IF($H58*$U$8&gt;SUM($U$11:$U57)+$U$8,$U$8*2,$U$8)),"")</f>
        <v/>
      </c>
      <c r="V58" s="3" t="str">
        <f t="shared" si="28"/>
        <v/>
      </c>
      <c r="W58" s="3" t="str">
        <f t="shared" si="29"/>
        <v/>
      </c>
      <c r="X58" s="3" t="str">
        <f t="shared" si="30"/>
        <v/>
      </c>
      <c r="Y58" s="3" t="str">
        <f t="shared" si="31"/>
        <v/>
      </c>
      <c r="Z58" s="3" t="str">
        <f>IF($L58&lt;&gt;"",IF($N58&gt;Y$11,IF($N58&lt;Z$11,$N58-Y$11,30),0)*ROUND(($O58+$W57+SUM($Y58:Y58))*$V$5/3000,2),"")</f>
        <v/>
      </c>
      <c r="AA58" s="3"/>
      <c r="AB58" s="3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</row>
    <row r="59" spans="5:85" x14ac:dyDescent="0.25">
      <c r="E59" s="5"/>
      <c r="F59" t="str">
        <f t="shared" si="17"/>
        <v/>
      </c>
      <c r="G59" s="5" t="str">
        <f t="shared" si="18"/>
        <v/>
      </c>
      <c r="H59" s="22" t="str">
        <f t="shared" si="19"/>
        <v/>
      </c>
      <c r="I59" s="22" t="str">
        <f t="shared" si="20"/>
        <v/>
      </c>
      <c r="J59" s="22" t="str">
        <f t="shared" si="21"/>
        <v/>
      </c>
      <c r="K59" s="22" t="str">
        <f t="shared" si="15"/>
        <v/>
      </c>
      <c r="L59" t="str">
        <f t="shared" si="22"/>
        <v/>
      </c>
      <c r="M59" s="5" t="str">
        <f t="shared" si="16"/>
        <v/>
      </c>
      <c r="N59" s="9" t="str">
        <f t="shared" si="23"/>
        <v/>
      </c>
      <c r="O59" s="3" t="str">
        <f t="shared" si="24"/>
        <v/>
      </c>
      <c r="P59" s="3" t="str">
        <f t="shared" si="25"/>
        <v/>
      </c>
      <c r="Q59" s="3" t="str">
        <f t="shared" si="26"/>
        <v/>
      </c>
      <c r="R59" s="3" t="str">
        <f t="shared" si="27"/>
        <v/>
      </c>
      <c r="S59" s="3" t="str">
        <f>IF($L59&lt;&gt;"",IF($A59="Prepago",0,IF($H59*$U$6&gt;SUM($S$11:$S58)+$U$6,$U$6*2,$U$6)),"")</f>
        <v/>
      </c>
      <c r="T59" s="3" t="str">
        <f>IF($L59&lt;&gt;"",IF($A59="Prepago",0,IF($H59*$U$7&gt;SUM($T$11:$T58)+$U$7,$U$7*2,$U$7)),"")</f>
        <v/>
      </c>
      <c r="U59" s="3" t="str">
        <f>IF($L59&lt;&gt;"",IF($A59="Prepago",0,IF($H59*$U$8&gt;SUM($U$11:$U58)+$U$8,$U$8*2,$U$8)),"")</f>
        <v/>
      </c>
      <c r="V59" s="3" t="str">
        <f t="shared" si="28"/>
        <v/>
      </c>
      <c r="W59" s="3" t="str">
        <f t="shared" si="29"/>
        <v/>
      </c>
      <c r="X59" s="3" t="str">
        <f t="shared" si="30"/>
        <v/>
      </c>
      <c r="Y59" s="3" t="str">
        <f t="shared" si="31"/>
        <v/>
      </c>
      <c r="Z59" s="3" t="str">
        <f>IF($L59&lt;&gt;"",IF($N59&gt;Y$11,IF($N59&lt;Z$11,$N59-Y$11,30),0)*ROUND(($O59+$W58+SUM($Y59:Y59))*$V$5/3000,2),"")</f>
        <v/>
      </c>
      <c r="AA59" s="3"/>
      <c r="AB59" s="3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</row>
    <row r="60" spans="5:85" x14ac:dyDescent="0.25">
      <c r="E60" s="5"/>
      <c r="F60" t="str">
        <f t="shared" si="17"/>
        <v/>
      </c>
      <c r="G60" s="5" t="str">
        <f t="shared" si="18"/>
        <v/>
      </c>
      <c r="H60" s="22" t="str">
        <f t="shared" si="19"/>
        <v/>
      </c>
      <c r="I60" s="22" t="str">
        <f t="shared" si="20"/>
        <v/>
      </c>
      <c r="J60" s="22" t="str">
        <f t="shared" si="21"/>
        <v/>
      </c>
      <c r="K60" s="22" t="str">
        <f t="shared" si="15"/>
        <v/>
      </c>
      <c r="L60" t="str">
        <f t="shared" si="22"/>
        <v/>
      </c>
      <c r="M60" s="5" t="str">
        <f t="shared" si="16"/>
        <v/>
      </c>
      <c r="N60" s="9" t="str">
        <f t="shared" si="23"/>
        <v/>
      </c>
      <c r="O60" s="3" t="str">
        <f t="shared" si="24"/>
        <v/>
      </c>
      <c r="P60" s="3" t="str">
        <f t="shared" si="25"/>
        <v/>
      </c>
      <c r="Q60" s="3" t="str">
        <f t="shared" si="26"/>
        <v/>
      </c>
      <c r="R60" s="3" t="str">
        <f t="shared" si="27"/>
        <v/>
      </c>
      <c r="S60" s="3" t="str">
        <f>IF($L60&lt;&gt;"",IF($A60="Prepago",0,IF($H60*$U$6&gt;SUM($S$11:$S59)+$U$6,$U$6*2,$U$6)),"")</f>
        <v/>
      </c>
      <c r="T60" s="3" t="str">
        <f>IF($L60&lt;&gt;"",IF($A60="Prepago",0,IF($H60*$U$7&gt;SUM($T$11:$T59)+$U$7,$U$7*2,$U$7)),"")</f>
        <v/>
      </c>
      <c r="U60" s="3" t="str">
        <f>IF($L60&lt;&gt;"",IF($A60="Prepago",0,IF($H60*$U$8&gt;SUM($U$11:$U59)+$U$8,$U$8*2,$U$8)),"")</f>
        <v/>
      </c>
      <c r="V60" s="3" t="str">
        <f t="shared" si="28"/>
        <v/>
      </c>
      <c r="W60" s="3" t="str">
        <f t="shared" si="29"/>
        <v/>
      </c>
      <c r="X60" s="3" t="str">
        <f t="shared" si="30"/>
        <v/>
      </c>
      <c r="Y60" s="3" t="str">
        <f t="shared" si="31"/>
        <v/>
      </c>
      <c r="Z60" s="3" t="str">
        <f>IF($L60&lt;&gt;"",IF($N60&gt;Y$11,IF($N60&lt;Z$11,$N60-Y$11,30),0)*ROUND(($O60+$W59+SUM($Y60:Y60))*$V$5/3000,2),"")</f>
        <v/>
      </c>
      <c r="AA60" s="3"/>
      <c r="AB60" s="3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</row>
    <row r="61" spans="5:85" x14ac:dyDescent="0.25">
      <c r="E61" s="5"/>
      <c r="F61" t="str">
        <f t="shared" si="17"/>
        <v/>
      </c>
      <c r="G61" s="5" t="str">
        <f t="shared" si="18"/>
        <v/>
      </c>
      <c r="H61" s="22" t="str">
        <f t="shared" si="19"/>
        <v/>
      </c>
      <c r="I61" s="22" t="str">
        <f t="shared" si="20"/>
        <v/>
      </c>
      <c r="J61" s="22" t="str">
        <f t="shared" si="21"/>
        <v/>
      </c>
      <c r="K61" s="22" t="str">
        <f t="shared" si="15"/>
        <v/>
      </c>
      <c r="L61" t="str">
        <f t="shared" si="22"/>
        <v/>
      </c>
      <c r="M61" s="5" t="str">
        <f t="shared" si="16"/>
        <v/>
      </c>
      <c r="N61" s="9" t="str">
        <f t="shared" si="23"/>
        <v/>
      </c>
      <c r="O61" s="3" t="str">
        <f t="shared" si="24"/>
        <v/>
      </c>
      <c r="P61" s="3" t="str">
        <f t="shared" si="25"/>
        <v/>
      </c>
      <c r="Q61" s="3" t="str">
        <f t="shared" si="26"/>
        <v/>
      </c>
      <c r="R61" s="3" t="str">
        <f t="shared" si="27"/>
        <v/>
      </c>
      <c r="S61" s="3" t="str">
        <f>IF($L61&lt;&gt;"",IF($A61="Prepago",0,IF($H61*$U$6&gt;SUM($S$11:$S60)+$U$6,$U$6*2,$U$6)),"")</f>
        <v/>
      </c>
      <c r="T61" s="3" t="str">
        <f>IF($L61&lt;&gt;"",IF($A61="Prepago",0,IF($H61*$U$7&gt;SUM($T$11:$T60)+$U$7,$U$7*2,$U$7)),"")</f>
        <v/>
      </c>
      <c r="U61" s="3" t="str">
        <f>IF($L61&lt;&gt;"",IF($A61="Prepago",0,IF($H61*$U$8&gt;SUM($U$11:$U60)+$U$8,$U$8*2,$U$8)),"")</f>
        <v/>
      </c>
      <c r="V61" s="3" t="str">
        <f t="shared" si="28"/>
        <v/>
      </c>
      <c r="W61" s="3" t="str">
        <f t="shared" si="29"/>
        <v/>
      </c>
      <c r="X61" s="3" t="str">
        <f t="shared" si="30"/>
        <v/>
      </c>
      <c r="Y61" s="3" t="str">
        <f t="shared" si="31"/>
        <v/>
      </c>
      <c r="Z61" s="3" t="str">
        <f>IF($L61&lt;&gt;"",IF($N61&gt;Y$11,IF($N61&lt;Z$11,$N61-Y$11,30),0)*ROUND(($O61+$W60+SUM($Y61:Y61))*$V$5/3000,2),"")</f>
        <v/>
      </c>
      <c r="AA61" s="3"/>
      <c r="AB61" s="3"/>
    </row>
    <row r="62" spans="5:85" x14ac:dyDescent="0.25">
      <c r="E62" s="5"/>
      <c r="F62" t="str">
        <f t="shared" si="17"/>
        <v/>
      </c>
      <c r="G62" s="5" t="str">
        <f t="shared" si="18"/>
        <v/>
      </c>
      <c r="H62" s="22" t="str">
        <f t="shared" si="19"/>
        <v/>
      </c>
      <c r="I62" s="22" t="str">
        <f t="shared" si="20"/>
        <v/>
      </c>
      <c r="J62" s="22" t="str">
        <f t="shared" si="21"/>
        <v/>
      </c>
      <c r="K62" s="22" t="str">
        <f t="shared" si="15"/>
        <v/>
      </c>
      <c r="L62" t="str">
        <f t="shared" si="22"/>
        <v/>
      </c>
      <c r="M62" s="5" t="str">
        <f t="shared" si="16"/>
        <v/>
      </c>
      <c r="N62" s="9" t="str">
        <f t="shared" si="23"/>
        <v/>
      </c>
      <c r="O62" s="3" t="str">
        <f t="shared" si="24"/>
        <v/>
      </c>
      <c r="P62" s="3" t="str">
        <f t="shared" si="25"/>
        <v/>
      </c>
      <c r="Q62" s="3" t="str">
        <f t="shared" si="26"/>
        <v/>
      </c>
      <c r="R62" s="3" t="str">
        <f t="shared" si="27"/>
        <v/>
      </c>
      <c r="S62" s="3" t="str">
        <f>IF($L62&lt;&gt;"",IF($A62="Prepago",0,IF($H62*$U$6&gt;SUM($S$11:$S61)+$U$6,$U$6*2,$U$6)),"")</f>
        <v/>
      </c>
      <c r="T62" s="3" t="str">
        <f>IF($L62&lt;&gt;"",IF($A62="Prepago",0,IF($H62*$U$7&gt;SUM($T$11:$T61)+$U$7,$U$7*2,$U$7)),"")</f>
        <v/>
      </c>
      <c r="U62" s="3" t="str">
        <f>IF($L62&lt;&gt;"",IF($A62="Prepago",0,IF($H62*$U$8&gt;SUM($U$11:$U61)+$U$8,$U$8*2,$U$8)),"")</f>
        <v/>
      </c>
      <c r="V62" s="3" t="str">
        <f t="shared" si="28"/>
        <v/>
      </c>
      <c r="W62" s="3" t="str">
        <f t="shared" si="29"/>
        <v/>
      </c>
      <c r="X62" s="3" t="str">
        <f t="shared" si="30"/>
        <v/>
      </c>
      <c r="Y62" s="3" t="str">
        <f t="shared" si="31"/>
        <v/>
      </c>
      <c r="Z62" s="3" t="str">
        <f>IF($L62&lt;&gt;"",IF($N62&gt;Y$11,IF($N62&lt;Z$11,$N62-Y$11,30),0)*ROUND(($O62+$W61+SUM($Y62:Y62))*$V$5/3000,2),"")</f>
        <v/>
      </c>
      <c r="AA62" s="3"/>
      <c r="AB62" s="3"/>
    </row>
    <row r="63" spans="5:85" x14ac:dyDescent="0.25">
      <c r="E63" s="5"/>
      <c r="F63" t="str">
        <f t="shared" si="17"/>
        <v/>
      </c>
      <c r="G63" s="5" t="str">
        <f t="shared" si="18"/>
        <v/>
      </c>
      <c r="H63" s="22" t="str">
        <f t="shared" si="19"/>
        <v/>
      </c>
      <c r="I63" s="22" t="str">
        <f t="shared" si="20"/>
        <v/>
      </c>
      <c r="J63" s="22" t="str">
        <f t="shared" si="21"/>
        <v/>
      </c>
      <c r="K63" s="22" t="str">
        <f t="shared" si="15"/>
        <v/>
      </c>
      <c r="L63" t="str">
        <f t="shared" si="22"/>
        <v/>
      </c>
      <c r="M63" s="5" t="str">
        <f t="shared" si="16"/>
        <v/>
      </c>
      <c r="N63" s="9" t="str">
        <f t="shared" si="23"/>
        <v/>
      </c>
      <c r="O63" s="3" t="str">
        <f t="shared" si="24"/>
        <v/>
      </c>
      <c r="P63" s="3" t="str">
        <f t="shared" si="25"/>
        <v/>
      </c>
      <c r="Q63" s="3" t="str">
        <f t="shared" si="26"/>
        <v/>
      </c>
      <c r="R63" s="3" t="str">
        <f t="shared" si="27"/>
        <v/>
      </c>
      <c r="S63" s="3" t="str">
        <f>IF($L63&lt;&gt;"",IF($A63="Prepago",0,IF($H63*$U$6&gt;SUM($S$11:$S62)+$U$6,$U$6*2,$U$6)),"")</f>
        <v/>
      </c>
      <c r="T63" s="3" t="str">
        <f>IF($L63&lt;&gt;"",IF($A63="Prepago",0,IF($H63*$U$7&gt;SUM($T$11:$T62)+$U$7,$U$7*2,$U$7)),"")</f>
        <v/>
      </c>
      <c r="U63" s="3" t="str">
        <f>IF($L63&lt;&gt;"",IF($A63="Prepago",0,IF($H63*$U$8&gt;SUM($U$11:$U62)+$U$8,$U$8*2,$U$8)),"")</f>
        <v/>
      </c>
      <c r="V63" s="3" t="str">
        <f t="shared" si="28"/>
        <v/>
      </c>
      <c r="W63" s="3" t="str">
        <f t="shared" si="29"/>
        <v/>
      </c>
      <c r="X63" s="3" t="str">
        <f t="shared" si="30"/>
        <v/>
      </c>
      <c r="Y63" s="3" t="str">
        <f t="shared" si="31"/>
        <v/>
      </c>
      <c r="Z63" s="3" t="str">
        <f>IF($L63&lt;&gt;"",IF($N63&gt;Y$11,IF($N63&lt;Z$11,$N63-Y$11,30),0)*ROUND(($O63+$W62+SUM($Y63:Y63))*$V$5/3000,2),"")</f>
        <v/>
      </c>
      <c r="AA63" s="3"/>
      <c r="AB63" s="3"/>
    </row>
    <row r="64" spans="5:85" x14ac:dyDescent="0.25">
      <c r="E64" s="5"/>
      <c r="F64" t="str">
        <f t="shared" si="17"/>
        <v/>
      </c>
      <c r="G64" s="5" t="str">
        <f t="shared" si="18"/>
        <v/>
      </c>
      <c r="H64" s="22" t="str">
        <f t="shared" si="19"/>
        <v/>
      </c>
      <c r="I64" s="22" t="str">
        <f t="shared" si="20"/>
        <v/>
      </c>
      <c r="J64" s="22" t="str">
        <f t="shared" si="21"/>
        <v/>
      </c>
      <c r="K64" s="22" t="str">
        <f t="shared" si="15"/>
        <v/>
      </c>
      <c r="L64" t="str">
        <f t="shared" si="22"/>
        <v/>
      </c>
      <c r="M64" s="5" t="str">
        <f t="shared" si="16"/>
        <v/>
      </c>
      <c r="N64" s="9" t="str">
        <f t="shared" si="23"/>
        <v/>
      </c>
      <c r="O64" s="3" t="str">
        <f t="shared" si="24"/>
        <v/>
      </c>
      <c r="P64" s="3" t="str">
        <f t="shared" si="25"/>
        <v/>
      </c>
      <c r="Q64" s="3" t="str">
        <f t="shared" si="26"/>
        <v/>
      </c>
      <c r="R64" s="3" t="str">
        <f t="shared" si="27"/>
        <v/>
      </c>
      <c r="S64" s="3" t="str">
        <f>IF($L64&lt;&gt;"",IF($A64="Prepago",0,IF($H64*$U$6&gt;SUM($S$11:$S63)+$U$6,$U$6*2,$U$6)),"")</f>
        <v/>
      </c>
      <c r="T64" s="3" t="str">
        <f>IF($L64&lt;&gt;"",IF($A64="Prepago",0,IF($H64*$U$7&gt;SUM($T$11:$T63)+$U$7,$U$7*2,$U$7)),"")</f>
        <v/>
      </c>
      <c r="U64" s="3" t="str">
        <f>IF($L64&lt;&gt;"",IF($A64="Prepago",0,IF($H64*$U$8&gt;SUM($U$11:$U63)+$U$8,$U$8*2,$U$8)),"")</f>
        <v/>
      </c>
      <c r="V64" s="3" t="str">
        <f t="shared" si="28"/>
        <v/>
      </c>
      <c r="W64" s="3" t="str">
        <f t="shared" si="29"/>
        <v/>
      </c>
      <c r="X64" s="3" t="str">
        <f t="shared" si="30"/>
        <v/>
      </c>
      <c r="Y64" s="3" t="str">
        <f t="shared" si="31"/>
        <v/>
      </c>
      <c r="Z64" s="3" t="str">
        <f>IF($L64&lt;&gt;"",IF($N64&gt;Y$11,IF($N64&lt;Z$11,$N64-Y$11,30),0)*ROUND(($O64+$W63+SUM($Y64:Y64))*$V$5/3000,2),"")</f>
        <v/>
      </c>
      <c r="AA64" s="3"/>
      <c r="AB64" s="3"/>
    </row>
    <row r="65" spans="5:28" x14ac:dyDescent="0.25">
      <c r="E65" s="5"/>
      <c r="F65" t="str">
        <f t="shared" si="17"/>
        <v/>
      </c>
      <c r="G65" s="5" t="str">
        <f t="shared" si="18"/>
        <v/>
      </c>
      <c r="H65" s="22" t="str">
        <f t="shared" si="19"/>
        <v/>
      </c>
      <c r="I65" s="22" t="str">
        <f t="shared" si="20"/>
        <v/>
      </c>
      <c r="J65" s="22" t="str">
        <f t="shared" si="21"/>
        <v/>
      </c>
      <c r="K65" s="22" t="str">
        <f t="shared" si="15"/>
        <v/>
      </c>
      <c r="L65" t="str">
        <f t="shared" si="22"/>
        <v/>
      </c>
      <c r="M65" s="5" t="str">
        <f t="shared" si="16"/>
        <v/>
      </c>
      <c r="N65" s="9" t="str">
        <f t="shared" si="23"/>
        <v/>
      </c>
      <c r="O65" s="3" t="str">
        <f t="shared" si="24"/>
        <v/>
      </c>
      <c r="P65" s="3" t="str">
        <f t="shared" si="25"/>
        <v/>
      </c>
      <c r="Q65" s="3" t="str">
        <f t="shared" si="26"/>
        <v/>
      </c>
      <c r="R65" s="3" t="str">
        <f t="shared" si="27"/>
        <v/>
      </c>
      <c r="S65" s="3" t="str">
        <f>IF($L65&lt;&gt;"",IF($A65="Prepago",0,IF($H65*$U$6&gt;SUM($S$11:$S64)+$U$6,$U$6*2,$U$6)),"")</f>
        <v/>
      </c>
      <c r="T65" s="3" t="str">
        <f>IF($L65&lt;&gt;"",IF($A65="Prepago",0,IF($H65*$U$7&gt;SUM($T$11:$T64)+$U$7,$U$7*2,$U$7)),"")</f>
        <v/>
      </c>
      <c r="U65" s="3" t="str">
        <f>IF($L65&lt;&gt;"",IF($A65="Prepago",0,IF($H65*$U$8&gt;SUM($U$11:$U64)+$U$8,$U$8*2,$U$8)),"")</f>
        <v/>
      </c>
      <c r="V65" s="3" t="str">
        <f t="shared" si="28"/>
        <v/>
      </c>
      <c r="W65" s="3" t="str">
        <f t="shared" si="29"/>
        <v/>
      </c>
      <c r="X65" s="3" t="str">
        <f t="shared" si="30"/>
        <v/>
      </c>
      <c r="Y65" s="3" t="str">
        <f t="shared" si="31"/>
        <v/>
      </c>
      <c r="Z65" s="3" t="str">
        <f>IF($L65&lt;&gt;"",IF($N65&gt;Y$11,IF($N65&lt;Z$11,$N65-Y$11,30),0)*ROUND(($O65+$W64+SUM($Y65:Y65))*$V$5/3000,2),"")</f>
        <v/>
      </c>
      <c r="AA65" s="3"/>
      <c r="AB65" s="3"/>
    </row>
    <row r="66" spans="5:28" x14ac:dyDescent="0.25">
      <c r="E66" s="5"/>
      <c r="F66" t="str">
        <f t="shared" si="17"/>
        <v/>
      </c>
      <c r="G66" s="5" t="str">
        <f t="shared" si="18"/>
        <v/>
      </c>
      <c r="H66" s="22" t="str">
        <f t="shared" si="19"/>
        <v/>
      </c>
      <c r="I66" s="22" t="str">
        <f t="shared" si="20"/>
        <v/>
      </c>
      <c r="J66" s="22" t="str">
        <f t="shared" si="21"/>
        <v/>
      </c>
      <c r="K66" s="22" t="str">
        <f t="shared" si="15"/>
        <v/>
      </c>
      <c r="L66" t="str">
        <f t="shared" si="22"/>
        <v/>
      </c>
      <c r="M66" s="5" t="str">
        <f t="shared" si="16"/>
        <v/>
      </c>
      <c r="N66" s="9" t="str">
        <f t="shared" si="23"/>
        <v/>
      </c>
      <c r="O66" s="3" t="str">
        <f t="shared" si="24"/>
        <v/>
      </c>
      <c r="P66" s="3" t="str">
        <f t="shared" si="25"/>
        <v/>
      </c>
      <c r="Q66" s="3" t="str">
        <f t="shared" si="26"/>
        <v/>
      </c>
      <c r="R66" s="3" t="str">
        <f t="shared" si="27"/>
        <v/>
      </c>
      <c r="S66" s="3" t="str">
        <f>IF($L66&lt;&gt;"",IF($A66="Prepago",0,IF($H66*$U$6&gt;SUM($S$11:$S65)+$U$6,$U$6*2,$U$6)),"")</f>
        <v/>
      </c>
      <c r="T66" s="3" t="str">
        <f>IF($L66&lt;&gt;"",IF($A66="Prepago",0,IF($H66*$U$7&gt;SUM($T$11:$T65)+$U$7,$U$7*2,$U$7)),"")</f>
        <v/>
      </c>
      <c r="U66" s="3" t="str">
        <f>IF($L66&lt;&gt;"",IF($A66="Prepago",0,IF($H66*$U$8&gt;SUM($U$11:$U65)+$U$8,$U$8*2,$U$8)),"")</f>
        <v/>
      </c>
      <c r="V66" s="3" t="str">
        <f t="shared" si="28"/>
        <v/>
      </c>
      <c r="W66" s="3" t="str">
        <f t="shared" si="29"/>
        <v/>
      </c>
      <c r="X66" s="3" t="str">
        <f t="shared" si="30"/>
        <v/>
      </c>
      <c r="Y66" s="3" t="str">
        <f t="shared" si="31"/>
        <v/>
      </c>
      <c r="Z66" s="3" t="str">
        <f>IF($L66&lt;&gt;"",IF($N66&gt;Y$11,IF($N66&lt;Z$11,$N66-Y$11,30),0)*ROUND(($O66+$W65+SUM($Y66:Y66))*$V$5/3000,2),"")</f>
        <v/>
      </c>
      <c r="AA66" s="3"/>
      <c r="AB66" s="3"/>
    </row>
    <row r="67" spans="5:28" x14ac:dyDescent="0.25">
      <c r="E67" s="5"/>
      <c r="F67" t="str">
        <f t="shared" si="17"/>
        <v/>
      </c>
      <c r="G67" s="5" t="str">
        <f t="shared" si="18"/>
        <v/>
      </c>
      <c r="H67" s="22" t="str">
        <f t="shared" si="19"/>
        <v/>
      </c>
      <c r="I67" s="22" t="str">
        <f t="shared" si="20"/>
        <v/>
      </c>
      <c r="J67" s="22" t="str">
        <f t="shared" si="21"/>
        <v/>
      </c>
      <c r="K67" s="22" t="str">
        <f t="shared" si="15"/>
        <v/>
      </c>
      <c r="L67" t="str">
        <f t="shared" si="22"/>
        <v/>
      </c>
      <c r="M67" s="5" t="str">
        <f t="shared" si="16"/>
        <v/>
      </c>
      <c r="N67" s="9" t="str">
        <f t="shared" si="23"/>
        <v/>
      </c>
      <c r="O67" s="3" t="str">
        <f t="shared" si="24"/>
        <v/>
      </c>
      <c r="P67" s="3" t="str">
        <f t="shared" si="25"/>
        <v/>
      </c>
      <c r="Q67" s="3" t="str">
        <f t="shared" si="26"/>
        <v/>
      </c>
      <c r="R67" s="3" t="str">
        <f t="shared" si="27"/>
        <v/>
      </c>
      <c r="S67" s="3" t="str">
        <f>IF($L67&lt;&gt;"",IF($A67="Prepago",0,IF($H67*$U$6&gt;SUM($S$11:$S66)+$U$6,$U$6*2,$U$6)),"")</f>
        <v/>
      </c>
      <c r="T67" s="3" t="str">
        <f>IF($L67&lt;&gt;"",IF($A67="Prepago",0,IF($H67*$U$7&gt;SUM($T$11:$T66)+$U$7,$U$7*2,$U$7)),"")</f>
        <v/>
      </c>
      <c r="U67" s="3" t="str">
        <f>IF($L67&lt;&gt;"",IF($A67="Prepago",0,IF($H67*$U$8&gt;SUM($U$11:$U66)+$U$8,$U$8*2,$U$8)),"")</f>
        <v/>
      </c>
      <c r="V67" s="3" t="str">
        <f t="shared" si="28"/>
        <v/>
      </c>
      <c r="W67" s="3" t="str">
        <f t="shared" si="29"/>
        <v/>
      </c>
      <c r="X67" s="3" t="str">
        <f t="shared" si="30"/>
        <v/>
      </c>
      <c r="Y67" s="3" t="str">
        <f t="shared" si="31"/>
        <v/>
      </c>
      <c r="Z67" s="3" t="str">
        <f>IF($L67&lt;&gt;"",IF($N67&gt;Y$11,IF($N67&lt;Z$11,$N67-Y$11,30),0)*ROUND(($O67+$W66+SUM($Y67:Y67))*$V$5/3000,2),"")</f>
        <v/>
      </c>
      <c r="AA67" s="3"/>
      <c r="AB67" s="3"/>
    </row>
    <row r="68" spans="5:28" x14ac:dyDescent="0.25">
      <c r="E68" s="5"/>
      <c r="F68" t="str">
        <f t="shared" si="17"/>
        <v/>
      </c>
      <c r="G68" s="5" t="str">
        <f t="shared" si="18"/>
        <v/>
      </c>
      <c r="H68" s="22" t="str">
        <f t="shared" si="19"/>
        <v/>
      </c>
      <c r="I68" s="22" t="str">
        <f t="shared" si="20"/>
        <v/>
      </c>
      <c r="J68" s="22" t="str">
        <f t="shared" si="21"/>
        <v/>
      </c>
      <c r="K68" s="22" t="str">
        <f t="shared" si="15"/>
        <v/>
      </c>
      <c r="L68" t="str">
        <f t="shared" si="22"/>
        <v/>
      </c>
      <c r="M68" s="5" t="str">
        <f t="shared" si="16"/>
        <v/>
      </c>
      <c r="N68" s="9" t="str">
        <f t="shared" si="23"/>
        <v/>
      </c>
      <c r="O68" s="3" t="str">
        <f t="shared" si="24"/>
        <v/>
      </c>
      <c r="P68" s="3" t="str">
        <f t="shared" si="25"/>
        <v/>
      </c>
      <c r="Q68" s="3" t="str">
        <f t="shared" si="26"/>
        <v/>
      </c>
      <c r="R68" s="3" t="str">
        <f t="shared" si="27"/>
        <v/>
      </c>
      <c r="S68" s="3" t="str">
        <f>IF($L68&lt;&gt;"",IF($A68="Prepago",0,IF($H68*$U$6&gt;SUM($S$11:$S67)+$U$6,$U$6*2,$U$6)),"")</f>
        <v/>
      </c>
      <c r="T68" s="3" t="str">
        <f>IF($L68&lt;&gt;"",IF($A68="Prepago",0,IF($H68*$U$7&gt;SUM($T$11:$T67)+$U$7,$U$7*2,$U$7)),"")</f>
        <v/>
      </c>
      <c r="U68" s="3" t="str">
        <f>IF($L68&lt;&gt;"",IF($A68="Prepago",0,IF($H68*$U$8&gt;SUM($U$11:$U67)+$U$8,$U$8*2,$U$8)),"")</f>
        <v/>
      </c>
      <c r="V68" s="3" t="str">
        <f t="shared" si="28"/>
        <v/>
      </c>
      <c r="W68" s="3" t="str">
        <f t="shared" si="29"/>
        <v/>
      </c>
      <c r="X68" s="3" t="str">
        <f t="shared" si="30"/>
        <v/>
      </c>
      <c r="Y68" s="3" t="str">
        <f t="shared" si="31"/>
        <v/>
      </c>
      <c r="Z68" s="3" t="str">
        <f>IF($L68&lt;&gt;"",IF($N68&gt;Y$11,IF($N68&lt;Z$11,$N68-Y$11,30),0)*ROUND(($O68+$W67+SUM($Y68:Y68))*$V$5/3000,2),"")</f>
        <v/>
      </c>
      <c r="AA68" s="3"/>
      <c r="AB68" s="3"/>
    </row>
    <row r="69" spans="5:28" x14ac:dyDescent="0.25">
      <c r="E69" s="5"/>
      <c r="F69" t="str">
        <f t="shared" si="17"/>
        <v/>
      </c>
      <c r="G69" s="5" t="str">
        <f t="shared" si="18"/>
        <v/>
      </c>
      <c r="H69" s="22" t="str">
        <f t="shared" si="19"/>
        <v/>
      </c>
      <c r="I69" s="22" t="str">
        <f t="shared" si="20"/>
        <v/>
      </c>
      <c r="J69" s="22" t="str">
        <f t="shared" si="21"/>
        <v/>
      </c>
      <c r="K69" s="22" t="str">
        <f t="shared" si="15"/>
        <v/>
      </c>
      <c r="L69" t="str">
        <f t="shared" si="22"/>
        <v/>
      </c>
      <c r="M69" s="5" t="str">
        <f t="shared" si="16"/>
        <v/>
      </c>
      <c r="N69" s="9" t="str">
        <f t="shared" si="23"/>
        <v/>
      </c>
      <c r="O69" s="3" t="str">
        <f t="shared" si="24"/>
        <v/>
      </c>
      <c r="P69" s="3" t="str">
        <f t="shared" si="25"/>
        <v/>
      </c>
      <c r="Q69" s="3" t="str">
        <f t="shared" si="26"/>
        <v/>
      </c>
      <c r="R69" s="3" t="str">
        <f t="shared" si="27"/>
        <v/>
      </c>
      <c r="S69" s="3" t="str">
        <f>IF($L69&lt;&gt;"",IF($A69="Prepago",0,IF($H69*$U$6&gt;SUM($S$11:$S68)+$U$6,$U$6*2,$U$6)),"")</f>
        <v/>
      </c>
      <c r="T69" s="3" t="str">
        <f>IF($L69&lt;&gt;"",IF($A69="Prepago",0,IF($H69*$U$7&gt;SUM($T$11:$T68)+$U$7,$U$7*2,$U$7)),"")</f>
        <v/>
      </c>
      <c r="U69" s="3" t="str">
        <f>IF($L69&lt;&gt;"",IF($A69="Prepago",0,IF($H69*$U$8&gt;SUM($U$11:$U68)+$U$8,$U$8*2,$U$8)),"")</f>
        <v/>
      </c>
      <c r="V69" s="3" t="str">
        <f t="shared" si="28"/>
        <v/>
      </c>
      <c r="W69" s="3" t="str">
        <f t="shared" si="29"/>
        <v/>
      </c>
      <c r="X69" s="3" t="str">
        <f t="shared" si="30"/>
        <v/>
      </c>
      <c r="Y69" s="3" t="str">
        <f t="shared" si="31"/>
        <v/>
      </c>
      <c r="Z69" s="3" t="str">
        <f>IF($L69&lt;&gt;"",IF($N69&gt;Y$11,IF($N69&lt;Z$11,$N69-Y$11,30),0)*ROUND(($O69+$W68+SUM($Y69:Y69))*$V$5/3000,2),"")</f>
        <v/>
      </c>
      <c r="AA69" s="3"/>
      <c r="AB69" s="3"/>
    </row>
    <row r="70" spans="5:28" x14ac:dyDescent="0.25">
      <c r="E70" s="5"/>
      <c r="F70" t="str">
        <f t="shared" si="17"/>
        <v/>
      </c>
      <c r="G70" s="5" t="str">
        <f t="shared" si="18"/>
        <v/>
      </c>
      <c r="H70" s="22" t="str">
        <f t="shared" si="19"/>
        <v/>
      </c>
      <c r="I70" s="22" t="str">
        <f t="shared" si="20"/>
        <v/>
      </c>
      <c r="J70" s="22" t="str">
        <f t="shared" si="21"/>
        <v/>
      </c>
      <c r="K70" s="22" t="str">
        <f t="shared" si="15"/>
        <v/>
      </c>
      <c r="L70" t="str">
        <f t="shared" si="22"/>
        <v/>
      </c>
      <c r="M70" s="5" t="str">
        <f t="shared" si="16"/>
        <v/>
      </c>
      <c r="N70" s="9" t="str">
        <f t="shared" si="23"/>
        <v/>
      </c>
      <c r="O70" s="3" t="str">
        <f t="shared" si="24"/>
        <v/>
      </c>
      <c r="P70" s="3" t="str">
        <f t="shared" si="25"/>
        <v/>
      </c>
      <c r="Q70" s="3" t="str">
        <f t="shared" si="26"/>
        <v/>
      </c>
      <c r="R70" s="3" t="str">
        <f t="shared" si="27"/>
        <v/>
      </c>
      <c r="S70" s="3" t="str">
        <f>IF($L70&lt;&gt;"",IF($A70="Prepago",0,IF($H70*$U$6&gt;SUM($S$11:$S69)+$U$6,$U$6*2,$U$6)),"")</f>
        <v/>
      </c>
      <c r="T70" s="3" t="str">
        <f>IF($L70&lt;&gt;"",IF($A70="Prepago",0,IF($H70*$U$7&gt;SUM($T$11:$T69)+$U$7,$U$7*2,$U$7)),"")</f>
        <v/>
      </c>
      <c r="U70" s="3" t="str">
        <f>IF($L70&lt;&gt;"",IF($A70="Prepago",0,IF($H70*$U$8&gt;SUM($U$11:$U69)+$U$8,$U$8*2,$U$8)),"")</f>
        <v/>
      </c>
      <c r="V70" s="3" t="str">
        <f t="shared" si="28"/>
        <v/>
      </c>
      <c r="W70" s="3" t="str">
        <f t="shared" si="29"/>
        <v/>
      </c>
      <c r="X70" s="3" t="str">
        <f t="shared" si="30"/>
        <v/>
      </c>
      <c r="Y70" s="3" t="str">
        <f t="shared" si="31"/>
        <v/>
      </c>
      <c r="Z70" s="3" t="str">
        <f>IF($L70&lt;&gt;"",IF($N70&gt;Y$11,IF($N70&lt;Z$11,$N70-Y$11,30),0)*ROUND(($O70+$W69+SUM($Y70:Y70))*$V$5/3000,2),"")</f>
        <v/>
      </c>
      <c r="AA70" s="3"/>
      <c r="AB70" s="3"/>
    </row>
    <row r="71" spans="5:28" x14ac:dyDescent="0.25">
      <c r="E71" s="5"/>
      <c r="F71" t="str">
        <f t="shared" si="17"/>
        <v/>
      </c>
      <c r="G71" s="5" t="str">
        <f t="shared" si="18"/>
        <v/>
      </c>
      <c r="H71" s="22" t="str">
        <f t="shared" si="19"/>
        <v/>
      </c>
      <c r="I71" s="22" t="str">
        <f t="shared" si="20"/>
        <v/>
      </c>
      <c r="J71" s="22" t="str">
        <f t="shared" si="21"/>
        <v/>
      </c>
      <c r="K71" s="22" t="str">
        <f t="shared" si="15"/>
        <v/>
      </c>
      <c r="L71" t="str">
        <f t="shared" si="22"/>
        <v/>
      </c>
      <c r="M71" s="5" t="str">
        <f t="shared" si="16"/>
        <v/>
      </c>
      <c r="N71" s="9" t="str">
        <f t="shared" si="23"/>
        <v/>
      </c>
      <c r="O71" s="3" t="str">
        <f t="shared" si="24"/>
        <v/>
      </c>
      <c r="P71" s="3" t="str">
        <f t="shared" si="25"/>
        <v/>
      </c>
      <c r="Q71" s="3" t="str">
        <f t="shared" si="26"/>
        <v/>
      </c>
      <c r="R71" s="3" t="str">
        <f t="shared" si="27"/>
        <v/>
      </c>
      <c r="S71" s="3" t="str">
        <f>IF($L71&lt;&gt;"",IF($A71="Prepago",0,IF($H71*$U$6&gt;SUM($S$11:$S70)+$U$6,$U$6*2,$U$6)),"")</f>
        <v/>
      </c>
      <c r="T71" s="3" t="str">
        <f>IF($L71&lt;&gt;"",IF($A71="Prepago",0,IF($H71*$U$7&gt;SUM($T$11:$T70)+$U$7,$U$7*2,$U$7)),"")</f>
        <v/>
      </c>
      <c r="U71" s="3" t="str">
        <f>IF($L71&lt;&gt;"",IF($A71="Prepago",0,IF($H71*$U$8&gt;SUM($U$11:$U70)+$U$8,$U$8*2,$U$8)),"")</f>
        <v/>
      </c>
      <c r="V71" s="3" t="str">
        <f t="shared" si="28"/>
        <v/>
      </c>
      <c r="W71" s="3" t="str">
        <f t="shared" si="29"/>
        <v/>
      </c>
      <c r="X71" s="3" t="str">
        <f t="shared" si="30"/>
        <v/>
      </c>
      <c r="Y71" s="3" t="str">
        <f t="shared" si="31"/>
        <v/>
      </c>
      <c r="Z71" s="3" t="str">
        <f>IF($L71&lt;&gt;"",IF($N71&gt;Y$11,IF($N71&lt;Z$11,$N71-Y$11,30),0)*ROUND(($O71+$W70+SUM($Y71:Y71))*$V$5/3000,2),"")</f>
        <v/>
      </c>
      <c r="AA71" s="3"/>
      <c r="AB71" s="3"/>
    </row>
    <row r="72" spans="5:28" x14ac:dyDescent="0.25">
      <c r="E72" s="5"/>
      <c r="F72" t="str">
        <f t="shared" si="17"/>
        <v/>
      </c>
      <c r="G72" s="5" t="str">
        <f t="shared" si="18"/>
        <v/>
      </c>
      <c r="H72" s="22" t="str">
        <f t="shared" si="19"/>
        <v/>
      </c>
      <c r="I72" s="22" t="str">
        <f t="shared" si="20"/>
        <v/>
      </c>
      <c r="J72" s="22" t="str">
        <f t="shared" si="21"/>
        <v/>
      </c>
      <c r="K72" s="22" t="str">
        <f t="shared" si="15"/>
        <v/>
      </c>
      <c r="L72" t="str">
        <f t="shared" si="22"/>
        <v/>
      </c>
      <c r="M72" s="5" t="str">
        <f t="shared" si="16"/>
        <v/>
      </c>
      <c r="N72" s="9" t="str">
        <f t="shared" si="23"/>
        <v/>
      </c>
      <c r="O72" s="3" t="str">
        <f t="shared" si="24"/>
        <v/>
      </c>
      <c r="P72" s="3" t="str">
        <f t="shared" si="25"/>
        <v/>
      </c>
      <c r="Q72" s="3" t="str">
        <f t="shared" si="26"/>
        <v/>
      </c>
      <c r="R72" s="3" t="str">
        <f t="shared" si="27"/>
        <v/>
      </c>
      <c r="S72" s="3" t="str">
        <f>IF($L72&lt;&gt;"",IF($A72="Prepago",0,IF($H72*$U$6&gt;SUM($S$11:$S71)+$U$6,$U$6*2,$U$6)),"")</f>
        <v/>
      </c>
      <c r="T72" s="3" t="str">
        <f>IF($L72&lt;&gt;"",IF($A72="Prepago",0,IF($H72*$U$7&gt;SUM($T$11:$T71)+$U$7,$U$7*2,$U$7)),"")</f>
        <v/>
      </c>
      <c r="U72" s="3" t="str">
        <f>IF($L72&lt;&gt;"",IF($A72="Prepago",0,IF($H72*$U$8&gt;SUM($U$11:$U71)+$U$8,$U$8*2,$U$8)),"")</f>
        <v/>
      </c>
      <c r="V72" s="3" t="str">
        <f t="shared" si="28"/>
        <v/>
      </c>
      <c r="W72" s="3" t="str">
        <f t="shared" si="29"/>
        <v/>
      </c>
      <c r="X72" s="3" t="str">
        <f t="shared" si="30"/>
        <v/>
      </c>
      <c r="Y72" s="3" t="str">
        <f t="shared" si="31"/>
        <v/>
      </c>
      <c r="Z72" s="3" t="str">
        <f>IF($L72&lt;&gt;"",IF($N72&gt;Y$11,IF($N72&lt;Z$11,$N72-Y$11,30),0)*ROUND(($O72+$W71+SUM($Y72:Y72))*$V$5/3000,2),"")</f>
        <v/>
      </c>
      <c r="AA72" s="3"/>
      <c r="AB72" s="3"/>
    </row>
    <row r="73" spans="5:28" x14ac:dyDescent="0.25">
      <c r="E73" s="5"/>
      <c r="F73" t="str">
        <f t="shared" si="17"/>
        <v/>
      </c>
      <c r="G73" s="5" t="str">
        <f t="shared" si="18"/>
        <v/>
      </c>
      <c r="H73" s="22" t="str">
        <f t="shared" si="19"/>
        <v/>
      </c>
      <c r="I73" s="22" t="str">
        <f t="shared" si="20"/>
        <v/>
      </c>
      <c r="J73" s="22" t="str">
        <f t="shared" si="21"/>
        <v/>
      </c>
      <c r="K73" s="22" t="str">
        <f t="shared" si="15"/>
        <v/>
      </c>
      <c r="L73" t="str">
        <f t="shared" si="22"/>
        <v/>
      </c>
      <c r="M73" s="5" t="str">
        <f t="shared" si="16"/>
        <v/>
      </c>
      <c r="N73" s="9" t="str">
        <f t="shared" si="23"/>
        <v/>
      </c>
      <c r="O73" s="3" t="str">
        <f t="shared" si="24"/>
        <v/>
      </c>
      <c r="P73" s="3" t="str">
        <f t="shared" si="25"/>
        <v/>
      </c>
      <c r="Q73" s="3" t="str">
        <f t="shared" si="26"/>
        <v/>
      </c>
      <c r="R73" s="3" t="str">
        <f t="shared" si="27"/>
        <v/>
      </c>
      <c r="S73" s="3" t="str">
        <f>IF($L73&lt;&gt;"",IF($A73="Prepago",0,IF($H73*$U$6&gt;SUM($S$11:$S72)+$U$6,$U$6*2,$U$6)),"")</f>
        <v/>
      </c>
      <c r="T73" s="3" t="str">
        <f>IF($L73&lt;&gt;"",IF($A73="Prepago",0,IF($H73*$U$7&gt;SUM($T$11:$T72)+$U$7,$U$7*2,$U$7)),"")</f>
        <v/>
      </c>
      <c r="U73" s="3" t="str">
        <f>IF($L73&lt;&gt;"",IF($A73="Prepago",0,IF($H73*$U$8&gt;SUM($U$11:$U72)+$U$8,$U$8*2,$U$8)),"")</f>
        <v/>
      </c>
      <c r="V73" s="3" t="str">
        <f t="shared" si="28"/>
        <v/>
      </c>
      <c r="W73" s="3" t="str">
        <f t="shared" si="29"/>
        <v/>
      </c>
      <c r="X73" s="3" t="str">
        <f t="shared" si="30"/>
        <v/>
      </c>
      <c r="Y73" s="3" t="str">
        <f t="shared" si="31"/>
        <v/>
      </c>
      <c r="Z73" s="3" t="str">
        <f>IF($L73&lt;&gt;"",IF($N73&gt;Y$11,IF($N73&lt;Z$11,$N73-Y$11,30),0)*ROUND(($O73+$W72+SUM($Y73:Y73))*$V$5/3000,2),"")</f>
        <v/>
      </c>
      <c r="AA73" s="3"/>
      <c r="AB73" s="3"/>
    </row>
    <row r="74" spans="5:28" x14ac:dyDescent="0.25">
      <c r="E74" s="5"/>
      <c r="F74" t="str">
        <f t="shared" si="17"/>
        <v/>
      </c>
      <c r="G74" s="5" t="str">
        <f t="shared" si="18"/>
        <v/>
      </c>
      <c r="H74" s="22" t="str">
        <f t="shared" si="19"/>
        <v/>
      </c>
      <c r="I74" s="22" t="str">
        <f t="shared" si="20"/>
        <v/>
      </c>
      <c r="J74" s="22" t="str">
        <f t="shared" si="21"/>
        <v/>
      </c>
      <c r="K74" s="22" t="str">
        <f t="shared" si="15"/>
        <v/>
      </c>
      <c r="L74" t="str">
        <f t="shared" si="22"/>
        <v/>
      </c>
      <c r="M74" s="5" t="str">
        <f t="shared" si="16"/>
        <v/>
      </c>
      <c r="N74" s="9" t="str">
        <f t="shared" si="23"/>
        <v/>
      </c>
      <c r="O74" s="3" t="str">
        <f t="shared" si="24"/>
        <v/>
      </c>
      <c r="P74" s="3" t="str">
        <f t="shared" si="25"/>
        <v/>
      </c>
      <c r="Q74" s="3" t="str">
        <f t="shared" si="26"/>
        <v/>
      </c>
      <c r="R74" s="3" t="str">
        <f t="shared" si="27"/>
        <v/>
      </c>
      <c r="S74" s="3" t="str">
        <f>IF($L74&lt;&gt;"",IF($A74="Prepago",0,IF($H74*$U$6&gt;SUM($S$11:$S73)+$U$6,$U$6*2,$U$6)),"")</f>
        <v/>
      </c>
      <c r="T74" s="3" t="str">
        <f>IF($L74&lt;&gt;"",IF($A74="Prepago",0,IF($H74*$U$7&gt;SUM($T$11:$T73)+$U$7,$U$7*2,$U$7)),"")</f>
        <v/>
      </c>
      <c r="U74" s="3" t="str">
        <f>IF($L74&lt;&gt;"",IF($A74="Prepago",0,IF($H74*$U$8&gt;SUM($U$11:$U73)+$U$8,$U$8*2,$U$8)),"")</f>
        <v/>
      </c>
      <c r="V74" s="3" t="str">
        <f t="shared" si="28"/>
        <v/>
      </c>
      <c r="W74" s="3" t="str">
        <f t="shared" si="29"/>
        <v/>
      </c>
      <c r="X74" s="3" t="str">
        <f t="shared" si="30"/>
        <v/>
      </c>
      <c r="Y74" s="3" t="str">
        <f t="shared" si="31"/>
        <v/>
      </c>
      <c r="Z74" s="3" t="str">
        <f>IF($L74&lt;&gt;"",IF($N74&gt;Y$11,IF($N74&lt;Z$11,$N74-Y$11,30),0)*ROUND(($O74+$W73+SUM($Y74:Y74))*$V$5/3000,2),"")</f>
        <v/>
      </c>
      <c r="AA74" s="3"/>
      <c r="AB74" s="3"/>
    </row>
    <row r="75" spans="5:28" x14ac:dyDescent="0.25">
      <c r="E75" s="5"/>
      <c r="F75" t="str">
        <f t="shared" si="17"/>
        <v/>
      </c>
      <c r="G75" s="5" t="str">
        <f t="shared" si="18"/>
        <v/>
      </c>
      <c r="H75" s="22" t="str">
        <f t="shared" si="19"/>
        <v/>
      </c>
      <c r="I75" s="22" t="str">
        <f t="shared" si="20"/>
        <v/>
      </c>
      <c r="J75" s="22" t="str">
        <f t="shared" si="21"/>
        <v/>
      </c>
      <c r="K75" s="22" t="str">
        <f t="shared" si="15"/>
        <v/>
      </c>
      <c r="L75" t="str">
        <f t="shared" si="22"/>
        <v/>
      </c>
      <c r="M75" s="5" t="str">
        <f t="shared" si="16"/>
        <v/>
      </c>
      <c r="N75" s="9" t="str">
        <f t="shared" si="23"/>
        <v/>
      </c>
      <c r="O75" s="3" t="str">
        <f t="shared" si="24"/>
        <v/>
      </c>
      <c r="P75" s="3" t="str">
        <f t="shared" si="25"/>
        <v/>
      </c>
      <c r="Q75" s="3" t="str">
        <f t="shared" si="26"/>
        <v/>
      </c>
      <c r="R75" s="3" t="str">
        <f t="shared" si="27"/>
        <v/>
      </c>
      <c r="S75" s="3" t="str">
        <f>IF($L75&lt;&gt;"",IF($A75="Prepago",0,IF($H75*$U$6&gt;SUM($S$11:$S74)+$U$6,$U$6*2,$U$6)),"")</f>
        <v/>
      </c>
      <c r="T75" s="3" t="str">
        <f>IF($L75&lt;&gt;"",IF($A75="Prepago",0,IF($H75*$U$7&gt;SUM($T$11:$T74)+$U$7,$U$7*2,$U$7)),"")</f>
        <v/>
      </c>
      <c r="U75" s="3" t="str">
        <f>IF($L75&lt;&gt;"",IF($A75="Prepago",0,IF($H75*$U$8&gt;SUM($U$11:$U74)+$U$8,$U$8*2,$U$8)),"")</f>
        <v/>
      </c>
      <c r="V75" s="3" t="str">
        <f t="shared" si="28"/>
        <v/>
      </c>
      <c r="W75" s="3" t="str">
        <f t="shared" si="29"/>
        <v/>
      </c>
      <c r="X75" s="3" t="str">
        <f t="shared" si="30"/>
        <v/>
      </c>
      <c r="Y75" s="3" t="str">
        <f t="shared" si="31"/>
        <v/>
      </c>
      <c r="Z75" s="3" t="str">
        <f>IF($L75&lt;&gt;"",IF($N75&gt;Y$11,IF($N75&lt;Z$11,$N75-Y$11,30),0)*ROUND(($O75+$W74+SUM($Y75:Y75))*$V$5/3000,2),"")</f>
        <v/>
      </c>
      <c r="AA75" s="3"/>
      <c r="AB75" s="3"/>
    </row>
    <row r="76" spans="5:28" x14ac:dyDescent="0.25">
      <c r="E76" s="5"/>
      <c r="F76" t="str">
        <f t="shared" ref="F76:F97" si="32">IF($L76&lt;&gt;"",TEXT(M76,"DDD"),"")</f>
        <v/>
      </c>
      <c r="G76" s="5" t="str">
        <f t="shared" ref="G76:G96" si="33">IF($L76&lt;&gt;"",EOMONTH($M$11,$H76+IF(MESADICIONAL=TRUE,1,0)),"")</f>
        <v/>
      </c>
      <c r="H76" s="22" t="str">
        <f t="shared" ref="H76:H97" si="34">IF($L76&lt;&gt;"",IF($A76="Prepago",$H75,$H75+1)+B76,"")</f>
        <v/>
      </c>
      <c r="I76" s="22" t="str">
        <f t="shared" ref="I76:I97" si="35">IF(L76&lt;&gt;"",IF(COUNTA($Y76:$XFD76)*30&lt;$N76,1,0),"")</f>
        <v/>
      </c>
      <c r="J76" s="22" t="str">
        <f t="shared" si="21"/>
        <v/>
      </c>
      <c r="K76" s="22" t="str">
        <f t="shared" si="15"/>
        <v/>
      </c>
      <c r="L76" t="str">
        <f t="shared" ref="L76:L97" si="36">IF($L75&lt;NCUOTAS+CUOTAADICIONAL+PGRACIA,$L75+1,"")</f>
        <v/>
      </c>
      <c r="M76" s="5" t="str">
        <f t="shared" si="16"/>
        <v/>
      </c>
      <c r="N76" s="9" t="str">
        <f t="shared" ref="N76:N97" si="37">IF($L76&lt;&gt;"",$M76-$M75,"")</f>
        <v/>
      </c>
      <c r="O76" s="3" t="str">
        <f t="shared" ref="O76:O97" si="38">IF($L76&lt;&gt;"",$V75,"")</f>
        <v/>
      </c>
      <c r="P76" s="3" t="str">
        <f t="shared" ref="P76:P96" si="39">IF($L76&lt;&gt;"",IF($A76="Gracia Parcial",IF(AND($C76&lt;$X76+$S76+$T76+$U76+$W75,$C76&gt;0),$C76,$X76+$S76+$T76+$U76+$W75),IF($A76="Gracia Total",0,IF($A76="Prepago",$C76,IF(ISNUMBER($C76),$C76*VALUE(MID($C$1,MONTH($M76),1)),$Q$5*VALUE(MID($C$1,MONTH($M76),1))))))-IF($L77="",ARREGLO,0),"")</f>
        <v/>
      </c>
      <c r="Q76" s="3" t="str">
        <f t="shared" ref="Q76:Q97" si="40">IF($L76&lt;&gt;"",IF($P76-$R76&gt;0,$P76-$R76-$S76-$T76-$U76,0),"")</f>
        <v/>
      </c>
      <c r="R76" s="3" t="str">
        <f t="shared" ref="R76:R97" si="41">IF($L76&lt;&gt;"",IF($P76&gt;=IF($D76="",$X76,$D76)+$W75+$S76+$T76+$U76,IF($D76="",$X76,$D76)+$W75,$P76-$S76-$T76-$U76),"")</f>
        <v/>
      </c>
      <c r="S76" s="3" t="str">
        <f>IF($L76&lt;&gt;"",IF($A76="Prepago",0,IF($H76*$U$6&gt;SUM($S$11:$S75)+$U$6,$U$6*2,$U$6)),"")</f>
        <v/>
      </c>
      <c r="T76" s="3" t="str">
        <f>IF($L76&lt;&gt;"",IF($A76="Prepago",0,IF($H76*$U$7&gt;SUM($T$11:$T75)+$U$7,$U$7*2,$U$7)),"")</f>
        <v/>
      </c>
      <c r="U76" s="3" t="str">
        <f>IF($L76&lt;&gt;"",IF($A76="Prepago",0,IF($H76*$U$8&gt;SUM($U$11:$U75)+$U$8,$U$8*2,$U$8)),"")</f>
        <v/>
      </c>
      <c r="V76" s="3" t="str">
        <f t="shared" ref="V76:V97" si="42">IF($L76&lt;&gt;"",$O76-$Q76,"")</f>
        <v/>
      </c>
      <c r="W76" s="3" t="str">
        <f t="shared" ref="W76:W97" si="43">IF($L76&lt;&gt;"",+$W75+IF($D76="",$X76,$D76)-$R76,"")</f>
        <v/>
      </c>
      <c r="X76" s="3" t="str">
        <f t="shared" ref="X76:X97" si="44">IF($L76&lt;&gt;"",SUM($Y76:$XFD76),"")</f>
        <v/>
      </c>
      <c r="Y76" s="3" t="str">
        <f t="shared" ref="Y76:Y97" si="45">IF($L76&lt;&gt;"",IF($N76&gt;Y$11,30,$N76)*ROUND(($O76+$W75)*$V$5/3000,2),"")</f>
        <v/>
      </c>
      <c r="Z76" s="3" t="str">
        <f>IF($L76&lt;&gt;"",IF($N76&gt;Y$11,IF($N76&lt;Z$11,$N76-Y$11,30),0)*ROUND(($O76+$W75+SUM($Y76:Y76))*$V$5/3000,2),"")</f>
        <v/>
      </c>
      <c r="AA76" s="3"/>
      <c r="AB76" s="3"/>
    </row>
    <row r="77" spans="5:28" x14ac:dyDescent="0.25">
      <c r="E77" s="5"/>
      <c r="F77" t="str">
        <f t="shared" si="32"/>
        <v/>
      </c>
      <c r="G77" s="5" t="str">
        <f t="shared" si="33"/>
        <v/>
      </c>
      <c r="H77" s="22" t="str">
        <f t="shared" si="34"/>
        <v/>
      </c>
      <c r="I77" s="22" t="str">
        <f t="shared" si="35"/>
        <v/>
      </c>
      <c r="J77" s="22" t="str">
        <f t="shared" ref="J77:J97" si="46">IF($L77&lt;&gt;"",IF(OR(A77&lt;&gt;"",C77&lt;&gt;""),1,0),"")</f>
        <v/>
      </c>
      <c r="K77" s="22" t="str">
        <f t="shared" ref="K77:K96" si="47">IF($L77&lt;&gt;"",IF(J77=1,Q77,0),"")</f>
        <v/>
      </c>
      <c r="L77" t="str">
        <f t="shared" si="36"/>
        <v/>
      </c>
      <c r="M77" s="5" t="str">
        <f t="shared" ref="M77:M96" si="48">IF($L77&lt;&gt;"",IF($E77="",IF(DAY($G77)&lt;$N$7,$G77,DATE(YEAR($G77),MONTH($G77),$N$7)),$E77),"")</f>
        <v/>
      </c>
      <c r="N77" s="9" t="str">
        <f t="shared" si="37"/>
        <v/>
      </c>
      <c r="O77" s="3" t="str">
        <f t="shared" si="38"/>
        <v/>
      </c>
      <c r="P77" s="3" t="str">
        <f t="shared" si="39"/>
        <v/>
      </c>
      <c r="Q77" s="3" t="str">
        <f t="shared" si="40"/>
        <v/>
      </c>
      <c r="R77" s="3" t="str">
        <f t="shared" si="41"/>
        <v/>
      </c>
      <c r="S77" s="3" t="str">
        <f>IF($L77&lt;&gt;"",IF($A77="Prepago",0,IF($H77*$U$6&gt;SUM($S$11:$S76)+$U$6,$U$6*2,$U$6)),"")</f>
        <v/>
      </c>
      <c r="T77" s="3" t="str">
        <f>IF($L77&lt;&gt;"",IF($A77="Prepago",0,IF($H77*$U$7&gt;SUM($T$11:$T76)+$U$7,$U$7*2,$U$7)),"")</f>
        <v/>
      </c>
      <c r="U77" s="3" t="str">
        <f>IF($L77&lt;&gt;"",IF($A77="Prepago",0,IF($H77*$U$8&gt;SUM($U$11:$U76)+$U$8,$U$8*2,$U$8)),"")</f>
        <v/>
      </c>
      <c r="V77" s="3" t="str">
        <f t="shared" si="42"/>
        <v/>
      </c>
      <c r="W77" s="3" t="str">
        <f t="shared" si="43"/>
        <v/>
      </c>
      <c r="X77" s="3" t="str">
        <f t="shared" si="44"/>
        <v/>
      </c>
      <c r="Y77" s="3" t="str">
        <f t="shared" si="45"/>
        <v/>
      </c>
      <c r="Z77" s="3" t="str">
        <f>IF($L77&lt;&gt;"",IF($N77&gt;Y$11,IF($N77&lt;Z$11,$N77-Y$11,30),0)*ROUND(($O77+$W76+SUM($Y77:Y77))*$V$5/3000,2),"")</f>
        <v/>
      </c>
      <c r="AA77" s="3"/>
      <c r="AB77" s="3"/>
    </row>
    <row r="78" spans="5:28" x14ac:dyDescent="0.25">
      <c r="E78" s="5"/>
      <c r="F78" t="str">
        <f t="shared" si="32"/>
        <v/>
      </c>
      <c r="G78" s="5" t="str">
        <f t="shared" si="33"/>
        <v/>
      </c>
      <c r="H78" s="22" t="str">
        <f t="shared" si="34"/>
        <v/>
      </c>
      <c r="I78" s="22" t="str">
        <f t="shared" si="35"/>
        <v/>
      </c>
      <c r="J78" s="22" t="str">
        <f t="shared" si="46"/>
        <v/>
      </c>
      <c r="K78" s="22" t="str">
        <f t="shared" si="47"/>
        <v/>
      </c>
      <c r="L78" t="str">
        <f t="shared" si="36"/>
        <v/>
      </c>
      <c r="M78" s="5" t="str">
        <f t="shared" si="48"/>
        <v/>
      </c>
      <c r="N78" s="9" t="str">
        <f t="shared" si="37"/>
        <v/>
      </c>
      <c r="O78" s="3" t="str">
        <f t="shared" si="38"/>
        <v/>
      </c>
      <c r="P78" s="3" t="str">
        <f t="shared" si="39"/>
        <v/>
      </c>
      <c r="Q78" s="3" t="str">
        <f t="shared" si="40"/>
        <v/>
      </c>
      <c r="R78" s="3" t="str">
        <f t="shared" si="41"/>
        <v/>
      </c>
      <c r="S78" s="3" t="str">
        <f>IF($L78&lt;&gt;"",IF($A78="Prepago",0,IF($H78*$U$6&gt;SUM($S$11:$S77)+$U$6,$U$6*2,$U$6)),"")</f>
        <v/>
      </c>
      <c r="T78" s="3" t="str">
        <f>IF($L78&lt;&gt;"",IF($A78="Prepago",0,IF($H78*$U$7&gt;SUM($T$11:$T77)+$U$7,$U$7*2,$U$7)),"")</f>
        <v/>
      </c>
      <c r="U78" s="3" t="str">
        <f>IF($L78&lt;&gt;"",IF($A78="Prepago",0,IF($H78*$U$8&gt;SUM($U$11:$U77)+$U$8,$U$8*2,$U$8)),"")</f>
        <v/>
      </c>
      <c r="V78" s="3" t="str">
        <f t="shared" si="42"/>
        <v/>
      </c>
      <c r="W78" s="3" t="str">
        <f t="shared" si="43"/>
        <v/>
      </c>
      <c r="X78" s="3" t="str">
        <f t="shared" si="44"/>
        <v/>
      </c>
      <c r="Y78" s="3" t="str">
        <f t="shared" si="45"/>
        <v/>
      </c>
      <c r="Z78" s="3" t="str">
        <f>IF($L78&lt;&gt;"",IF($N78&gt;Y$11,IF($N78&lt;Z$11,$N78-Y$11,30),0)*ROUND(($O78+$W77+SUM($Y78:Y78))*$V$5/3000,2),"")</f>
        <v/>
      </c>
      <c r="AA78" s="3"/>
      <c r="AB78" s="3"/>
    </row>
    <row r="79" spans="5:28" x14ac:dyDescent="0.25">
      <c r="E79" s="5"/>
      <c r="F79" t="str">
        <f t="shared" si="32"/>
        <v/>
      </c>
      <c r="G79" s="5" t="str">
        <f t="shared" si="33"/>
        <v/>
      </c>
      <c r="H79" s="22" t="str">
        <f t="shared" si="34"/>
        <v/>
      </c>
      <c r="I79" s="22" t="str">
        <f t="shared" si="35"/>
        <v/>
      </c>
      <c r="J79" s="22" t="str">
        <f t="shared" si="46"/>
        <v/>
      </c>
      <c r="K79" s="22" t="str">
        <f t="shared" si="47"/>
        <v/>
      </c>
      <c r="L79" t="str">
        <f t="shared" si="36"/>
        <v/>
      </c>
      <c r="M79" s="5" t="str">
        <f t="shared" si="48"/>
        <v/>
      </c>
      <c r="N79" s="9" t="str">
        <f t="shared" si="37"/>
        <v/>
      </c>
      <c r="O79" s="3" t="str">
        <f t="shared" si="38"/>
        <v/>
      </c>
      <c r="P79" s="3" t="str">
        <f t="shared" si="39"/>
        <v/>
      </c>
      <c r="Q79" s="3" t="str">
        <f t="shared" si="40"/>
        <v/>
      </c>
      <c r="R79" s="3" t="str">
        <f t="shared" si="41"/>
        <v/>
      </c>
      <c r="S79" s="3" t="str">
        <f>IF($L79&lt;&gt;"",IF($A79="Prepago",0,IF($H79*$U$6&gt;SUM($S$11:$S78)+$U$6,$U$6*2,$U$6)),"")</f>
        <v/>
      </c>
      <c r="T79" s="3" t="str">
        <f>IF($L79&lt;&gt;"",IF($A79="Prepago",0,IF($H79*$U$7&gt;SUM($T$11:$T78)+$U$7,$U$7*2,$U$7)),"")</f>
        <v/>
      </c>
      <c r="U79" s="3" t="str">
        <f>IF($L79&lt;&gt;"",IF($A79="Prepago",0,IF($H79*$U$8&gt;SUM($U$11:$U78)+$U$8,$U$8*2,$U$8)),"")</f>
        <v/>
      </c>
      <c r="V79" s="3" t="str">
        <f t="shared" si="42"/>
        <v/>
      </c>
      <c r="W79" s="3" t="str">
        <f t="shared" si="43"/>
        <v/>
      </c>
      <c r="X79" s="3" t="str">
        <f t="shared" si="44"/>
        <v/>
      </c>
      <c r="Y79" s="3" t="str">
        <f t="shared" si="45"/>
        <v/>
      </c>
      <c r="Z79" s="3" t="str">
        <f>IF($L79&lt;&gt;"",IF($N79&gt;Y$11,IF($N79&lt;Z$11,$N79-Y$11,30),0)*ROUND(($O79+$W78+SUM($Y79:Y79))*$V$5/3000,2),"")</f>
        <v/>
      </c>
      <c r="AA79" s="3"/>
      <c r="AB79" s="3"/>
    </row>
    <row r="80" spans="5:28" x14ac:dyDescent="0.25">
      <c r="E80" s="5"/>
      <c r="F80" t="str">
        <f t="shared" si="32"/>
        <v/>
      </c>
      <c r="G80" s="5" t="str">
        <f t="shared" si="33"/>
        <v/>
      </c>
      <c r="H80" s="22" t="str">
        <f t="shared" si="34"/>
        <v/>
      </c>
      <c r="I80" s="22" t="str">
        <f t="shared" si="35"/>
        <v/>
      </c>
      <c r="J80" s="22" t="str">
        <f t="shared" si="46"/>
        <v/>
      </c>
      <c r="K80" s="22" t="str">
        <f t="shared" si="47"/>
        <v/>
      </c>
      <c r="L80" t="str">
        <f t="shared" si="36"/>
        <v/>
      </c>
      <c r="M80" s="5" t="str">
        <f t="shared" si="48"/>
        <v/>
      </c>
      <c r="N80" s="9" t="str">
        <f t="shared" si="37"/>
        <v/>
      </c>
      <c r="O80" s="3" t="str">
        <f t="shared" si="38"/>
        <v/>
      </c>
      <c r="P80" s="3" t="str">
        <f t="shared" si="39"/>
        <v/>
      </c>
      <c r="Q80" s="3" t="str">
        <f t="shared" si="40"/>
        <v/>
      </c>
      <c r="R80" s="3" t="str">
        <f t="shared" si="41"/>
        <v/>
      </c>
      <c r="S80" s="3" t="str">
        <f>IF($L80&lt;&gt;"",IF($A80="Prepago",0,IF($H80*$U$6&gt;SUM($S$11:$S79)+$U$6,$U$6*2,$U$6)),"")</f>
        <v/>
      </c>
      <c r="T80" s="3" t="str">
        <f>IF($L80&lt;&gt;"",IF($A80="Prepago",0,IF($H80*$U$7&gt;SUM($T$11:$T79)+$U$7,$U$7*2,$U$7)),"")</f>
        <v/>
      </c>
      <c r="U80" s="3" t="str">
        <f>IF($L80&lt;&gt;"",IF($A80="Prepago",0,IF($H80*$U$8&gt;SUM($U$11:$U79)+$U$8,$U$8*2,$U$8)),"")</f>
        <v/>
      </c>
      <c r="V80" s="3" t="str">
        <f t="shared" si="42"/>
        <v/>
      </c>
      <c r="W80" s="3" t="str">
        <f t="shared" si="43"/>
        <v/>
      </c>
      <c r="X80" s="3" t="str">
        <f t="shared" si="44"/>
        <v/>
      </c>
      <c r="Y80" s="3" t="str">
        <f t="shared" si="45"/>
        <v/>
      </c>
      <c r="Z80" s="3" t="str">
        <f>IF($L80&lt;&gt;"",IF($N80&gt;Y$11,IF($N80&lt;Z$11,$N80-Y$11,30),0)*ROUND(($O80+$W79+SUM($Y80:Y80))*$V$5/3000,2),"")</f>
        <v/>
      </c>
      <c r="AA80" s="3"/>
      <c r="AB80" s="3"/>
    </row>
    <row r="81" spans="5:28" x14ac:dyDescent="0.25">
      <c r="E81" s="5"/>
      <c r="F81" t="str">
        <f t="shared" si="32"/>
        <v/>
      </c>
      <c r="G81" s="5" t="str">
        <f t="shared" si="33"/>
        <v/>
      </c>
      <c r="H81" s="22" t="str">
        <f t="shared" si="34"/>
        <v/>
      </c>
      <c r="I81" s="22" t="str">
        <f t="shared" si="35"/>
        <v/>
      </c>
      <c r="J81" s="22" t="str">
        <f t="shared" si="46"/>
        <v/>
      </c>
      <c r="K81" s="22" t="str">
        <f t="shared" si="47"/>
        <v/>
      </c>
      <c r="L81" t="str">
        <f t="shared" si="36"/>
        <v/>
      </c>
      <c r="M81" s="5" t="str">
        <f t="shared" si="48"/>
        <v/>
      </c>
      <c r="N81" s="9" t="str">
        <f t="shared" si="37"/>
        <v/>
      </c>
      <c r="O81" s="3" t="str">
        <f t="shared" si="38"/>
        <v/>
      </c>
      <c r="P81" s="3" t="str">
        <f t="shared" si="39"/>
        <v/>
      </c>
      <c r="Q81" s="3" t="str">
        <f t="shared" si="40"/>
        <v/>
      </c>
      <c r="R81" s="3" t="str">
        <f t="shared" si="41"/>
        <v/>
      </c>
      <c r="S81" s="3" t="str">
        <f>IF($L81&lt;&gt;"",IF($A81="Prepago",0,IF($H81*$U$6&gt;SUM($S$11:$S80)+$U$6,$U$6*2,$U$6)),"")</f>
        <v/>
      </c>
      <c r="T81" s="3" t="str">
        <f>IF($L81&lt;&gt;"",IF($A81="Prepago",0,IF($H81*$U$7&gt;SUM($T$11:$T80)+$U$7,$U$7*2,$U$7)),"")</f>
        <v/>
      </c>
      <c r="U81" s="3" t="str">
        <f>IF($L81&lt;&gt;"",IF($A81="Prepago",0,IF($H81*$U$8&gt;SUM($U$11:$U80)+$U$8,$U$8*2,$U$8)),"")</f>
        <v/>
      </c>
      <c r="V81" s="3" t="str">
        <f t="shared" si="42"/>
        <v/>
      </c>
      <c r="W81" s="3" t="str">
        <f t="shared" si="43"/>
        <v/>
      </c>
      <c r="X81" s="3" t="str">
        <f t="shared" si="44"/>
        <v/>
      </c>
      <c r="Y81" s="3" t="str">
        <f t="shared" si="45"/>
        <v/>
      </c>
      <c r="Z81" s="3" t="str">
        <f>IF($L81&lt;&gt;"",IF($N81&gt;Y$11,IF($N81&lt;Z$11,$N81-Y$11,30),0)*ROUND(($O81+$W80+SUM($Y81:Y81))*$V$5/3000,2),"")</f>
        <v/>
      </c>
      <c r="AA81" s="3"/>
      <c r="AB81" s="3"/>
    </row>
    <row r="82" spans="5:28" x14ac:dyDescent="0.25">
      <c r="E82" s="5"/>
      <c r="F82" t="str">
        <f t="shared" si="32"/>
        <v/>
      </c>
      <c r="G82" s="5" t="str">
        <f t="shared" si="33"/>
        <v/>
      </c>
      <c r="H82" s="22" t="str">
        <f t="shared" si="34"/>
        <v/>
      </c>
      <c r="I82" s="22" t="str">
        <f t="shared" si="35"/>
        <v/>
      </c>
      <c r="J82" s="22" t="str">
        <f t="shared" si="46"/>
        <v/>
      </c>
      <c r="K82" s="22" t="str">
        <f t="shared" si="47"/>
        <v/>
      </c>
      <c r="L82" t="str">
        <f t="shared" si="36"/>
        <v/>
      </c>
      <c r="M82" s="5" t="str">
        <f t="shared" si="48"/>
        <v/>
      </c>
      <c r="N82" s="9" t="str">
        <f t="shared" si="37"/>
        <v/>
      </c>
      <c r="O82" s="3" t="str">
        <f t="shared" si="38"/>
        <v/>
      </c>
      <c r="P82" s="3" t="str">
        <f t="shared" si="39"/>
        <v/>
      </c>
      <c r="Q82" s="3" t="str">
        <f t="shared" si="40"/>
        <v/>
      </c>
      <c r="R82" s="3" t="str">
        <f t="shared" si="41"/>
        <v/>
      </c>
      <c r="S82" s="3" t="str">
        <f>IF($L82&lt;&gt;"",IF($A82="Prepago",0,IF($H82*$U$6&gt;SUM($S$11:$S81)+$U$6,$U$6*2,$U$6)),"")</f>
        <v/>
      </c>
      <c r="T82" s="3" t="str">
        <f>IF($L82&lt;&gt;"",IF($A82="Prepago",0,IF($H82*$U$7&gt;SUM($T$11:$T81)+$U$7,$U$7*2,$U$7)),"")</f>
        <v/>
      </c>
      <c r="U82" s="3" t="str">
        <f>IF($L82&lt;&gt;"",IF($A82="Prepago",0,IF($H82*$U$8&gt;SUM($U$11:$U81)+$U$8,$U$8*2,$U$8)),"")</f>
        <v/>
      </c>
      <c r="V82" s="3" t="str">
        <f t="shared" si="42"/>
        <v/>
      </c>
      <c r="W82" s="3" t="str">
        <f t="shared" si="43"/>
        <v/>
      </c>
      <c r="X82" s="3" t="str">
        <f t="shared" si="44"/>
        <v/>
      </c>
      <c r="Y82" s="3" t="str">
        <f t="shared" si="45"/>
        <v/>
      </c>
      <c r="Z82" s="3" t="str">
        <f>IF($L82&lt;&gt;"",IF($N82&gt;Y$11,IF($N82&lt;Z$11,$N82-Y$11,30),0)*ROUND(($O82+$W81+SUM($Y82:Y82))*$V$5/3000,2),"")</f>
        <v/>
      </c>
      <c r="AA82" s="3"/>
      <c r="AB82" s="3"/>
    </row>
    <row r="83" spans="5:28" x14ac:dyDescent="0.25">
      <c r="E83" s="5"/>
      <c r="F83" t="str">
        <f t="shared" si="32"/>
        <v/>
      </c>
      <c r="G83" s="5" t="str">
        <f t="shared" si="33"/>
        <v/>
      </c>
      <c r="H83" s="22" t="str">
        <f t="shared" si="34"/>
        <v/>
      </c>
      <c r="I83" s="22" t="str">
        <f t="shared" si="35"/>
        <v/>
      </c>
      <c r="J83" s="22" t="str">
        <f t="shared" si="46"/>
        <v/>
      </c>
      <c r="K83" s="22" t="str">
        <f t="shared" si="47"/>
        <v/>
      </c>
      <c r="L83" t="str">
        <f t="shared" si="36"/>
        <v/>
      </c>
      <c r="M83" s="5" t="str">
        <f t="shared" si="48"/>
        <v/>
      </c>
      <c r="N83" s="9" t="str">
        <f t="shared" si="37"/>
        <v/>
      </c>
      <c r="O83" s="3" t="str">
        <f t="shared" si="38"/>
        <v/>
      </c>
      <c r="P83" s="3" t="str">
        <f t="shared" si="39"/>
        <v/>
      </c>
      <c r="Q83" s="3" t="str">
        <f t="shared" si="40"/>
        <v/>
      </c>
      <c r="R83" s="3" t="str">
        <f t="shared" si="41"/>
        <v/>
      </c>
      <c r="S83" s="3" t="str">
        <f>IF($L83&lt;&gt;"",IF($A83="Prepago",0,IF($H83*$U$6&gt;SUM($S$11:$S82)+$U$6,$U$6*2,$U$6)),"")</f>
        <v/>
      </c>
      <c r="T83" s="3" t="str">
        <f>IF($L83&lt;&gt;"",IF($A83="Prepago",0,IF($H83*$U$7&gt;SUM($T$11:$T82)+$U$7,$U$7*2,$U$7)),"")</f>
        <v/>
      </c>
      <c r="U83" s="3" t="str">
        <f>IF($L83&lt;&gt;"",IF($A83="Prepago",0,IF($H83*$U$8&gt;SUM($U$11:$U82)+$U$8,$U$8*2,$U$8)),"")</f>
        <v/>
      </c>
      <c r="V83" s="3" t="str">
        <f t="shared" si="42"/>
        <v/>
      </c>
      <c r="W83" s="3" t="str">
        <f t="shared" si="43"/>
        <v/>
      </c>
      <c r="X83" s="3" t="str">
        <f t="shared" si="44"/>
        <v/>
      </c>
      <c r="Y83" s="3" t="str">
        <f t="shared" si="45"/>
        <v/>
      </c>
      <c r="Z83" s="3" t="str">
        <f>IF($L83&lt;&gt;"",IF($N83&gt;Y$11,IF($N83&lt;Z$11,$N83-Y$11,30),0)*ROUND(($O83+$W82+SUM($Y83:Y83))*$V$5/3000,2),"")</f>
        <v/>
      </c>
      <c r="AA83" s="3"/>
      <c r="AB83" s="3"/>
    </row>
    <row r="84" spans="5:28" x14ac:dyDescent="0.25">
      <c r="E84" s="5"/>
      <c r="F84" t="str">
        <f t="shared" si="32"/>
        <v/>
      </c>
      <c r="G84" s="5" t="str">
        <f t="shared" si="33"/>
        <v/>
      </c>
      <c r="H84" s="22" t="str">
        <f t="shared" si="34"/>
        <v/>
      </c>
      <c r="I84" s="22" t="str">
        <f t="shared" si="35"/>
        <v/>
      </c>
      <c r="J84" s="22" t="str">
        <f t="shared" si="46"/>
        <v/>
      </c>
      <c r="K84" s="22" t="str">
        <f t="shared" si="47"/>
        <v/>
      </c>
      <c r="L84" t="str">
        <f t="shared" si="36"/>
        <v/>
      </c>
      <c r="M84" s="5" t="str">
        <f t="shared" si="48"/>
        <v/>
      </c>
      <c r="N84" s="9" t="str">
        <f t="shared" si="37"/>
        <v/>
      </c>
      <c r="O84" s="3" t="str">
        <f t="shared" si="38"/>
        <v/>
      </c>
      <c r="P84" s="3" t="str">
        <f t="shared" si="39"/>
        <v/>
      </c>
      <c r="Q84" s="3" t="str">
        <f t="shared" si="40"/>
        <v/>
      </c>
      <c r="R84" s="3" t="str">
        <f t="shared" si="41"/>
        <v/>
      </c>
      <c r="S84" s="3" t="str">
        <f>IF($L84&lt;&gt;"",IF($A84="Prepago",0,IF($H84*$U$6&gt;SUM($S$11:$S83)+$U$6,$U$6*2,$U$6)),"")</f>
        <v/>
      </c>
      <c r="T84" s="3" t="str">
        <f>IF($L84&lt;&gt;"",IF($A84="Prepago",0,IF($H84*$U$7&gt;SUM($T$11:$T83)+$U$7,$U$7*2,$U$7)),"")</f>
        <v/>
      </c>
      <c r="U84" s="3" t="str">
        <f>IF($L84&lt;&gt;"",IF($A84="Prepago",0,IF($H84*$U$8&gt;SUM($U$11:$U83)+$U$8,$U$8*2,$U$8)),"")</f>
        <v/>
      </c>
      <c r="V84" s="3" t="str">
        <f t="shared" si="42"/>
        <v/>
      </c>
      <c r="W84" s="3" t="str">
        <f t="shared" si="43"/>
        <v/>
      </c>
      <c r="X84" s="3" t="str">
        <f t="shared" si="44"/>
        <v/>
      </c>
      <c r="Y84" s="3" t="str">
        <f t="shared" si="45"/>
        <v/>
      </c>
      <c r="Z84" s="3" t="str">
        <f>IF($L84&lt;&gt;"",IF($N84&gt;Y$11,IF($N84&lt;Z$11,$N84-Y$11,30),0)*ROUND(($O84+$W83+SUM($Y84:Y84))*$V$5/3000,2),"")</f>
        <v/>
      </c>
      <c r="AA84" s="3"/>
      <c r="AB84" s="3"/>
    </row>
    <row r="85" spans="5:28" x14ac:dyDescent="0.25">
      <c r="E85" s="5"/>
      <c r="F85" t="str">
        <f t="shared" si="32"/>
        <v/>
      </c>
      <c r="G85" s="5" t="str">
        <f t="shared" si="33"/>
        <v/>
      </c>
      <c r="H85" s="22" t="str">
        <f t="shared" si="34"/>
        <v/>
      </c>
      <c r="I85" s="22" t="str">
        <f t="shared" si="35"/>
        <v/>
      </c>
      <c r="J85" s="22" t="str">
        <f t="shared" si="46"/>
        <v/>
      </c>
      <c r="K85" s="22" t="str">
        <f t="shared" si="47"/>
        <v/>
      </c>
      <c r="L85" t="str">
        <f t="shared" si="36"/>
        <v/>
      </c>
      <c r="M85" s="5" t="str">
        <f t="shared" si="48"/>
        <v/>
      </c>
      <c r="N85" s="9" t="str">
        <f t="shared" si="37"/>
        <v/>
      </c>
      <c r="O85" s="3" t="str">
        <f t="shared" si="38"/>
        <v/>
      </c>
      <c r="P85" s="3" t="str">
        <f t="shared" si="39"/>
        <v/>
      </c>
      <c r="Q85" s="3" t="str">
        <f t="shared" si="40"/>
        <v/>
      </c>
      <c r="R85" s="3" t="str">
        <f t="shared" si="41"/>
        <v/>
      </c>
      <c r="S85" s="3" t="str">
        <f>IF($L85&lt;&gt;"",IF($A85="Prepago",0,IF($H85*$U$6&gt;SUM($S$11:$S84)+$U$6,$U$6*2,$U$6)),"")</f>
        <v/>
      </c>
      <c r="T85" s="3" t="str">
        <f>IF($L85&lt;&gt;"",IF($A85="Prepago",0,IF($H85*$U$7&gt;SUM($T$11:$T84)+$U$7,$U$7*2,$U$7)),"")</f>
        <v/>
      </c>
      <c r="U85" s="3" t="str">
        <f>IF($L85&lt;&gt;"",IF($A85="Prepago",0,IF($H85*$U$8&gt;SUM($U$11:$U84)+$U$8,$U$8*2,$U$8)),"")</f>
        <v/>
      </c>
      <c r="V85" s="3" t="str">
        <f t="shared" si="42"/>
        <v/>
      </c>
      <c r="W85" s="3" t="str">
        <f t="shared" si="43"/>
        <v/>
      </c>
      <c r="X85" s="3" t="str">
        <f t="shared" si="44"/>
        <v/>
      </c>
      <c r="Y85" s="3" t="str">
        <f t="shared" si="45"/>
        <v/>
      </c>
      <c r="Z85" s="3" t="str">
        <f>IF($L85&lt;&gt;"",IF($N85&gt;Y$11,IF($N85&lt;Z$11,$N85-Y$11,30),0)*ROUND(($O85+$W84+SUM($Y85:Y85))*$V$5/3000,2),"")</f>
        <v/>
      </c>
      <c r="AA85" s="3"/>
      <c r="AB85" s="3"/>
    </row>
    <row r="86" spans="5:28" x14ac:dyDescent="0.25">
      <c r="E86" s="5"/>
      <c r="F86" t="str">
        <f t="shared" si="32"/>
        <v/>
      </c>
      <c r="G86" s="5" t="str">
        <f t="shared" si="33"/>
        <v/>
      </c>
      <c r="H86" s="22" t="str">
        <f t="shared" si="34"/>
        <v/>
      </c>
      <c r="I86" s="22" t="str">
        <f t="shared" si="35"/>
        <v/>
      </c>
      <c r="J86" s="22" t="str">
        <f t="shared" si="46"/>
        <v/>
      </c>
      <c r="K86" s="22" t="str">
        <f t="shared" si="47"/>
        <v/>
      </c>
      <c r="L86" t="str">
        <f t="shared" si="36"/>
        <v/>
      </c>
      <c r="M86" s="5" t="str">
        <f t="shared" si="48"/>
        <v/>
      </c>
      <c r="N86" s="9" t="str">
        <f t="shared" si="37"/>
        <v/>
      </c>
      <c r="O86" s="3" t="str">
        <f t="shared" si="38"/>
        <v/>
      </c>
      <c r="P86" s="3" t="str">
        <f t="shared" si="39"/>
        <v/>
      </c>
      <c r="Q86" s="3" t="str">
        <f t="shared" si="40"/>
        <v/>
      </c>
      <c r="R86" s="3" t="str">
        <f t="shared" si="41"/>
        <v/>
      </c>
      <c r="S86" s="3" t="str">
        <f>IF($L86&lt;&gt;"",IF($A86="Prepago",0,IF($H86*$U$6&gt;SUM($S$11:$S85)+$U$6,$U$6*2,$U$6)),"")</f>
        <v/>
      </c>
      <c r="T86" s="3" t="str">
        <f>IF($L86&lt;&gt;"",IF($A86="Prepago",0,IF($H86*$U$7&gt;SUM($T$11:$T85)+$U$7,$U$7*2,$U$7)),"")</f>
        <v/>
      </c>
      <c r="U86" s="3" t="str">
        <f>IF($L86&lt;&gt;"",IF($A86="Prepago",0,IF($H86*$U$8&gt;SUM($U$11:$U85)+$U$8,$U$8*2,$U$8)),"")</f>
        <v/>
      </c>
      <c r="V86" s="3" t="str">
        <f t="shared" si="42"/>
        <v/>
      </c>
      <c r="W86" s="3" t="str">
        <f t="shared" si="43"/>
        <v/>
      </c>
      <c r="X86" s="3" t="str">
        <f t="shared" si="44"/>
        <v/>
      </c>
      <c r="Y86" s="3" t="str">
        <f t="shared" si="45"/>
        <v/>
      </c>
      <c r="Z86" s="3" t="str">
        <f>IF($L86&lt;&gt;"",IF($N86&gt;Y$11,IF($N86&lt;Z$11,$N86-Y$11,30),0)*ROUND(($O86+$W85+SUM($Y86:Y86))*$V$5/3000,2),"")</f>
        <v/>
      </c>
      <c r="AA86" s="3"/>
      <c r="AB86" s="3"/>
    </row>
    <row r="87" spans="5:28" x14ac:dyDescent="0.25">
      <c r="E87" s="5"/>
      <c r="F87" t="str">
        <f t="shared" si="32"/>
        <v/>
      </c>
      <c r="G87" s="5" t="str">
        <f t="shared" si="33"/>
        <v/>
      </c>
      <c r="H87" s="22" t="str">
        <f t="shared" si="34"/>
        <v/>
      </c>
      <c r="I87" s="22" t="str">
        <f t="shared" si="35"/>
        <v/>
      </c>
      <c r="J87" s="22" t="str">
        <f t="shared" si="46"/>
        <v/>
      </c>
      <c r="K87" s="22" t="str">
        <f t="shared" si="47"/>
        <v/>
      </c>
      <c r="L87" t="str">
        <f t="shared" si="36"/>
        <v/>
      </c>
      <c r="M87" s="5" t="str">
        <f t="shared" si="48"/>
        <v/>
      </c>
      <c r="N87" s="9" t="str">
        <f t="shared" si="37"/>
        <v/>
      </c>
      <c r="O87" s="3" t="str">
        <f t="shared" si="38"/>
        <v/>
      </c>
      <c r="P87" s="3" t="str">
        <f t="shared" si="39"/>
        <v/>
      </c>
      <c r="Q87" s="3" t="str">
        <f t="shared" si="40"/>
        <v/>
      </c>
      <c r="R87" s="3" t="str">
        <f t="shared" si="41"/>
        <v/>
      </c>
      <c r="S87" s="3" t="str">
        <f>IF($L87&lt;&gt;"",IF($A87="Prepago",0,IF($H87*$U$6&gt;SUM($S$11:$S86)+$U$6,$U$6*2,$U$6)),"")</f>
        <v/>
      </c>
      <c r="T87" s="3" t="str">
        <f>IF($L87&lt;&gt;"",IF($A87="Prepago",0,IF($H87*$U$7&gt;SUM($T$11:$T86)+$U$7,$U$7*2,$U$7)),"")</f>
        <v/>
      </c>
      <c r="U87" s="3" t="str">
        <f>IF($L87&lt;&gt;"",IF($A87="Prepago",0,IF($H87*$U$8&gt;SUM($U$11:$U86)+$U$8,$U$8*2,$U$8)),"")</f>
        <v/>
      </c>
      <c r="V87" s="3" t="str">
        <f t="shared" si="42"/>
        <v/>
      </c>
      <c r="W87" s="3" t="str">
        <f t="shared" si="43"/>
        <v/>
      </c>
      <c r="X87" s="3" t="str">
        <f t="shared" si="44"/>
        <v/>
      </c>
      <c r="Y87" s="3" t="str">
        <f t="shared" si="45"/>
        <v/>
      </c>
      <c r="Z87" s="3" t="str">
        <f>IF($L87&lt;&gt;"",IF($N87&gt;Y$11,IF($N87&lt;Z$11,$N87-Y$11,30),0)*ROUND(($O87+$W86+SUM($Y87:Y87))*$V$5/3000,2),"")</f>
        <v/>
      </c>
      <c r="AA87" s="3"/>
      <c r="AB87" s="3"/>
    </row>
    <row r="88" spans="5:28" x14ac:dyDescent="0.25">
      <c r="E88" s="5"/>
      <c r="F88" t="str">
        <f t="shared" si="32"/>
        <v/>
      </c>
      <c r="G88" s="5" t="str">
        <f t="shared" si="33"/>
        <v/>
      </c>
      <c r="H88" s="22" t="str">
        <f t="shared" si="34"/>
        <v/>
      </c>
      <c r="I88" s="22" t="str">
        <f t="shared" si="35"/>
        <v/>
      </c>
      <c r="J88" s="22" t="str">
        <f t="shared" si="46"/>
        <v/>
      </c>
      <c r="K88" s="22" t="str">
        <f t="shared" si="47"/>
        <v/>
      </c>
      <c r="L88" t="str">
        <f t="shared" si="36"/>
        <v/>
      </c>
      <c r="M88" s="5" t="str">
        <f t="shared" si="48"/>
        <v/>
      </c>
      <c r="N88" s="9" t="str">
        <f t="shared" si="37"/>
        <v/>
      </c>
      <c r="O88" s="3" t="str">
        <f t="shared" si="38"/>
        <v/>
      </c>
      <c r="P88" s="3" t="str">
        <f t="shared" si="39"/>
        <v/>
      </c>
      <c r="Q88" s="3" t="str">
        <f t="shared" si="40"/>
        <v/>
      </c>
      <c r="R88" s="3" t="str">
        <f t="shared" si="41"/>
        <v/>
      </c>
      <c r="S88" s="3" t="str">
        <f>IF($L88&lt;&gt;"",IF($A88="Prepago",0,IF($H88*$U$6&gt;SUM($S$11:$S87)+$U$6,$U$6*2,$U$6)),"")</f>
        <v/>
      </c>
      <c r="T88" s="3" t="str">
        <f>IF($L88&lt;&gt;"",IF($A88="Prepago",0,IF($H88*$U$7&gt;SUM($T$11:$T87)+$U$7,$U$7*2,$U$7)),"")</f>
        <v/>
      </c>
      <c r="U88" s="3" t="str">
        <f>IF($L88&lt;&gt;"",IF($A88="Prepago",0,IF($H88*$U$8&gt;SUM($U$11:$U87)+$U$8,$U$8*2,$U$8)),"")</f>
        <v/>
      </c>
      <c r="V88" s="3" t="str">
        <f t="shared" si="42"/>
        <v/>
      </c>
      <c r="W88" s="3" t="str">
        <f t="shared" si="43"/>
        <v/>
      </c>
      <c r="X88" s="3" t="str">
        <f t="shared" si="44"/>
        <v/>
      </c>
      <c r="Y88" s="3" t="str">
        <f t="shared" si="45"/>
        <v/>
      </c>
      <c r="Z88" s="3" t="str">
        <f>IF($L88&lt;&gt;"",IF($N88&gt;Y$11,IF($N88&lt;Z$11,$N88-Y$11,30),0)*ROUND(($O88+$W87+SUM($Y88:Y88))*$V$5/3000,2),"")</f>
        <v/>
      </c>
      <c r="AA88" s="3"/>
      <c r="AB88" s="3"/>
    </row>
    <row r="89" spans="5:28" x14ac:dyDescent="0.25">
      <c r="E89" s="5"/>
      <c r="F89" t="str">
        <f t="shared" si="32"/>
        <v/>
      </c>
      <c r="G89" s="5" t="str">
        <f t="shared" si="33"/>
        <v/>
      </c>
      <c r="H89" s="22" t="str">
        <f t="shared" si="34"/>
        <v/>
      </c>
      <c r="I89" s="22" t="str">
        <f t="shared" si="35"/>
        <v/>
      </c>
      <c r="J89" s="22" t="str">
        <f t="shared" si="46"/>
        <v/>
      </c>
      <c r="K89" s="22" t="str">
        <f t="shared" si="47"/>
        <v/>
      </c>
      <c r="L89" t="str">
        <f t="shared" si="36"/>
        <v/>
      </c>
      <c r="M89" s="5" t="str">
        <f t="shared" si="48"/>
        <v/>
      </c>
      <c r="N89" s="9" t="str">
        <f t="shared" si="37"/>
        <v/>
      </c>
      <c r="O89" s="3" t="str">
        <f t="shared" si="38"/>
        <v/>
      </c>
      <c r="P89" s="3" t="str">
        <f t="shared" si="39"/>
        <v/>
      </c>
      <c r="Q89" s="3" t="str">
        <f t="shared" si="40"/>
        <v/>
      </c>
      <c r="R89" s="3" t="str">
        <f t="shared" si="41"/>
        <v/>
      </c>
      <c r="S89" s="3" t="str">
        <f>IF($L89&lt;&gt;"",IF($A89="Prepago",0,IF($H89*$U$6&gt;SUM($S$11:$S88)+$U$6,$U$6*2,$U$6)),"")</f>
        <v/>
      </c>
      <c r="T89" s="3" t="str">
        <f>IF($L89&lt;&gt;"",IF($A89="Prepago",0,IF($H89*$U$7&gt;SUM($T$11:$T88)+$U$7,$U$7*2,$U$7)),"")</f>
        <v/>
      </c>
      <c r="U89" s="3" t="str">
        <f>IF($L89&lt;&gt;"",IF($A89="Prepago",0,IF($H89*$U$8&gt;SUM($U$11:$U88)+$U$8,$U$8*2,$U$8)),"")</f>
        <v/>
      </c>
      <c r="V89" s="3" t="str">
        <f t="shared" si="42"/>
        <v/>
      </c>
      <c r="W89" s="3" t="str">
        <f t="shared" si="43"/>
        <v/>
      </c>
      <c r="X89" s="3" t="str">
        <f t="shared" si="44"/>
        <v/>
      </c>
      <c r="Y89" s="3" t="str">
        <f t="shared" si="45"/>
        <v/>
      </c>
      <c r="Z89" s="3" t="str">
        <f>IF($L89&lt;&gt;"",IF($N89&gt;Y$11,IF($N89&lt;Z$11,$N89-Y$11,30),0)*ROUND(($O89+$W88+SUM($Y89:Y89))*$V$5/3000,2),"")</f>
        <v/>
      </c>
      <c r="AA89" s="3"/>
      <c r="AB89" s="3"/>
    </row>
    <row r="90" spans="5:28" x14ac:dyDescent="0.25">
      <c r="E90" s="5"/>
      <c r="F90" t="str">
        <f t="shared" si="32"/>
        <v/>
      </c>
      <c r="G90" s="5" t="str">
        <f t="shared" si="33"/>
        <v/>
      </c>
      <c r="H90" s="22" t="str">
        <f t="shared" si="34"/>
        <v/>
      </c>
      <c r="I90" s="22" t="str">
        <f t="shared" si="35"/>
        <v/>
      </c>
      <c r="J90" s="22" t="str">
        <f t="shared" si="46"/>
        <v/>
      </c>
      <c r="K90" s="22" t="str">
        <f t="shared" si="47"/>
        <v/>
      </c>
      <c r="L90" t="str">
        <f t="shared" si="36"/>
        <v/>
      </c>
      <c r="M90" s="5" t="str">
        <f t="shared" si="48"/>
        <v/>
      </c>
      <c r="N90" s="9" t="str">
        <f t="shared" si="37"/>
        <v/>
      </c>
      <c r="O90" s="3" t="str">
        <f t="shared" si="38"/>
        <v/>
      </c>
      <c r="P90" s="3" t="str">
        <f t="shared" si="39"/>
        <v/>
      </c>
      <c r="Q90" s="3" t="str">
        <f t="shared" si="40"/>
        <v/>
      </c>
      <c r="R90" s="3" t="str">
        <f t="shared" si="41"/>
        <v/>
      </c>
      <c r="S90" s="3" t="str">
        <f>IF($L90&lt;&gt;"",IF($A90="Prepago",0,IF($H90*$U$6&gt;SUM($S$11:$S89)+$U$6,$U$6*2,$U$6)),"")</f>
        <v/>
      </c>
      <c r="T90" s="3" t="str">
        <f>IF($L90&lt;&gt;"",IF($A90="Prepago",0,IF($H90*$U$7&gt;SUM($T$11:$T89)+$U$7,$U$7*2,$U$7)),"")</f>
        <v/>
      </c>
      <c r="U90" s="3" t="str">
        <f>IF($L90&lt;&gt;"",IF($A90="Prepago",0,IF($H90*$U$8&gt;SUM($U$11:$U89)+$U$8,$U$8*2,$U$8)),"")</f>
        <v/>
      </c>
      <c r="V90" s="3" t="str">
        <f t="shared" si="42"/>
        <v/>
      </c>
      <c r="W90" s="3" t="str">
        <f t="shared" si="43"/>
        <v/>
      </c>
      <c r="X90" s="3" t="str">
        <f t="shared" si="44"/>
        <v/>
      </c>
      <c r="Y90" s="3" t="str">
        <f t="shared" si="45"/>
        <v/>
      </c>
      <c r="Z90" s="3" t="str">
        <f>IF($L90&lt;&gt;"",IF($N90&gt;Y$11,IF($N90&lt;Z$11,$N90-Y$11,30),0)*ROUND(($O90+$W89+SUM($Y90:Y90))*$V$5/3000,2),"")</f>
        <v/>
      </c>
      <c r="AA90" s="3"/>
      <c r="AB90" s="3"/>
    </row>
    <row r="91" spans="5:28" x14ac:dyDescent="0.25">
      <c r="E91" s="5"/>
      <c r="F91" t="str">
        <f t="shared" si="32"/>
        <v/>
      </c>
      <c r="G91" s="5" t="str">
        <f t="shared" si="33"/>
        <v/>
      </c>
      <c r="H91" s="22" t="str">
        <f t="shared" si="34"/>
        <v/>
      </c>
      <c r="I91" s="22" t="str">
        <f t="shared" si="35"/>
        <v/>
      </c>
      <c r="J91" s="22" t="str">
        <f t="shared" si="46"/>
        <v/>
      </c>
      <c r="K91" s="22" t="str">
        <f t="shared" si="47"/>
        <v/>
      </c>
      <c r="L91" t="str">
        <f t="shared" si="36"/>
        <v/>
      </c>
      <c r="M91" s="5" t="str">
        <f t="shared" si="48"/>
        <v/>
      </c>
      <c r="N91" s="9" t="str">
        <f t="shared" si="37"/>
        <v/>
      </c>
      <c r="O91" s="3" t="str">
        <f t="shared" si="38"/>
        <v/>
      </c>
      <c r="P91" s="3" t="str">
        <f t="shared" si="39"/>
        <v/>
      </c>
      <c r="Q91" s="3" t="str">
        <f t="shared" si="40"/>
        <v/>
      </c>
      <c r="R91" s="3" t="str">
        <f t="shared" si="41"/>
        <v/>
      </c>
      <c r="S91" s="3" t="str">
        <f>IF($L91&lt;&gt;"",IF($A91="Prepago",0,IF($H91*$U$6&gt;SUM($S$11:$S90)+$U$6,$U$6*2,$U$6)),"")</f>
        <v/>
      </c>
      <c r="T91" s="3" t="str">
        <f>IF($L91&lt;&gt;"",IF($A91="Prepago",0,IF($H91*$U$7&gt;SUM($T$11:$T90)+$U$7,$U$7*2,$U$7)),"")</f>
        <v/>
      </c>
      <c r="U91" s="3" t="str">
        <f>IF($L91&lt;&gt;"",IF($A91="Prepago",0,IF($H91*$U$8&gt;SUM($U$11:$U90)+$U$8,$U$8*2,$U$8)),"")</f>
        <v/>
      </c>
      <c r="V91" s="3" t="str">
        <f t="shared" si="42"/>
        <v/>
      </c>
      <c r="W91" s="3" t="str">
        <f t="shared" si="43"/>
        <v/>
      </c>
      <c r="X91" s="3" t="str">
        <f t="shared" si="44"/>
        <v/>
      </c>
      <c r="Y91" s="3" t="str">
        <f t="shared" si="45"/>
        <v/>
      </c>
      <c r="Z91" s="3" t="str">
        <f>IF($L91&lt;&gt;"",IF($N91&gt;Y$11,IF($N91&lt;Z$11,$N91-Y$11,30),0)*ROUND(($O91+$W90+SUM($Y91:Y91))*$V$5/3000,2),"")</f>
        <v/>
      </c>
      <c r="AA91" s="3"/>
      <c r="AB91" s="3"/>
    </row>
    <row r="92" spans="5:28" x14ac:dyDescent="0.25">
      <c r="E92" s="5"/>
      <c r="F92" t="str">
        <f t="shared" si="32"/>
        <v/>
      </c>
      <c r="G92" s="5" t="str">
        <f t="shared" si="33"/>
        <v/>
      </c>
      <c r="H92" s="22" t="str">
        <f t="shared" si="34"/>
        <v/>
      </c>
      <c r="I92" s="22" t="str">
        <f t="shared" si="35"/>
        <v/>
      </c>
      <c r="J92" s="22" t="str">
        <f t="shared" si="46"/>
        <v/>
      </c>
      <c r="K92" s="22" t="str">
        <f t="shared" si="47"/>
        <v/>
      </c>
      <c r="L92" t="str">
        <f t="shared" si="36"/>
        <v/>
      </c>
      <c r="M92" s="5" t="str">
        <f t="shared" si="48"/>
        <v/>
      </c>
      <c r="N92" s="9" t="str">
        <f t="shared" si="37"/>
        <v/>
      </c>
      <c r="O92" s="3" t="str">
        <f t="shared" si="38"/>
        <v/>
      </c>
      <c r="P92" s="3" t="str">
        <f t="shared" si="39"/>
        <v/>
      </c>
      <c r="Q92" s="3" t="str">
        <f t="shared" si="40"/>
        <v/>
      </c>
      <c r="R92" s="3" t="str">
        <f t="shared" si="41"/>
        <v/>
      </c>
      <c r="S92" s="3" t="str">
        <f>IF($L92&lt;&gt;"",IF($A92="Prepago",0,IF($H92*$U$6&gt;SUM($S$11:$S91)+$U$6,$U$6*2,$U$6)),"")</f>
        <v/>
      </c>
      <c r="T92" s="3" t="str">
        <f>IF($L92&lt;&gt;"",IF($A92="Prepago",0,IF($H92*$U$7&gt;SUM($T$11:$T91)+$U$7,$U$7*2,$U$7)),"")</f>
        <v/>
      </c>
      <c r="U92" s="3" t="str">
        <f>IF($L92&lt;&gt;"",IF($A92="Prepago",0,IF($H92*$U$8&gt;SUM($U$11:$U91)+$U$8,$U$8*2,$U$8)),"")</f>
        <v/>
      </c>
      <c r="V92" s="3" t="str">
        <f t="shared" si="42"/>
        <v/>
      </c>
      <c r="W92" s="3" t="str">
        <f t="shared" si="43"/>
        <v/>
      </c>
      <c r="X92" s="3" t="str">
        <f t="shared" si="44"/>
        <v/>
      </c>
      <c r="Y92" s="3" t="str">
        <f t="shared" si="45"/>
        <v/>
      </c>
      <c r="Z92" s="3" t="str">
        <f>IF($L92&lt;&gt;"",IF($N92&gt;Y$11,IF($N92&lt;Z$11,$N92-Y$11,30),0)*ROUND(($O92+$W91+SUM($Y92:Y92))*$V$5/3000,2),"")</f>
        <v/>
      </c>
      <c r="AA92" s="3"/>
      <c r="AB92" s="3"/>
    </row>
    <row r="93" spans="5:28" x14ac:dyDescent="0.25">
      <c r="E93" s="5"/>
      <c r="F93" t="str">
        <f t="shared" si="32"/>
        <v/>
      </c>
      <c r="G93" s="5" t="str">
        <f t="shared" si="33"/>
        <v/>
      </c>
      <c r="H93" s="22" t="str">
        <f t="shared" si="34"/>
        <v/>
      </c>
      <c r="I93" s="22" t="str">
        <f t="shared" si="35"/>
        <v/>
      </c>
      <c r="J93" s="22" t="str">
        <f t="shared" si="46"/>
        <v/>
      </c>
      <c r="K93" s="22" t="str">
        <f t="shared" si="47"/>
        <v/>
      </c>
      <c r="L93" t="str">
        <f t="shared" si="36"/>
        <v/>
      </c>
      <c r="M93" s="5" t="str">
        <f t="shared" si="48"/>
        <v/>
      </c>
      <c r="N93" s="9" t="str">
        <f t="shared" si="37"/>
        <v/>
      </c>
      <c r="O93" s="3" t="str">
        <f t="shared" si="38"/>
        <v/>
      </c>
      <c r="P93" s="3" t="str">
        <f t="shared" si="39"/>
        <v/>
      </c>
      <c r="Q93" s="3" t="str">
        <f t="shared" si="40"/>
        <v/>
      </c>
      <c r="R93" s="3" t="str">
        <f t="shared" si="41"/>
        <v/>
      </c>
      <c r="S93" s="3" t="str">
        <f>IF($L93&lt;&gt;"",IF($A93="Prepago",0,IF($H93*$U$6&gt;SUM($S$11:$S92)+$U$6,$U$6*2,$U$6)),"")</f>
        <v/>
      </c>
      <c r="T93" s="3" t="str">
        <f>IF($L93&lt;&gt;"",IF($A93="Prepago",0,IF($H93*$U$7&gt;SUM($T$11:$T92)+$U$7,$U$7*2,$U$7)),"")</f>
        <v/>
      </c>
      <c r="U93" s="3" t="str">
        <f>IF($L93&lt;&gt;"",IF($A93="Prepago",0,IF($H93*$U$8&gt;SUM($U$11:$U92)+$U$8,$U$8*2,$U$8)),"")</f>
        <v/>
      </c>
      <c r="V93" s="3" t="str">
        <f t="shared" si="42"/>
        <v/>
      </c>
      <c r="W93" s="3" t="str">
        <f t="shared" si="43"/>
        <v/>
      </c>
      <c r="X93" s="3" t="str">
        <f t="shared" si="44"/>
        <v/>
      </c>
      <c r="Y93" s="3" t="str">
        <f t="shared" si="45"/>
        <v/>
      </c>
      <c r="Z93" s="3" t="str">
        <f>IF($L93&lt;&gt;"",IF($N93&gt;Y$11,IF($N93&lt;Z$11,$N93-Y$11,30),0)*ROUND(($O93+$W92+SUM($Y93:Y93))*$V$5/3000,2),"")</f>
        <v/>
      </c>
      <c r="AA93" s="3"/>
      <c r="AB93" s="3"/>
    </row>
    <row r="94" spans="5:28" x14ac:dyDescent="0.25">
      <c r="E94" s="5"/>
      <c r="F94" t="str">
        <f t="shared" si="32"/>
        <v/>
      </c>
      <c r="G94" s="5" t="str">
        <f t="shared" si="33"/>
        <v/>
      </c>
      <c r="H94" s="22" t="str">
        <f t="shared" si="34"/>
        <v/>
      </c>
      <c r="I94" s="22" t="str">
        <f t="shared" si="35"/>
        <v/>
      </c>
      <c r="J94" s="22" t="str">
        <f t="shared" si="46"/>
        <v/>
      </c>
      <c r="K94" s="22" t="str">
        <f t="shared" si="47"/>
        <v/>
      </c>
      <c r="L94" t="str">
        <f t="shared" si="36"/>
        <v/>
      </c>
      <c r="M94" s="5" t="str">
        <f t="shared" si="48"/>
        <v/>
      </c>
      <c r="N94" s="9" t="str">
        <f t="shared" si="37"/>
        <v/>
      </c>
      <c r="O94" s="3" t="str">
        <f t="shared" si="38"/>
        <v/>
      </c>
      <c r="P94" s="3" t="str">
        <f t="shared" si="39"/>
        <v/>
      </c>
      <c r="Q94" s="3" t="str">
        <f t="shared" si="40"/>
        <v/>
      </c>
      <c r="R94" s="3" t="str">
        <f t="shared" si="41"/>
        <v/>
      </c>
      <c r="S94" s="3" t="str">
        <f>IF($L94&lt;&gt;"",IF($A94="Prepago",0,IF($H94*$U$6&gt;SUM($S$11:$S93)+$U$6,$U$6*2,$U$6)),"")</f>
        <v/>
      </c>
      <c r="T94" s="3" t="str">
        <f>IF($L94&lt;&gt;"",IF($A94="Prepago",0,IF($H94*$U$7&gt;SUM($T$11:$T93)+$U$7,$U$7*2,$U$7)),"")</f>
        <v/>
      </c>
      <c r="U94" s="3" t="str">
        <f>IF($L94&lt;&gt;"",IF($A94="Prepago",0,IF($H94*$U$8&gt;SUM($U$11:$U93)+$U$8,$U$8*2,$U$8)),"")</f>
        <v/>
      </c>
      <c r="V94" s="3" t="str">
        <f t="shared" si="42"/>
        <v/>
      </c>
      <c r="W94" s="3" t="str">
        <f t="shared" si="43"/>
        <v/>
      </c>
      <c r="X94" s="3" t="str">
        <f t="shared" si="44"/>
        <v/>
      </c>
      <c r="Y94" s="3" t="str">
        <f t="shared" si="45"/>
        <v/>
      </c>
      <c r="Z94" s="3" t="str">
        <f>IF($L94&lt;&gt;"",IF($N94&gt;Y$11,IF($N94&lt;Z$11,$N94-Y$11,30),0)*ROUND(($O94+$W93+SUM($Y94:Y94))*$V$5/3000,2),"")</f>
        <v/>
      </c>
      <c r="AA94" s="3"/>
      <c r="AB94" s="3"/>
    </row>
    <row r="95" spans="5:28" x14ac:dyDescent="0.25">
      <c r="E95" s="5"/>
      <c r="F95" t="str">
        <f t="shared" si="32"/>
        <v/>
      </c>
      <c r="G95" s="5" t="str">
        <f t="shared" si="33"/>
        <v/>
      </c>
      <c r="H95" s="22" t="str">
        <f t="shared" si="34"/>
        <v/>
      </c>
      <c r="I95" s="22" t="str">
        <f t="shared" si="35"/>
        <v/>
      </c>
      <c r="J95" s="22" t="str">
        <f t="shared" si="46"/>
        <v/>
      </c>
      <c r="K95" s="22" t="str">
        <f t="shared" si="47"/>
        <v/>
      </c>
      <c r="L95" t="str">
        <f t="shared" si="36"/>
        <v/>
      </c>
      <c r="M95" s="5" t="str">
        <f t="shared" si="48"/>
        <v/>
      </c>
      <c r="N95" s="9" t="str">
        <f t="shared" si="37"/>
        <v/>
      </c>
      <c r="O95" s="3" t="str">
        <f t="shared" si="38"/>
        <v/>
      </c>
      <c r="P95" s="3" t="str">
        <f t="shared" si="39"/>
        <v/>
      </c>
      <c r="Q95" s="3" t="str">
        <f t="shared" si="40"/>
        <v/>
      </c>
      <c r="R95" s="3" t="str">
        <f t="shared" si="41"/>
        <v/>
      </c>
      <c r="S95" s="3" t="str">
        <f>IF($L95&lt;&gt;"",IF($A95="Prepago",0,IF($H95*$U$6&gt;SUM($S$11:$S94)+$U$6,$U$6*2,$U$6)),"")</f>
        <v/>
      </c>
      <c r="T95" s="3" t="str">
        <f>IF($L95&lt;&gt;"",IF($A95="Prepago",0,IF($H95*$U$7&gt;SUM($T$11:$T94)+$U$7,$U$7*2,$U$7)),"")</f>
        <v/>
      </c>
      <c r="U95" s="3" t="str">
        <f>IF($L95&lt;&gt;"",IF($A95="Prepago",0,IF($H95*$U$8&gt;SUM($U$11:$U94)+$U$8,$U$8*2,$U$8)),"")</f>
        <v/>
      </c>
      <c r="V95" s="3" t="str">
        <f t="shared" si="42"/>
        <v/>
      </c>
      <c r="W95" s="3" t="str">
        <f t="shared" si="43"/>
        <v/>
      </c>
      <c r="X95" s="3" t="str">
        <f t="shared" si="44"/>
        <v/>
      </c>
      <c r="Y95" s="3" t="str">
        <f t="shared" si="45"/>
        <v/>
      </c>
      <c r="Z95" s="3" t="str">
        <f>IF($L95&lt;&gt;"",IF($N95&gt;Y$11,IF($N95&lt;Z$11,$N95-Y$11,30),0)*ROUND(($O95+$W94+SUM($Y95:Y95))*$V$5/3000,2),"")</f>
        <v/>
      </c>
      <c r="AA95" s="3"/>
      <c r="AB95" s="3"/>
    </row>
    <row r="96" spans="5:28" x14ac:dyDescent="0.25">
      <c r="E96" s="5"/>
      <c r="F96" t="str">
        <f t="shared" si="32"/>
        <v/>
      </c>
      <c r="G96" s="5" t="str">
        <f t="shared" si="33"/>
        <v/>
      </c>
      <c r="H96" s="22" t="str">
        <f t="shared" si="34"/>
        <v/>
      </c>
      <c r="I96" s="22" t="str">
        <f t="shared" si="35"/>
        <v/>
      </c>
      <c r="J96" s="22" t="str">
        <f t="shared" si="46"/>
        <v/>
      </c>
      <c r="K96" s="22" t="str">
        <f t="shared" si="47"/>
        <v/>
      </c>
      <c r="L96" t="str">
        <f t="shared" si="36"/>
        <v/>
      </c>
      <c r="M96" s="5" t="str">
        <f t="shared" si="48"/>
        <v/>
      </c>
      <c r="N96" s="9" t="str">
        <f t="shared" si="37"/>
        <v/>
      </c>
      <c r="O96" s="3" t="str">
        <f t="shared" si="38"/>
        <v/>
      </c>
      <c r="P96" s="3" t="str">
        <f t="shared" si="39"/>
        <v/>
      </c>
      <c r="Q96" s="3" t="str">
        <f t="shared" si="40"/>
        <v/>
      </c>
      <c r="R96" s="3" t="str">
        <f t="shared" si="41"/>
        <v/>
      </c>
      <c r="S96" s="3" t="str">
        <f>IF($L96&lt;&gt;"",IF($A96="Prepago",0,IF($H96*$U$6&gt;SUM($S$11:$S95)+$U$6,$U$6*2,$U$6)),"")</f>
        <v/>
      </c>
      <c r="T96" s="3" t="str">
        <f>IF($L96&lt;&gt;"",IF($A96="Prepago",0,IF($H96*$U$7&gt;SUM($T$11:$T95)+$U$7,$U$7*2,$U$7)),"")</f>
        <v/>
      </c>
      <c r="U96" s="3" t="str">
        <f>IF($L96&lt;&gt;"",IF($A96="Prepago",0,IF($H96*$U$8&gt;SUM($U$11:$U95)+$U$8,$U$8*2,$U$8)),"")</f>
        <v/>
      </c>
      <c r="V96" s="3" t="str">
        <f t="shared" si="42"/>
        <v/>
      </c>
      <c r="W96" s="3" t="str">
        <f t="shared" si="43"/>
        <v/>
      </c>
      <c r="X96" s="3" t="str">
        <f t="shared" si="44"/>
        <v/>
      </c>
      <c r="Y96" s="3" t="str">
        <f t="shared" si="45"/>
        <v/>
      </c>
      <c r="Z96" s="3" t="str">
        <f>IF($L96&lt;&gt;"",IF($N96&gt;Y$11,IF($N96&lt;Z$11,$N96-Y$11,30),0)*ROUND(($O96+$W95+SUM($Y96:Y96))*$V$5/3000,2),"")</f>
        <v/>
      </c>
      <c r="AA96" s="3"/>
      <c r="AB96" s="3"/>
    </row>
    <row r="97" spans="5:28" x14ac:dyDescent="0.25">
      <c r="E97" s="5"/>
      <c r="F97" t="str">
        <f t="shared" si="32"/>
        <v/>
      </c>
      <c r="G97" s="5" t="str">
        <f t="shared" ref="G97" si="49">IF($L97&lt;&gt;"",EOMONTH($M$11,H97),"")</f>
        <v/>
      </c>
      <c r="H97" s="22" t="str">
        <f t="shared" si="34"/>
        <v/>
      </c>
      <c r="I97" s="22" t="str">
        <f t="shared" si="35"/>
        <v/>
      </c>
      <c r="J97" s="22" t="str">
        <f t="shared" si="46"/>
        <v/>
      </c>
      <c r="L97" t="str">
        <f t="shared" si="36"/>
        <v/>
      </c>
      <c r="M97" s="5" t="str">
        <f t="shared" ref="M97" si="50">IF($L97&lt;&gt;"",IF(DAY(G97)&lt;$N$7,G97,DATE(YEAR(G97),MONTH(G97),$N$7)),"")</f>
        <v/>
      </c>
      <c r="N97" s="9" t="str">
        <f t="shared" si="37"/>
        <v/>
      </c>
      <c r="O97" s="3" t="str">
        <f t="shared" si="38"/>
        <v/>
      </c>
      <c r="P97" s="3" t="str">
        <f>IF($L97&lt;&gt;"",IF($A97="Gracia Parcial",IF(AND($C97&lt;$X97+$S97+$T97+$U97+$W96,$C97&gt;0),$C97,$X97+$S97+$T97+$U97+$W96),IF($A97="Gracia Total",0,IF($A97="Prepago",$C97,IF(ISNUMBER($C97),$C97*VALUE(MID($C$1,MONTH($M97),1)),$Q$5*VALUE(MID($C$1,MONTH($M97),1))))))-IF(#REF!="",ARREGLO,0),"")</f>
        <v/>
      </c>
      <c r="Q97" s="3" t="str">
        <f t="shared" si="40"/>
        <v/>
      </c>
      <c r="R97" s="3" t="str">
        <f t="shared" si="41"/>
        <v/>
      </c>
      <c r="S97" s="3" t="str">
        <f>IF($L97&lt;&gt;"",IF($A97="Prepago",0,IF(ROUND(($H97+SUM($B$12:$B97))*$U$6,2)&gt;ROUND(SUM($S$11:$S96)+$U$6,2),$U$6*2,$U$6)),"")</f>
        <v/>
      </c>
      <c r="T97" s="3" t="str">
        <f>IF($L97&lt;&gt;"",IF($A97="Prepago",0,IF(ROUND(($H97+SUM($B$12:$B97))*$U$7,2)&gt;ROUND(SUM($T$11:$T96)+$U$7,2),$U$7*2,$U$7)),"")</f>
        <v/>
      </c>
      <c r="U97" s="3" t="str">
        <f>IF($L97&lt;&gt;"",IF($A97="Prepago",0,IF($H97*$U$8&gt;SUM($U$11:$U96),$U$8*2,$U$8)),"")</f>
        <v/>
      </c>
      <c r="V97" s="3" t="str">
        <f t="shared" si="42"/>
        <v/>
      </c>
      <c r="W97" s="3" t="str">
        <f t="shared" si="43"/>
        <v/>
      </c>
      <c r="X97" s="3" t="str">
        <f t="shared" si="44"/>
        <v/>
      </c>
      <c r="Y97" s="3" t="str">
        <f t="shared" si="45"/>
        <v/>
      </c>
      <c r="Z97" s="3" t="str">
        <f>IF($L97&lt;&gt;"",IF($N97&gt;Y$11,IF($N97&lt;Z$11,$N97-Y$11,30),0)*ROUND(($O97+$W96+SUM($Y97:Y97))*$V$5/3000,2),"")</f>
        <v/>
      </c>
      <c r="AA97" s="3"/>
      <c r="AB97" s="3"/>
    </row>
  </sheetData>
  <protectedRanges>
    <protectedRange algorithmName="SHA-512" hashValue="saOoXsqAoQxcXXYzXQIOV3/apjOtIOId7A6E3Kbbks0v/+hkXCO7VppjyeJOkYNfZLM9Y82SgohJPBHQ4upYMw==" saltValue="AI4kOYg9mvAOcytG4WhlkQ==" spinCount="100000" sqref="AC10:AD10 AW11 AY11 BA11 BC11 BE11 BG11 BI11 BK11 BM11 BO11 BQ11 BS11 BU11 BW11 BY11 CA11 CC11 CE11 CG11 AG11 AI11 AK11 AM11 AO11 AQ11 AS11 AU11 AC13:AD15 AE11 AC25:AD60 AC21:AD23 AD16 BW12:CG12 AE13:CG16 AH17:CG17 AE20:CG60 AF18:CG18 R12:R97 R10:AB11 V12:Y97 AH19:CG19 L10:Q97" name="Rango1"/>
    <protectedRange algorithmName="SHA-512" hashValue="saOoXsqAoQxcXXYzXQIOV3/apjOtIOId7A6E3Kbbks0v/+hkXCO7VppjyeJOkYNfZLM9Y82SgohJPBHQ4upYMw==" saltValue="AI4kOYg9mvAOcytG4WhlkQ==" spinCount="100000" sqref="Z18:Z97 AA24:AD24 AA21:AB23 AA20:AD20 Z16:AC16 Z13:AB15 Z12:BV12 Z17:AG17 AA25:AB97 AA18:AE18 AA19:AG19" name="Rango1_1"/>
    <protectedRange algorithmName="SHA-512" hashValue="saOoXsqAoQxcXXYzXQIOV3/apjOtIOId7A6E3Kbbks0v/+hkXCO7VppjyeJOkYNfZLM9Y82SgohJPBHQ4upYMw==" saltValue="AI4kOYg9mvAOcytG4WhlkQ==" spinCount="100000" sqref="S12:U97" name="Rango1_2"/>
  </protectedRanges>
  <mergeCells count="2">
    <mergeCell ref="AC6:AD6"/>
    <mergeCell ref="L1:L2"/>
  </mergeCells>
  <conditionalFormatting sqref="X10 M11:X97">
    <cfRule type="expression" dxfId="12" priority="25">
      <formula>AND($L10&lt;&gt;"")</formula>
    </cfRule>
  </conditionalFormatting>
  <conditionalFormatting sqref="V12:W97 R11:W11 R12:R97 M11:Q97">
    <cfRule type="expression" dxfId="11" priority="13">
      <formula>AND(ROUND(M11,0)&lt;0)</formula>
    </cfRule>
  </conditionalFormatting>
  <conditionalFormatting sqref="AA7">
    <cfRule type="expression" dxfId="10" priority="12">
      <formula>AND($AA$7&lt;&gt;0)</formula>
    </cfRule>
  </conditionalFormatting>
  <conditionalFormatting sqref="AI7">
    <cfRule type="expression" dxfId="9" priority="10">
      <formula>AND($AI$7&lt;&gt;"OK")</formula>
    </cfRule>
  </conditionalFormatting>
  <conditionalFormatting sqref="AI6">
    <cfRule type="expression" dxfId="8" priority="9">
      <formula>AND($AI$6&lt;&gt;"OK")</formula>
    </cfRule>
  </conditionalFormatting>
  <conditionalFormatting sqref="H12:K97 A12:E97">
    <cfRule type="expression" dxfId="7" priority="52">
      <formula>AND($L12&lt;&gt;"")</formula>
    </cfRule>
  </conditionalFormatting>
  <conditionalFormatting sqref="L10 F10:G10">
    <cfRule type="expression" dxfId="6" priority="57">
      <formula>AND(COUNTA($L:$L)-2&lt;$Q$6)</formula>
    </cfRule>
  </conditionalFormatting>
  <conditionalFormatting sqref="S12:U97">
    <cfRule type="expression" dxfId="5" priority="5">
      <formula>AND(ROUND(S12,0)&lt;0)</formula>
    </cfRule>
  </conditionalFormatting>
  <conditionalFormatting sqref="N12">
    <cfRule type="expression" dxfId="4" priority="4">
      <formula>AND($N$12&lt;=15)</formula>
    </cfRule>
  </conditionalFormatting>
  <conditionalFormatting sqref="L12:L1048576 F12:G1048576">
    <cfRule type="expression" dxfId="3" priority="85">
      <formula>AND(COUNTA($Y12:$XFD12)*30&lt;$N12,$L12&lt;&gt;"")</formula>
    </cfRule>
  </conditionalFormatting>
  <conditionalFormatting sqref="V8">
    <cfRule type="expression" dxfId="2" priority="3">
      <formula>AND($R$8*$U$8&lt;&gt;$V$8)</formula>
    </cfRule>
  </conditionalFormatting>
  <conditionalFormatting sqref="V7">
    <cfRule type="expression" dxfId="1" priority="2">
      <formula>AND($R$8*$U$7&lt;&gt;$U$7)</formula>
    </cfRule>
  </conditionalFormatting>
  <conditionalFormatting sqref="V6">
    <cfRule type="expression" dxfId="0" priority="1">
      <formula>AND($R$8*$U$6&lt;&gt;$U$6)</formula>
    </cfRule>
  </conditionalFormatting>
  <dataValidations count="7">
    <dataValidation type="decimal" operator="greaterThanOrEqual" allowBlank="1" showInputMessage="1" showErrorMessage="1" errorTitle="TEA" error="Debe ser un numero positivo" sqref="U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97" xr:uid="{00000000-0002-0000-0000-000006000000}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btAjustar">
          <controlPr defaultSize="0" autoLine="0" autoPict="0" r:id="rId5">
            <anchor moveWithCells="1">
              <from>
                <xdr:col>17</xdr:col>
                <xdr:colOff>285750</xdr:colOff>
                <xdr:row>4</xdr:row>
                <xdr:rowOff>57150</xdr:rowOff>
              </from>
              <to>
                <xdr:col>18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4" name="btAjustar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29" r:id="rId8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4</xdr:col>
                <xdr:colOff>38100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4</xdr:col>
                <xdr:colOff>19050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4</xdr:col>
                <xdr:colOff>38100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Button 19">
          <controlPr defaultSize="0" print="0" autoFill="0" autoPict="0" macro="[0]!GenerarCSV">
            <anchor moveWithCells="1" sizeWithCells="1">
              <from>
                <xdr:col>22</xdr:col>
                <xdr:colOff>419100</xdr:colOff>
                <xdr:row>3</xdr:row>
                <xdr:rowOff>171450</xdr:rowOff>
              </from>
              <to>
                <xdr:col>24</xdr:col>
                <xdr:colOff>657225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2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171450</xdr:rowOff>
              </from>
              <to>
                <xdr:col>14</xdr:col>
                <xdr:colOff>981075</xdr:colOff>
                <xdr:row>7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100</v>
      </c>
    </row>
    <row r="3" spans="1:1" x14ac:dyDescent="0.25">
      <c r="A3" t="s">
        <v>102</v>
      </c>
    </row>
    <row r="4" spans="1:1" x14ac:dyDescent="0.25">
      <c r="A4" t="s">
        <v>101</v>
      </c>
    </row>
    <row r="5" spans="1:1" x14ac:dyDescent="0.25">
      <c r="A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18</vt:i4>
      </vt:variant>
    </vt:vector>
  </HeadingPairs>
  <TitlesOfParts>
    <vt:vector size="20" baseType="lpstr">
      <vt:lpstr>Hoja1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OBJETIVO</vt:lpstr>
      <vt:lpstr>PGRACIA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2020-10-22T18:12:44Z</dcterms:modified>
</cp:coreProperties>
</file>