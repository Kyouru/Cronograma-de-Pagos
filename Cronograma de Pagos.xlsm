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Excel Macro\Cronograma\"/>
    </mc:Choice>
  </mc:AlternateContent>
  <xr:revisionPtr revIDLastSave="0" documentId="13_ncr:1_{5B2DE25C-A015-4DAB-84A1-090F5E8D6CCF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eaFija2">Hoja1!$B$11</definedName>
    <definedName name="ARREGLO">Hoja1!$AA$8</definedName>
    <definedName name="CAPITALFIJOPAGADO">Hoja1!$K$11</definedName>
    <definedName name="CUOTA">Hoja1!$Q$5</definedName>
    <definedName name="CUOTAADICIONAL">Hoja1!$Q$7</definedName>
    <definedName name="dataGracia">Hoja1!$A$11</definedName>
    <definedName name="FIN_REF">Hoja1!$W$11</definedName>
    <definedName name="FinLimpiar">Hoja1!$E$12</definedName>
    <definedName name="INICIO_REF">Hoja1!$L$11</definedName>
    <definedName name="InicioLimpiar">Hoja1!$A$12</definedName>
    <definedName name="MESADICIONAL">Hoja1!$B$1</definedName>
    <definedName name="MONTO">Hoja1!$N$8</definedName>
    <definedName name="NCUOTAS">Hoja1!$Q$6</definedName>
    <definedName name="NPREPAGO">Hoja1!$Q$9</definedName>
    <definedName name="OBJETIVO">Hoja1!$AA$7</definedName>
    <definedName name="OBJETIVO2">Hoja1!$AB$7</definedName>
    <definedName name="PAGO_SIN_FIJAR">Hoja1!#REF!</definedName>
    <definedName name="TIPO_CUOTAS">Hoja2!$A$2:$A$5</definedName>
    <definedName name="TOTALCUOTAS">Hoja1!$R$8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1" l="1"/>
  <c r="M11" i="1" l="1"/>
  <c r="Q9" i="1" l="1"/>
  <c r="Q8" i="1" l="1"/>
  <c r="R8" i="1" s="1"/>
  <c r="L12" i="1"/>
  <c r="T12" i="1" l="1"/>
  <c r="J12" i="1"/>
  <c r="H12" i="1"/>
  <c r="U12" i="1" s="1"/>
  <c r="L13" i="1"/>
  <c r="W11" i="1"/>
  <c r="O12" i="1" s="1"/>
  <c r="AB1" i="1"/>
  <c r="AA6" i="1"/>
  <c r="V5" i="1"/>
  <c r="S12" i="1" l="1"/>
  <c r="G12" i="1"/>
  <c r="M12" i="1" s="1"/>
  <c r="V12" i="1"/>
  <c r="J13" i="1"/>
  <c r="H13" i="1"/>
  <c r="U13" i="1" s="1"/>
  <c r="L14" i="1"/>
  <c r="G13" i="1" l="1"/>
  <c r="M13" i="1" s="1"/>
  <c r="V13" i="1"/>
  <c r="S13" i="1"/>
  <c r="T13" i="1"/>
  <c r="J14" i="1"/>
  <c r="H14" i="1"/>
  <c r="U14" i="1" s="1"/>
  <c r="L15" i="1"/>
  <c r="G14" i="1" l="1"/>
  <c r="M14" i="1" s="1"/>
  <c r="V14" i="1"/>
  <c r="T14" i="1"/>
  <c r="S14" i="1"/>
  <c r="J15" i="1"/>
  <c r="H15" i="1"/>
  <c r="U15" i="1" s="1"/>
  <c r="L16" i="1"/>
  <c r="C1" i="1"/>
  <c r="S15" i="1" l="1"/>
  <c r="V15" i="1"/>
  <c r="T15" i="1"/>
  <c r="G15" i="1"/>
  <c r="M15" i="1" s="1"/>
  <c r="J16" i="1"/>
  <c r="H16" i="1"/>
  <c r="U16" i="1" s="1"/>
  <c r="L17" i="1"/>
  <c r="V16" i="1" l="1"/>
  <c r="T16" i="1"/>
  <c r="S16" i="1"/>
  <c r="G16" i="1"/>
  <c r="M16" i="1" s="1"/>
  <c r="J17" i="1"/>
  <c r="H17" i="1"/>
  <c r="U17" i="1" s="1"/>
  <c r="L18" i="1"/>
  <c r="U18" i="1" s="1"/>
  <c r="V17" i="1" l="1"/>
  <c r="T17" i="1"/>
  <c r="S17" i="1"/>
  <c r="G17" i="1"/>
  <c r="M17" i="1" s="1"/>
  <c r="J18" i="1"/>
  <c r="L19" i="1"/>
  <c r="H18" i="1"/>
  <c r="F12" i="1"/>
  <c r="L20" i="1" l="1"/>
  <c r="U20" i="1" s="1"/>
  <c r="U19" i="1"/>
  <c r="T18" i="1"/>
  <c r="V18" i="1"/>
  <c r="S18" i="1"/>
  <c r="G18" i="1"/>
  <c r="M18" i="1" s="1"/>
  <c r="J20" i="1"/>
  <c r="J19" i="1"/>
  <c r="H19" i="1"/>
  <c r="L21" i="1"/>
  <c r="U21" i="1" s="1"/>
  <c r="N12" i="1"/>
  <c r="G19" i="1" l="1"/>
  <c r="M19" i="1" s="1"/>
  <c r="T19" i="1"/>
  <c r="V19" i="1"/>
  <c r="S19" i="1"/>
  <c r="J21" i="1"/>
  <c r="H20" i="1"/>
  <c r="Z12" i="1"/>
  <c r="L22" i="1"/>
  <c r="U22" i="1" s="1"/>
  <c r="V20" i="1" l="1"/>
  <c r="T20" i="1"/>
  <c r="S20" i="1"/>
  <c r="G20" i="1"/>
  <c r="M20" i="1" s="1"/>
  <c r="J22" i="1"/>
  <c r="H21" i="1"/>
  <c r="L23" i="1"/>
  <c r="U23" i="1" s="1"/>
  <c r="AA12" i="1"/>
  <c r="G21" i="1" l="1"/>
  <c r="M21" i="1" s="1"/>
  <c r="S21" i="1"/>
  <c r="V21" i="1"/>
  <c r="T21" i="1"/>
  <c r="J23" i="1"/>
  <c r="H22" i="1"/>
  <c r="L24" i="1"/>
  <c r="U24" i="1" s="1"/>
  <c r="F13" i="1"/>
  <c r="AB12" i="1"/>
  <c r="AC12" i="1" s="1"/>
  <c r="N13" i="1"/>
  <c r="V22" i="1" l="1"/>
  <c r="T22" i="1"/>
  <c r="S22" i="1"/>
  <c r="H23" i="1"/>
  <c r="G22" i="1"/>
  <c r="M22" i="1" s="1"/>
  <c r="J24" i="1"/>
  <c r="L25" i="1"/>
  <c r="U25" i="1" s="1"/>
  <c r="F14" i="1"/>
  <c r="AD12" i="1"/>
  <c r="N14" i="1"/>
  <c r="H24" i="1" l="1"/>
  <c r="V23" i="1"/>
  <c r="T23" i="1"/>
  <c r="S23" i="1"/>
  <c r="G23" i="1"/>
  <c r="M23" i="1" s="1"/>
  <c r="G24" i="1"/>
  <c r="M24" i="1" s="1"/>
  <c r="J25" i="1"/>
  <c r="H25" i="1"/>
  <c r="N15" i="1"/>
  <c r="F15" i="1"/>
  <c r="L26" i="1"/>
  <c r="U26" i="1" s="1"/>
  <c r="AE12" i="1"/>
  <c r="G25" i="1" l="1"/>
  <c r="M25" i="1" s="1"/>
  <c r="V24" i="1"/>
  <c r="V25" i="1" s="1"/>
  <c r="S24" i="1"/>
  <c r="S25" i="1" s="1"/>
  <c r="T24" i="1"/>
  <c r="T25" i="1" s="1"/>
  <c r="J26" i="1"/>
  <c r="H26" i="1"/>
  <c r="L27" i="1"/>
  <c r="U27" i="1" s="1"/>
  <c r="F16" i="1"/>
  <c r="AF12" i="1"/>
  <c r="N16" i="1"/>
  <c r="T26" i="1" l="1"/>
  <c r="G26" i="1"/>
  <c r="M26" i="1" s="1"/>
  <c r="S26" i="1"/>
  <c r="V26" i="1"/>
  <c r="J27" i="1"/>
  <c r="H27" i="1"/>
  <c r="F17" i="1"/>
  <c r="N17" i="1"/>
  <c r="L28" i="1"/>
  <c r="U28" i="1" s="1"/>
  <c r="AG12" i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BV12" i="1" s="1"/>
  <c r="BW12" i="1" s="1"/>
  <c r="G27" i="1" l="1"/>
  <c r="M27" i="1" s="1"/>
  <c r="V27" i="1"/>
  <c r="S27" i="1"/>
  <c r="T27" i="1"/>
  <c r="J28" i="1"/>
  <c r="H28" i="1"/>
  <c r="G28" i="1" s="1"/>
  <c r="M28" i="1" s="1"/>
  <c r="I12" i="1"/>
  <c r="Y12" i="1"/>
  <c r="P12" i="1" s="1"/>
  <c r="F18" i="1"/>
  <c r="N18" i="1"/>
  <c r="F19" i="1"/>
  <c r="L29" i="1"/>
  <c r="U29" i="1" s="1"/>
  <c r="T28" i="1" l="1"/>
  <c r="S28" i="1"/>
  <c r="V28" i="1"/>
  <c r="R12" i="1"/>
  <c r="Q12" i="1" s="1"/>
  <c r="J29" i="1"/>
  <c r="H29" i="1"/>
  <c r="N19" i="1"/>
  <c r="L30" i="1"/>
  <c r="U30" i="1" s="1"/>
  <c r="T29" i="1" l="1"/>
  <c r="V29" i="1"/>
  <c r="S29" i="1"/>
  <c r="G29" i="1"/>
  <c r="M29" i="1" s="1"/>
  <c r="X12" i="1"/>
  <c r="J30" i="1"/>
  <c r="H30" i="1"/>
  <c r="K12" i="1"/>
  <c r="L31" i="1"/>
  <c r="U31" i="1" s="1"/>
  <c r="F20" i="1"/>
  <c r="N20" i="1"/>
  <c r="T30" i="1" l="1"/>
  <c r="S30" i="1"/>
  <c r="V30" i="1"/>
  <c r="G30" i="1"/>
  <c r="M30" i="1" s="1"/>
  <c r="J31" i="1"/>
  <c r="W12" i="1"/>
  <c r="H31" i="1"/>
  <c r="L32" i="1"/>
  <c r="U32" i="1" s="1"/>
  <c r="F21" i="1"/>
  <c r="N21" i="1"/>
  <c r="T31" i="1" l="1"/>
  <c r="V31" i="1"/>
  <c r="S31" i="1"/>
  <c r="G31" i="1"/>
  <c r="M31" i="1" s="1"/>
  <c r="J32" i="1"/>
  <c r="H32" i="1"/>
  <c r="N22" i="1"/>
  <c r="F22" i="1"/>
  <c r="P23" i="1"/>
  <c r="L33" i="1"/>
  <c r="U33" i="1" s="1"/>
  <c r="T32" i="1" l="1"/>
  <c r="S32" i="1"/>
  <c r="V32" i="1"/>
  <c r="G32" i="1"/>
  <c r="M32" i="1" s="1"/>
  <c r="J33" i="1"/>
  <c r="H33" i="1"/>
  <c r="P24" i="1"/>
  <c r="N23" i="1"/>
  <c r="F23" i="1"/>
  <c r="L34" i="1"/>
  <c r="U34" i="1" s="1"/>
  <c r="T33" i="1" l="1"/>
  <c r="V33" i="1"/>
  <c r="S33" i="1"/>
  <c r="G33" i="1"/>
  <c r="M33" i="1" s="1"/>
  <c r="J34" i="1"/>
  <c r="H34" i="1"/>
  <c r="N24" i="1"/>
  <c r="F24" i="1"/>
  <c r="F25" i="1"/>
  <c r="L35" i="1"/>
  <c r="U35" i="1" s="1"/>
  <c r="T34" i="1" l="1"/>
  <c r="S34" i="1"/>
  <c r="V34" i="1"/>
  <c r="G34" i="1"/>
  <c r="M34" i="1" s="1"/>
  <c r="J35" i="1"/>
  <c r="H35" i="1"/>
  <c r="G35" i="1" s="1"/>
  <c r="M35" i="1" s="1"/>
  <c r="N25" i="1"/>
  <c r="P25" i="1"/>
  <c r="L36" i="1"/>
  <c r="U36" i="1" s="1"/>
  <c r="P26" i="1"/>
  <c r="V35" i="1" l="1"/>
  <c r="S35" i="1"/>
  <c r="T35" i="1"/>
  <c r="J36" i="1"/>
  <c r="H36" i="1"/>
  <c r="L37" i="1"/>
  <c r="U37" i="1" s="1"/>
  <c r="F26" i="1"/>
  <c r="N26" i="1"/>
  <c r="P27" i="1"/>
  <c r="V36" i="1" l="1"/>
  <c r="S36" i="1"/>
  <c r="T36" i="1"/>
  <c r="G36" i="1"/>
  <c r="M36" i="1" s="1"/>
  <c r="J37" i="1"/>
  <c r="H37" i="1"/>
  <c r="P28" i="1"/>
  <c r="L38" i="1"/>
  <c r="U38" i="1" s="1"/>
  <c r="F27" i="1"/>
  <c r="N27" i="1"/>
  <c r="V37" i="1" l="1"/>
  <c r="T37" i="1"/>
  <c r="S37" i="1"/>
  <c r="G37" i="1"/>
  <c r="J38" i="1"/>
  <c r="H38" i="1"/>
  <c r="P30" i="1"/>
  <c r="F29" i="1"/>
  <c r="L39" i="1"/>
  <c r="U39" i="1" s="1"/>
  <c r="F28" i="1"/>
  <c r="N28" i="1"/>
  <c r="V38" i="1" l="1"/>
  <c r="S38" i="1"/>
  <c r="M37" i="1"/>
  <c r="P37" i="1" s="1"/>
  <c r="T38" i="1"/>
  <c r="G38" i="1"/>
  <c r="M38" i="1" s="1"/>
  <c r="J39" i="1"/>
  <c r="H39" i="1"/>
  <c r="F30" i="1"/>
  <c r="N30" i="1"/>
  <c r="P29" i="1"/>
  <c r="N29" i="1"/>
  <c r="L40" i="1"/>
  <c r="U40" i="1" s="1"/>
  <c r="V39" i="1" l="1"/>
  <c r="T39" i="1"/>
  <c r="S39" i="1"/>
  <c r="G39" i="1"/>
  <c r="M39" i="1" s="1"/>
  <c r="J40" i="1"/>
  <c r="H40" i="1"/>
  <c r="P31" i="1"/>
  <c r="L41" i="1"/>
  <c r="U41" i="1" s="1"/>
  <c r="V40" i="1" l="1"/>
  <c r="S40" i="1"/>
  <c r="T40" i="1"/>
  <c r="G40" i="1"/>
  <c r="M40" i="1" s="1"/>
  <c r="J41" i="1"/>
  <c r="H41" i="1"/>
  <c r="F31" i="1"/>
  <c r="N31" i="1"/>
  <c r="P33" i="1"/>
  <c r="L42" i="1"/>
  <c r="U42" i="1" s="1"/>
  <c r="V41" i="1" l="1"/>
  <c r="T41" i="1"/>
  <c r="S41" i="1"/>
  <c r="G41" i="1"/>
  <c r="M41" i="1" s="1"/>
  <c r="J42" i="1"/>
  <c r="H42" i="1"/>
  <c r="V42" i="1" s="1"/>
  <c r="F33" i="1"/>
  <c r="P34" i="1"/>
  <c r="L43" i="1"/>
  <c r="U43" i="1" s="1"/>
  <c r="S42" i="1" l="1"/>
  <c r="T42" i="1"/>
  <c r="G42" i="1"/>
  <c r="M42" i="1" s="1"/>
  <c r="J43" i="1"/>
  <c r="H43" i="1"/>
  <c r="V43" i="1" s="1"/>
  <c r="N34" i="1"/>
  <c r="F34" i="1"/>
  <c r="P35" i="1"/>
  <c r="L44" i="1"/>
  <c r="U44" i="1" s="1"/>
  <c r="T43" i="1" l="1"/>
  <c r="S43" i="1"/>
  <c r="G43" i="1"/>
  <c r="M43" i="1" s="1"/>
  <c r="J44" i="1"/>
  <c r="H44" i="1"/>
  <c r="V44" i="1" s="1"/>
  <c r="N35" i="1"/>
  <c r="F35" i="1"/>
  <c r="P36" i="1"/>
  <c r="L45" i="1"/>
  <c r="U45" i="1" s="1"/>
  <c r="S44" i="1" l="1"/>
  <c r="T44" i="1"/>
  <c r="G44" i="1"/>
  <c r="M44" i="1" s="1"/>
  <c r="J45" i="1"/>
  <c r="H45" i="1"/>
  <c r="V45" i="1" s="1"/>
  <c r="N36" i="1"/>
  <c r="F36" i="1"/>
  <c r="L46" i="1"/>
  <c r="U46" i="1" s="1"/>
  <c r="S45" i="1" l="1"/>
  <c r="T45" i="1"/>
  <c r="G45" i="1"/>
  <c r="M45" i="1" s="1"/>
  <c r="J46" i="1"/>
  <c r="H46" i="1"/>
  <c r="V46" i="1" s="1"/>
  <c r="L47" i="1"/>
  <c r="U47" i="1" s="1"/>
  <c r="S46" i="1" l="1"/>
  <c r="T46" i="1"/>
  <c r="G46" i="1"/>
  <c r="M46" i="1" s="1"/>
  <c r="J47" i="1"/>
  <c r="H47" i="1"/>
  <c r="F39" i="1"/>
  <c r="L48" i="1"/>
  <c r="U48" i="1" s="1"/>
  <c r="V47" i="1" l="1"/>
  <c r="T47" i="1"/>
  <c r="S47" i="1"/>
  <c r="G47" i="1"/>
  <c r="M47" i="1" s="1"/>
  <c r="J48" i="1"/>
  <c r="H48" i="1"/>
  <c r="P39" i="1"/>
  <c r="F40" i="1"/>
  <c r="L49" i="1"/>
  <c r="U49" i="1" s="1"/>
  <c r="V48" i="1" l="1"/>
  <c r="T48" i="1"/>
  <c r="S48" i="1"/>
  <c r="G48" i="1"/>
  <c r="M48" i="1" s="1"/>
  <c r="J49" i="1"/>
  <c r="H49" i="1"/>
  <c r="P40" i="1"/>
  <c r="N40" i="1"/>
  <c r="P41" i="1"/>
  <c r="L50" i="1"/>
  <c r="U50" i="1" s="1"/>
  <c r="S49" i="1" l="1"/>
  <c r="T49" i="1"/>
  <c r="V49" i="1"/>
  <c r="G49" i="1"/>
  <c r="M49" i="1" s="1"/>
  <c r="J50" i="1"/>
  <c r="H50" i="1"/>
  <c r="S50" i="1" s="1"/>
  <c r="N41" i="1"/>
  <c r="F41" i="1"/>
  <c r="L51" i="1"/>
  <c r="U51" i="1" s="1"/>
  <c r="V50" i="1" l="1"/>
  <c r="T50" i="1"/>
  <c r="G50" i="1"/>
  <c r="M50" i="1" s="1"/>
  <c r="J51" i="1"/>
  <c r="H51" i="1"/>
  <c r="G51" i="1" s="1"/>
  <c r="L52" i="1"/>
  <c r="U52" i="1" s="1"/>
  <c r="T51" i="1" l="1"/>
  <c r="V51" i="1"/>
  <c r="S51" i="1"/>
  <c r="M51" i="1"/>
  <c r="J52" i="1"/>
  <c r="H52" i="1"/>
  <c r="T52" i="1" s="1"/>
  <c r="L53" i="1"/>
  <c r="U53" i="1" s="1"/>
  <c r="S52" i="1" l="1"/>
  <c r="V52" i="1"/>
  <c r="G52" i="1"/>
  <c r="M52" i="1" s="1"/>
  <c r="J53" i="1"/>
  <c r="H53" i="1"/>
  <c r="T53" i="1" s="1"/>
  <c r="P45" i="1"/>
  <c r="L54" i="1"/>
  <c r="U54" i="1" s="1"/>
  <c r="S53" i="1" l="1"/>
  <c r="V53" i="1"/>
  <c r="G53" i="1"/>
  <c r="M53" i="1" s="1"/>
  <c r="J54" i="1"/>
  <c r="H54" i="1"/>
  <c r="T54" i="1" s="1"/>
  <c r="F45" i="1"/>
  <c r="F46" i="1"/>
  <c r="L55" i="1"/>
  <c r="U55" i="1" s="1"/>
  <c r="V54" i="1" l="1"/>
  <c r="S54" i="1"/>
  <c r="G54" i="1"/>
  <c r="M54" i="1" s="1"/>
  <c r="J55" i="1"/>
  <c r="H55" i="1"/>
  <c r="T55" i="1" s="1"/>
  <c r="P46" i="1"/>
  <c r="N46" i="1"/>
  <c r="L56" i="1"/>
  <c r="U56" i="1" s="1"/>
  <c r="S55" i="1" l="1"/>
  <c r="V55" i="1"/>
  <c r="G55" i="1"/>
  <c r="M55" i="1" s="1"/>
  <c r="J56" i="1"/>
  <c r="H56" i="1"/>
  <c r="T56" i="1" s="1"/>
  <c r="F48" i="1"/>
  <c r="P48" i="1"/>
  <c r="L57" i="1"/>
  <c r="U57" i="1" s="1"/>
  <c r="S56" i="1" l="1"/>
  <c r="V56" i="1"/>
  <c r="G56" i="1"/>
  <c r="M56" i="1" s="1"/>
  <c r="J57" i="1"/>
  <c r="H57" i="1"/>
  <c r="G57" i="1" s="1"/>
  <c r="N48" i="1"/>
  <c r="P49" i="1"/>
  <c r="L58" i="1"/>
  <c r="U58" i="1" s="1"/>
  <c r="F49" i="1"/>
  <c r="N49" i="1"/>
  <c r="S57" i="1" l="1"/>
  <c r="V57" i="1"/>
  <c r="T57" i="1"/>
  <c r="M57" i="1"/>
  <c r="J58" i="1"/>
  <c r="H58" i="1"/>
  <c r="P50" i="1"/>
  <c r="L59" i="1"/>
  <c r="U59" i="1" s="1"/>
  <c r="F50" i="1"/>
  <c r="N50" i="1"/>
  <c r="V58" i="1" l="1"/>
  <c r="T58" i="1"/>
  <c r="S58" i="1"/>
  <c r="G58" i="1"/>
  <c r="M58" i="1" s="1"/>
  <c r="J59" i="1"/>
  <c r="H59" i="1"/>
  <c r="G59" i="1" s="1"/>
  <c r="P51" i="1"/>
  <c r="L60" i="1"/>
  <c r="U60" i="1" s="1"/>
  <c r="F51" i="1"/>
  <c r="N51" i="1"/>
  <c r="T59" i="1" l="1"/>
  <c r="S59" i="1"/>
  <c r="V59" i="1"/>
  <c r="M59" i="1"/>
  <c r="J60" i="1"/>
  <c r="H60" i="1"/>
  <c r="G60" i="1" s="1"/>
  <c r="M60" i="1" s="1"/>
  <c r="P52" i="1"/>
  <c r="L61" i="1"/>
  <c r="U61" i="1" s="1"/>
  <c r="F52" i="1"/>
  <c r="N52" i="1"/>
  <c r="S60" i="1" l="1"/>
  <c r="V60" i="1"/>
  <c r="T60" i="1"/>
  <c r="J61" i="1"/>
  <c r="H61" i="1"/>
  <c r="L62" i="1"/>
  <c r="U62" i="1" s="1"/>
  <c r="F53" i="1"/>
  <c r="N53" i="1"/>
  <c r="V61" i="1" l="1"/>
  <c r="T61" i="1"/>
  <c r="S61" i="1"/>
  <c r="G61" i="1"/>
  <c r="M61" i="1" s="1"/>
  <c r="J62" i="1"/>
  <c r="H62" i="1"/>
  <c r="G62" i="1" s="1"/>
  <c r="M62" i="1" s="1"/>
  <c r="P54" i="1"/>
  <c r="L63" i="1"/>
  <c r="U63" i="1" s="1"/>
  <c r="F54" i="1"/>
  <c r="N54" i="1"/>
  <c r="T62" i="1" l="1"/>
  <c r="S62" i="1"/>
  <c r="V62" i="1"/>
  <c r="J63" i="1"/>
  <c r="H63" i="1"/>
  <c r="P55" i="1"/>
  <c r="L64" i="1"/>
  <c r="U64" i="1" s="1"/>
  <c r="F55" i="1"/>
  <c r="N55" i="1"/>
  <c r="V63" i="1" l="1"/>
  <c r="S63" i="1"/>
  <c r="T63" i="1"/>
  <c r="G63" i="1"/>
  <c r="M63" i="1" s="1"/>
  <c r="J64" i="1"/>
  <c r="H64" i="1"/>
  <c r="G64" i="1" s="1"/>
  <c r="M64" i="1" s="1"/>
  <c r="P56" i="1"/>
  <c r="L65" i="1"/>
  <c r="U65" i="1" s="1"/>
  <c r="F56" i="1"/>
  <c r="N56" i="1"/>
  <c r="V64" i="1" l="1"/>
  <c r="T64" i="1"/>
  <c r="S64" i="1"/>
  <c r="J65" i="1"/>
  <c r="H65" i="1"/>
  <c r="P57" i="1"/>
  <c r="L66" i="1"/>
  <c r="U66" i="1" s="1"/>
  <c r="F57" i="1"/>
  <c r="N57" i="1"/>
  <c r="T65" i="1" l="1"/>
  <c r="S65" i="1"/>
  <c r="V65" i="1"/>
  <c r="G65" i="1"/>
  <c r="M65" i="1" s="1"/>
  <c r="J66" i="1"/>
  <c r="H66" i="1"/>
  <c r="G66" i="1" s="1"/>
  <c r="M66" i="1" s="1"/>
  <c r="P58" i="1"/>
  <c r="L67" i="1"/>
  <c r="U67" i="1" s="1"/>
  <c r="F58" i="1"/>
  <c r="N58" i="1"/>
  <c r="S66" i="1" l="1"/>
  <c r="V66" i="1"/>
  <c r="T66" i="1"/>
  <c r="J67" i="1"/>
  <c r="H67" i="1"/>
  <c r="P59" i="1"/>
  <c r="L68" i="1"/>
  <c r="F59" i="1"/>
  <c r="N59" i="1"/>
  <c r="L69" i="1" l="1"/>
  <c r="U68" i="1"/>
  <c r="T67" i="1"/>
  <c r="V67" i="1"/>
  <c r="S67" i="1"/>
  <c r="G67" i="1"/>
  <c r="M67" i="1" s="1"/>
  <c r="J68" i="1"/>
  <c r="H68" i="1"/>
  <c r="G68" i="1" s="1"/>
  <c r="M68" i="1" s="1"/>
  <c r="P60" i="1"/>
  <c r="F60" i="1"/>
  <c r="N60" i="1"/>
  <c r="L70" i="1" l="1"/>
  <c r="U69" i="1"/>
  <c r="S68" i="1"/>
  <c r="T68" i="1"/>
  <c r="V68" i="1"/>
  <c r="J69" i="1"/>
  <c r="H69" i="1"/>
  <c r="P61" i="1"/>
  <c r="F61" i="1"/>
  <c r="N61" i="1"/>
  <c r="L71" i="1" l="1"/>
  <c r="U70" i="1"/>
  <c r="T69" i="1"/>
  <c r="V69" i="1"/>
  <c r="S69" i="1"/>
  <c r="G69" i="1"/>
  <c r="M69" i="1" s="1"/>
  <c r="J70" i="1"/>
  <c r="H70" i="1"/>
  <c r="P62" i="1"/>
  <c r="F62" i="1"/>
  <c r="N62" i="1"/>
  <c r="L72" i="1" l="1"/>
  <c r="U71" i="1"/>
  <c r="V70" i="1"/>
  <c r="S70" i="1"/>
  <c r="T70" i="1"/>
  <c r="G70" i="1"/>
  <c r="M70" i="1" s="1"/>
  <c r="P69" i="1"/>
  <c r="N69" i="1"/>
  <c r="J71" i="1"/>
  <c r="H71" i="1"/>
  <c r="P63" i="1"/>
  <c r="F63" i="1"/>
  <c r="N63" i="1"/>
  <c r="U72" i="1" l="1"/>
  <c r="L73" i="1"/>
  <c r="S71" i="1"/>
  <c r="T71" i="1"/>
  <c r="V71" i="1"/>
  <c r="P70" i="1"/>
  <c r="N70" i="1"/>
  <c r="G71" i="1"/>
  <c r="M71" i="1" s="1"/>
  <c r="J72" i="1"/>
  <c r="H72" i="1"/>
  <c r="P64" i="1"/>
  <c r="F64" i="1"/>
  <c r="N64" i="1"/>
  <c r="U73" i="1" l="1"/>
  <c r="L74" i="1"/>
  <c r="T72" i="1"/>
  <c r="V72" i="1"/>
  <c r="S72" i="1"/>
  <c r="G72" i="1"/>
  <c r="M72" i="1" s="1"/>
  <c r="P71" i="1"/>
  <c r="N71" i="1"/>
  <c r="J73" i="1"/>
  <c r="H73" i="1"/>
  <c r="P65" i="1"/>
  <c r="F65" i="1"/>
  <c r="N65" i="1"/>
  <c r="U74" i="1" l="1"/>
  <c r="L75" i="1"/>
  <c r="V73" i="1"/>
  <c r="S73" i="1"/>
  <c r="T73" i="1"/>
  <c r="G73" i="1"/>
  <c r="M73" i="1" s="1"/>
  <c r="P72" i="1"/>
  <c r="N72" i="1"/>
  <c r="J74" i="1"/>
  <c r="H74" i="1"/>
  <c r="P66" i="1"/>
  <c r="F66" i="1"/>
  <c r="N66" i="1"/>
  <c r="U75" i="1" l="1"/>
  <c r="L76" i="1"/>
  <c r="T74" i="1"/>
  <c r="S74" i="1"/>
  <c r="V74" i="1"/>
  <c r="N73" i="1"/>
  <c r="P73" i="1"/>
  <c r="G74" i="1"/>
  <c r="M74" i="1" s="1"/>
  <c r="J75" i="1"/>
  <c r="H75" i="1"/>
  <c r="P67" i="1"/>
  <c r="F67" i="1"/>
  <c r="N67" i="1"/>
  <c r="U76" i="1" l="1"/>
  <c r="L77" i="1"/>
  <c r="V75" i="1"/>
  <c r="S75" i="1"/>
  <c r="T75" i="1"/>
  <c r="G75" i="1"/>
  <c r="M75" i="1" s="1"/>
  <c r="N74" i="1"/>
  <c r="P74" i="1"/>
  <c r="J76" i="1"/>
  <c r="H76" i="1"/>
  <c r="P68" i="1"/>
  <c r="F68" i="1"/>
  <c r="N68" i="1"/>
  <c r="U77" i="1" l="1"/>
  <c r="L78" i="1"/>
  <c r="V76" i="1"/>
  <c r="S76" i="1"/>
  <c r="T76" i="1"/>
  <c r="P75" i="1"/>
  <c r="N75" i="1"/>
  <c r="G76" i="1"/>
  <c r="M76" i="1" s="1"/>
  <c r="J77" i="1"/>
  <c r="H77" i="1"/>
  <c r="F69" i="1"/>
  <c r="U78" i="1" l="1"/>
  <c r="L79" i="1"/>
  <c r="V77" i="1"/>
  <c r="S77" i="1"/>
  <c r="T77" i="1"/>
  <c r="G77" i="1"/>
  <c r="M77" i="1" s="1"/>
  <c r="N76" i="1"/>
  <c r="P76" i="1"/>
  <c r="J78" i="1"/>
  <c r="H78" i="1"/>
  <c r="F70" i="1"/>
  <c r="U79" i="1" l="1"/>
  <c r="L80" i="1"/>
  <c r="V78" i="1"/>
  <c r="S78" i="1"/>
  <c r="T78" i="1"/>
  <c r="N77" i="1"/>
  <c r="P77" i="1"/>
  <c r="G78" i="1"/>
  <c r="M78" i="1" s="1"/>
  <c r="J79" i="1"/>
  <c r="H79" i="1"/>
  <c r="V79" i="1" s="1"/>
  <c r="F71" i="1"/>
  <c r="U80" i="1" l="1"/>
  <c r="L81" i="1"/>
  <c r="T79" i="1"/>
  <c r="S79" i="1"/>
  <c r="N78" i="1"/>
  <c r="P78" i="1"/>
  <c r="G79" i="1"/>
  <c r="M79" i="1" s="1"/>
  <c r="J80" i="1"/>
  <c r="H80" i="1"/>
  <c r="V80" i="1" s="1"/>
  <c r="F72" i="1"/>
  <c r="U81" i="1" l="1"/>
  <c r="L82" i="1"/>
  <c r="S80" i="1"/>
  <c r="T80" i="1"/>
  <c r="N79" i="1"/>
  <c r="P79" i="1"/>
  <c r="G80" i="1"/>
  <c r="M80" i="1" s="1"/>
  <c r="J81" i="1"/>
  <c r="H81" i="1"/>
  <c r="V81" i="1" s="1"/>
  <c r="F73" i="1"/>
  <c r="U82" i="1" l="1"/>
  <c r="L83" i="1"/>
  <c r="T81" i="1"/>
  <c r="S81" i="1"/>
  <c r="N80" i="1"/>
  <c r="P80" i="1"/>
  <c r="G81" i="1"/>
  <c r="M81" i="1" s="1"/>
  <c r="J82" i="1"/>
  <c r="H82" i="1"/>
  <c r="V82" i="1" s="1"/>
  <c r="F74" i="1"/>
  <c r="U83" i="1" l="1"/>
  <c r="L84" i="1"/>
  <c r="T82" i="1"/>
  <c r="S82" i="1"/>
  <c r="G82" i="1"/>
  <c r="M82" i="1" s="1"/>
  <c r="N81" i="1"/>
  <c r="P81" i="1"/>
  <c r="J83" i="1"/>
  <c r="H83" i="1"/>
  <c r="V83" i="1" s="1"/>
  <c r="F75" i="1"/>
  <c r="U84" i="1" l="1"/>
  <c r="L85" i="1"/>
  <c r="T83" i="1"/>
  <c r="S83" i="1"/>
  <c r="G83" i="1"/>
  <c r="M83" i="1" s="1"/>
  <c r="N82" i="1"/>
  <c r="P82" i="1"/>
  <c r="J84" i="1"/>
  <c r="H84" i="1"/>
  <c r="V84" i="1" s="1"/>
  <c r="F76" i="1"/>
  <c r="U85" i="1" l="1"/>
  <c r="L86" i="1"/>
  <c r="S84" i="1"/>
  <c r="T84" i="1"/>
  <c r="P83" i="1"/>
  <c r="N83" i="1"/>
  <c r="G84" i="1"/>
  <c r="M84" i="1" s="1"/>
  <c r="J85" i="1"/>
  <c r="H85" i="1"/>
  <c r="V85" i="1" s="1"/>
  <c r="F77" i="1"/>
  <c r="U86" i="1" l="1"/>
  <c r="L87" i="1"/>
  <c r="S85" i="1"/>
  <c r="T85" i="1"/>
  <c r="G85" i="1"/>
  <c r="M85" i="1" s="1"/>
  <c r="N84" i="1"/>
  <c r="P84" i="1"/>
  <c r="J86" i="1"/>
  <c r="H86" i="1"/>
  <c r="V86" i="1" s="1"/>
  <c r="F78" i="1"/>
  <c r="U87" i="1" l="1"/>
  <c r="L88" i="1"/>
  <c r="S86" i="1"/>
  <c r="T86" i="1"/>
  <c r="P85" i="1"/>
  <c r="N85" i="1"/>
  <c r="G86" i="1"/>
  <c r="M86" i="1" s="1"/>
  <c r="J87" i="1"/>
  <c r="H87" i="1"/>
  <c r="V87" i="1" s="1"/>
  <c r="F79" i="1"/>
  <c r="U88" i="1" l="1"/>
  <c r="L89" i="1"/>
  <c r="S87" i="1"/>
  <c r="T87" i="1"/>
  <c r="P86" i="1"/>
  <c r="N86" i="1"/>
  <c r="G87" i="1"/>
  <c r="M87" i="1" s="1"/>
  <c r="J88" i="1"/>
  <c r="H88" i="1"/>
  <c r="V88" i="1" s="1"/>
  <c r="F80" i="1"/>
  <c r="U89" i="1" l="1"/>
  <c r="L90" i="1"/>
  <c r="T88" i="1"/>
  <c r="S88" i="1"/>
  <c r="P87" i="1"/>
  <c r="N87" i="1"/>
  <c r="G88" i="1"/>
  <c r="M88" i="1" s="1"/>
  <c r="J89" i="1"/>
  <c r="H89" i="1"/>
  <c r="V89" i="1" s="1"/>
  <c r="F81" i="1"/>
  <c r="U90" i="1" l="1"/>
  <c r="L91" i="1"/>
  <c r="T89" i="1"/>
  <c r="S89" i="1"/>
  <c r="N88" i="1"/>
  <c r="P88" i="1"/>
  <c r="G89" i="1"/>
  <c r="M89" i="1" s="1"/>
  <c r="J90" i="1"/>
  <c r="H90" i="1"/>
  <c r="V90" i="1" s="1"/>
  <c r="F82" i="1"/>
  <c r="U91" i="1" l="1"/>
  <c r="L92" i="1"/>
  <c r="T90" i="1"/>
  <c r="S90" i="1"/>
  <c r="N89" i="1"/>
  <c r="P89" i="1"/>
  <c r="G90" i="1"/>
  <c r="M90" i="1" s="1"/>
  <c r="J91" i="1"/>
  <c r="H91" i="1"/>
  <c r="V91" i="1" s="1"/>
  <c r="F83" i="1"/>
  <c r="U92" i="1" l="1"/>
  <c r="L93" i="1"/>
  <c r="S91" i="1"/>
  <c r="T91" i="1"/>
  <c r="P90" i="1"/>
  <c r="N90" i="1"/>
  <c r="G91" i="1"/>
  <c r="M91" i="1" s="1"/>
  <c r="J92" i="1"/>
  <c r="H92" i="1"/>
  <c r="V92" i="1" s="1"/>
  <c r="F84" i="1"/>
  <c r="U93" i="1" l="1"/>
  <c r="L94" i="1"/>
  <c r="T92" i="1"/>
  <c r="S92" i="1"/>
  <c r="P91" i="1"/>
  <c r="N91" i="1"/>
  <c r="G92" i="1"/>
  <c r="M92" i="1" s="1"/>
  <c r="J93" i="1"/>
  <c r="H93" i="1"/>
  <c r="V93" i="1" s="1"/>
  <c r="F85" i="1"/>
  <c r="U94" i="1" l="1"/>
  <c r="L95" i="1"/>
  <c r="S93" i="1"/>
  <c r="T93" i="1"/>
  <c r="P92" i="1"/>
  <c r="N92" i="1"/>
  <c r="G93" i="1"/>
  <c r="M93" i="1" s="1"/>
  <c r="J94" i="1"/>
  <c r="H94" i="1"/>
  <c r="V94" i="1" s="1"/>
  <c r="F86" i="1"/>
  <c r="L96" i="1" l="1"/>
  <c r="U95" i="1"/>
  <c r="T94" i="1"/>
  <c r="S94" i="1"/>
  <c r="P93" i="1"/>
  <c r="N93" i="1"/>
  <c r="G94" i="1"/>
  <c r="M94" i="1" s="1"/>
  <c r="J95" i="1"/>
  <c r="H95" i="1"/>
  <c r="H96" i="1" s="1"/>
  <c r="F87" i="1"/>
  <c r="U96" i="1" l="1"/>
  <c r="J96" i="1"/>
  <c r="L97" i="1"/>
  <c r="T95" i="1"/>
  <c r="T96" i="1" s="1"/>
  <c r="S95" i="1"/>
  <c r="S96" i="1" s="1"/>
  <c r="V95" i="1"/>
  <c r="V96" i="1" s="1"/>
  <c r="G96" i="1"/>
  <c r="M96" i="1" s="1"/>
  <c r="H97" i="1"/>
  <c r="N94" i="1"/>
  <c r="P94" i="1"/>
  <c r="G95" i="1"/>
  <c r="M95" i="1" s="1"/>
  <c r="F88" i="1"/>
  <c r="U97" i="1" l="1"/>
  <c r="J97" i="1"/>
  <c r="L98" i="1"/>
  <c r="V97" i="1"/>
  <c r="S97" i="1"/>
  <c r="T97" i="1"/>
  <c r="P96" i="1"/>
  <c r="N96" i="1"/>
  <c r="F96" i="1"/>
  <c r="G97" i="1"/>
  <c r="M97" i="1" s="1"/>
  <c r="H98" i="1"/>
  <c r="P95" i="1"/>
  <c r="N95" i="1"/>
  <c r="F89" i="1"/>
  <c r="U98" i="1" l="1"/>
  <c r="L99" i="1"/>
  <c r="J98" i="1"/>
  <c r="V98" i="1"/>
  <c r="T98" i="1"/>
  <c r="S98" i="1"/>
  <c r="G98" i="1"/>
  <c r="M98" i="1" s="1"/>
  <c r="H99" i="1"/>
  <c r="F97" i="1"/>
  <c r="N97" i="1"/>
  <c r="P97" i="1"/>
  <c r="F90" i="1"/>
  <c r="U99" i="1" l="1"/>
  <c r="J99" i="1"/>
  <c r="L100" i="1"/>
  <c r="V99" i="1"/>
  <c r="S99" i="1"/>
  <c r="T99" i="1"/>
  <c r="P98" i="1"/>
  <c r="F98" i="1"/>
  <c r="N98" i="1"/>
  <c r="G99" i="1"/>
  <c r="M99" i="1" s="1"/>
  <c r="H100" i="1"/>
  <c r="F91" i="1"/>
  <c r="U100" i="1" l="1"/>
  <c r="L101" i="1"/>
  <c r="J100" i="1"/>
  <c r="V100" i="1"/>
  <c r="T100" i="1"/>
  <c r="S100" i="1"/>
  <c r="N99" i="1"/>
  <c r="P99" i="1"/>
  <c r="F99" i="1"/>
  <c r="G100" i="1"/>
  <c r="M100" i="1" s="1"/>
  <c r="H101" i="1"/>
  <c r="F92" i="1"/>
  <c r="U101" i="1" l="1"/>
  <c r="J101" i="1"/>
  <c r="L102" i="1"/>
  <c r="V101" i="1"/>
  <c r="T101" i="1"/>
  <c r="S101" i="1"/>
  <c r="G101" i="1"/>
  <c r="M101" i="1" s="1"/>
  <c r="P100" i="1"/>
  <c r="N100" i="1"/>
  <c r="F100" i="1"/>
  <c r="F93" i="1"/>
  <c r="U102" i="1" l="1"/>
  <c r="L103" i="1"/>
  <c r="J102" i="1"/>
  <c r="H102" i="1"/>
  <c r="V102" i="1" s="1"/>
  <c r="T102" i="1"/>
  <c r="S102" i="1"/>
  <c r="G102" i="1"/>
  <c r="M102" i="1" s="1"/>
  <c r="H103" i="1"/>
  <c r="V103" i="1" s="1"/>
  <c r="F101" i="1"/>
  <c r="N101" i="1"/>
  <c r="P101" i="1"/>
  <c r="F94" i="1"/>
  <c r="U103" i="1" l="1"/>
  <c r="J103" i="1"/>
  <c r="L104" i="1"/>
  <c r="S103" i="1"/>
  <c r="T103" i="1"/>
  <c r="G103" i="1"/>
  <c r="M103" i="1" s="1"/>
  <c r="H104" i="1"/>
  <c r="V104" i="1" s="1"/>
  <c r="N102" i="1"/>
  <c r="F102" i="1"/>
  <c r="P102" i="1"/>
  <c r="F95" i="1"/>
  <c r="U104" i="1" l="1"/>
  <c r="L105" i="1"/>
  <c r="J104" i="1"/>
  <c r="T104" i="1"/>
  <c r="S104" i="1"/>
  <c r="F103" i="1"/>
  <c r="N103" i="1"/>
  <c r="P103" i="1"/>
  <c r="G104" i="1"/>
  <c r="M104" i="1" s="1"/>
  <c r="H105" i="1"/>
  <c r="V105" i="1" s="1"/>
  <c r="U105" i="1" l="1"/>
  <c r="L106" i="1"/>
  <c r="J105" i="1"/>
  <c r="T105" i="1"/>
  <c r="S105" i="1"/>
  <c r="F104" i="1"/>
  <c r="N104" i="1"/>
  <c r="P104" i="1"/>
  <c r="G105" i="1"/>
  <c r="M105" i="1" s="1"/>
  <c r="H106" i="1"/>
  <c r="V106" i="1" s="1"/>
  <c r="P32" i="1"/>
  <c r="U106" i="1" l="1"/>
  <c r="L107" i="1"/>
  <c r="J106" i="1"/>
  <c r="S106" i="1"/>
  <c r="T106" i="1"/>
  <c r="G106" i="1"/>
  <c r="M106" i="1" s="1"/>
  <c r="H107" i="1"/>
  <c r="V107" i="1" s="1"/>
  <c r="N105" i="1"/>
  <c r="F105" i="1"/>
  <c r="P105" i="1"/>
  <c r="N33" i="1"/>
  <c r="F32" i="1"/>
  <c r="N32" i="1"/>
  <c r="U107" i="1" l="1"/>
  <c r="J107" i="1"/>
  <c r="L108" i="1"/>
  <c r="T107" i="1"/>
  <c r="S107" i="1"/>
  <c r="G107" i="1"/>
  <c r="M107" i="1" s="1"/>
  <c r="H108" i="1"/>
  <c r="V108" i="1" s="1"/>
  <c r="P106" i="1"/>
  <c r="N106" i="1"/>
  <c r="F106" i="1"/>
  <c r="N37" i="1"/>
  <c r="F37" i="1"/>
  <c r="F38" i="1"/>
  <c r="P38" i="1"/>
  <c r="N38" i="1"/>
  <c r="N39" i="1"/>
  <c r="U108" i="1" l="1"/>
  <c r="J108" i="1"/>
  <c r="L109" i="1"/>
  <c r="T108" i="1"/>
  <c r="S108" i="1"/>
  <c r="N107" i="1"/>
  <c r="P107" i="1"/>
  <c r="F107" i="1"/>
  <c r="G108" i="1"/>
  <c r="M108" i="1" s="1"/>
  <c r="H109" i="1"/>
  <c r="V109" i="1" s="1"/>
  <c r="P44" i="1"/>
  <c r="F44" i="1"/>
  <c r="N44" i="1"/>
  <c r="N45" i="1"/>
  <c r="P43" i="1"/>
  <c r="N43" i="1"/>
  <c r="F43" i="1"/>
  <c r="P42" i="1"/>
  <c r="N42" i="1"/>
  <c r="F42" i="1"/>
  <c r="U109" i="1" l="1"/>
  <c r="L110" i="1"/>
  <c r="J109" i="1"/>
  <c r="S109" i="1"/>
  <c r="T109" i="1"/>
  <c r="N108" i="1"/>
  <c r="F108" i="1"/>
  <c r="P108" i="1"/>
  <c r="G109" i="1"/>
  <c r="M109" i="1" s="1"/>
  <c r="H110" i="1"/>
  <c r="V110" i="1" s="1"/>
  <c r="F47" i="1"/>
  <c r="P47" i="1"/>
  <c r="N47" i="1"/>
  <c r="O13" i="1"/>
  <c r="U110" i="1" l="1"/>
  <c r="J110" i="1"/>
  <c r="L111" i="1"/>
  <c r="Z13" i="1"/>
  <c r="AA13" i="1" s="1"/>
  <c r="S110" i="1"/>
  <c r="T110" i="1"/>
  <c r="G110" i="1"/>
  <c r="M110" i="1" s="1"/>
  <c r="H111" i="1"/>
  <c r="V111" i="1" s="1"/>
  <c r="P109" i="1"/>
  <c r="F109" i="1"/>
  <c r="N109" i="1"/>
  <c r="U111" i="1" l="1"/>
  <c r="L112" i="1"/>
  <c r="J111" i="1"/>
  <c r="AB13" i="1"/>
  <c r="S111" i="1"/>
  <c r="T111" i="1"/>
  <c r="P110" i="1"/>
  <c r="N110" i="1"/>
  <c r="F110" i="1"/>
  <c r="G111" i="1"/>
  <c r="M111" i="1" s="1"/>
  <c r="H112" i="1"/>
  <c r="V112" i="1" s="1"/>
  <c r="U112" i="1" l="1"/>
  <c r="J112" i="1"/>
  <c r="L113" i="1"/>
  <c r="AC13" i="1"/>
  <c r="AD13" i="1" s="1"/>
  <c r="T112" i="1"/>
  <c r="S112" i="1"/>
  <c r="G112" i="1"/>
  <c r="M112" i="1" s="1"/>
  <c r="H113" i="1"/>
  <c r="V113" i="1" s="1"/>
  <c r="N111" i="1"/>
  <c r="P111" i="1"/>
  <c r="F111" i="1"/>
  <c r="U113" i="1" l="1"/>
  <c r="J113" i="1"/>
  <c r="L114" i="1"/>
  <c r="AE13" i="1"/>
  <c r="AF13" i="1" s="1"/>
  <c r="AG13" i="1" s="1"/>
  <c r="AH13" i="1" s="1"/>
  <c r="T113" i="1"/>
  <c r="S113" i="1"/>
  <c r="F112" i="1"/>
  <c r="N112" i="1"/>
  <c r="P112" i="1"/>
  <c r="G113" i="1"/>
  <c r="M113" i="1" s="1"/>
  <c r="H114" i="1"/>
  <c r="V114" i="1" s="1"/>
  <c r="U114" i="1" l="1"/>
  <c r="L115" i="1"/>
  <c r="J114" i="1"/>
  <c r="I13" i="1"/>
  <c r="Y13" i="1"/>
  <c r="T114" i="1"/>
  <c r="S114" i="1"/>
  <c r="G114" i="1"/>
  <c r="M114" i="1" s="1"/>
  <c r="H115" i="1"/>
  <c r="V115" i="1" s="1"/>
  <c r="F113" i="1"/>
  <c r="P113" i="1"/>
  <c r="N113" i="1"/>
  <c r="U115" i="1" l="1"/>
  <c r="J115" i="1"/>
  <c r="L116" i="1"/>
  <c r="P13" i="1"/>
  <c r="T115" i="1"/>
  <c r="S115" i="1"/>
  <c r="G115" i="1"/>
  <c r="M115" i="1" s="1"/>
  <c r="H116" i="1"/>
  <c r="V116" i="1" s="1"/>
  <c r="N114" i="1"/>
  <c r="F114" i="1"/>
  <c r="P114" i="1"/>
  <c r="U116" i="1" l="1"/>
  <c r="L117" i="1"/>
  <c r="J116" i="1"/>
  <c r="R13" i="1"/>
  <c r="X13" i="1" s="1"/>
  <c r="T116" i="1"/>
  <c r="S116" i="1"/>
  <c r="G116" i="1"/>
  <c r="M116" i="1" s="1"/>
  <c r="H117" i="1"/>
  <c r="V117" i="1" s="1"/>
  <c r="P115" i="1"/>
  <c r="N115" i="1"/>
  <c r="F115" i="1"/>
  <c r="U117" i="1" l="1"/>
  <c r="L118" i="1"/>
  <c r="J117" i="1"/>
  <c r="Q13" i="1"/>
  <c r="W13" i="1" s="1"/>
  <c r="O14" i="1" s="1"/>
  <c r="S117" i="1"/>
  <c r="T117" i="1"/>
  <c r="G117" i="1"/>
  <c r="M117" i="1" s="1"/>
  <c r="H118" i="1"/>
  <c r="V118" i="1" s="1"/>
  <c r="F116" i="1"/>
  <c r="N116" i="1"/>
  <c r="P116" i="1"/>
  <c r="U118" i="1" l="1"/>
  <c r="L119" i="1"/>
  <c r="J118" i="1"/>
  <c r="K13" i="1"/>
  <c r="Z14" i="1"/>
  <c r="T118" i="1"/>
  <c r="S118" i="1"/>
  <c r="G118" i="1"/>
  <c r="M118" i="1" s="1"/>
  <c r="H119" i="1"/>
  <c r="V119" i="1" s="1"/>
  <c r="F117" i="1"/>
  <c r="N117" i="1"/>
  <c r="P117" i="1"/>
  <c r="U119" i="1" l="1"/>
  <c r="L120" i="1"/>
  <c r="J119" i="1"/>
  <c r="AA14" i="1"/>
  <c r="AB14" i="1" s="1"/>
  <c r="AC14" i="1" s="1"/>
  <c r="T119" i="1"/>
  <c r="S119" i="1"/>
  <c r="G119" i="1"/>
  <c r="M119" i="1" s="1"/>
  <c r="H120" i="1"/>
  <c r="V120" i="1" s="1"/>
  <c r="F118" i="1"/>
  <c r="N118" i="1"/>
  <c r="P118" i="1"/>
  <c r="U120" i="1" l="1"/>
  <c r="L121" i="1"/>
  <c r="J120" i="1"/>
  <c r="AD14" i="1"/>
  <c r="AE14" i="1" s="1"/>
  <c r="AF14" i="1" s="1"/>
  <c r="S120" i="1"/>
  <c r="T120" i="1"/>
  <c r="G120" i="1"/>
  <c r="M120" i="1" s="1"/>
  <c r="H121" i="1"/>
  <c r="V121" i="1" s="1"/>
  <c r="P119" i="1"/>
  <c r="N119" i="1"/>
  <c r="F119" i="1"/>
  <c r="U121" i="1" l="1"/>
  <c r="J121" i="1"/>
  <c r="L122" i="1"/>
  <c r="AG14" i="1"/>
  <c r="T121" i="1"/>
  <c r="S121" i="1"/>
  <c r="F120" i="1"/>
  <c r="N120" i="1"/>
  <c r="P120" i="1"/>
  <c r="G121" i="1"/>
  <c r="M121" i="1" s="1"/>
  <c r="H122" i="1"/>
  <c r="V122" i="1" s="1"/>
  <c r="U122" i="1" l="1"/>
  <c r="J122" i="1"/>
  <c r="L123" i="1"/>
  <c r="AH14" i="1"/>
  <c r="I14" i="1" s="1"/>
  <c r="S122" i="1"/>
  <c r="T122" i="1"/>
  <c r="G122" i="1"/>
  <c r="M122" i="1" s="1"/>
  <c r="H123" i="1"/>
  <c r="V123" i="1" s="1"/>
  <c r="P121" i="1"/>
  <c r="F121" i="1"/>
  <c r="N121" i="1"/>
  <c r="U123" i="1" l="1"/>
  <c r="L124" i="1"/>
  <c r="J123" i="1"/>
  <c r="Y14" i="1"/>
  <c r="T123" i="1"/>
  <c r="S123" i="1"/>
  <c r="G123" i="1"/>
  <c r="M123" i="1" s="1"/>
  <c r="H124" i="1"/>
  <c r="V124" i="1" s="1"/>
  <c r="F122" i="1"/>
  <c r="P122" i="1"/>
  <c r="N122" i="1"/>
  <c r="U124" i="1" l="1"/>
  <c r="J124" i="1"/>
  <c r="L125" i="1"/>
  <c r="P14" i="1"/>
  <c r="R14" i="1" s="1"/>
  <c r="Q14" i="1" s="1"/>
  <c r="S124" i="1"/>
  <c r="T124" i="1"/>
  <c r="G124" i="1"/>
  <c r="M124" i="1" s="1"/>
  <c r="H125" i="1"/>
  <c r="V125" i="1" s="1"/>
  <c r="F123" i="1"/>
  <c r="P123" i="1"/>
  <c r="N123" i="1"/>
  <c r="U125" i="1" l="1"/>
  <c r="J125" i="1"/>
  <c r="L126" i="1"/>
  <c r="X14" i="1"/>
  <c r="W14" i="1"/>
  <c r="O15" i="1" s="1"/>
  <c r="K14" i="1"/>
  <c r="T125" i="1"/>
  <c r="S125" i="1"/>
  <c r="P124" i="1"/>
  <c r="F124" i="1"/>
  <c r="N124" i="1"/>
  <c r="G125" i="1"/>
  <c r="M125" i="1" s="1"/>
  <c r="H126" i="1"/>
  <c r="V126" i="1" s="1"/>
  <c r="U126" i="1" l="1"/>
  <c r="J126" i="1"/>
  <c r="L127" i="1"/>
  <c r="Z15" i="1"/>
  <c r="T126" i="1"/>
  <c r="S126" i="1"/>
  <c r="G126" i="1"/>
  <c r="M126" i="1" s="1"/>
  <c r="H127" i="1"/>
  <c r="V127" i="1" s="1"/>
  <c r="N125" i="1"/>
  <c r="F125" i="1"/>
  <c r="P125" i="1"/>
  <c r="U127" i="1" l="1"/>
  <c r="J127" i="1"/>
  <c r="L128" i="1"/>
  <c r="AA15" i="1"/>
  <c r="S127" i="1"/>
  <c r="T127" i="1"/>
  <c r="G127" i="1"/>
  <c r="M127" i="1" s="1"/>
  <c r="H128" i="1"/>
  <c r="V128" i="1" s="1"/>
  <c r="F126" i="1"/>
  <c r="N126" i="1"/>
  <c r="P126" i="1"/>
  <c r="U128" i="1" l="1"/>
  <c r="L129" i="1"/>
  <c r="J128" i="1"/>
  <c r="AB15" i="1"/>
  <c r="T128" i="1"/>
  <c r="S128" i="1"/>
  <c r="G128" i="1"/>
  <c r="M128" i="1" s="1"/>
  <c r="H129" i="1"/>
  <c r="V129" i="1" s="1"/>
  <c r="F127" i="1"/>
  <c r="P127" i="1"/>
  <c r="N127" i="1"/>
  <c r="U129" i="1" l="1"/>
  <c r="L130" i="1"/>
  <c r="J129" i="1"/>
  <c r="AC15" i="1"/>
  <c r="T129" i="1"/>
  <c r="S129" i="1"/>
  <c r="G129" i="1"/>
  <c r="M129" i="1" s="1"/>
  <c r="H130" i="1"/>
  <c r="V130" i="1" s="1"/>
  <c r="N128" i="1"/>
  <c r="P128" i="1"/>
  <c r="F128" i="1"/>
  <c r="U130" i="1" l="1"/>
  <c r="L131" i="1"/>
  <c r="J130" i="1"/>
  <c r="AD15" i="1"/>
  <c r="T130" i="1"/>
  <c r="S130" i="1"/>
  <c r="G130" i="1"/>
  <c r="M130" i="1" s="1"/>
  <c r="H131" i="1"/>
  <c r="V131" i="1" s="1"/>
  <c r="P129" i="1"/>
  <c r="N129" i="1"/>
  <c r="F129" i="1"/>
  <c r="U131" i="1" l="1"/>
  <c r="J131" i="1"/>
  <c r="L132" i="1"/>
  <c r="AE15" i="1"/>
  <c r="AF15" i="1" s="1"/>
  <c r="S131" i="1"/>
  <c r="T131" i="1"/>
  <c r="G131" i="1"/>
  <c r="M131" i="1" s="1"/>
  <c r="H132" i="1"/>
  <c r="V132" i="1" s="1"/>
  <c r="F130" i="1"/>
  <c r="P130" i="1"/>
  <c r="N130" i="1"/>
  <c r="U132" i="1" l="1"/>
  <c r="L133" i="1"/>
  <c r="J132" i="1"/>
  <c r="AG15" i="1"/>
  <c r="AH15" i="1" s="1"/>
  <c r="I15" i="1" s="1"/>
  <c r="T132" i="1"/>
  <c r="S132" i="1"/>
  <c r="G132" i="1"/>
  <c r="M132" i="1" s="1"/>
  <c r="H133" i="1"/>
  <c r="V133" i="1" s="1"/>
  <c r="P131" i="1"/>
  <c r="F131" i="1"/>
  <c r="N131" i="1"/>
  <c r="U133" i="1" l="1"/>
  <c r="L134" i="1"/>
  <c r="J133" i="1"/>
  <c r="Y15" i="1"/>
  <c r="S133" i="1"/>
  <c r="T133" i="1"/>
  <c r="G133" i="1"/>
  <c r="M133" i="1" s="1"/>
  <c r="N132" i="1"/>
  <c r="P132" i="1"/>
  <c r="F132" i="1"/>
  <c r="U134" i="1" l="1"/>
  <c r="J134" i="1"/>
  <c r="L135" i="1"/>
  <c r="H134" i="1"/>
  <c r="V134" i="1" s="1"/>
  <c r="P15" i="1"/>
  <c r="R15" i="1" s="1"/>
  <c r="Q15" i="1" s="1"/>
  <c r="T134" i="1"/>
  <c r="S134" i="1"/>
  <c r="G134" i="1"/>
  <c r="M134" i="1" s="1"/>
  <c r="H135" i="1"/>
  <c r="V135" i="1" s="1"/>
  <c r="P133" i="1"/>
  <c r="F133" i="1"/>
  <c r="N133" i="1"/>
  <c r="U135" i="1" l="1"/>
  <c r="J135" i="1"/>
  <c r="L136" i="1"/>
  <c r="K15" i="1"/>
  <c r="W15" i="1"/>
  <c r="O16" i="1" s="1"/>
  <c r="X15" i="1"/>
  <c r="T135" i="1"/>
  <c r="S135" i="1"/>
  <c r="G135" i="1"/>
  <c r="M135" i="1" s="1"/>
  <c r="H136" i="1"/>
  <c r="V136" i="1" s="1"/>
  <c r="N134" i="1"/>
  <c r="F134" i="1"/>
  <c r="P134" i="1"/>
  <c r="U136" i="1" l="1"/>
  <c r="L137" i="1"/>
  <c r="J136" i="1"/>
  <c r="Z16" i="1"/>
  <c r="AA16" i="1" s="1"/>
  <c r="AB16" i="1" s="1"/>
  <c r="T136" i="1"/>
  <c r="S136" i="1"/>
  <c r="P135" i="1"/>
  <c r="N135" i="1"/>
  <c r="F135" i="1"/>
  <c r="G136" i="1"/>
  <c r="M136" i="1" s="1"/>
  <c r="H137" i="1"/>
  <c r="V137" i="1" s="1"/>
  <c r="U137" i="1" l="1"/>
  <c r="L138" i="1"/>
  <c r="J137" i="1"/>
  <c r="AC16" i="1"/>
  <c r="T137" i="1"/>
  <c r="S137" i="1"/>
  <c r="G137" i="1"/>
  <c r="M137" i="1" s="1"/>
  <c r="H138" i="1"/>
  <c r="V138" i="1" s="1"/>
  <c r="P136" i="1"/>
  <c r="F136" i="1"/>
  <c r="N136" i="1"/>
  <c r="U138" i="1" l="1"/>
  <c r="L139" i="1"/>
  <c r="J138" i="1"/>
  <c r="AD16" i="1"/>
  <c r="AE16" i="1" s="1"/>
  <c r="AF16" i="1" s="1"/>
  <c r="AG16" i="1" s="1"/>
  <c r="T138" i="1"/>
  <c r="S138" i="1"/>
  <c r="G138" i="1"/>
  <c r="M138" i="1" s="1"/>
  <c r="H139" i="1"/>
  <c r="V139" i="1" s="1"/>
  <c r="N137" i="1"/>
  <c r="P137" i="1"/>
  <c r="F137" i="1"/>
  <c r="U139" i="1" l="1"/>
  <c r="J139" i="1"/>
  <c r="L140" i="1"/>
  <c r="AH16" i="1"/>
  <c r="Y16" i="1" s="1"/>
  <c r="T139" i="1"/>
  <c r="S139" i="1"/>
  <c r="G139" i="1"/>
  <c r="M139" i="1" s="1"/>
  <c r="H140" i="1"/>
  <c r="V140" i="1" s="1"/>
  <c r="P138" i="1"/>
  <c r="N138" i="1"/>
  <c r="F138" i="1"/>
  <c r="P20" i="1"/>
  <c r="U140" i="1" l="1"/>
  <c r="J140" i="1"/>
  <c r="L141" i="1"/>
  <c r="P16" i="1"/>
  <c r="R16" i="1" s="1"/>
  <c r="Q16" i="1" s="1"/>
  <c r="I16" i="1"/>
  <c r="S140" i="1"/>
  <c r="T140" i="1"/>
  <c r="P139" i="1"/>
  <c r="F139" i="1"/>
  <c r="N139" i="1"/>
  <c r="G140" i="1"/>
  <c r="M140" i="1" s="1"/>
  <c r="H141" i="1"/>
  <c r="V141" i="1" s="1"/>
  <c r="U141" i="1" l="1"/>
  <c r="L142" i="1"/>
  <c r="J141" i="1"/>
  <c r="X16" i="1"/>
  <c r="W16" i="1"/>
  <c r="O17" i="1" s="1"/>
  <c r="K16" i="1"/>
  <c r="S141" i="1"/>
  <c r="T141" i="1"/>
  <c r="G141" i="1"/>
  <c r="M141" i="1" s="1"/>
  <c r="H142" i="1"/>
  <c r="V142" i="1" s="1"/>
  <c r="F140" i="1"/>
  <c r="P140" i="1"/>
  <c r="N140" i="1"/>
  <c r="K20" i="1"/>
  <c r="U142" i="1" l="1"/>
  <c r="L143" i="1"/>
  <c r="J142" i="1"/>
  <c r="Z17" i="1"/>
  <c r="AA17" i="1" s="1"/>
  <c r="AB17" i="1" s="1"/>
  <c r="S142" i="1"/>
  <c r="T142" i="1"/>
  <c r="G142" i="1"/>
  <c r="M142" i="1" s="1"/>
  <c r="H143" i="1"/>
  <c r="V143" i="1" s="1"/>
  <c r="P141" i="1"/>
  <c r="F141" i="1"/>
  <c r="N141" i="1"/>
  <c r="U143" i="1" l="1"/>
  <c r="L144" i="1"/>
  <c r="J143" i="1"/>
  <c r="AC17" i="1"/>
  <c r="AD17" i="1" s="1"/>
  <c r="AE17" i="1" s="1"/>
  <c r="AF17" i="1" s="1"/>
  <c r="S143" i="1"/>
  <c r="T143" i="1"/>
  <c r="G143" i="1"/>
  <c r="M143" i="1" s="1"/>
  <c r="H144" i="1"/>
  <c r="V144" i="1" s="1"/>
  <c r="N142" i="1"/>
  <c r="F142" i="1"/>
  <c r="P142" i="1"/>
  <c r="P21" i="1"/>
  <c r="U144" i="1" l="1"/>
  <c r="J144" i="1"/>
  <c r="L145" i="1"/>
  <c r="AG17" i="1"/>
  <c r="AH17" i="1" s="1"/>
  <c r="I17" i="1" s="1"/>
  <c r="T144" i="1"/>
  <c r="S144" i="1"/>
  <c r="F143" i="1"/>
  <c r="N143" i="1"/>
  <c r="P143" i="1"/>
  <c r="G144" i="1"/>
  <c r="M144" i="1" s="1"/>
  <c r="H145" i="1"/>
  <c r="V145" i="1" s="1"/>
  <c r="U145" i="1" l="1"/>
  <c r="L146" i="1"/>
  <c r="J145" i="1"/>
  <c r="Y17" i="1"/>
  <c r="T145" i="1"/>
  <c r="S145" i="1"/>
  <c r="N144" i="1"/>
  <c r="F144" i="1"/>
  <c r="P144" i="1"/>
  <c r="G145" i="1"/>
  <c r="M145" i="1" s="1"/>
  <c r="H146" i="1"/>
  <c r="V146" i="1" s="1"/>
  <c r="K21" i="1"/>
  <c r="U146" i="1" l="1"/>
  <c r="L147" i="1"/>
  <c r="J146" i="1"/>
  <c r="P17" i="1"/>
  <c r="R17" i="1" s="1"/>
  <c r="Q17" i="1" s="1"/>
  <c r="S146" i="1"/>
  <c r="T146" i="1"/>
  <c r="G146" i="1"/>
  <c r="M146" i="1" s="1"/>
  <c r="H147" i="1"/>
  <c r="V147" i="1" s="1"/>
  <c r="N145" i="1"/>
  <c r="P145" i="1"/>
  <c r="F145" i="1"/>
  <c r="U147" i="1" l="1"/>
  <c r="J147" i="1"/>
  <c r="L148" i="1"/>
  <c r="X17" i="1"/>
  <c r="K17" i="1"/>
  <c r="W17" i="1"/>
  <c r="O18" i="1" s="1"/>
  <c r="T147" i="1"/>
  <c r="S147" i="1"/>
  <c r="G147" i="1"/>
  <c r="M147" i="1" s="1"/>
  <c r="H148" i="1"/>
  <c r="V148" i="1" s="1"/>
  <c r="F146" i="1"/>
  <c r="P146" i="1"/>
  <c r="N146" i="1"/>
  <c r="U148" i="1" l="1"/>
  <c r="J148" i="1"/>
  <c r="L149" i="1"/>
  <c r="Z18" i="1"/>
  <c r="AA18" i="1" s="1"/>
  <c r="Y18" i="1" s="1"/>
  <c r="T148" i="1"/>
  <c r="S148" i="1"/>
  <c r="G148" i="1"/>
  <c r="M148" i="1" s="1"/>
  <c r="H149" i="1"/>
  <c r="V149" i="1" s="1"/>
  <c r="P147" i="1"/>
  <c r="N147" i="1"/>
  <c r="F147" i="1"/>
  <c r="P22" i="1"/>
  <c r="U149" i="1" l="1"/>
  <c r="J149" i="1"/>
  <c r="L150" i="1"/>
  <c r="P18" i="1"/>
  <c r="R18" i="1" s="1"/>
  <c r="Q18" i="1" s="1"/>
  <c r="I18" i="1"/>
  <c r="S149" i="1"/>
  <c r="T149" i="1"/>
  <c r="N148" i="1"/>
  <c r="F148" i="1"/>
  <c r="P148" i="1"/>
  <c r="G149" i="1"/>
  <c r="M149" i="1" s="1"/>
  <c r="H150" i="1"/>
  <c r="V150" i="1" s="1"/>
  <c r="U150" i="1" l="1"/>
  <c r="L151" i="1"/>
  <c r="J150" i="1"/>
  <c r="X18" i="1"/>
  <c r="K18" i="1"/>
  <c r="W18" i="1"/>
  <c r="O19" i="1" s="1"/>
  <c r="T150" i="1"/>
  <c r="S150" i="1"/>
  <c r="G150" i="1"/>
  <c r="M150" i="1" s="1"/>
  <c r="H151" i="1"/>
  <c r="V151" i="1" s="1"/>
  <c r="N149" i="1"/>
  <c r="F149" i="1"/>
  <c r="P149" i="1"/>
  <c r="K22" i="1"/>
  <c r="U151" i="1" l="1"/>
  <c r="L152" i="1"/>
  <c r="J151" i="1"/>
  <c r="Z19" i="1"/>
  <c r="AA19" i="1" s="1"/>
  <c r="Y19" i="1" s="1"/>
  <c r="T151" i="1"/>
  <c r="S151" i="1"/>
  <c r="G151" i="1"/>
  <c r="M151" i="1" s="1"/>
  <c r="H152" i="1"/>
  <c r="V152" i="1" s="1"/>
  <c r="F150" i="1"/>
  <c r="N150" i="1"/>
  <c r="P150" i="1"/>
  <c r="U152" i="1" l="1"/>
  <c r="L153" i="1"/>
  <c r="J152" i="1"/>
  <c r="P19" i="1"/>
  <c r="R19" i="1" s="1"/>
  <c r="I19" i="1"/>
  <c r="S152" i="1"/>
  <c r="T152" i="1"/>
  <c r="G152" i="1"/>
  <c r="M152" i="1" s="1"/>
  <c r="H153" i="1"/>
  <c r="V153" i="1" s="1"/>
  <c r="F151" i="1"/>
  <c r="P151" i="1"/>
  <c r="N151" i="1"/>
  <c r="U153" i="1" l="1"/>
  <c r="L154" i="1"/>
  <c r="J153" i="1"/>
  <c r="Q19" i="1"/>
  <c r="X19" i="1"/>
  <c r="K19" i="1"/>
  <c r="W19" i="1"/>
  <c r="O20" i="1" s="1"/>
  <c r="S153" i="1"/>
  <c r="T153" i="1"/>
  <c r="G153" i="1"/>
  <c r="M153" i="1" s="1"/>
  <c r="H154" i="1"/>
  <c r="V154" i="1" s="1"/>
  <c r="P152" i="1"/>
  <c r="N152" i="1"/>
  <c r="F152" i="1"/>
  <c r="K23" i="1"/>
  <c r="U154" i="1" l="1"/>
  <c r="L155" i="1"/>
  <c r="J154" i="1"/>
  <c r="Z20" i="1"/>
  <c r="AA20" i="1" s="1"/>
  <c r="I20" i="1" s="1"/>
  <c r="T154" i="1"/>
  <c r="S154" i="1"/>
  <c r="F153" i="1"/>
  <c r="P153" i="1"/>
  <c r="N153" i="1"/>
  <c r="G154" i="1"/>
  <c r="M154" i="1" s="1"/>
  <c r="H155" i="1"/>
  <c r="V155" i="1" s="1"/>
  <c r="U155" i="1" l="1"/>
  <c r="J155" i="1"/>
  <c r="L156" i="1"/>
  <c r="Y20" i="1"/>
  <c r="S155" i="1"/>
  <c r="T155" i="1"/>
  <c r="G155" i="1"/>
  <c r="M155" i="1" s="1"/>
  <c r="H156" i="1"/>
  <c r="V156" i="1" s="1"/>
  <c r="P154" i="1"/>
  <c r="N154" i="1"/>
  <c r="F154" i="1"/>
  <c r="U156" i="1" l="1"/>
  <c r="J156" i="1"/>
  <c r="L157" i="1"/>
  <c r="R20" i="1"/>
  <c r="T156" i="1"/>
  <c r="S156" i="1"/>
  <c r="G156" i="1"/>
  <c r="M156" i="1" s="1"/>
  <c r="H157" i="1"/>
  <c r="V157" i="1" s="1"/>
  <c r="N155" i="1"/>
  <c r="P155" i="1"/>
  <c r="F155" i="1"/>
  <c r="U157" i="1" l="1"/>
  <c r="J157" i="1"/>
  <c r="L158" i="1"/>
  <c r="Q20" i="1"/>
  <c r="W20" i="1" s="1"/>
  <c r="O21" i="1" s="1"/>
  <c r="X20" i="1"/>
  <c r="T157" i="1"/>
  <c r="S157" i="1"/>
  <c r="G157" i="1"/>
  <c r="M157" i="1" s="1"/>
  <c r="H158" i="1"/>
  <c r="V158" i="1" s="1"/>
  <c r="F156" i="1"/>
  <c r="P156" i="1"/>
  <c r="N156" i="1"/>
  <c r="K24" i="1"/>
  <c r="U158" i="1" l="1"/>
  <c r="J158" i="1"/>
  <c r="L159" i="1"/>
  <c r="Z21" i="1"/>
  <c r="S158" i="1"/>
  <c r="T158" i="1"/>
  <c r="G158" i="1"/>
  <c r="M158" i="1" s="1"/>
  <c r="H159" i="1"/>
  <c r="V159" i="1" s="1"/>
  <c r="P157" i="1"/>
  <c r="N157" i="1"/>
  <c r="F157" i="1"/>
  <c r="U159" i="1" l="1"/>
  <c r="L160" i="1"/>
  <c r="J159" i="1"/>
  <c r="AA21" i="1"/>
  <c r="Y21" i="1" s="1"/>
  <c r="T159" i="1"/>
  <c r="S159" i="1"/>
  <c r="F158" i="1"/>
  <c r="N158" i="1"/>
  <c r="P158" i="1"/>
  <c r="G159" i="1"/>
  <c r="M159" i="1" s="1"/>
  <c r="H160" i="1"/>
  <c r="V160" i="1" s="1"/>
  <c r="U160" i="1" l="1"/>
  <c r="L161" i="1"/>
  <c r="J160" i="1"/>
  <c r="R21" i="1"/>
  <c r="I21" i="1"/>
  <c r="T160" i="1"/>
  <c r="S160" i="1"/>
  <c r="G160" i="1"/>
  <c r="M160" i="1" s="1"/>
  <c r="H161" i="1"/>
  <c r="V161" i="1" s="1"/>
  <c r="F159" i="1"/>
  <c r="P159" i="1"/>
  <c r="N159" i="1"/>
  <c r="K25" i="1"/>
  <c r="U161" i="1" l="1"/>
  <c r="L162" i="1"/>
  <c r="J161" i="1"/>
  <c r="Q21" i="1"/>
  <c r="W21" i="1" s="1"/>
  <c r="O22" i="1" s="1"/>
  <c r="X21" i="1"/>
  <c r="Z22" i="1" s="1"/>
  <c r="AA22" i="1" s="1"/>
  <c r="Y22" i="1" s="1"/>
  <c r="R22" i="1" s="1"/>
  <c r="S161" i="1"/>
  <c r="T161" i="1"/>
  <c r="G161" i="1"/>
  <c r="M161" i="1" s="1"/>
  <c r="H162" i="1"/>
  <c r="V162" i="1" s="1"/>
  <c r="F160" i="1"/>
  <c r="P160" i="1"/>
  <c r="N160" i="1"/>
  <c r="U162" i="1" l="1"/>
  <c r="J162" i="1"/>
  <c r="L163" i="1"/>
  <c r="Q22" i="1"/>
  <c r="W22" i="1" s="1"/>
  <c r="O23" i="1" s="1"/>
  <c r="I22" i="1"/>
  <c r="X22" i="1"/>
  <c r="T162" i="1"/>
  <c r="S162" i="1"/>
  <c r="G162" i="1"/>
  <c r="M162" i="1" s="1"/>
  <c r="H163" i="1"/>
  <c r="V163" i="1" s="1"/>
  <c r="N161" i="1"/>
  <c r="F161" i="1"/>
  <c r="P161" i="1"/>
  <c r="U163" i="1" l="1"/>
  <c r="J163" i="1"/>
  <c r="L164" i="1"/>
  <c r="Z23" i="1"/>
  <c r="AA23" i="1" s="1"/>
  <c r="Y23" i="1" s="1"/>
  <c r="T163" i="1"/>
  <c r="S163" i="1"/>
  <c r="G163" i="1"/>
  <c r="M163" i="1" s="1"/>
  <c r="H164" i="1"/>
  <c r="V164" i="1" s="1"/>
  <c r="N162" i="1"/>
  <c r="F162" i="1"/>
  <c r="P162" i="1"/>
  <c r="U164" i="1" l="1"/>
  <c r="J164" i="1"/>
  <c r="L165" i="1"/>
  <c r="R23" i="1"/>
  <c r="I23" i="1"/>
  <c r="S164" i="1"/>
  <c r="T164" i="1"/>
  <c r="F163" i="1"/>
  <c r="N163" i="1"/>
  <c r="P163" i="1"/>
  <c r="G164" i="1"/>
  <c r="M164" i="1" s="1"/>
  <c r="H165" i="1"/>
  <c r="V165" i="1" s="1"/>
  <c r="K26" i="1"/>
  <c r="U165" i="1" l="1"/>
  <c r="J165" i="1"/>
  <c r="L166" i="1"/>
  <c r="Q23" i="1"/>
  <c r="W23" i="1" s="1"/>
  <c r="O24" i="1" s="1"/>
  <c r="X23" i="1"/>
  <c r="Z24" i="1" s="1"/>
  <c r="AA24" i="1" s="1"/>
  <c r="I24" i="1" s="1"/>
  <c r="T165" i="1"/>
  <c r="S165" i="1"/>
  <c r="G165" i="1"/>
  <c r="M165" i="1" s="1"/>
  <c r="H166" i="1"/>
  <c r="V166" i="1" s="1"/>
  <c r="F164" i="1"/>
  <c r="N164" i="1"/>
  <c r="P164" i="1"/>
  <c r="U166" i="1" l="1"/>
  <c r="L167" i="1"/>
  <c r="H167" i="1" s="1"/>
  <c r="V167" i="1" s="1"/>
  <c r="J166" i="1"/>
  <c r="Y24" i="1"/>
  <c r="S166" i="1"/>
  <c r="T166" i="1"/>
  <c r="G166" i="1"/>
  <c r="M166" i="1" s="1"/>
  <c r="F165" i="1"/>
  <c r="P165" i="1"/>
  <c r="N165" i="1"/>
  <c r="U167" i="1" l="1"/>
  <c r="J167" i="1"/>
  <c r="L168" i="1"/>
  <c r="R24" i="1"/>
  <c r="T167" i="1"/>
  <c r="S167" i="1"/>
  <c r="N166" i="1"/>
  <c r="F166" i="1"/>
  <c r="P166" i="1"/>
  <c r="G167" i="1"/>
  <c r="M167" i="1" s="1"/>
  <c r="H168" i="1"/>
  <c r="V168" i="1" s="1"/>
  <c r="U168" i="1" l="1"/>
  <c r="J168" i="1"/>
  <c r="L169" i="1"/>
  <c r="Q24" i="1"/>
  <c r="W24" i="1" s="1"/>
  <c r="O25" i="1" s="1"/>
  <c r="X24" i="1"/>
  <c r="Z25" i="1" s="1"/>
  <c r="T168" i="1"/>
  <c r="S168" i="1"/>
  <c r="P167" i="1"/>
  <c r="N167" i="1"/>
  <c r="F167" i="1"/>
  <c r="G168" i="1"/>
  <c r="M168" i="1" s="1"/>
  <c r="H169" i="1"/>
  <c r="V169" i="1" s="1"/>
  <c r="K27" i="1"/>
  <c r="U169" i="1" l="1"/>
  <c r="J169" i="1"/>
  <c r="L170" i="1"/>
  <c r="AA25" i="1"/>
  <c r="Y25" i="1" s="1"/>
  <c r="R25" i="1" s="1"/>
  <c r="S169" i="1"/>
  <c r="T169" i="1"/>
  <c r="P168" i="1"/>
  <c r="F168" i="1"/>
  <c r="N168" i="1"/>
  <c r="G169" i="1"/>
  <c r="M169" i="1" s="1"/>
  <c r="H170" i="1"/>
  <c r="V170" i="1" s="1"/>
  <c r="U170" i="1" l="1"/>
  <c r="L171" i="1"/>
  <c r="J170" i="1"/>
  <c r="Q25" i="1"/>
  <c r="W25" i="1" s="1"/>
  <c r="O26" i="1" s="1"/>
  <c r="X25" i="1"/>
  <c r="Z26" i="1" s="1"/>
  <c r="I25" i="1"/>
  <c r="S170" i="1"/>
  <c r="T170" i="1"/>
  <c r="N169" i="1"/>
  <c r="P169" i="1"/>
  <c r="F169" i="1"/>
  <c r="G170" i="1"/>
  <c r="M170" i="1" s="1"/>
  <c r="H171" i="1"/>
  <c r="V171" i="1" s="1"/>
  <c r="U171" i="1" l="1"/>
  <c r="J171" i="1"/>
  <c r="L172" i="1"/>
  <c r="AA26" i="1"/>
  <c r="I26" i="1" s="1"/>
  <c r="T171" i="1"/>
  <c r="S171" i="1"/>
  <c r="G171" i="1"/>
  <c r="M171" i="1" s="1"/>
  <c r="N170" i="1"/>
  <c r="F170" i="1"/>
  <c r="P170" i="1"/>
  <c r="U172" i="1" l="1"/>
  <c r="J172" i="1"/>
  <c r="L173" i="1"/>
  <c r="H172" i="1"/>
  <c r="V172" i="1" s="1"/>
  <c r="Y26" i="1"/>
  <c r="S172" i="1"/>
  <c r="T172" i="1"/>
  <c r="P171" i="1"/>
  <c r="F171" i="1"/>
  <c r="N171" i="1"/>
  <c r="G172" i="1"/>
  <c r="M172" i="1" s="1"/>
  <c r="H173" i="1"/>
  <c r="V173" i="1" s="1"/>
  <c r="K28" i="1"/>
  <c r="U173" i="1" l="1"/>
  <c r="J173" i="1"/>
  <c r="L174" i="1"/>
  <c r="R26" i="1"/>
  <c r="S173" i="1"/>
  <c r="T173" i="1"/>
  <c r="F172" i="1"/>
  <c r="P172" i="1"/>
  <c r="N172" i="1"/>
  <c r="G173" i="1"/>
  <c r="M173" i="1" s="1"/>
  <c r="H174" i="1"/>
  <c r="V174" i="1" s="1"/>
  <c r="U174" i="1" l="1"/>
  <c r="L175" i="1"/>
  <c r="J174" i="1"/>
  <c r="Q26" i="1"/>
  <c r="W26" i="1" s="1"/>
  <c r="O27" i="1" s="1"/>
  <c r="X26" i="1"/>
  <c r="Z27" i="1" s="1"/>
  <c r="AA27" i="1" s="1"/>
  <c r="I27" i="1" s="1"/>
  <c r="S174" i="1"/>
  <c r="T174" i="1"/>
  <c r="G174" i="1"/>
  <c r="M174" i="1" s="1"/>
  <c r="H175" i="1"/>
  <c r="V175" i="1" s="1"/>
  <c r="P173" i="1"/>
  <c r="N173" i="1"/>
  <c r="F173" i="1"/>
  <c r="U175" i="1" l="1"/>
  <c r="J175" i="1"/>
  <c r="L176" i="1"/>
  <c r="Y27" i="1"/>
  <c r="T175" i="1"/>
  <c r="S175" i="1"/>
  <c r="G175" i="1"/>
  <c r="M175" i="1" s="1"/>
  <c r="H176" i="1"/>
  <c r="V176" i="1" s="1"/>
  <c r="F174" i="1"/>
  <c r="N174" i="1"/>
  <c r="P174" i="1"/>
  <c r="U176" i="1" l="1"/>
  <c r="J176" i="1"/>
  <c r="L177" i="1"/>
  <c r="R27" i="1"/>
  <c r="S176" i="1"/>
  <c r="T176" i="1"/>
  <c r="G176" i="1"/>
  <c r="M176" i="1" s="1"/>
  <c r="H177" i="1"/>
  <c r="V177" i="1" s="1"/>
  <c r="F175" i="1"/>
  <c r="P175" i="1"/>
  <c r="N175" i="1"/>
  <c r="K29" i="1"/>
  <c r="U177" i="1" l="1"/>
  <c r="L178" i="1"/>
  <c r="J177" i="1"/>
  <c r="Q27" i="1"/>
  <c r="W27" i="1" s="1"/>
  <c r="O28" i="1" s="1"/>
  <c r="X27" i="1"/>
  <c r="Z28" i="1" s="1"/>
  <c r="T177" i="1"/>
  <c r="S177" i="1"/>
  <c r="G177" i="1"/>
  <c r="M177" i="1" s="1"/>
  <c r="H178" i="1"/>
  <c r="V178" i="1" s="1"/>
  <c r="F176" i="1"/>
  <c r="N176" i="1"/>
  <c r="P176" i="1"/>
  <c r="U178" i="1" l="1"/>
  <c r="J178" i="1"/>
  <c r="L179" i="1"/>
  <c r="AA28" i="1"/>
  <c r="I28" i="1" s="1"/>
  <c r="T178" i="1"/>
  <c r="S178" i="1"/>
  <c r="G178" i="1"/>
  <c r="M178" i="1" s="1"/>
  <c r="H179" i="1"/>
  <c r="V179" i="1" s="1"/>
  <c r="P177" i="1"/>
  <c r="N177" i="1"/>
  <c r="F177" i="1"/>
  <c r="U179" i="1" l="1"/>
  <c r="L180" i="1"/>
  <c r="J179" i="1"/>
  <c r="Y28" i="1"/>
  <c r="R28" i="1" s="1"/>
  <c r="T179" i="1"/>
  <c r="S179" i="1"/>
  <c r="G179" i="1"/>
  <c r="M179" i="1" s="1"/>
  <c r="H180" i="1"/>
  <c r="V180" i="1" s="1"/>
  <c r="F178" i="1"/>
  <c r="N178" i="1"/>
  <c r="P178" i="1"/>
  <c r="K30" i="1"/>
  <c r="U180" i="1" l="1"/>
  <c r="L181" i="1"/>
  <c r="J180" i="1"/>
  <c r="Q28" i="1"/>
  <c r="W28" i="1" s="1"/>
  <c r="O29" i="1" s="1"/>
  <c r="X28" i="1"/>
  <c r="Z29" i="1" s="1"/>
  <c r="AA29" i="1" s="1"/>
  <c r="I29" i="1" s="1"/>
  <c r="S180" i="1"/>
  <c r="T180" i="1"/>
  <c r="G180" i="1"/>
  <c r="M180" i="1" s="1"/>
  <c r="H181" i="1"/>
  <c r="V181" i="1" s="1"/>
  <c r="N179" i="1"/>
  <c r="P179" i="1"/>
  <c r="F179" i="1"/>
  <c r="U181" i="1" l="1"/>
  <c r="J181" i="1"/>
  <c r="L182" i="1"/>
  <c r="Y29" i="1"/>
  <c r="R29" i="1" s="1"/>
  <c r="T181" i="1"/>
  <c r="S181" i="1"/>
  <c r="G181" i="1"/>
  <c r="M181" i="1" s="1"/>
  <c r="H182" i="1"/>
  <c r="V182" i="1" s="1"/>
  <c r="F180" i="1"/>
  <c r="P180" i="1"/>
  <c r="N180" i="1"/>
  <c r="U182" i="1" l="1"/>
  <c r="J182" i="1"/>
  <c r="L183" i="1"/>
  <c r="Q29" i="1"/>
  <c r="W29" i="1" s="1"/>
  <c r="O30" i="1" s="1"/>
  <c r="X29" i="1"/>
  <c r="Z30" i="1" s="1"/>
  <c r="T182" i="1"/>
  <c r="S182" i="1"/>
  <c r="G182" i="1"/>
  <c r="M182" i="1" s="1"/>
  <c r="H183" i="1"/>
  <c r="V183" i="1" s="1"/>
  <c r="F181" i="1"/>
  <c r="P181" i="1"/>
  <c r="N181" i="1"/>
  <c r="U183" i="1" l="1"/>
  <c r="L184" i="1"/>
  <c r="J183" i="1"/>
  <c r="AA30" i="1"/>
  <c r="Y30" i="1" s="1"/>
  <c r="R30" i="1" s="1"/>
  <c r="S183" i="1"/>
  <c r="T183" i="1"/>
  <c r="G183" i="1"/>
  <c r="M183" i="1" s="1"/>
  <c r="H184" i="1"/>
  <c r="V184" i="1" s="1"/>
  <c r="N182" i="1"/>
  <c r="P182" i="1"/>
  <c r="F182" i="1"/>
  <c r="U184" i="1" l="1"/>
  <c r="L185" i="1"/>
  <c r="J184" i="1"/>
  <c r="Q30" i="1"/>
  <c r="W30" i="1" s="1"/>
  <c r="O31" i="1" s="1"/>
  <c r="I30" i="1"/>
  <c r="X30" i="1"/>
  <c r="Z31" i="1" s="1"/>
  <c r="S184" i="1"/>
  <c r="T184" i="1"/>
  <c r="N183" i="1"/>
  <c r="F183" i="1"/>
  <c r="P183" i="1"/>
  <c r="G184" i="1"/>
  <c r="M184" i="1" s="1"/>
  <c r="H185" i="1"/>
  <c r="V185" i="1" s="1"/>
  <c r="K32" i="1"/>
  <c r="U185" i="1" l="1"/>
  <c r="L186" i="1"/>
  <c r="J185" i="1"/>
  <c r="AA31" i="1"/>
  <c r="Y31" i="1" s="1"/>
  <c r="R31" i="1" s="1"/>
  <c r="S185" i="1"/>
  <c r="T185" i="1"/>
  <c r="G185" i="1"/>
  <c r="M185" i="1" s="1"/>
  <c r="H186" i="1"/>
  <c r="V186" i="1" s="1"/>
  <c r="F184" i="1"/>
  <c r="P184" i="1"/>
  <c r="N184" i="1"/>
  <c r="U186" i="1" l="1"/>
  <c r="J186" i="1"/>
  <c r="L187" i="1"/>
  <c r="Q31" i="1"/>
  <c r="X31" i="1"/>
  <c r="I31" i="1"/>
  <c r="K31" i="1"/>
  <c r="W31" i="1"/>
  <c r="O32" i="1" s="1"/>
  <c r="T186" i="1"/>
  <c r="S186" i="1"/>
  <c r="G186" i="1"/>
  <c r="M186" i="1" s="1"/>
  <c r="H187" i="1"/>
  <c r="V187" i="1" s="1"/>
  <c r="F185" i="1"/>
  <c r="P185" i="1"/>
  <c r="N185" i="1"/>
  <c r="U187" i="1" l="1"/>
  <c r="L188" i="1"/>
  <c r="J187" i="1"/>
  <c r="Z32" i="1"/>
  <c r="S187" i="1"/>
  <c r="T187" i="1"/>
  <c r="G187" i="1"/>
  <c r="M187" i="1" s="1"/>
  <c r="H188" i="1"/>
  <c r="V188" i="1" s="1"/>
  <c r="P186" i="1"/>
  <c r="N186" i="1"/>
  <c r="F186" i="1"/>
  <c r="K33" i="1"/>
  <c r="U188" i="1" l="1"/>
  <c r="J188" i="1"/>
  <c r="L189" i="1"/>
  <c r="AA32" i="1"/>
  <c r="I32" i="1" s="1"/>
  <c r="T188" i="1"/>
  <c r="S188" i="1"/>
  <c r="N187" i="1"/>
  <c r="P187" i="1"/>
  <c r="F187" i="1"/>
  <c r="G188" i="1"/>
  <c r="M188" i="1" s="1"/>
  <c r="H189" i="1"/>
  <c r="V189" i="1" s="1"/>
  <c r="U189" i="1" l="1"/>
  <c r="J189" i="1"/>
  <c r="L190" i="1"/>
  <c r="Y32" i="1"/>
  <c r="R32" i="1" s="1"/>
  <c r="T189" i="1"/>
  <c r="S189" i="1"/>
  <c r="F188" i="1"/>
  <c r="N188" i="1"/>
  <c r="P188" i="1"/>
  <c r="G189" i="1"/>
  <c r="M189" i="1" s="1"/>
  <c r="H190" i="1"/>
  <c r="V190" i="1" s="1"/>
  <c r="U190" i="1" l="1"/>
  <c r="L191" i="1"/>
  <c r="J190" i="1"/>
  <c r="Q32" i="1"/>
  <c r="W32" i="1" s="1"/>
  <c r="O33" i="1" s="1"/>
  <c r="X32" i="1"/>
  <c r="Z33" i="1" s="1"/>
  <c r="T190" i="1"/>
  <c r="S190" i="1"/>
  <c r="G190" i="1"/>
  <c r="M190" i="1" s="1"/>
  <c r="H191" i="1"/>
  <c r="F189" i="1"/>
  <c r="P189" i="1"/>
  <c r="N189" i="1"/>
  <c r="U191" i="1" l="1"/>
  <c r="J191" i="1"/>
  <c r="L192" i="1"/>
  <c r="AA33" i="1"/>
  <c r="I33" i="1" s="1"/>
  <c r="S191" i="1"/>
  <c r="S192" i="1" s="1"/>
  <c r="T191" i="1"/>
  <c r="T192" i="1" s="1"/>
  <c r="V191" i="1"/>
  <c r="V192" i="1" s="1"/>
  <c r="G192" i="1"/>
  <c r="M192" i="1" s="1"/>
  <c r="G191" i="1"/>
  <c r="M191" i="1" s="1"/>
  <c r="F190" i="1"/>
  <c r="N190" i="1"/>
  <c r="P190" i="1"/>
  <c r="K34" i="1"/>
  <c r="U192" i="1" l="1"/>
  <c r="J192" i="1"/>
  <c r="L193" i="1"/>
  <c r="H192" i="1"/>
  <c r="Y33" i="1"/>
  <c r="T193" i="1"/>
  <c r="S193" i="1"/>
  <c r="G193" i="1"/>
  <c r="M193" i="1" s="1"/>
  <c r="F192" i="1"/>
  <c r="P192" i="1"/>
  <c r="N192" i="1"/>
  <c r="F191" i="1"/>
  <c r="N191" i="1"/>
  <c r="P191" i="1"/>
  <c r="U193" i="1" l="1"/>
  <c r="L194" i="1"/>
  <c r="J193" i="1"/>
  <c r="H193" i="1"/>
  <c r="V193" i="1"/>
  <c r="R33" i="1"/>
  <c r="S194" i="1"/>
  <c r="T194" i="1"/>
  <c r="G194" i="1"/>
  <c r="M194" i="1" s="1"/>
  <c r="N193" i="1"/>
  <c r="F193" i="1"/>
  <c r="P193" i="1"/>
  <c r="U194" i="1" l="1"/>
  <c r="J194" i="1"/>
  <c r="L195" i="1"/>
  <c r="H194" i="1"/>
  <c r="V194" i="1" s="1"/>
  <c r="Q33" i="1"/>
  <c r="W33" i="1" s="1"/>
  <c r="O34" i="1" s="1"/>
  <c r="X33" i="1"/>
  <c r="Z34" i="1" s="1"/>
  <c r="T195" i="1"/>
  <c r="S195" i="1"/>
  <c r="G195" i="1"/>
  <c r="M195" i="1" s="1"/>
  <c r="F194" i="1"/>
  <c r="P194" i="1"/>
  <c r="N194" i="1"/>
  <c r="U195" i="1" l="1"/>
  <c r="J195" i="1"/>
  <c r="L196" i="1"/>
  <c r="H195" i="1"/>
  <c r="V195" i="1" s="1"/>
  <c r="AA34" i="1"/>
  <c r="Y34" i="1" s="1"/>
  <c r="R34" i="1" s="1"/>
  <c r="S196" i="1"/>
  <c r="T196" i="1"/>
  <c r="N195" i="1"/>
  <c r="F195" i="1"/>
  <c r="P195" i="1"/>
  <c r="G196" i="1"/>
  <c r="M196" i="1" s="1"/>
  <c r="K35" i="1"/>
  <c r="U196" i="1" l="1"/>
  <c r="J196" i="1"/>
  <c r="L197" i="1"/>
  <c r="H196" i="1"/>
  <c r="V196" i="1" s="1"/>
  <c r="Q34" i="1"/>
  <c r="W34" i="1" s="1"/>
  <c r="O35" i="1" s="1"/>
  <c r="X34" i="1"/>
  <c r="Z35" i="1" s="1"/>
  <c r="AA35" i="1" s="1"/>
  <c r="I35" i="1" s="1"/>
  <c r="I34" i="1"/>
  <c r="T197" i="1"/>
  <c r="S197" i="1"/>
  <c r="G197" i="1"/>
  <c r="M197" i="1" s="1"/>
  <c r="F196" i="1"/>
  <c r="N196" i="1"/>
  <c r="P196" i="1"/>
  <c r="U197" i="1" l="1"/>
  <c r="J197" i="1"/>
  <c r="L198" i="1"/>
  <c r="H197" i="1"/>
  <c r="V197" i="1" s="1"/>
  <c r="Y35" i="1"/>
  <c r="R35" i="1" s="1"/>
  <c r="S198" i="1"/>
  <c r="T198" i="1"/>
  <c r="G198" i="1"/>
  <c r="M198" i="1" s="1"/>
  <c r="N197" i="1"/>
  <c r="F197" i="1"/>
  <c r="P197" i="1"/>
  <c r="U198" i="1" l="1"/>
  <c r="L199" i="1"/>
  <c r="J198" i="1"/>
  <c r="H198" i="1"/>
  <c r="V198" i="1" s="1"/>
  <c r="Q35" i="1"/>
  <c r="W35" i="1" s="1"/>
  <c r="O36" i="1" s="1"/>
  <c r="X35" i="1"/>
  <c r="Z36" i="1" s="1"/>
  <c r="T199" i="1"/>
  <c r="S199" i="1"/>
  <c r="N198" i="1"/>
  <c r="F198" i="1"/>
  <c r="P198" i="1"/>
  <c r="G199" i="1"/>
  <c r="M199" i="1" s="1"/>
  <c r="U199" i="1" l="1"/>
  <c r="J199" i="1"/>
  <c r="L200" i="1"/>
  <c r="H199" i="1"/>
  <c r="V199" i="1" s="1"/>
  <c r="AA36" i="1"/>
  <c r="I36" i="1" s="1"/>
  <c r="P199" i="1"/>
  <c r="N199" i="1"/>
  <c r="F199" i="1"/>
  <c r="G200" i="1"/>
  <c r="M200" i="1" s="1"/>
  <c r="U200" i="1" l="1"/>
  <c r="L201" i="1"/>
  <c r="J200" i="1"/>
  <c r="H200" i="1"/>
  <c r="V200" i="1" s="1"/>
  <c r="S200" i="1"/>
  <c r="T200" i="1"/>
  <c r="Y36" i="1"/>
  <c r="S201" i="1"/>
  <c r="T201" i="1"/>
  <c r="F200" i="1"/>
  <c r="P200" i="1"/>
  <c r="N200" i="1"/>
  <c r="G201" i="1"/>
  <c r="M201" i="1" s="1"/>
  <c r="K36" i="1"/>
  <c r="U201" i="1" l="1"/>
  <c r="L202" i="1"/>
  <c r="J201" i="1"/>
  <c r="H201" i="1"/>
  <c r="V201" i="1" s="1"/>
  <c r="R36" i="1"/>
  <c r="S202" i="1"/>
  <c r="T202" i="1"/>
  <c r="F201" i="1"/>
  <c r="P201" i="1"/>
  <c r="N201" i="1"/>
  <c r="G202" i="1"/>
  <c r="M202" i="1" s="1"/>
  <c r="U202" i="1" l="1"/>
  <c r="L203" i="1"/>
  <c r="J202" i="1"/>
  <c r="H202" i="1"/>
  <c r="V202" i="1" s="1"/>
  <c r="Q36" i="1"/>
  <c r="W36" i="1" s="1"/>
  <c r="O37" i="1" s="1"/>
  <c r="X36" i="1"/>
  <c r="Z37" i="1" s="1"/>
  <c r="T203" i="1"/>
  <c r="S203" i="1"/>
  <c r="G203" i="1"/>
  <c r="M203" i="1" s="1"/>
  <c r="N202" i="1"/>
  <c r="F202" i="1"/>
  <c r="P202" i="1"/>
  <c r="U203" i="1" l="1"/>
  <c r="J203" i="1"/>
  <c r="L204" i="1"/>
  <c r="H203" i="1"/>
  <c r="V203" i="1" s="1"/>
  <c r="AA37" i="1"/>
  <c r="T204" i="1"/>
  <c r="P203" i="1"/>
  <c r="N203" i="1"/>
  <c r="F203" i="1"/>
  <c r="G204" i="1"/>
  <c r="M204" i="1" s="1"/>
  <c r="U204" i="1" l="1"/>
  <c r="L205" i="1"/>
  <c r="J204" i="1"/>
  <c r="H204" i="1"/>
  <c r="V204" i="1" s="1"/>
  <c r="S204" i="1"/>
  <c r="I37" i="1"/>
  <c r="Y37" i="1"/>
  <c r="S205" i="1"/>
  <c r="T205" i="1"/>
  <c r="F204" i="1"/>
  <c r="P204" i="1"/>
  <c r="N204" i="1"/>
  <c r="G205" i="1"/>
  <c r="M205" i="1" s="1"/>
  <c r="U205" i="1" l="1"/>
  <c r="J205" i="1"/>
  <c r="L206" i="1"/>
  <c r="H205" i="1"/>
  <c r="V205" i="1" s="1"/>
  <c r="R37" i="1"/>
  <c r="T206" i="1"/>
  <c r="S206" i="1"/>
  <c r="V206" i="1"/>
  <c r="G206" i="1"/>
  <c r="M206" i="1" s="1"/>
  <c r="F205" i="1"/>
  <c r="N205" i="1"/>
  <c r="P205" i="1"/>
  <c r="L207" i="1" l="1"/>
  <c r="U206" i="1"/>
  <c r="J206" i="1"/>
  <c r="H206" i="1"/>
  <c r="H207" i="1" s="1"/>
  <c r="Q37" i="1"/>
  <c r="X37" i="1"/>
  <c r="K37" i="1"/>
  <c r="W37" i="1"/>
  <c r="O38" i="1" s="1"/>
  <c r="Z38" i="1" s="1"/>
  <c r="AA38" i="1" s="1"/>
  <c r="Y38" i="1" s="1"/>
  <c r="F207" i="1"/>
  <c r="P207" i="1"/>
  <c r="N207" i="1"/>
  <c r="N206" i="1"/>
  <c r="P206" i="1"/>
  <c r="F206" i="1"/>
  <c r="U207" i="1" l="1"/>
  <c r="J207" i="1"/>
  <c r="L208" i="1"/>
  <c r="G207" i="1"/>
  <c r="M207" i="1" s="1"/>
  <c r="T207" i="1"/>
  <c r="V207" i="1"/>
  <c r="S207" i="1"/>
  <c r="P208" i="1"/>
  <c r="F208" i="1"/>
  <c r="N208" i="1"/>
  <c r="I38" i="1"/>
  <c r="R38" i="1"/>
  <c r="U208" i="1" l="1"/>
  <c r="L209" i="1"/>
  <c r="J208" i="1"/>
  <c r="H208" i="1"/>
  <c r="V208" i="1"/>
  <c r="T208" i="1"/>
  <c r="S208" i="1"/>
  <c r="G208" i="1"/>
  <c r="M208" i="1" s="1"/>
  <c r="Q38" i="1"/>
  <c r="N209" i="1"/>
  <c r="F209" i="1"/>
  <c r="P209" i="1"/>
  <c r="W38" i="1"/>
  <c r="O39" i="1" s="1"/>
  <c r="K38" i="1"/>
  <c r="X38" i="1"/>
  <c r="U209" i="1" l="1"/>
  <c r="J209" i="1"/>
  <c r="L210" i="1"/>
  <c r="H209" i="1"/>
  <c r="S209" i="1"/>
  <c r="V209" i="1"/>
  <c r="T209" i="1"/>
  <c r="G209" i="1"/>
  <c r="M209" i="1" s="1"/>
  <c r="F210" i="1"/>
  <c r="P210" i="1"/>
  <c r="N210" i="1"/>
  <c r="Z39" i="1"/>
  <c r="AA39" i="1" s="1"/>
  <c r="I39" i="1" s="1"/>
  <c r="U210" i="1" l="1"/>
  <c r="J210" i="1"/>
  <c r="L211" i="1"/>
  <c r="H210" i="1"/>
  <c r="V210" i="1"/>
  <c r="T210" i="1"/>
  <c r="G210" i="1"/>
  <c r="M210" i="1" s="1"/>
  <c r="S210" i="1"/>
  <c r="P211" i="1"/>
  <c r="F211" i="1"/>
  <c r="N211" i="1"/>
  <c r="Y39" i="1"/>
  <c r="U211" i="1" l="1"/>
  <c r="L212" i="1"/>
  <c r="J211" i="1"/>
  <c r="H211" i="1"/>
  <c r="V211" i="1" s="1"/>
  <c r="T211" i="1"/>
  <c r="G211" i="1"/>
  <c r="M211" i="1" s="1"/>
  <c r="S211" i="1"/>
  <c r="N212" i="1"/>
  <c r="P212" i="1"/>
  <c r="F212" i="1"/>
  <c r="R39" i="1"/>
  <c r="U212" i="1" l="1"/>
  <c r="L213" i="1"/>
  <c r="J212" i="1"/>
  <c r="H212" i="1"/>
  <c r="V212" i="1" s="1"/>
  <c r="S212" i="1"/>
  <c r="G212" i="1"/>
  <c r="M212" i="1" s="1"/>
  <c r="T212" i="1"/>
  <c r="Q39" i="1"/>
  <c r="F213" i="1"/>
  <c r="P213" i="1"/>
  <c r="N213" i="1"/>
  <c r="W39" i="1"/>
  <c r="O40" i="1" s="1"/>
  <c r="K39" i="1"/>
  <c r="X39" i="1"/>
  <c r="U213" i="1" l="1"/>
  <c r="L214" i="1"/>
  <c r="J213" i="1"/>
  <c r="H213" i="1"/>
  <c r="V213" i="1" s="1"/>
  <c r="S213" i="1"/>
  <c r="T213" i="1"/>
  <c r="G213" i="1"/>
  <c r="M213" i="1" s="1"/>
  <c r="N214" i="1"/>
  <c r="P214" i="1"/>
  <c r="F214" i="1"/>
  <c r="Z40" i="1"/>
  <c r="AA40" i="1" s="1"/>
  <c r="I40" i="1" s="1"/>
  <c r="U214" i="1" l="1"/>
  <c r="L215" i="1"/>
  <c r="J214" i="1"/>
  <c r="H214" i="1"/>
  <c r="V214" i="1" s="1"/>
  <c r="T214" i="1"/>
  <c r="S214" i="1"/>
  <c r="G214" i="1"/>
  <c r="M214" i="1" s="1"/>
  <c r="P215" i="1"/>
  <c r="N215" i="1"/>
  <c r="F215" i="1"/>
  <c r="Y40" i="1"/>
  <c r="U215" i="1" l="1"/>
  <c r="L216" i="1"/>
  <c r="J215" i="1"/>
  <c r="H215" i="1"/>
  <c r="V215" i="1" s="1"/>
  <c r="S215" i="1"/>
  <c r="G215" i="1"/>
  <c r="M215" i="1" s="1"/>
  <c r="T215" i="1"/>
  <c r="P216" i="1"/>
  <c r="N216" i="1"/>
  <c r="F216" i="1"/>
  <c r="R40" i="1"/>
  <c r="U216" i="1" l="1"/>
  <c r="J216" i="1"/>
  <c r="L217" i="1"/>
  <c r="H216" i="1"/>
  <c r="V216" i="1" s="1"/>
  <c r="S216" i="1"/>
  <c r="T216" i="1"/>
  <c r="G216" i="1"/>
  <c r="M216" i="1" s="1"/>
  <c r="Q40" i="1"/>
  <c r="P217" i="1"/>
  <c r="F217" i="1"/>
  <c r="N217" i="1"/>
  <c r="W40" i="1"/>
  <c r="O41" i="1" s="1"/>
  <c r="K40" i="1"/>
  <c r="X40" i="1"/>
  <c r="U217" i="1" l="1"/>
  <c r="J217" i="1"/>
  <c r="L218" i="1"/>
  <c r="H217" i="1"/>
  <c r="V217" i="1" s="1"/>
  <c r="S217" i="1"/>
  <c r="G217" i="1"/>
  <c r="M217" i="1" s="1"/>
  <c r="T217" i="1"/>
  <c r="F218" i="1"/>
  <c r="P218" i="1"/>
  <c r="N218" i="1"/>
  <c r="Z41" i="1"/>
  <c r="AA41" i="1" s="1"/>
  <c r="Y41" i="1" s="1"/>
  <c r="U218" i="1" l="1"/>
  <c r="L219" i="1"/>
  <c r="J218" i="1"/>
  <c r="H218" i="1"/>
  <c r="V218" i="1" s="1"/>
  <c r="T218" i="1"/>
  <c r="S218" i="1"/>
  <c r="G218" i="1"/>
  <c r="M218" i="1" s="1"/>
  <c r="F219" i="1"/>
  <c r="N219" i="1"/>
  <c r="P219" i="1"/>
  <c r="R41" i="1"/>
  <c r="I41" i="1"/>
  <c r="L220" i="1" l="1"/>
  <c r="U219" i="1"/>
  <c r="J219" i="1"/>
  <c r="H219" i="1"/>
  <c r="H220" i="1" s="1"/>
  <c r="T219" i="1"/>
  <c r="T220" i="1" s="1"/>
  <c r="V219" i="1"/>
  <c r="V220" i="1" s="1"/>
  <c r="G219" i="1"/>
  <c r="M219" i="1" s="1"/>
  <c r="S219" i="1"/>
  <c r="S220" i="1" s="1"/>
  <c r="Q41" i="1"/>
  <c r="X41" i="1"/>
  <c r="W41" i="1"/>
  <c r="O42" i="1" s="1"/>
  <c r="K41" i="1"/>
  <c r="U220" i="1" l="1"/>
  <c r="L221" i="1"/>
  <c r="J220" i="1"/>
  <c r="G220" i="1"/>
  <c r="M220" i="1" s="1"/>
  <c r="F220" i="1"/>
  <c r="P220" i="1"/>
  <c r="N220" i="1"/>
  <c r="Z42" i="1"/>
  <c r="AA42" i="1" s="1"/>
  <c r="I42" i="1" s="1"/>
  <c r="U221" i="1" l="1"/>
  <c r="J221" i="1"/>
  <c r="L222" i="1"/>
  <c r="H221" i="1"/>
  <c r="T221" i="1"/>
  <c r="G221" i="1"/>
  <c r="M221" i="1" s="1"/>
  <c r="S221" i="1"/>
  <c r="F221" i="1"/>
  <c r="N221" i="1"/>
  <c r="P221" i="1"/>
  <c r="V221" i="1"/>
  <c r="Y42" i="1"/>
  <c r="R42" i="1" s="1"/>
  <c r="U222" i="1" l="1"/>
  <c r="J222" i="1"/>
  <c r="L223" i="1"/>
  <c r="H222" i="1"/>
  <c r="V222" i="1" s="1"/>
  <c r="G222" i="1"/>
  <c r="M222" i="1" s="1"/>
  <c r="S222" i="1"/>
  <c r="T222" i="1"/>
  <c r="N222" i="1"/>
  <c r="F222" i="1"/>
  <c r="P222" i="1"/>
  <c r="Q42" i="1"/>
  <c r="X42" i="1"/>
  <c r="W42" i="1"/>
  <c r="O43" i="1" s="1"/>
  <c r="K42" i="1"/>
  <c r="U223" i="1" l="1"/>
  <c r="L224" i="1"/>
  <c r="J223" i="1"/>
  <c r="H223" i="1"/>
  <c r="V223" i="1" s="1"/>
  <c r="S223" i="1"/>
  <c r="T223" i="1"/>
  <c r="G223" i="1"/>
  <c r="M223" i="1" s="1"/>
  <c r="F223" i="1"/>
  <c r="N223" i="1"/>
  <c r="P223" i="1"/>
  <c r="Z43" i="1"/>
  <c r="AA43" i="1" s="1"/>
  <c r="I43" i="1" s="1"/>
  <c r="U224" i="1" l="1"/>
  <c r="L225" i="1"/>
  <c r="J224" i="1"/>
  <c r="H224" i="1"/>
  <c r="V224" i="1" s="1"/>
  <c r="S224" i="1"/>
  <c r="T224" i="1"/>
  <c r="G224" i="1"/>
  <c r="M224" i="1" s="1"/>
  <c r="N224" i="1"/>
  <c r="F224" i="1"/>
  <c r="P224" i="1"/>
  <c r="Y43" i="1"/>
  <c r="R43" i="1" s="1"/>
  <c r="U225" i="1" l="1"/>
  <c r="L226" i="1"/>
  <c r="J225" i="1"/>
  <c r="K225" i="1" s="1"/>
  <c r="H225" i="1"/>
  <c r="T225" i="1"/>
  <c r="G225" i="1"/>
  <c r="M225" i="1" s="1"/>
  <c r="V225" i="1"/>
  <c r="S225" i="1"/>
  <c r="N225" i="1"/>
  <c r="P225" i="1"/>
  <c r="F225" i="1"/>
  <c r="Q43" i="1"/>
  <c r="X43" i="1"/>
  <c r="W43" i="1"/>
  <c r="O44" i="1" s="1"/>
  <c r="K43" i="1"/>
  <c r="U226" i="1" l="1"/>
  <c r="J226" i="1"/>
  <c r="K226" i="1" s="1"/>
  <c r="L227" i="1"/>
  <c r="H226" i="1"/>
  <c r="S226" i="1"/>
  <c r="G226" i="1"/>
  <c r="M226" i="1" s="1"/>
  <c r="V226" i="1"/>
  <c r="T226" i="1"/>
  <c r="N226" i="1"/>
  <c r="P226" i="1"/>
  <c r="F226" i="1"/>
  <c r="Z44" i="1"/>
  <c r="AA44" i="1" s="1"/>
  <c r="Y44" i="1" s="1"/>
  <c r="U227" i="1" l="1"/>
  <c r="J227" i="1"/>
  <c r="K227" i="1" s="1"/>
  <c r="L228" i="1"/>
  <c r="H227" i="1"/>
  <c r="V227" i="1"/>
  <c r="G227" i="1"/>
  <c r="M227" i="1" s="1"/>
  <c r="S227" i="1"/>
  <c r="T227" i="1"/>
  <c r="P227" i="1"/>
  <c r="N227" i="1"/>
  <c r="F227" i="1"/>
  <c r="I44" i="1"/>
  <c r="R44" i="1"/>
  <c r="U228" i="1" l="1"/>
  <c r="J228" i="1"/>
  <c r="K228" i="1" s="1"/>
  <c r="L229" i="1"/>
  <c r="H228" i="1"/>
  <c r="V228" i="1"/>
  <c r="G228" i="1"/>
  <c r="M228" i="1" s="1"/>
  <c r="S228" i="1"/>
  <c r="T228" i="1"/>
  <c r="F228" i="1"/>
  <c r="N228" i="1"/>
  <c r="P228" i="1"/>
  <c r="Q44" i="1"/>
  <c r="W44" i="1"/>
  <c r="O45" i="1" s="1"/>
  <c r="K44" i="1"/>
  <c r="X44" i="1"/>
  <c r="U229" i="1" l="1"/>
  <c r="J229" i="1"/>
  <c r="K229" i="1" s="1"/>
  <c r="L230" i="1"/>
  <c r="H229" i="1"/>
  <c r="T229" i="1"/>
  <c r="V229" i="1"/>
  <c r="G229" i="1"/>
  <c r="M229" i="1" s="1"/>
  <c r="S229" i="1"/>
  <c r="N229" i="1"/>
  <c r="F229" i="1"/>
  <c r="P229" i="1"/>
  <c r="Z45" i="1"/>
  <c r="AA45" i="1" s="1"/>
  <c r="Y45" i="1" s="1"/>
  <c r="R45" i="1" s="1"/>
  <c r="U230" i="1" l="1"/>
  <c r="J230" i="1"/>
  <c r="K230" i="1" s="1"/>
  <c r="L231" i="1"/>
  <c r="H230" i="1"/>
  <c r="G230" i="1"/>
  <c r="M230" i="1" s="1"/>
  <c r="T230" i="1"/>
  <c r="V230" i="1"/>
  <c r="S230" i="1"/>
  <c r="N230" i="1"/>
  <c r="P230" i="1"/>
  <c r="F230" i="1"/>
  <c r="Q45" i="1"/>
  <c r="W45" i="1"/>
  <c r="O46" i="1" s="1"/>
  <c r="K45" i="1"/>
  <c r="X45" i="1"/>
  <c r="I45" i="1"/>
  <c r="U231" i="1" l="1"/>
  <c r="J231" i="1"/>
  <c r="K231" i="1" s="1"/>
  <c r="L232" i="1"/>
  <c r="H231" i="1"/>
  <c r="S231" i="1"/>
  <c r="T231" i="1"/>
  <c r="V231" i="1"/>
  <c r="G231" i="1"/>
  <c r="M231" i="1" s="1"/>
  <c r="N231" i="1"/>
  <c r="F231" i="1"/>
  <c r="P231" i="1"/>
  <c r="Z46" i="1"/>
  <c r="U232" i="1" l="1"/>
  <c r="J232" i="1"/>
  <c r="K232" i="1" s="1"/>
  <c r="L233" i="1"/>
  <c r="H232" i="1"/>
  <c r="G232" i="1"/>
  <c r="M232" i="1" s="1"/>
  <c r="S232" i="1"/>
  <c r="V232" i="1"/>
  <c r="T232" i="1"/>
  <c r="N232" i="1"/>
  <c r="F232" i="1"/>
  <c r="P232" i="1"/>
  <c r="AA46" i="1"/>
  <c r="U233" i="1" l="1"/>
  <c r="L234" i="1"/>
  <c r="J233" i="1"/>
  <c r="K233" i="1" s="1"/>
  <c r="H233" i="1"/>
  <c r="T233" i="1"/>
  <c r="G233" i="1"/>
  <c r="M233" i="1" s="1"/>
  <c r="S233" i="1"/>
  <c r="V233" i="1"/>
  <c r="N233" i="1"/>
  <c r="P233" i="1"/>
  <c r="F233" i="1"/>
  <c r="P53" i="1"/>
  <c r="U234" i="1" l="1"/>
  <c r="L235" i="1"/>
  <c r="J234" i="1"/>
  <c r="K234" i="1" s="1"/>
  <c r="H234" i="1"/>
  <c r="T234" i="1"/>
  <c r="S234" i="1"/>
  <c r="V234" i="1"/>
  <c r="G234" i="1"/>
  <c r="M234" i="1" s="1"/>
  <c r="F234" i="1"/>
  <c r="P234" i="1"/>
  <c r="N234" i="1"/>
  <c r="I46" i="1"/>
  <c r="Y46" i="1"/>
  <c r="R46" i="1" s="1"/>
  <c r="U235" i="1" l="1"/>
  <c r="J235" i="1"/>
  <c r="K235" i="1" s="1"/>
  <c r="L236" i="1"/>
  <c r="H235" i="1"/>
  <c r="V235" i="1"/>
  <c r="S235" i="1"/>
  <c r="G235" i="1"/>
  <c r="M235" i="1" s="1"/>
  <c r="T235" i="1"/>
  <c r="F235" i="1"/>
  <c r="N235" i="1"/>
  <c r="P235" i="1"/>
  <c r="Q46" i="1"/>
  <c r="K46" i="1" s="1"/>
  <c r="W46" i="1"/>
  <c r="O47" i="1" s="1"/>
  <c r="X46" i="1"/>
  <c r="U236" i="1" l="1"/>
  <c r="L237" i="1"/>
  <c r="J236" i="1"/>
  <c r="K236" i="1" s="1"/>
  <c r="H236" i="1"/>
  <c r="T236" i="1"/>
  <c r="G236" i="1"/>
  <c r="M236" i="1" s="1"/>
  <c r="V236" i="1"/>
  <c r="S236" i="1"/>
  <c r="F236" i="1"/>
  <c r="N236" i="1"/>
  <c r="P236" i="1"/>
  <c r="Z47" i="1"/>
  <c r="AA47" i="1" s="1"/>
  <c r="U237" i="1" l="1"/>
  <c r="J237" i="1"/>
  <c r="K237" i="1" s="1"/>
  <c r="L238" i="1"/>
  <c r="H237" i="1"/>
  <c r="T237" i="1"/>
  <c r="V237" i="1"/>
  <c r="G237" i="1"/>
  <c r="M237" i="1" s="1"/>
  <c r="S237" i="1"/>
  <c r="P237" i="1"/>
  <c r="F237" i="1"/>
  <c r="N237" i="1"/>
  <c r="U238" i="1" l="1"/>
  <c r="J238" i="1"/>
  <c r="K238" i="1" s="1"/>
  <c r="L239" i="1"/>
  <c r="H238" i="1"/>
  <c r="S238" i="1"/>
  <c r="V238" i="1"/>
  <c r="G238" i="1"/>
  <c r="M238" i="1" s="1"/>
  <c r="T238" i="1"/>
  <c r="F238" i="1"/>
  <c r="P238" i="1"/>
  <c r="N238" i="1"/>
  <c r="L240" i="1" l="1"/>
  <c r="U239" i="1"/>
  <c r="J239" i="1"/>
  <c r="K239" i="1" s="1"/>
  <c r="H239" i="1"/>
  <c r="H240" i="1" s="1"/>
  <c r="T239" i="1"/>
  <c r="V239" i="1"/>
  <c r="G239" i="1"/>
  <c r="M239" i="1" s="1"/>
  <c r="S239" i="1"/>
  <c r="S240" i="1" s="1"/>
  <c r="N239" i="1"/>
  <c r="F239" i="1"/>
  <c r="P239" i="1"/>
  <c r="U240" i="1" l="1"/>
  <c r="L241" i="1"/>
  <c r="J240" i="1"/>
  <c r="K240" i="1" s="1"/>
  <c r="G240" i="1"/>
  <c r="M240" i="1" s="1"/>
  <c r="N240" i="1"/>
  <c r="P240" i="1"/>
  <c r="F240" i="1"/>
  <c r="V240" i="1"/>
  <c r="V241" i="1" s="1"/>
  <c r="T240" i="1"/>
  <c r="U241" i="1" l="1"/>
  <c r="J241" i="1"/>
  <c r="L242" i="1"/>
  <c r="K241" i="1"/>
  <c r="H241" i="1"/>
  <c r="G241" i="1"/>
  <c r="M241" i="1" s="1"/>
  <c r="S241" i="1"/>
  <c r="T241" i="1"/>
  <c r="P241" i="1"/>
  <c r="N241" i="1"/>
  <c r="F241" i="1"/>
  <c r="U242" i="1" l="1"/>
  <c r="K242" i="1"/>
  <c r="J242" i="1"/>
  <c r="L243" i="1"/>
  <c r="H242" i="1"/>
  <c r="V242" i="1"/>
  <c r="S242" i="1"/>
  <c r="G242" i="1"/>
  <c r="M242" i="1" s="1"/>
  <c r="T242" i="1"/>
  <c r="F242" i="1"/>
  <c r="N242" i="1"/>
  <c r="P242" i="1"/>
  <c r="Y47" i="1"/>
  <c r="U243" i="1" l="1"/>
  <c r="L244" i="1"/>
  <c r="J243" i="1"/>
  <c r="K243" i="1"/>
  <c r="H243" i="1"/>
  <c r="S243" i="1"/>
  <c r="G243" i="1"/>
  <c r="M243" i="1" s="1"/>
  <c r="V243" i="1"/>
  <c r="T243" i="1"/>
  <c r="N243" i="1"/>
  <c r="F243" i="1"/>
  <c r="P243" i="1"/>
  <c r="R47" i="1"/>
  <c r="I47" i="1"/>
  <c r="U244" i="1" l="1"/>
  <c r="L245" i="1"/>
  <c r="J244" i="1"/>
  <c r="K244" i="1"/>
  <c r="H244" i="1"/>
  <c r="T244" i="1"/>
  <c r="V244" i="1"/>
  <c r="G244" i="1"/>
  <c r="M244" i="1" s="1"/>
  <c r="S244" i="1"/>
  <c r="F244" i="1"/>
  <c r="N244" i="1"/>
  <c r="P244" i="1"/>
  <c r="X47" i="1"/>
  <c r="Q47" i="1"/>
  <c r="U245" i="1" l="1"/>
  <c r="J245" i="1"/>
  <c r="L246" i="1"/>
  <c r="K245" i="1"/>
  <c r="H245" i="1"/>
  <c r="G245" i="1"/>
  <c r="M245" i="1" s="1"/>
  <c r="T245" i="1"/>
  <c r="V245" i="1"/>
  <c r="S245" i="1"/>
  <c r="N245" i="1"/>
  <c r="F245" i="1"/>
  <c r="P245" i="1"/>
  <c r="K47" i="1"/>
  <c r="W47" i="1"/>
  <c r="O48" i="1" s="1"/>
  <c r="U246" i="1" l="1"/>
  <c r="J246" i="1"/>
  <c r="K246" i="1" s="1"/>
  <c r="L247" i="1"/>
  <c r="H246" i="1"/>
  <c r="V246" i="1"/>
  <c r="S246" i="1"/>
  <c r="G246" i="1"/>
  <c r="M246" i="1" s="1"/>
  <c r="T246" i="1"/>
  <c r="F246" i="1"/>
  <c r="P246" i="1"/>
  <c r="N246" i="1"/>
  <c r="Z48" i="1"/>
  <c r="AA48" i="1" s="1"/>
  <c r="U247" i="1" l="1"/>
  <c r="J247" i="1"/>
  <c r="L248" i="1"/>
  <c r="K247" i="1"/>
  <c r="H247" i="1"/>
  <c r="G247" i="1"/>
  <c r="M247" i="1" s="1"/>
  <c r="V247" i="1"/>
  <c r="T247" i="1"/>
  <c r="S247" i="1"/>
  <c r="F247" i="1"/>
  <c r="N247" i="1"/>
  <c r="P247" i="1"/>
  <c r="Y48" i="1"/>
  <c r="I48" i="1"/>
  <c r="U248" i="1" l="1"/>
  <c r="L249" i="1"/>
  <c r="J248" i="1"/>
  <c r="K248" i="1"/>
  <c r="H248" i="1"/>
  <c r="G248" i="1"/>
  <c r="M248" i="1" s="1"/>
  <c r="V248" i="1"/>
  <c r="S248" i="1"/>
  <c r="T248" i="1"/>
  <c r="F248" i="1"/>
  <c r="N248" i="1"/>
  <c r="P248" i="1"/>
  <c r="R48" i="1"/>
  <c r="U249" i="1" l="1"/>
  <c r="L250" i="1"/>
  <c r="J249" i="1"/>
  <c r="K249" i="1" s="1"/>
  <c r="H249" i="1"/>
  <c r="S249" i="1"/>
  <c r="G249" i="1"/>
  <c r="M249" i="1" s="1"/>
  <c r="T249" i="1"/>
  <c r="V249" i="1"/>
  <c r="F249" i="1"/>
  <c r="P249" i="1"/>
  <c r="N249" i="1"/>
  <c r="X48" i="1"/>
  <c r="Q48" i="1"/>
  <c r="U250" i="1" l="1"/>
  <c r="L251" i="1"/>
  <c r="J250" i="1"/>
  <c r="K250" i="1" s="1"/>
  <c r="H250" i="1"/>
  <c r="S250" i="1"/>
  <c r="G250" i="1"/>
  <c r="M250" i="1" s="1"/>
  <c r="V250" i="1"/>
  <c r="T250" i="1"/>
  <c r="N250" i="1"/>
  <c r="F250" i="1"/>
  <c r="P250" i="1"/>
  <c r="K48" i="1"/>
  <c r="W48" i="1"/>
  <c r="O49" i="1" s="1"/>
  <c r="U251" i="1" l="1"/>
  <c r="J251" i="1"/>
  <c r="K251" i="1"/>
  <c r="L252" i="1"/>
  <c r="H251" i="1"/>
  <c r="G251" i="1"/>
  <c r="M251" i="1" s="1"/>
  <c r="V251" i="1"/>
  <c r="S251" i="1"/>
  <c r="T251" i="1"/>
  <c r="F251" i="1"/>
  <c r="P251" i="1"/>
  <c r="N251" i="1"/>
  <c r="Z49" i="1"/>
  <c r="U252" i="1" l="1"/>
  <c r="L253" i="1"/>
  <c r="J252" i="1"/>
  <c r="K252" i="1" s="1"/>
  <c r="H252" i="1"/>
  <c r="G252" i="1"/>
  <c r="M252" i="1" s="1"/>
  <c r="V252" i="1"/>
  <c r="S252" i="1"/>
  <c r="T252" i="1"/>
  <c r="F252" i="1"/>
  <c r="N252" i="1"/>
  <c r="P252" i="1"/>
  <c r="AA49" i="1"/>
  <c r="Y49" i="1" s="1"/>
  <c r="U253" i="1" l="1"/>
  <c r="J253" i="1"/>
  <c r="K253" i="1"/>
  <c r="L254" i="1"/>
  <c r="H253" i="1"/>
  <c r="T253" i="1"/>
  <c r="V253" i="1"/>
  <c r="S253" i="1"/>
  <c r="G253" i="1"/>
  <c r="M253" i="1" s="1"/>
  <c r="N253" i="1"/>
  <c r="P253" i="1"/>
  <c r="F253" i="1"/>
  <c r="R49" i="1"/>
  <c r="I49" i="1"/>
  <c r="U254" i="1" l="1"/>
  <c r="L255" i="1"/>
  <c r="J254" i="1"/>
  <c r="K254" i="1" s="1"/>
  <c r="H254" i="1"/>
  <c r="V254" i="1"/>
  <c r="G254" i="1"/>
  <c r="M254" i="1" s="1"/>
  <c r="T254" i="1"/>
  <c r="S254" i="1"/>
  <c r="P254" i="1"/>
  <c r="N254" i="1"/>
  <c r="F254" i="1"/>
  <c r="X49" i="1"/>
  <c r="Q49" i="1"/>
  <c r="U255" i="1" l="1"/>
  <c r="J255" i="1"/>
  <c r="K255" i="1" s="1"/>
  <c r="L256" i="1"/>
  <c r="H255" i="1"/>
  <c r="G255" i="1"/>
  <c r="M255" i="1" s="1"/>
  <c r="S255" i="1"/>
  <c r="V255" i="1"/>
  <c r="T255" i="1"/>
  <c r="P255" i="1"/>
  <c r="N255" i="1"/>
  <c r="F255" i="1"/>
  <c r="K49" i="1"/>
  <c r="W49" i="1"/>
  <c r="O50" i="1" s="1"/>
  <c r="U256" i="1" l="1"/>
  <c r="J256" i="1"/>
  <c r="K256" i="1" s="1"/>
  <c r="L257" i="1"/>
  <c r="H256" i="1"/>
  <c r="V256" i="1"/>
  <c r="T256" i="1"/>
  <c r="S256" i="1"/>
  <c r="G256" i="1"/>
  <c r="M256" i="1" s="1"/>
  <c r="F256" i="1"/>
  <c r="N256" i="1"/>
  <c r="P256" i="1"/>
  <c r="Z50" i="1"/>
  <c r="U257" i="1" l="1"/>
  <c r="J257" i="1"/>
  <c r="K257" i="1" s="1"/>
  <c r="L258" i="1"/>
  <c r="H257" i="1"/>
  <c r="G257" i="1"/>
  <c r="M257" i="1" s="1"/>
  <c r="S257" i="1"/>
  <c r="T257" i="1"/>
  <c r="V257" i="1"/>
  <c r="P257" i="1"/>
  <c r="N257" i="1"/>
  <c r="F257" i="1"/>
  <c r="AA50" i="1"/>
  <c r="I50" i="1" s="1"/>
  <c r="U258" i="1" l="1"/>
  <c r="L259" i="1"/>
  <c r="J258" i="1"/>
  <c r="K258" i="1" s="1"/>
  <c r="H258" i="1"/>
  <c r="V258" i="1"/>
  <c r="G258" i="1"/>
  <c r="M258" i="1" s="1"/>
  <c r="T258" i="1"/>
  <c r="S258" i="1"/>
  <c r="F258" i="1"/>
  <c r="P258" i="1"/>
  <c r="N258" i="1"/>
  <c r="Y50" i="1"/>
  <c r="U259" i="1" l="1"/>
  <c r="J259" i="1"/>
  <c r="K259" i="1" s="1"/>
  <c r="L260" i="1"/>
  <c r="H259" i="1"/>
  <c r="S259" i="1"/>
  <c r="G259" i="1"/>
  <c r="M259" i="1" s="1"/>
  <c r="T259" i="1"/>
  <c r="V259" i="1"/>
  <c r="P259" i="1"/>
  <c r="N259" i="1"/>
  <c r="F259" i="1"/>
  <c r="R50" i="1"/>
  <c r="U260" i="1" l="1"/>
  <c r="L261" i="1"/>
  <c r="J260" i="1"/>
  <c r="K260" i="1" s="1"/>
  <c r="H260" i="1"/>
  <c r="S260" i="1"/>
  <c r="G260" i="1"/>
  <c r="M260" i="1" s="1"/>
  <c r="T260" i="1"/>
  <c r="V260" i="1"/>
  <c r="F260" i="1"/>
  <c r="N260" i="1"/>
  <c r="P260" i="1"/>
  <c r="Q50" i="1"/>
  <c r="X50" i="1"/>
  <c r="K50" i="1"/>
  <c r="W50" i="1"/>
  <c r="O51" i="1" s="1"/>
  <c r="U261" i="1" l="1"/>
  <c r="L262" i="1"/>
  <c r="K261" i="1"/>
  <c r="J261" i="1"/>
  <c r="H261" i="1"/>
  <c r="G261" i="1"/>
  <c r="M261" i="1" s="1"/>
  <c r="V261" i="1"/>
  <c r="T261" i="1"/>
  <c r="S261" i="1"/>
  <c r="N261" i="1"/>
  <c r="F261" i="1"/>
  <c r="P261" i="1"/>
  <c r="Z51" i="1"/>
  <c r="AA51" i="1" s="1"/>
  <c r="U262" i="1" l="1"/>
  <c r="K262" i="1"/>
  <c r="L263" i="1"/>
  <c r="J262" i="1"/>
  <c r="H262" i="1"/>
  <c r="T262" i="1"/>
  <c r="S262" i="1"/>
  <c r="G262" i="1"/>
  <c r="M262" i="1" s="1"/>
  <c r="V262" i="1"/>
  <c r="P262" i="1"/>
  <c r="N262" i="1"/>
  <c r="F262" i="1"/>
  <c r="Y51" i="1"/>
  <c r="I51" i="1"/>
  <c r="U263" i="1" l="1"/>
  <c r="J263" i="1"/>
  <c r="L264" i="1"/>
  <c r="K263" i="1"/>
  <c r="H263" i="1"/>
  <c r="T263" i="1"/>
  <c r="G263" i="1"/>
  <c r="M263" i="1" s="1"/>
  <c r="S263" i="1"/>
  <c r="V263" i="1"/>
  <c r="N263" i="1"/>
  <c r="P263" i="1"/>
  <c r="F263" i="1"/>
  <c r="R51" i="1"/>
  <c r="U264" i="1" l="1"/>
  <c r="L265" i="1"/>
  <c r="J264" i="1"/>
  <c r="K264" i="1" s="1"/>
  <c r="H264" i="1"/>
  <c r="T264" i="1"/>
  <c r="V264" i="1"/>
  <c r="G264" i="1"/>
  <c r="M264" i="1" s="1"/>
  <c r="S264" i="1"/>
  <c r="F264" i="1"/>
  <c r="P264" i="1"/>
  <c r="N264" i="1"/>
  <c r="Q51" i="1"/>
  <c r="X51" i="1"/>
  <c r="K51" i="1"/>
  <c r="W51" i="1"/>
  <c r="O52" i="1" s="1"/>
  <c r="U265" i="1" l="1"/>
  <c r="L266" i="1"/>
  <c r="J265" i="1"/>
  <c r="K265" i="1" s="1"/>
  <c r="H265" i="1"/>
  <c r="G265" i="1"/>
  <c r="M265" i="1" s="1"/>
  <c r="V265" i="1"/>
  <c r="S265" i="1"/>
  <c r="T265" i="1"/>
  <c r="P265" i="1"/>
  <c r="F265" i="1"/>
  <c r="N265" i="1"/>
  <c r="Z52" i="1"/>
  <c r="U266" i="1" l="1"/>
  <c r="J266" i="1"/>
  <c r="K266" i="1" s="1"/>
  <c r="L267" i="1"/>
  <c r="H266" i="1"/>
  <c r="V266" i="1"/>
  <c r="S266" i="1"/>
  <c r="T266" i="1"/>
  <c r="G266" i="1"/>
  <c r="M266" i="1" s="1"/>
  <c r="P266" i="1"/>
  <c r="N266" i="1"/>
  <c r="F266" i="1"/>
  <c r="AA52" i="1"/>
  <c r="Y52" i="1" s="1"/>
  <c r="U267" i="1" l="1"/>
  <c r="L268" i="1"/>
  <c r="K267" i="1"/>
  <c r="J267" i="1"/>
  <c r="H267" i="1"/>
  <c r="T267" i="1"/>
  <c r="V267" i="1"/>
  <c r="S267" i="1"/>
  <c r="G267" i="1"/>
  <c r="M267" i="1" s="1"/>
  <c r="P267" i="1"/>
  <c r="N267" i="1"/>
  <c r="F267" i="1"/>
  <c r="R52" i="1"/>
  <c r="I52" i="1"/>
  <c r="U268" i="1" l="1"/>
  <c r="L269" i="1"/>
  <c r="J268" i="1"/>
  <c r="K268" i="1" s="1"/>
  <c r="H268" i="1"/>
  <c r="V268" i="1"/>
  <c r="S268" i="1"/>
  <c r="T268" i="1"/>
  <c r="G268" i="1"/>
  <c r="M268" i="1" s="1"/>
  <c r="N268" i="1"/>
  <c r="F268" i="1"/>
  <c r="P268" i="1"/>
  <c r="Q52" i="1"/>
  <c r="X52" i="1"/>
  <c r="K52" i="1"/>
  <c r="W52" i="1"/>
  <c r="O53" i="1" s="1"/>
  <c r="U269" i="1" l="1"/>
  <c r="L270" i="1"/>
  <c r="J269" i="1"/>
  <c r="K269" i="1" s="1"/>
  <c r="H269" i="1"/>
  <c r="T269" i="1"/>
  <c r="S269" i="1"/>
  <c r="G269" i="1"/>
  <c r="M269" i="1" s="1"/>
  <c r="V269" i="1"/>
  <c r="N269" i="1"/>
  <c r="P269" i="1"/>
  <c r="F269" i="1"/>
  <c r="Z53" i="1"/>
  <c r="U270" i="1" l="1"/>
  <c r="J270" i="1"/>
  <c r="K270" i="1" s="1"/>
  <c r="L271" i="1"/>
  <c r="H270" i="1"/>
  <c r="V270" i="1"/>
  <c r="T270" i="1"/>
  <c r="G270" i="1"/>
  <c r="M270" i="1" s="1"/>
  <c r="S270" i="1"/>
  <c r="F270" i="1"/>
  <c r="P270" i="1"/>
  <c r="N270" i="1"/>
  <c r="AA53" i="1"/>
  <c r="Y53" i="1" s="1"/>
  <c r="U271" i="1" l="1"/>
  <c r="J271" i="1"/>
  <c r="K271" i="1" s="1"/>
  <c r="L272" i="1"/>
  <c r="H271" i="1"/>
  <c r="V271" i="1"/>
  <c r="G271" i="1"/>
  <c r="M271" i="1" s="1"/>
  <c r="T271" i="1"/>
  <c r="S271" i="1"/>
  <c r="F271" i="1"/>
  <c r="P271" i="1"/>
  <c r="N271" i="1"/>
  <c r="R53" i="1"/>
  <c r="I53" i="1"/>
  <c r="U272" i="1" l="1"/>
  <c r="L273" i="1"/>
  <c r="K272" i="1"/>
  <c r="J272" i="1"/>
  <c r="H272" i="1"/>
  <c r="T272" i="1"/>
  <c r="V272" i="1"/>
  <c r="S272" i="1"/>
  <c r="G272" i="1"/>
  <c r="M272" i="1" s="1"/>
  <c r="F272" i="1"/>
  <c r="P272" i="1"/>
  <c r="N272" i="1"/>
  <c r="Q53" i="1"/>
  <c r="X53" i="1"/>
  <c r="K53" i="1"/>
  <c r="W53" i="1"/>
  <c r="O54" i="1" s="1"/>
  <c r="U273" i="1" l="1"/>
  <c r="L274" i="1"/>
  <c r="K273" i="1"/>
  <c r="J273" i="1"/>
  <c r="H273" i="1"/>
  <c r="V273" i="1"/>
  <c r="S273" i="1"/>
  <c r="T273" i="1"/>
  <c r="G273" i="1"/>
  <c r="M273" i="1" s="1"/>
  <c r="N273" i="1"/>
  <c r="F273" i="1"/>
  <c r="P273" i="1"/>
  <c r="Z54" i="1"/>
  <c r="U274" i="1" l="1"/>
  <c r="J274" i="1"/>
  <c r="K274" i="1" s="1"/>
  <c r="L275" i="1"/>
  <c r="H274" i="1"/>
  <c r="T274" i="1"/>
  <c r="S274" i="1"/>
  <c r="G274" i="1"/>
  <c r="M274" i="1" s="1"/>
  <c r="V274" i="1"/>
  <c r="N274" i="1"/>
  <c r="P274" i="1"/>
  <c r="F274" i="1"/>
  <c r="AA54" i="1"/>
  <c r="I54" i="1" s="1"/>
  <c r="U275" i="1" l="1"/>
  <c r="J275" i="1"/>
  <c r="K275" i="1" s="1"/>
  <c r="L276" i="1"/>
  <c r="H275" i="1"/>
  <c r="T275" i="1"/>
  <c r="V275" i="1"/>
  <c r="S275" i="1"/>
  <c r="G275" i="1"/>
  <c r="M275" i="1" s="1"/>
  <c r="F275" i="1"/>
  <c r="N275" i="1"/>
  <c r="P275" i="1"/>
  <c r="Y54" i="1"/>
  <c r="U276" i="1" l="1"/>
  <c r="L277" i="1"/>
  <c r="J276" i="1"/>
  <c r="K276" i="1" s="1"/>
  <c r="H276" i="1"/>
  <c r="S276" i="1"/>
  <c r="G276" i="1"/>
  <c r="M276" i="1" s="1"/>
  <c r="V276" i="1"/>
  <c r="T276" i="1"/>
  <c r="P276" i="1"/>
  <c r="N276" i="1"/>
  <c r="F276" i="1"/>
  <c r="R54" i="1"/>
  <c r="U277" i="1" l="1"/>
  <c r="L278" i="1"/>
  <c r="J277" i="1"/>
  <c r="K277" i="1" s="1"/>
  <c r="H277" i="1"/>
  <c r="V277" i="1"/>
  <c r="T277" i="1"/>
  <c r="G277" i="1"/>
  <c r="M277" i="1" s="1"/>
  <c r="S277" i="1"/>
  <c r="P277" i="1"/>
  <c r="F277" i="1"/>
  <c r="N277" i="1"/>
  <c r="Q54" i="1"/>
  <c r="X54" i="1"/>
  <c r="K54" i="1"/>
  <c r="W54" i="1"/>
  <c r="O55" i="1" s="1"/>
  <c r="U278" i="1" l="1"/>
  <c r="J278" i="1"/>
  <c r="K278" i="1" s="1"/>
  <c r="L279" i="1"/>
  <c r="H278" i="1"/>
  <c r="G278" i="1"/>
  <c r="M278" i="1" s="1"/>
  <c r="T278" i="1"/>
  <c r="S278" i="1"/>
  <c r="V278" i="1"/>
  <c r="F278" i="1"/>
  <c r="N278" i="1"/>
  <c r="P278" i="1"/>
  <c r="Z55" i="1"/>
  <c r="AA55" i="1" s="1"/>
  <c r="U279" i="1" l="1"/>
  <c r="L280" i="1"/>
  <c r="J279" i="1"/>
  <c r="K279" i="1" s="1"/>
  <c r="H279" i="1"/>
  <c r="S279" i="1"/>
  <c r="G279" i="1"/>
  <c r="M279" i="1" s="1"/>
  <c r="V279" i="1"/>
  <c r="T279" i="1"/>
  <c r="P279" i="1"/>
  <c r="N279" i="1"/>
  <c r="F279" i="1"/>
  <c r="Y55" i="1"/>
  <c r="I55" i="1"/>
  <c r="U280" i="1" l="1"/>
  <c r="L281" i="1"/>
  <c r="J280" i="1"/>
  <c r="K280" i="1" s="1"/>
  <c r="H280" i="1"/>
  <c r="G280" i="1"/>
  <c r="M280" i="1" s="1"/>
  <c r="S280" i="1"/>
  <c r="T280" i="1"/>
  <c r="V280" i="1"/>
  <c r="P280" i="1"/>
  <c r="N280" i="1"/>
  <c r="F280" i="1"/>
  <c r="R55" i="1"/>
  <c r="Q55" i="1" s="1"/>
  <c r="U281" i="1" l="1"/>
  <c r="L282" i="1"/>
  <c r="J281" i="1"/>
  <c r="K281" i="1" s="1"/>
  <c r="H281" i="1"/>
  <c r="G281" i="1"/>
  <c r="M281" i="1" s="1"/>
  <c r="T281" i="1"/>
  <c r="V281" i="1"/>
  <c r="S281" i="1"/>
  <c r="N281" i="1"/>
  <c r="P281" i="1"/>
  <c r="F281" i="1"/>
  <c r="X55" i="1"/>
  <c r="K55" i="1"/>
  <c r="W55" i="1"/>
  <c r="O56" i="1" s="1"/>
  <c r="U282" i="1" l="1"/>
  <c r="L283" i="1"/>
  <c r="J282" i="1"/>
  <c r="K282" i="1" s="1"/>
  <c r="H282" i="1"/>
  <c r="T282" i="1"/>
  <c r="G282" i="1"/>
  <c r="M282" i="1" s="1"/>
  <c r="S282" i="1"/>
  <c r="V282" i="1"/>
  <c r="F282" i="1"/>
  <c r="N282" i="1"/>
  <c r="P282" i="1"/>
  <c r="Z56" i="1"/>
  <c r="U283" i="1" l="1"/>
  <c r="L284" i="1"/>
  <c r="J283" i="1"/>
  <c r="K283" i="1" s="1"/>
  <c r="H283" i="1"/>
  <c r="T283" i="1"/>
  <c r="S283" i="1"/>
  <c r="V283" i="1"/>
  <c r="G283" i="1"/>
  <c r="M283" i="1" s="1"/>
  <c r="F283" i="1"/>
  <c r="N283" i="1"/>
  <c r="P283" i="1"/>
  <c r="AA56" i="1"/>
  <c r="Y56" i="1" s="1"/>
  <c r="U284" i="1" l="1"/>
  <c r="L285" i="1"/>
  <c r="J284" i="1"/>
  <c r="K284" i="1" s="1"/>
  <c r="H284" i="1"/>
  <c r="S284" i="1"/>
  <c r="T284" i="1"/>
  <c r="V284" i="1"/>
  <c r="G284" i="1"/>
  <c r="M284" i="1" s="1"/>
  <c r="F284" i="1"/>
  <c r="P284" i="1"/>
  <c r="N284" i="1"/>
  <c r="R56" i="1"/>
  <c r="Q56" i="1" s="1"/>
  <c r="I56" i="1"/>
  <c r="U285" i="1" l="1"/>
  <c r="L286" i="1"/>
  <c r="K285" i="1"/>
  <c r="J285" i="1"/>
  <c r="H285" i="1"/>
  <c r="S285" i="1"/>
  <c r="T285" i="1"/>
  <c r="G285" i="1"/>
  <c r="M285" i="1" s="1"/>
  <c r="V285" i="1"/>
  <c r="N285" i="1"/>
  <c r="P285" i="1"/>
  <c r="F285" i="1"/>
  <c r="X56" i="1"/>
  <c r="K56" i="1"/>
  <c r="W56" i="1"/>
  <c r="O57" i="1" s="1"/>
  <c r="U286" i="1" l="1"/>
  <c r="L287" i="1"/>
  <c r="J286" i="1"/>
  <c r="K286" i="1" s="1"/>
  <c r="H286" i="1"/>
  <c r="G286" i="1"/>
  <c r="M286" i="1" s="1"/>
  <c r="S286" i="1"/>
  <c r="T286" i="1"/>
  <c r="V286" i="1"/>
  <c r="N286" i="1"/>
  <c r="F286" i="1"/>
  <c r="P286" i="1"/>
  <c r="Z57" i="1"/>
  <c r="U287" i="1" l="1"/>
  <c r="L288" i="1"/>
  <c r="J287" i="1"/>
  <c r="K287" i="1" s="1"/>
  <c r="H287" i="1"/>
  <c r="V287" i="1"/>
  <c r="S287" i="1"/>
  <c r="T287" i="1"/>
  <c r="G287" i="1"/>
  <c r="M287" i="1" s="1"/>
  <c r="P287" i="1"/>
  <c r="N287" i="1"/>
  <c r="F287" i="1"/>
  <c r="AA57" i="1"/>
  <c r="I57" i="1" s="1"/>
  <c r="U288" i="1" l="1"/>
  <c r="K288" i="1"/>
  <c r="L289" i="1"/>
  <c r="J288" i="1"/>
  <c r="H288" i="1"/>
  <c r="S288" i="1"/>
  <c r="V288" i="1"/>
  <c r="G288" i="1"/>
  <c r="M288" i="1" s="1"/>
  <c r="T288" i="1"/>
  <c r="F288" i="1"/>
  <c r="P288" i="1"/>
  <c r="N288" i="1"/>
  <c r="Y57" i="1"/>
  <c r="U289" i="1" l="1"/>
  <c r="K289" i="1"/>
  <c r="L290" i="1"/>
  <c r="J289" i="1"/>
  <c r="H289" i="1"/>
  <c r="S289" i="1"/>
  <c r="T289" i="1"/>
  <c r="V289" i="1"/>
  <c r="G289" i="1"/>
  <c r="M289" i="1" s="1"/>
  <c r="N289" i="1"/>
  <c r="F289" i="1"/>
  <c r="P289" i="1"/>
  <c r="R57" i="1"/>
  <c r="Q57" i="1" s="1"/>
  <c r="U290" i="1" l="1"/>
  <c r="L291" i="1"/>
  <c r="J290" i="1"/>
  <c r="K290" i="1" s="1"/>
  <c r="H290" i="1"/>
  <c r="V290" i="1"/>
  <c r="G290" i="1"/>
  <c r="M290" i="1" s="1"/>
  <c r="S290" i="1"/>
  <c r="T290" i="1"/>
  <c r="P290" i="1"/>
  <c r="F290" i="1"/>
  <c r="N290" i="1"/>
  <c r="X57" i="1"/>
  <c r="K57" i="1"/>
  <c r="W57" i="1"/>
  <c r="O58" i="1" s="1"/>
  <c r="U291" i="1" l="1"/>
  <c r="J291" i="1"/>
  <c r="K291" i="1" s="1"/>
  <c r="L292" i="1"/>
  <c r="H291" i="1"/>
  <c r="G291" i="1"/>
  <c r="M291" i="1" s="1"/>
  <c r="V291" i="1"/>
  <c r="S291" i="1"/>
  <c r="T291" i="1"/>
  <c r="P291" i="1"/>
  <c r="F291" i="1"/>
  <c r="N291" i="1"/>
  <c r="Z58" i="1"/>
  <c r="U292" i="1" l="1"/>
  <c r="J292" i="1"/>
  <c r="K292" i="1" s="1"/>
  <c r="L293" i="1"/>
  <c r="H292" i="1"/>
  <c r="T292" i="1"/>
  <c r="G292" i="1"/>
  <c r="M292" i="1" s="1"/>
  <c r="S292" i="1"/>
  <c r="V292" i="1"/>
  <c r="P292" i="1"/>
  <c r="N292" i="1"/>
  <c r="F292" i="1"/>
  <c r="AA58" i="1"/>
  <c r="I58" i="1" s="1"/>
  <c r="U293" i="1" l="1"/>
  <c r="J293" i="1"/>
  <c r="K293" i="1" s="1"/>
  <c r="L294" i="1"/>
  <c r="H293" i="1"/>
  <c r="V293" i="1"/>
  <c r="S293" i="1"/>
  <c r="T293" i="1"/>
  <c r="G293" i="1"/>
  <c r="M293" i="1" s="1"/>
  <c r="F293" i="1"/>
  <c r="N293" i="1"/>
  <c r="P293" i="1"/>
  <c r="Y58" i="1"/>
  <c r="U294" i="1" l="1"/>
  <c r="J294" i="1"/>
  <c r="K294" i="1" s="1"/>
  <c r="L295" i="1"/>
  <c r="H294" i="1"/>
  <c r="G294" i="1"/>
  <c r="M294" i="1" s="1"/>
  <c r="T294" i="1"/>
  <c r="S294" i="1"/>
  <c r="V294" i="1"/>
  <c r="N294" i="1"/>
  <c r="P294" i="1"/>
  <c r="F294" i="1"/>
  <c r="R58" i="1"/>
  <c r="Q58" i="1" s="1"/>
  <c r="U295" i="1" l="1"/>
  <c r="J295" i="1"/>
  <c r="L296" i="1"/>
  <c r="K295" i="1"/>
  <c r="H295" i="1"/>
  <c r="G295" i="1"/>
  <c r="M295" i="1" s="1"/>
  <c r="T295" i="1"/>
  <c r="S295" i="1"/>
  <c r="V295" i="1"/>
  <c r="F295" i="1"/>
  <c r="N295" i="1"/>
  <c r="P295" i="1"/>
  <c r="X58" i="1"/>
  <c r="K58" i="1"/>
  <c r="W58" i="1"/>
  <c r="O59" i="1" s="1"/>
  <c r="U296" i="1" l="1"/>
  <c r="L297" i="1"/>
  <c r="J296" i="1"/>
  <c r="K296" i="1" s="1"/>
  <c r="H296" i="1"/>
  <c r="G296" i="1"/>
  <c r="M296" i="1" s="1"/>
  <c r="S296" i="1"/>
  <c r="T296" i="1"/>
  <c r="V296" i="1"/>
  <c r="F296" i="1"/>
  <c r="N296" i="1"/>
  <c r="P296" i="1"/>
  <c r="Z59" i="1"/>
  <c r="AA59" i="1" s="1"/>
  <c r="U297" i="1" l="1"/>
  <c r="J297" i="1"/>
  <c r="K297" i="1" s="1"/>
  <c r="L298" i="1"/>
  <c r="H297" i="1"/>
  <c r="G297" i="1"/>
  <c r="M297" i="1" s="1"/>
  <c r="T297" i="1"/>
  <c r="S297" i="1"/>
  <c r="V297" i="1"/>
  <c r="F297" i="1"/>
  <c r="P297" i="1"/>
  <c r="N297" i="1"/>
  <c r="Y59" i="1"/>
  <c r="I59" i="1"/>
  <c r="U298" i="1" l="1"/>
  <c r="J298" i="1"/>
  <c r="K298" i="1" s="1"/>
  <c r="L299" i="1"/>
  <c r="H298" i="1"/>
  <c r="T298" i="1"/>
  <c r="V298" i="1"/>
  <c r="S298" i="1"/>
  <c r="G298" i="1"/>
  <c r="M298" i="1" s="1"/>
  <c r="N298" i="1"/>
  <c r="P298" i="1"/>
  <c r="F298" i="1"/>
  <c r="R59" i="1"/>
  <c r="Q59" i="1" s="1"/>
  <c r="U299" i="1" l="1"/>
  <c r="J299" i="1"/>
  <c r="L300" i="1"/>
  <c r="K299" i="1"/>
  <c r="H299" i="1"/>
  <c r="G299" i="1"/>
  <c r="M299" i="1" s="1"/>
  <c r="T299" i="1"/>
  <c r="S299" i="1"/>
  <c r="V299" i="1"/>
  <c r="F299" i="1"/>
  <c r="N299" i="1"/>
  <c r="P299" i="1"/>
  <c r="X59" i="1"/>
  <c r="K59" i="1"/>
  <c r="W59" i="1"/>
  <c r="O60" i="1" s="1"/>
  <c r="U300" i="1" l="1"/>
  <c r="L301" i="1"/>
  <c r="J300" i="1"/>
  <c r="K300" i="1" s="1"/>
  <c r="H300" i="1"/>
  <c r="V300" i="1"/>
  <c r="G300" i="1"/>
  <c r="M300" i="1" s="1"/>
  <c r="T300" i="1"/>
  <c r="S300" i="1"/>
  <c r="N300" i="1"/>
  <c r="P300" i="1"/>
  <c r="F300" i="1"/>
  <c r="Z60" i="1"/>
  <c r="AA60" i="1" s="1"/>
  <c r="U301" i="1" l="1"/>
  <c r="L302" i="1"/>
  <c r="J301" i="1"/>
  <c r="K301" i="1" s="1"/>
  <c r="H301" i="1"/>
  <c r="V301" i="1"/>
  <c r="G301" i="1"/>
  <c r="M301" i="1" s="1"/>
  <c r="T301" i="1"/>
  <c r="S301" i="1"/>
  <c r="F301" i="1"/>
  <c r="N301" i="1"/>
  <c r="P301" i="1"/>
  <c r="Y60" i="1"/>
  <c r="I60" i="1"/>
  <c r="U302" i="1" l="1"/>
  <c r="L303" i="1"/>
  <c r="J302" i="1"/>
  <c r="K302" i="1"/>
  <c r="H302" i="1"/>
  <c r="S302" i="1"/>
  <c r="T302" i="1"/>
  <c r="G302" i="1"/>
  <c r="M302" i="1" s="1"/>
  <c r="V302" i="1"/>
  <c r="F302" i="1"/>
  <c r="N302" i="1"/>
  <c r="P302" i="1"/>
  <c r="R60" i="1"/>
  <c r="Q60" i="1" s="1"/>
  <c r="U303" i="1" l="1"/>
  <c r="L304" i="1"/>
  <c r="J303" i="1"/>
  <c r="K303" i="1" s="1"/>
  <c r="H303" i="1"/>
  <c r="T303" i="1"/>
  <c r="V303" i="1"/>
  <c r="G303" i="1"/>
  <c r="M303" i="1" s="1"/>
  <c r="S303" i="1"/>
  <c r="P303" i="1"/>
  <c r="F303" i="1"/>
  <c r="N303" i="1"/>
  <c r="X60" i="1"/>
  <c r="K60" i="1"/>
  <c r="W60" i="1"/>
  <c r="O61" i="1" s="1"/>
  <c r="U304" i="1" l="1"/>
  <c r="J304" i="1"/>
  <c r="L305" i="1"/>
  <c r="K304" i="1"/>
  <c r="H304" i="1"/>
  <c r="T304" i="1"/>
  <c r="S304" i="1"/>
  <c r="G304" i="1"/>
  <c r="M304" i="1" s="1"/>
  <c r="V304" i="1"/>
  <c r="N304" i="1"/>
  <c r="F304" i="1"/>
  <c r="P304" i="1"/>
  <c r="Z61" i="1"/>
  <c r="U305" i="1" l="1"/>
  <c r="L306" i="1"/>
  <c r="J305" i="1"/>
  <c r="K305" i="1" s="1"/>
  <c r="H305" i="1"/>
  <c r="G305" i="1"/>
  <c r="M305" i="1" s="1"/>
  <c r="V305" i="1"/>
  <c r="S305" i="1"/>
  <c r="T305" i="1"/>
  <c r="P305" i="1"/>
  <c r="N305" i="1"/>
  <c r="F305" i="1"/>
  <c r="AA61" i="1"/>
  <c r="Y61" i="1" s="1"/>
  <c r="U306" i="1" l="1"/>
  <c r="J306" i="1"/>
  <c r="K306" i="1" s="1"/>
  <c r="L307" i="1"/>
  <c r="H306" i="1"/>
  <c r="S306" i="1"/>
  <c r="T306" i="1"/>
  <c r="G306" i="1"/>
  <c r="M306" i="1" s="1"/>
  <c r="V306" i="1"/>
  <c r="F306" i="1"/>
  <c r="N306" i="1"/>
  <c r="P306" i="1"/>
  <c r="R61" i="1"/>
  <c r="Q61" i="1" s="1"/>
  <c r="I61" i="1"/>
  <c r="U307" i="1" l="1"/>
  <c r="J307" i="1"/>
  <c r="K307" i="1" s="1"/>
  <c r="L308" i="1"/>
  <c r="H307" i="1"/>
  <c r="V307" i="1"/>
  <c r="S307" i="1"/>
  <c r="T307" i="1"/>
  <c r="G307" i="1"/>
  <c r="M307" i="1" s="1"/>
  <c r="F307" i="1"/>
  <c r="P307" i="1"/>
  <c r="N307" i="1"/>
  <c r="X61" i="1"/>
  <c r="K61" i="1"/>
  <c r="W61" i="1"/>
  <c r="O62" i="1" s="1"/>
  <c r="U308" i="1" l="1"/>
  <c r="L309" i="1"/>
  <c r="J308" i="1"/>
  <c r="K308" i="1" s="1"/>
  <c r="H308" i="1"/>
  <c r="T308" i="1"/>
  <c r="V308" i="1"/>
  <c r="S308" i="1"/>
  <c r="G308" i="1"/>
  <c r="M308" i="1" s="1"/>
  <c r="P308" i="1"/>
  <c r="F308" i="1"/>
  <c r="N308" i="1"/>
  <c r="Z62" i="1"/>
  <c r="U309" i="1" l="1"/>
  <c r="J309" i="1"/>
  <c r="K309" i="1" s="1"/>
  <c r="L310" i="1"/>
  <c r="H309" i="1"/>
  <c r="G309" i="1"/>
  <c r="M309" i="1" s="1"/>
  <c r="T309" i="1"/>
  <c r="S309" i="1"/>
  <c r="V309" i="1"/>
  <c r="P309" i="1"/>
  <c r="F309" i="1"/>
  <c r="N309" i="1"/>
  <c r="AA3" i="1"/>
  <c r="AA62" i="1"/>
  <c r="I62" i="1" s="1"/>
  <c r="U310" i="1" l="1"/>
  <c r="L311" i="1"/>
  <c r="J310" i="1"/>
  <c r="K310" i="1" s="1"/>
  <c r="H310" i="1"/>
  <c r="V310" i="1"/>
  <c r="S310" i="1"/>
  <c r="T310" i="1"/>
  <c r="G310" i="1"/>
  <c r="M310" i="1" s="1"/>
  <c r="F310" i="1"/>
  <c r="P310" i="1"/>
  <c r="N310" i="1"/>
  <c r="Y62" i="1"/>
  <c r="U311" i="1" l="1"/>
  <c r="J311" i="1"/>
  <c r="K311" i="1" s="1"/>
  <c r="L312" i="1"/>
  <c r="H311" i="1"/>
  <c r="G311" i="1"/>
  <c r="M311" i="1" s="1"/>
  <c r="V311" i="1"/>
  <c r="S311" i="1"/>
  <c r="T311" i="1"/>
  <c r="F311" i="1"/>
  <c r="P311" i="1"/>
  <c r="N311" i="1"/>
  <c r="R62" i="1"/>
  <c r="Q62" i="1" s="1"/>
  <c r="U312" i="1" l="1"/>
  <c r="Y312" i="1"/>
  <c r="X312" i="1"/>
  <c r="V312" i="1"/>
  <c r="T312" i="1"/>
  <c r="S312" i="1"/>
  <c r="L313" i="1"/>
  <c r="P312" i="1"/>
  <c r="J312" i="1"/>
  <c r="H312" i="1"/>
  <c r="G312" i="1"/>
  <c r="W312" i="1"/>
  <c r="F312" i="1"/>
  <c r="Q312" i="1"/>
  <c r="M312" i="1"/>
  <c r="K312" i="1"/>
  <c r="O312" i="1"/>
  <c r="I312" i="1"/>
  <c r="R312" i="1"/>
  <c r="N312" i="1"/>
  <c r="AA312" i="1"/>
  <c r="Z312" i="1"/>
  <c r="X62" i="1"/>
  <c r="K62" i="1"/>
  <c r="W62" i="1"/>
  <c r="O63" i="1" s="1"/>
  <c r="U313" i="1" l="1"/>
  <c r="AA313" i="1"/>
  <c r="X313" i="1"/>
  <c r="F313" i="1"/>
  <c r="R313" i="1"/>
  <c r="Z313" i="1"/>
  <c r="H313" i="1"/>
  <c r="G313" i="1"/>
  <c r="S313" i="1"/>
  <c r="Q313" i="1"/>
  <c r="K313" i="1"/>
  <c r="Y313" i="1"/>
  <c r="W313" i="1"/>
  <c r="P313" i="1"/>
  <c r="M313" i="1"/>
  <c r="I313" i="1"/>
  <c r="V313" i="1"/>
  <c r="O313" i="1"/>
  <c r="J313" i="1"/>
  <c r="T313" i="1"/>
  <c r="L314" i="1"/>
  <c r="N313" i="1"/>
  <c r="Z63" i="1"/>
  <c r="AA63" i="1" s="1"/>
  <c r="U314" i="1" l="1"/>
  <c r="O314" i="1"/>
  <c r="M314" i="1"/>
  <c r="AA314" i="1"/>
  <c r="H314" i="1"/>
  <c r="W314" i="1"/>
  <c r="T314" i="1"/>
  <c r="N314" i="1"/>
  <c r="K314" i="1"/>
  <c r="Y314" i="1"/>
  <c r="F314" i="1"/>
  <c r="P314" i="1"/>
  <c r="Z314" i="1"/>
  <c r="I314" i="1"/>
  <c r="X314" i="1"/>
  <c r="G314" i="1"/>
  <c r="R314" i="1"/>
  <c r="J314" i="1"/>
  <c r="S314" i="1"/>
  <c r="V314" i="1"/>
  <c r="L315" i="1"/>
  <c r="Q314" i="1"/>
  <c r="Y63" i="1"/>
  <c r="I63" i="1"/>
  <c r="U315" i="1" l="1"/>
  <c r="H315" i="1"/>
  <c r="X315" i="1"/>
  <c r="G315" i="1"/>
  <c r="W315" i="1"/>
  <c r="F315" i="1"/>
  <c r="V315" i="1"/>
  <c r="T315" i="1"/>
  <c r="R315" i="1"/>
  <c r="P315" i="1"/>
  <c r="AA315" i="1"/>
  <c r="S315" i="1"/>
  <c r="N315" i="1"/>
  <c r="Z315" i="1"/>
  <c r="I315" i="1"/>
  <c r="Q315" i="1"/>
  <c r="K315" i="1"/>
  <c r="O315" i="1"/>
  <c r="Y315" i="1"/>
  <c r="L316" i="1"/>
  <c r="M315" i="1"/>
  <c r="J315" i="1"/>
  <c r="R63" i="1"/>
  <c r="Q63" i="1" s="1"/>
  <c r="U316" i="1" l="1"/>
  <c r="M316" i="1"/>
  <c r="AA316" i="1"/>
  <c r="I316" i="1"/>
  <c r="V316" i="1"/>
  <c r="R316" i="1"/>
  <c r="K316" i="1"/>
  <c r="Y316" i="1"/>
  <c r="G316" i="1"/>
  <c r="S316" i="1"/>
  <c r="O316" i="1"/>
  <c r="N316" i="1"/>
  <c r="J316" i="1"/>
  <c r="Z316" i="1"/>
  <c r="H316" i="1"/>
  <c r="X316" i="1"/>
  <c r="T316" i="1"/>
  <c r="P316" i="1"/>
  <c r="F316" i="1"/>
  <c r="L317" i="1"/>
  <c r="W316" i="1"/>
  <c r="Q316" i="1"/>
  <c r="X63" i="1"/>
  <c r="K63" i="1"/>
  <c r="W63" i="1"/>
  <c r="O64" i="1" s="1"/>
  <c r="U317" i="1" l="1"/>
  <c r="J317" i="1"/>
  <c r="I317" i="1"/>
  <c r="H317" i="1"/>
  <c r="G317" i="1"/>
  <c r="T317" i="1"/>
  <c r="R317" i="1"/>
  <c r="P317" i="1"/>
  <c r="N317" i="1"/>
  <c r="K317" i="1"/>
  <c r="Z317" i="1"/>
  <c r="Y317" i="1"/>
  <c r="X317" i="1"/>
  <c r="F317" i="1"/>
  <c r="S317" i="1"/>
  <c r="L318" i="1"/>
  <c r="O317" i="1"/>
  <c r="AA317" i="1"/>
  <c r="V317" i="1"/>
  <c r="Q317" i="1"/>
  <c r="M317" i="1"/>
  <c r="W317" i="1"/>
  <c r="Z64" i="1"/>
  <c r="AA64" i="1" s="1"/>
  <c r="U318" i="1" l="1"/>
  <c r="S318" i="1"/>
  <c r="R318" i="1"/>
  <c r="Q318" i="1"/>
  <c r="P318" i="1"/>
  <c r="N318" i="1"/>
  <c r="AA318" i="1"/>
  <c r="I318" i="1"/>
  <c r="H318" i="1"/>
  <c r="G318" i="1"/>
  <c r="V318" i="1"/>
  <c r="T318" i="1"/>
  <c r="L319" i="1"/>
  <c r="O318" i="1"/>
  <c r="M318" i="1"/>
  <c r="K318" i="1"/>
  <c r="J318" i="1"/>
  <c r="Z318" i="1"/>
  <c r="Y318" i="1"/>
  <c r="X318" i="1"/>
  <c r="W318" i="1"/>
  <c r="F318" i="1"/>
  <c r="Y64" i="1"/>
  <c r="I64" i="1"/>
  <c r="U319" i="1" l="1"/>
  <c r="O319" i="1"/>
  <c r="AA319" i="1"/>
  <c r="Z319" i="1"/>
  <c r="Y319" i="1"/>
  <c r="W319" i="1"/>
  <c r="R319" i="1"/>
  <c r="K319" i="1"/>
  <c r="G319" i="1"/>
  <c r="V319" i="1"/>
  <c r="Q319" i="1"/>
  <c r="P319" i="1"/>
  <c r="N319" i="1"/>
  <c r="J319" i="1"/>
  <c r="X319" i="1"/>
  <c r="T319" i="1"/>
  <c r="L320" i="1"/>
  <c r="M319" i="1"/>
  <c r="I319" i="1"/>
  <c r="H319" i="1"/>
  <c r="F319" i="1"/>
  <c r="S319" i="1"/>
  <c r="R64" i="1"/>
  <c r="Q64" i="1" s="1"/>
  <c r="U320" i="1" l="1"/>
  <c r="V320" i="1"/>
  <c r="T320" i="1"/>
  <c r="K320" i="1"/>
  <c r="Y320" i="1"/>
  <c r="R320" i="1"/>
  <c r="M320" i="1"/>
  <c r="AA320" i="1"/>
  <c r="H320" i="1"/>
  <c r="G320" i="1"/>
  <c r="S320" i="1"/>
  <c r="L321" i="1"/>
  <c r="Q320" i="1"/>
  <c r="P320" i="1"/>
  <c r="O320" i="1"/>
  <c r="N320" i="1"/>
  <c r="Z320" i="1"/>
  <c r="I320" i="1"/>
  <c r="F320" i="1"/>
  <c r="J320" i="1"/>
  <c r="X320" i="1"/>
  <c r="W320" i="1"/>
  <c r="X64" i="1"/>
  <c r="K64" i="1"/>
  <c r="W64" i="1"/>
  <c r="O65" i="1" s="1"/>
  <c r="U321" i="1" l="1"/>
  <c r="K321" i="1"/>
  <c r="Z321" i="1"/>
  <c r="T321" i="1"/>
  <c r="Q321" i="1"/>
  <c r="P321" i="1"/>
  <c r="M321" i="1"/>
  <c r="AA321" i="1"/>
  <c r="I321" i="1"/>
  <c r="Y321" i="1"/>
  <c r="H321" i="1"/>
  <c r="X321" i="1"/>
  <c r="W321" i="1"/>
  <c r="J321" i="1"/>
  <c r="G321" i="1"/>
  <c r="F321" i="1"/>
  <c r="V321" i="1"/>
  <c r="S321" i="1"/>
  <c r="L322" i="1"/>
  <c r="O321" i="1"/>
  <c r="R321" i="1"/>
  <c r="N321" i="1"/>
  <c r="Z65" i="1"/>
  <c r="U322" i="1" l="1"/>
  <c r="H322" i="1"/>
  <c r="X322" i="1"/>
  <c r="G322" i="1"/>
  <c r="T322" i="1"/>
  <c r="P322" i="1"/>
  <c r="M322" i="1"/>
  <c r="K322" i="1"/>
  <c r="W322" i="1"/>
  <c r="F322" i="1"/>
  <c r="S322" i="1"/>
  <c r="R322" i="1"/>
  <c r="L323" i="1"/>
  <c r="N322" i="1"/>
  <c r="Z322" i="1"/>
  <c r="Y322" i="1"/>
  <c r="V322" i="1"/>
  <c r="Q322" i="1"/>
  <c r="J322" i="1"/>
  <c r="O322" i="1"/>
  <c r="AA322" i="1"/>
  <c r="I322" i="1"/>
  <c r="AA65" i="1"/>
  <c r="Y65" i="1" s="1"/>
  <c r="U323" i="1" l="1"/>
  <c r="F323" i="1"/>
  <c r="V323" i="1"/>
  <c r="T323" i="1"/>
  <c r="S323" i="1"/>
  <c r="R323" i="1"/>
  <c r="K323" i="1"/>
  <c r="AA323" i="1"/>
  <c r="Z323" i="1"/>
  <c r="I323" i="1"/>
  <c r="G323" i="1"/>
  <c r="L324" i="1"/>
  <c r="Q323" i="1"/>
  <c r="P323" i="1"/>
  <c r="J323" i="1"/>
  <c r="Y323" i="1"/>
  <c r="W323" i="1"/>
  <c r="O323" i="1"/>
  <c r="N323" i="1"/>
  <c r="M323" i="1"/>
  <c r="H323" i="1"/>
  <c r="X323" i="1"/>
  <c r="R65" i="1"/>
  <c r="Q65" i="1" s="1"/>
  <c r="I65" i="1"/>
  <c r="U324" i="1" l="1"/>
  <c r="N324" i="1"/>
  <c r="M324" i="1"/>
  <c r="K324" i="1"/>
  <c r="AA324" i="1"/>
  <c r="G324" i="1"/>
  <c r="W324" i="1"/>
  <c r="F324" i="1"/>
  <c r="V324" i="1"/>
  <c r="T324" i="1"/>
  <c r="L325" i="1"/>
  <c r="O324" i="1"/>
  <c r="J324" i="1"/>
  <c r="Z324" i="1"/>
  <c r="I324" i="1"/>
  <c r="Y324" i="1"/>
  <c r="H324" i="1"/>
  <c r="X324" i="1"/>
  <c r="R324" i="1"/>
  <c r="Q324" i="1"/>
  <c r="P324" i="1"/>
  <c r="S324" i="1"/>
  <c r="X65" i="1"/>
  <c r="K65" i="1"/>
  <c r="W65" i="1"/>
  <c r="O66" i="1" s="1"/>
  <c r="U325" i="1" l="1"/>
  <c r="I325" i="1"/>
  <c r="Y325" i="1"/>
  <c r="H325" i="1"/>
  <c r="G325" i="1"/>
  <c r="V325" i="1"/>
  <c r="T325" i="1"/>
  <c r="L326" i="1"/>
  <c r="O325" i="1"/>
  <c r="M325" i="1"/>
  <c r="AA325" i="1"/>
  <c r="X325" i="1"/>
  <c r="W325" i="1"/>
  <c r="F325" i="1"/>
  <c r="S325" i="1"/>
  <c r="R325" i="1"/>
  <c r="Q325" i="1"/>
  <c r="N325" i="1"/>
  <c r="K325" i="1"/>
  <c r="J325" i="1"/>
  <c r="P325" i="1"/>
  <c r="Z325" i="1"/>
  <c r="Z66" i="1"/>
  <c r="U326" i="1" l="1"/>
  <c r="F326" i="1"/>
  <c r="V326" i="1"/>
  <c r="S326" i="1"/>
  <c r="Q326" i="1"/>
  <c r="P326" i="1"/>
  <c r="O326" i="1"/>
  <c r="K326" i="1"/>
  <c r="AA326" i="1"/>
  <c r="X326" i="1"/>
  <c r="R326" i="1"/>
  <c r="L327" i="1"/>
  <c r="M326" i="1"/>
  <c r="Y326" i="1"/>
  <c r="G326" i="1"/>
  <c r="T326" i="1"/>
  <c r="J326" i="1"/>
  <c r="H326" i="1"/>
  <c r="W326" i="1"/>
  <c r="N326" i="1"/>
  <c r="I326" i="1"/>
  <c r="Z326" i="1"/>
  <c r="AA66" i="1"/>
  <c r="I66" i="1" s="1"/>
  <c r="U327" i="1" l="1"/>
  <c r="P327" i="1"/>
  <c r="O327" i="1"/>
  <c r="N327" i="1"/>
  <c r="K327" i="1"/>
  <c r="AA327" i="1"/>
  <c r="J327" i="1"/>
  <c r="Z327" i="1"/>
  <c r="I327" i="1"/>
  <c r="Y327" i="1"/>
  <c r="H327" i="1"/>
  <c r="X327" i="1"/>
  <c r="R327" i="1"/>
  <c r="M327" i="1"/>
  <c r="G327" i="1"/>
  <c r="T327" i="1"/>
  <c r="V327" i="1"/>
  <c r="W327" i="1"/>
  <c r="S327" i="1"/>
  <c r="Q327" i="1"/>
  <c r="F327" i="1"/>
  <c r="L328" i="1"/>
  <c r="Y66" i="1"/>
  <c r="U328" i="1" l="1"/>
  <c r="Z328" i="1"/>
  <c r="I328" i="1"/>
  <c r="Y328" i="1"/>
  <c r="H328" i="1"/>
  <c r="X328" i="1"/>
  <c r="G328" i="1"/>
  <c r="V328" i="1"/>
  <c r="O328" i="1"/>
  <c r="AA328" i="1"/>
  <c r="F328" i="1"/>
  <c r="T328" i="1"/>
  <c r="S328" i="1"/>
  <c r="R328" i="1"/>
  <c r="L329" i="1"/>
  <c r="N328" i="1"/>
  <c r="J328" i="1"/>
  <c r="W328" i="1"/>
  <c r="P328" i="1"/>
  <c r="K328" i="1"/>
  <c r="Q328" i="1"/>
  <c r="M328" i="1"/>
  <c r="R66" i="1"/>
  <c r="Q66" i="1" s="1"/>
  <c r="U329" i="1" l="1"/>
  <c r="W329" i="1"/>
  <c r="F329" i="1"/>
  <c r="V329" i="1"/>
  <c r="T329" i="1"/>
  <c r="R329" i="1"/>
  <c r="Q329" i="1"/>
  <c r="P329" i="1"/>
  <c r="M329" i="1"/>
  <c r="K329" i="1"/>
  <c r="J329" i="1"/>
  <c r="Y329" i="1"/>
  <c r="L330" i="1"/>
  <c r="O329" i="1"/>
  <c r="N329" i="1"/>
  <c r="H329" i="1"/>
  <c r="S329" i="1"/>
  <c r="Z329" i="1"/>
  <c r="I329" i="1"/>
  <c r="AA329" i="1"/>
  <c r="G329" i="1"/>
  <c r="X329" i="1"/>
  <c r="X66" i="1"/>
  <c r="K66" i="1"/>
  <c r="W66" i="1"/>
  <c r="O67" i="1" s="1"/>
  <c r="U330" i="1" l="1"/>
  <c r="L331" i="1"/>
  <c r="P330" i="1"/>
  <c r="O330" i="1"/>
  <c r="N330" i="1"/>
  <c r="K330" i="1"/>
  <c r="Y330" i="1"/>
  <c r="W330" i="1"/>
  <c r="Q330" i="1"/>
  <c r="AA330" i="1"/>
  <c r="J330" i="1"/>
  <c r="Z330" i="1"/>
  <c r="H330" i="1"/>
  <c r="T330" i="1"/>
  <c r="M330" i="1"/>
  <c r="I330" i="1"/>
  <c r="X330" i="1"/>
  <c r="V330" i="1"/>
  <c r="G330" i="1"/>
  <c r="F330" i="1"/>
  <c r="R330" i="1"/>
  <c r="S330" i="1"/>
  <c r="Z67" i="1"/>
  <c r="AA67" i="1" s="1"/>
  <c r="U331" i="1" l="1"/>
  <c r="J331" i="1"/>
  <c r="Z331" i="1"/>
  <c r="I331" i="1"/>
  <c r="Y331" i="1"/>
  <c r="H331" i="1"/>
  <c r="X331" i="1"/>
  <c r="G331" i="1"/>
  <c r="F331" i="1"/>
  <c r="V331" i="1"/>
  <c r="T331" i="1"/>
  <c r="R331" i="1"/>
  <c r="O331" i="1"/>
  <c r="N331" i="1"/>
  <c r="W331" i="1"/>
  <c r="S331" i="1"/>
  <c r="L332" i="1"/>
  <c r="K331" i="1"/>
  <c r="M331" i="1"/>
  <c r="P331" i="1"/>
  <c r="AA331" i="1"/>
  <c r="Q331" i="1"/>
  <c r="Y67" i="1"/>
  <c r="I67" i="1"/>
  <c r="U332" i="1" l="1"/>
  <c r="G332" i="1"/>
  <c r="W332" i="1"/>
  <c r="L333" i="1"/>
  <c r="Q332" i="1"/>
  <c r="AA332" i="1"/>
  <c r="Y332" i="1"/>
  <c r="V332" i="1"/>
  <c r="T332" i="1"/>
  <c r="S332" i="1"/>
  <c r="R332" i="1"/>
  <c r="N332" i="1"/>
  <c r="Z332" i="1"/>
  <c r="H332" i="1"/>
  <c r="F332" i="1"/>
  <c r="P332" i="1"/>
  <c r="O332" i="1"/>
  <c r="M332" i="1"/>
  <c r="I332" i="1"/>
  <c r="K332" i="1"/>
  <c r="X332" i="1"/>
  <c r="J332" i="1"/>
  <c r="R67" i="1"/>
  <c r="Q67" i="1" s="1"/>
  <c r="L334" i="1" l="1"/>
  <c r="U333" i="1"/>
  <c r="T333" i="1"/>
  <c r="S333" i="1"/>
  <c r="Q333" i="1"/>
  <c r="J333" i="1"/>
  <c r="Z333" i="1"/>
  <c r="H333" i="1"/>
  <c r="F333" i="1"/>
  <c r="R333" i="1"/>
  <c r="P333" i="1"/>
  <c r="O333" i="1"/>
  <c r="N333" i="1"/>
  <c r="M333" i="1"/>
  <c r="K333" i="1"/>
  <c r="I333" i="1"/>
  <c r="G333" i="1"/>
  <c r="V333" i="1"/>
  <c r="Y333" i="1"/>
  <c r="AA333" i="1"/>
  <c r="X333" i="1"/>
  <c r="W333" i="1"/>
  <c r="X67" i="1"/>
  <c r="K67" i="1"/>
  <c r="W67" i="1"/>
  <c r="O68" i="1" s="1"/>
  <c r="F334" i="1" l="1"/>
  <c r="AA334" i="1"/>
  <c r="X334" i="1"/>
  <c r="W334" i="1"/>
  <c r="O334" i="1"/>
  <c r="N334" i="1"/>
  <c r="M334" i="1"/>
  <c r="H334" i="1"/>
  <c r="G334" i="1"/>
  <c r="V334" i="1"/>
  <c r="U334" i="1"/>
  <c r="S334" i="1"/>
  <c r="Q334" i="1"/>
  <c r="P334" i="1"/>
  <c r="R334" i="1"/>
  <c r="Z334" i="1"/>
  <c r="Y334" i="1"/>
  <c r="I334" i="1"/>
  <c r="T334" i="1"/>
  <c r="K334" i="1"/>
  <c r="J334" i="1"/>
  <c r="L335" i="1"/>
  <c r="Z68" i="1"/>
  <c r="AA68" i="1" s="1"/>
  <c r="P335" i="1" l="1"/>
  <c r="L336" i="1"/>
  <c r="Y335" i="1"/>
  <c r="X335" i="1"/>
  <c r="W335" i="1"/>
  <c r="V335" i="1"/>
  <c r="AA335" i="1"/>
  <c r="K335" i="1"/>
  <c r="J335" i="1"/>
  <c r="S335" i="1"/>
  <c r="F335" i="1"/>
  <c r="Z335" i="1"/>
  <c r="U335" i="1"/>
  <c r="G335" i="1"/>
  <c r="Q335" i="1"/>
  <c r="N335" i="1"/>
  <c r="M335" i="1"/>
  <c r="H335" i="1"/>
  <c r="T335" i="1"/>
  <c r="R335" i="1"/>
  <c r="O335" i="1"/>
  <c r="I335" i="1"/>
  <c r="Y68" i="1"/>
  <c r="I68" i="1"/>
  <c r="Z336" i="1" l="1"/>
  <c r="O336" i="1"/>
  <c r="K336" i="1"/>
  <c r="L337" i="1"/>
  <c r="H336" i="1"/>
  <c r="G336" i="1"/>
  <c r="F336" i="1"/>
  <c r="N336" i="1"/>
  <c r="Y336" i="1"/>
  <c r="V336" i="1"/>
  <c r="X336" i="1"/>
  <c r="W336" i="1"/>
  <c r="AA336" i="1"/>
  <c r="U336" i="1"/>
  <c r="T336" i="1"/>
  <c r="J336" i="1"/>
  <c r="I336" i="1"/>
  <c r="S336" i="1"/>
  <c r="R336" i="1"/>
  <c r="P336" i="1"/>
  <c r="Q336" i="1"/>
  <c r="M336" i="1"/>
  <c r="R68" i="1"/>
  <c r="Q68" i="1" s="1"/>
  <c r="Y337" i="1" l="1"/>
  <c r="V337" i="1"/>
  <c r="U337" i="1"/>
  <c r="M337" i="1"/>
  <c r="K337" i="1"/>
  <c r="J337" i="1"/>
  <c r="Z337" i="1"/>
  <c r="AA337" i="1"/>
  <c r="P337" i="1"/>
  <c r="O337" i="1"/>
  <c r="G337" i="1"/>
  <c r="F337" i="1"/>
  <c r="X337" i="1"/>
  <c r="W337" i="1"/>
  <c r="S337" i="1"/>
  <c r="N337" i="1"/>
  <c r="I337" i="1"/>
  <c r="H337" i="1"/>
  <c r="Q337" i="1"/>
  <c r="T337" i="1"/>
  <c r="R337" i="1"/>
  <c r="L338" i="1"/>
  <c r="X68" i="1"/>
  <c r="K68" i="1"/>
  <c r="W68" i="1"/>
  <c r="O69" i="1" s="1"/>
  <c r="N338" i="1" l="1"/>
  <c r="W338" i="1"/>
  <c r="V338" i="1"/>
  <c r="U338" i="1"/>
  <c r="T338" i="1"/>
  <c r="G338" i="1"/>
  <c r="F338" i="1"/>
  <c r="P338" i="1"/>
  <c r="L339" i="1"/>
  <c r="K338" i="1"/>
  <c r="H338" i="1"/>
  <c r="AA338" i="1"/>
  <c r="Z338" i="1"/>
  <c r="Y338" i="1"/>
  <c r="I338" i="1"/>
  <c r="X338" i="1"/>
  <c r="R338" i="1"/>
  <c r="O338" i="1"/>
  <c r="S338" i="1"/>
  <c r="Q338" i="1"/>
  <c r="M338" i="1"/>
  <c r="J338" i="1"/>
  <c r="Z69" i="1"/>
  <c r="X339" i="1" l="1"/>
  <c r="M339" i="1"/>
  <c r="J339" i="1"/>
  <c r="I339" i="1"/>
  <c r="Z339" i="1"/>
  <c r="Y339" i="1"/>
  <c r="W339" i="1"/>
  <c r="V339" i="1"/>
  <c r="S339" i="1"/>
  <c r="R339" i="1"/>
  <c r="Q339" i="1"/>
  <c r="P339" i="1"/>
  <c r="N339" i="1"/>
  <c r="K339" i="1"/>
  <c r="H339" i="1"/>
  <c r="L340" i="1"/>
  <c r="G339" i="1"/>
  <c r="F339" i="1"/>
  <c r="U339" i="1"/>
  <c r="T339" i="1"/>
  <c r="AA339" i="1"/>
  <c r="O339" i="1"/>
  <c r="AA69" i="1"/>
  <c r="Y69" i="1" s="1"/>
  <c r="L341" i="1" l="1"/>
  <c r="W340" i="1"/>
  <c r="T340" i="1"/>
  <c r="S340" i="1"/>
  <c r="K340" i="1"/>
  <c r="J340" i="1"/>
  <c r="I340" i="1"/>
  <c r="H340" i="1"/>
  <c r="V340" i="1"/>
  <c r="U340" i="1"/>
  <c r="AA340" i="1"/>
  <c r="Z340" i="1"/>
  <c r="M340" i="1"/>
  <c r="Q340" i="1"/>
  <c r="P340" i="1"/>
  <c r="O340" i="1"/>
  <c r="N340" i="1"/>
  <c r="G340" i="1"/>
  <c r="Y340" i="1"/>
  <c r="X340" i="1"/>
  <c r="R340" i="1"/>
  <c r="F340" i="1"/>
  <c r="R69" i="1"/>
  <c r="Q69" i="1" s="1"/>
  <c r="I69" i="1"/>
  <c r="U341" i="1" l="1"/>
  <c r="T341" i="1"/>
  <c r="S341" i="1"/>
  <c r="R341" i="1"/>
  <c r="Z341" i="1"/>
  <c r="W341" i="1"/>
  <c r="Y341" i="1"/>
  <c r="X341" i="1"/>
  <c r="AA341" i="1"/>
  <c r="L342" i="1"/>
  <c r="V341" i="1"/>
  <c r="P341" i="1"/>
  <c r="O341" i="1"/>
  <c r="Q341" i="1"/>
  <c r="F341" i="1"/>
  <c r="I341" i="1"/>
  <c r="H341" i="1"/>
  <c r="N341" i="1"/>
  <c r="G341" i="1"/>
  <c r="M341" i="1"/>
  <c r="K341" i="1"/>
  <c r="J341" i="1"/>
  <c r="X69" i="1"/>
  <c r="K69" i="1"/>
  <c r="W69" i="1"/>
  <c r="O70" i="1" s="1"/>
  <c r="V342" i="1" l="1"/>
  <c r="K342" i="1"/>
  <c r="H342" i="1"/>
  <c r="G342" i="1"/>
  <c r="F342" i="1"/>
  <c r="X342" i="1"/>
  <c r="J342" i="1"/>
  <c r="AA342" i="1"/>
  <c r="Y342" i="1"/>
  <c r="L343" i="1"/>
  <c r="Z342" i="1"/>
  <c r="R342" i="1"/>
  <c r="O342" i="1"/>
  <c r="Q342" i="1"/>
  <c r="P342" i="1"/>
  <c r="U342" i="1"/>
  <c r="I342" i="1"/>
  <c r="T342" i="1"/>
  <c r="W342" i="1"/>
  <c r="N342" i="1"/>
  <c r="M342" i="1"/>
  <c r="S342" i="1"/>
  <c r="Z70" i="1"/>
  <c r="U343" i="1" l="1"/>
  <c r="R343" i="1"/>
  <c r="Q343" i="1"/>
  <c r="I343" i="1"/>
  <c r="H343" i="1"/>
  <c r="G343" i="1"/>
  <c r="F343" i="1"/>
  <c r="Y343" i="1"/>
  <c r="X343" i="1"/>
  <c r="V343" i="1"/>
  <c r="W343" i="1"/>
  <c r="L344" i="1"/>
  <c r="AA343" i="1"/>
  <c r="Z343" i="1"/>
  <c r="T343" i="1"/>
  <c r="O343" i="1"/>
  <c r="N343" i="1"/>
  <c r="M343" i="1"/>
  <c r="K343" i="1"/>
  <c r="S343" i="1"/>
  <c r="J343" i="1"/>
  <c r="P343" i="1"/>
  <c r="AA70" i="1"/>
  <c r="I70" i="1" s="1"/>
  <c r="J344" i="1" l="1"/>
  <c r="AA344" i="1"/>
  <c r="S344" i="1"/>
  <c r="R344" i="1"/>
  <c r="Q344" i="1"/>
  <c r="P344" i="1"/>
  <c r="I344" i="1"/>
  <c r="H344" i="1"/>
  <c r="T344" i="1"/>
  <c r="O344" i="1"/>
  <c r="M344" i="1"/>
  <c r="G344" i="1"/>
  <c r="K344" i="1"/>
  <c r="F344" i="1"/>
  <c r="L345" i="1"/>
  <c r="Y344" i="1"/>
  <c r="Z344" i="1"/>
  <c r="N344" i="1"/>
  <c r="X344" i="1"/>
  <c r="U344" i="1"/>
  <c r="W344" i="1"/>
  <c r="V344" i="1"/>
  <c r="Y70" i="1"/>
  <c r="T345" i="1" l="1"/>
  <c r="I345" i="1"/>
  <c r="F345" i="1"/>
  <c r="AA345" i="1"/>
  <c r="Z345" i="1"/>
  <c r="V345" i="1"/>
  <c r="U345" i="1"/>
  <c r="S345" i="1"/>
  <c r="R345" i="1"/>
  <c r="H345" i="1"/>
  <c r="O345" i="1"/>
  <c r="L346" i="1"/>
  <c r="P345" i="1"/>
  <c r="M345" i="1"/>
  <c r="N345" i="1"/>
  <c r="Y345" i="1"/>
  <c r="J345" i="1"/>
  <c r="G345" i="1"/>
  <c r="X345" i="1"/>
  <c r="K345" i="1"/>
  <c r="W345" i="1"/>
  <c r="Q345" i="1"/>
  <c r="R70" i="1"/>
  <c r="Q70" i="1" s="1"/>
  <c r="S346" i="1" l="1"/>
  <c r="P346" i="1"/>
  <c r="O346" i="1"/>
  <c r="G346" i="1"/>
  <c r="F346" i="1"/>
  <c r="N346" i="1"/>
  <c r="M346" i="1"/>
  <c r="Z346" i="1"/>
  <c r="Y346" i="1"/>
  <c r="W346" i="1"/>
  <c r="U346" i="1"/>
  <c r="T346" i="1"/>
  <c r="V346" i="1"/>
  <c r="L347" i="1"/>
  <c r="R346" i="1"/>
  <c r="J346" i="1"/>
  <c r="X346" i="1"/>
  <c r="Q346" i="1"/>
  <c r="K346" i="1"/>
  <c r="I346" i="1"/>
  <c r="AA346" i="1"/>
  <c r="H346" i="1"/>
  <c r="X70" i="1"/>
  <c r="K70" i="1"/>
  <c r="W70" i="1"/>
  <c r="O71" i="1" s="1"/>
  <c r="H347" i="1" l="1"/>
  <c r="Z347" i="1"/>
  <c r="Y347" i="1"/>
  <c r="Q347" i="1"/>
  <c r="P347" i="1"/>
  <c r="O347" i="1"/>
  <c r="N347" i="1"/>
  <c r="V347" i="1"/>
  <c r="S347" i="1"/>
  <c r="U347" i="1"/>
  <c r="R347" i="1"/>
  <c r="T347" i="1"/>
  <c r="J347" i="1"/>
  <c r="I347" i="1"/>
  <c r="F347" i="1"/>
  <c r="K347" i="1"/>
  <c r="G347" i="1"/>
  <c r="M347" i="1"/>
  <c r="L348" i="1"/>
  <c r="X347" i="1"/>
  <c r="W347" i="1"/>
  <c r="AA347" i="1"/>
  <c r="Z71" i="1"/>
  <c r="AA71" i="1" s="1"/>
  <c r="R348" i="1" l="1"/>
  <c r="G348" i="1"/>
  <c r="AA348" i="1"/>
  <c r="Z348" i="1"/>
  <c r="Y348" i="1"/>
  <c r="X348" i="1"/>
  <c r="S348" i="1"/>
  <c r="Q348" i="1"/>
  <c r="L349" i="1"/>
  <c r="I348" i="1"/>
  <c r="T348" i="1"/>
  <c r="N348" i="1"/>
  <c r="P348" i="1"/>
  <c r="O348" i="1"/>
  <c r="J348" i="1"/>
  <c r="F348" i="1"/>
  <c r="K348" i="1"/>
  <c r="H348" i="1"/>
  <c r="W348" i="1"/>
  <c r="M348" i="1"/>
  <c r="V348" i="1"/>
  <c r="U348" i="1"/>
  <c r="Y71" i="1"/>
  <c r="I71" i="1"/>
  <c r="Q349" i="1" l="1"/>
  <c r="N349" i="1"/>
  <c r="M349" i="1"/>
  <c r="L350" i="1"/>
  <c r="U349" i="1"/>
  <c r="P349" i="1"/>
  <c r="T349" i="1"/>
  <c r="R349" i="1"/>
  <c r="S349" i="1"/>
  <c r="W349" i="1"/>
  <c r="O349" i="1"/>
  <c r="J349" i="1"/>
  <c r="H349" i="1"/>
  <c r="I349" i="1"/>
  <c r="G349" i="1"/>
  <c r="AA349" i="1"/>
  <c r="Z349" i="1"/>
  <c r="Y349" i="1"/>
  <c r="V349" i="1"/>
  <c r="X349" i="1"/>
  <c r="K349" i="1"/>
  <c r="F349" i="1"/>
  <c r="R71" i="1"/>
  <c r="Q71" i="1" s="1"/>
  <c r="F350" i="1" l="1"/>
  <c r="AA350" i="1"/>
  <c r="X350" i="1"/>
  <c r="W350" i="1"/>
  <c r="O350" i="1"/>
  <c r="N350" i="1"/>
  <c r="M350" i="1"/>
  <c r="Z350" i="1"/>
  <c r="Y350" i="1"/>
  <c r="R350" i="1"/>
  <c r="S350" i="1"/>
  <c r="Q350" i="1"/>
  <c r="P350" i="1"/>
  <c r="G350" i="1"/>
  <c r="H350" i="1"/>
  <c r="K350" i="1"/>
  <c r="J350" i="1"/>
  <c r="I350" i="1"/>
  <c r="U350" i="1"/>
  <c r="L351" i="1"/>
  <c r="V350" i="1"/>
  <c r="T350" i="1"/>
  <c r="X71" i="1"/>
  <c r="K71" i="1"/>
  <c r="W71" i="1"/>
  <c r="O72" i="1" s="1"/>
  <c r="P351" i="1" l="1"/>
  <c r="L352" i="1"/>
  <c r="Y351" i="1"/>
  <c r="X351" i="1"/>
  <c r="W351" i="1"/>
  <c r="V351" i="1"/>
  <c r="R351" i="1"/>
  <c r="Q351" i="1"/>
  <c r="M351" i="1"/>
  <c r="O351" i="1"/>
  <c r="N351" i="1"/>
  <c r="AA351" i="1"/>
  <c r="T351" i="1"/>
  <c r="Z351" i="1"/>
  <c r="U351" i="1"/>
  <c r="S351" i="1"/>
  <c r="K351" i="1"/>
  <c r="F351" i="1"/>
  <c r="G351" i="1"/>
  <c r="I351" i="1"/>
  <c r="J351" i="1"/>
  <c r="H351" i="1"/>
  <c r="Z72" i="1"/>
  <c r="AA72" i="1" s="1"/>
  <c r="Z352" i="1" l="1"/>
  <c r="O352" i="1"/>
  <c r="K352" i="1"/>
  <c r="L353" i="1"/>
  <c r="G352" i="1"/>
  <c r="I352" i="1"/>
  <c r="H352" i="1"/>
  <c r="Y352" i="1"/>
  <c r="V352" i="1"/>
  <c r="U352" i="1"/>
  <c r="AA352" i="1"/>
  <c r="X352" i="1"/>
  <c r="W352" i="1"/>
  <c r="T352" i="1"/>
  <c r="S352" i="1"/>
  <c r="M352" i="1"/>
  <c r="F352" i="1"/>
  <c r="J352" i="1"/>
  <c r="P352" i="1"/>
  <c r="Q352" i="1"/>
  <c r="N352" i="1"/>
  <c r="R352" i="1"/>
  <c r="Y72" i="1"/>
  <c r="I72" i="1"/>
  <c r="Y353" i="1" l="1"/>
  <c r="V353" i="1"/>
  <c r="U353" i="1"/>
  <c r="M353" i="1"/>
  <c r="K353" i="1"/>
  <c r="J353" i="1"/>
  <c r="R353" i="1"/>
  <c r="O353" i="1"/>
  <c r="Q353" i="1"/>
  <c r="P353" i="1"/>
  <c r="N353" i="1"/>
  <c r="G353" i="1"/>
  <c r="F353" i="1"/>
  <c r="L354" i="1"/>
  <c r="Z353" i="1"/>
  <c r="X353" i="1"/>
  <c r="W353" i="1"/>
  <c r="S353" i="1"/>
  <c r="H353" i="1"/>
  <c r="T353" i="1"/>
  <c r="I353" i="1"/>
  <c r="AA353" i="1"/>
  <c r="R72" i="1"/>
  <c r="Q72" i="1" s="1"/>
  <c r="N354" i="1" l="1"/>
  <c r="W354" i="1"/>
  <c r="V354" i="1"/>
  <c r="U354" i="1"/>
  <c r="T354" i="1"/>
  <c r="L355" i="1"/>
  <c r="K354" i="1"/>
  <c r="Q354" i="1"/>
  <c r="P354" i="1"/>
  <c r="M354" i="1"/>
  <c r="J354" i="1"/>
  <c r="I354" i="1"/>
  <c r="AA354" i="1"/>
  <c r="Z354" i="1"/>
  <c r="S354" i="1"/>
  <c r="R354" i="1"/>
  <c r="Y354" i="1"/>
  <c r="H354" i="1"/>
  <c r="X354" i="1"/>
  <c r="O354" i="1"/>
  <c r="G354" i="1"/>
  <c r="F354" i="1"/>
  <c r="X72" i="1"/>
  <c r="K72" i="1"/>
  <c r="W72" i="1"/>
  <c r="O73" i="1" s="1"/>
  <c r="X355" i="1" l="1"/>
  <c r="M355" i="1"/>
  <c r="J355" i="1"/>
  <c r="I355" i="1"/>
  <c r="Q355" i="1"/>
  <c r="P355" i="1"/>
  <c r="N355" i="1"/>
  <c r="O355" i="1"/>
  <c r="T355" i="1"/>
  <c r="S355" i="1"/>
  <c r="V355" i="1"/>
  <c r="L356" i="1"/>
  <c r="AA355" i="1"/>
  <c r="Z355" i="1"/>
  <c r="Y355" i="1"/>
  <c r="H355" i="1"/>
  <c r="G355" i="1"/>
  <c r="F355" i="1"/>
  <c r="K355" i="1"/>
  <c r="W355" i="1"/>
  <c r="R355" i="1"/>
  <c r="U355" i="1"/>
  <c r="Z73" i="1"/>
  <c r="L357" i="1" l="1"/>
  <c r="W356" i="1"/>
  <c r="T356" i="1"/>
  <c r="S356" i="1"/>
  <c r="K356" i="1"/>
  <c r="J356" i="1"/>
  <c r="I356" i="1"/>
  <c r="H356" i="1"/>
  <c r="Q356" i="1"/>
  <c r="AA356" i="1"/>
  <c r="Y356" i="1"/>
  <c r="U356" i="1"/>
  <c r="X356" i="1"/>
  <c r="V356" i="1"/>
  <c r="Z356" i="1"/>
  <c r="P356" i="1"/>
  <c r="N356" i="1"/>
  <c r="M356" i="1"/>
  <c r="G356" i="1"/>
  <c r="F356" i="1"/>
  <c r="R356" i="1"/>
  <c r="O356" i="1"/>
  <c r="AA73" i="1"/>
  <c r="Y73" i="1" s="1"/>
  <c r="U357" i="1" l="1"/>
  <c r="T357" i="1"/>
  <c r="S357" i="1"/>
  <c r="R357" i="1"/>
  <c r="N357" i="1"/>
  <c r="I357" i="1"/>
  <c r="M357" i="1"/>
  <c r="K357" i="1"/>
  <c r="J357" i="1"/>
  <c r="Z357" i="1"/>
  <c r="Y357" i="1"/>
  <c r="F357" i="1"/>
  <c r="L358" i="1"/>
  <c r="H357" i="1"/>
  <c r="G357" i="1"/>
  <c r="X357" i="1"/>
  <c r="W357" i="1"/>
  <c r="V357" i="1"/>
  <c r="P357" i="1"/>
  <c r="AA357" i="1"/>
  <c r="Q357" i="1"/>
  <c r="O357" i="1"/>
  <c r="R73" i="1"/>
  <c r="Q73" i="1" s="1"/>
  <c r="I73" i="1"/>
  <c r="V358" i="1" l="1"/>
  <c r="K358" i="1"/>
  <c r="H358" i="1"/>
  <c r="G358" i="1"/>
  <c r="L359" i="1"/>
  <c r="U358" i="1"/>
  <c r="AA358" i="1"/>
  <c r="Z358" i="1"/>
  <c r="Y358" i="1"/>
  <c r="X358" i="1"/>
  <c r="W358" i="1"/>
  <c r="P358" i="1"/>
  <c r="N358" i="1"/>
  <c r="O358" i="1"/>
  <c r="M358" i="1"/>
  <c r="I358" i="1"/>
  <c r="S358" i="1"/>
  <c r="R358" i="1"/>
  <c r="J358" i="1"/>
  <c r="F358" i="1"/>
  <c r="T358" i="1"/>
  <c r="Q358" i="1"/>
  <c r="X73" i="1"/>
  <c r="K73" i="1"/>
  <c r="W73" i="1"/>
  <c r="O74" i="1" s="1"/>
  <c r="U359" i="1" l="1"/>
  <c r="R359" i="1"/>
  <c r="Q359" i="1"/>
  <c r="I359" i="1"/>
  <c r="H359" i="1"/>
  <c r="G359" i="1"/>
  <c r="F359" i="1"/>
  <c r="N359" i="1"/>
  <c r="K359" i="1"/>
  <c r="M359" i="1"/>
  <c r="J359" i="1"/>
  <c r="W359" i="1"/>
  <c r="V359" i="1"/>
  <c r="S359" i="1"/>
  <c r="O359" i="1"/>
  <c r="P359" i="1"/>
  <c r="Y359" i="1"/>
  <c r="X359" i="1"/>
  <c r="L360" i="1"/>
  <c r="Z359" i="1"/>
  <c r="T359" i="1"/>
  <c r="AA359" i="1"/>
  <c r="Z74" i="1"/>
  <c r="J360" i="1" l="1"/>
  <c r="AA360" i="1"/>
  <c r="S360" i="1"/>
  <c r="R360" i="1"/>
  <c r="Q360" i="1"/>
  <c r="P360" i="1"/>
  <c r="L361" i="1"/>
  <c r="H360" i="1"/>
  <c r="G360" i="1"/>
  <c r="U360" i="1"/>
  <c r="M360" i="1"/>
  <c r="K360" i="1"/>
  <c r="I360" i="1"/>
  <c r="F360" i="1"/>
  <c r="Z360" i="1"/>
  <c r="Y360" i="1"/>
  <c r="V360" i="1"/>
  <c r="T360" i="1"/>
  <c r="O360" i="1"/>
  <c r="X360" i="1"/>
  <c r="W360" i="1"/>
  <c r="N360" i="1"/>
  <c r="AA74" i="1"/>
  <c r="I74" i="1" s="1"/>
  <c r="T361" i="1" l="1"/>
  <c r="I361" i="1"/>
  <c r="F361" i="1"/>
  <c r="AA361" i="1"/>
  <c r="Z361" i="1"/>
  <c r="M361" i="1"/>
  <c r="J361" i="1"/>
  <c r="K361" i="1"/>
  <c r="H361" i="1"/>
  <c r="G361" i="1"/>
  <c r="Y361" i="1"/>
  <c r="V361" i="1"/>
  <c r="X361" i="1"/>
  <c r="W361" i="1"/>
  <c r="S361" i="1"/>
  <c r="P361" i="1"/>
  <c r="R361" i="1"/>
  <c r="Q361" i="1"/>
  <c r="L362" i="1"/>
  <c r="U361" i="1"/>
  <c r="N361" i="1"/>
  <c r="O361" i="1"/>
  <c r="Y74" i="1"/>
  <c r="S362" i="1" l="1"/>
  <c r="P362" i="1"/>
  <c r="O362" i="1"/>
  <c r="G362" i="1"/>
  <c r="F362" i="1"/>
  <c r="AA362" i="1"/>
  <c r="N362" i="1"/>
  <c r="M362" i="1"/>
  <c r="J362" i="1"/>
  <c r="I362" i="1"/>
  <c r="L363" i="1"/>
  <c r="V362" i="1"/>
  <c r="Y362" i="1"/>
  <c r="X362" i="1"/>
  <c r="W362" i="1"/>
  <c r="U362" i="1"/>
  <c r="T362" i="1"/>
  <c r="R362" i="1"/>
  <c r="Z362" i="1"/>
  <c r="Q362" i="1"/>
  <c r="K362" i="1"/>
  <c r="H362" i="1"/>
  <c r="R74" i="1"/>
  <c r="Q74" i="1" s="1"/>
  <c r="H363" i="1" l="1"/>
  <c r="Z363" i="1"/>
  <c r="Y363" i="1"/>
  <c r="Q363" i="1"/>
  <c r="P363" i="1"/>
  <c r="O363" i="1"/>
  <c r="N363" i="1"/>
  <c r="J363" i="1"/>
  <c r="I363" i="1"/>
  <c r="G363" i="1"/>
  <c r="F363" i="1"/>
  <c r="S363" i="1"/>
  <c r="L364" i="1"/>
  <c r="U363" i="1"/>
  <c r="T363" i="1"/>
  <c r="R363" i="1"/>
  <c r="K363" i="1"/>
  <c r="M363" i="1"/>
  <c r="V363" i="1"/>
  <c r="AA363" i="1"/>
  <c r="X363" i="1"/>
  <c r="W363" i="1"/>
  <c r="X74" i="1"/>
  <c r="K74" i="1"/>
  <c r="W74" i="1"/>
  <c r="O75" i="1" s="1"/>
  <c r="R364" i="1" l="1"/>
  <c r="G364" i="1"/>
  <c r="AA364" i="1"/>
  <c r="Z364" i="1"/>
  <c r="Y364" i="1"/>
  <c r="X364" i="1"/>
  <c r="S364" i="1"/>
  <c r="Q364" i="1"/>
  <c r="T364" i="1"/>
  <c r="P364" i="1"/>
  <c r="N364" i="1"/>
  <c r="K364" i="1"/>
  <c r="M364" i="1"/>
  <c r="L365" i="1"/>
  <c r="W364" i="1"/>
  <c r="V364" i="1"/>
  <c r="J364" i="1"/>
  <c r="H364" i="1"/>
  <c r="U364" i="1"/>
  <c r="O364" i="1"/>
  <c r="F364" i="1"/>
  <c r="I364" i="1"/>
  <c r="Z75" i="1"/>
  <c r="AA75" i="1" s="1"/>
  <c r="Q365" i="1" l="1"/>
  <c r="N365" i="1"/>
  <c r="M365" i="1"/>
  <c r="L366" i="1"/>
  <c r="J365" i="1"/>
  <c r="G365" i="1"/>
  <c r="F365" i="1"/>
  <c r="I365" i="1"/>
  <c r="H365" i="1"/>
  <c r="W365" i="1"/>
  <c r="X365" i="1"/>
  <c r="Y365" i="1"/>
  <c r="V365" i="1"/>
  <c r="AA365" i="1"/>
  <c r="Z365" i="1"/>
  <c r="U365" i="1"/>
  <c r="T365" i="1"/>
  <c r="K365" i="1"/>
  <c r="R365" i="1"/>
  <c r="P365" i="1"/>
  <c r="S365" i="1"/>
  <c r="O365" i="1"/>
  <c r="Y75" i="1"/>
  <c r="I75" i="1"/>
  <c r="F366" i="1" l="1"/>
  <c r="AA366" i="1"/>
  <c r="X366" i="1"/>
  <c r="W366" i="1"/>
  <c r="O366" i="1"/>
  <c r="N366" i="1"/>
  <c r="M366" i="1"/>
  <c r="Z366" i="1"/>
  <c r="Y366" i="1"/>
  <c r="T366" i="1"/>
  <c r="V366" i="1"/>
  <c r="U366" i="1"/>
  <c r="R366" i="1"/>
  <c r="P366" i="1"/>
  <c r="G366" i="1"/>
  <c r="Q366" i="1"/>
  <c r="J366" i="1"/>
  <c r="H366" i="1"/>
  <c r="K366" i="1"/>
  <c r="I366" i="1"/>
  <c r="S366" i="1"/>
  <c r="L367" i="1"/>
  <c r="R75" i="1"/>
  <c r="Q75" i="1" s="1"/>
  <c r="P367" i="1" l="1"/>
  <c r="L368" i="1"/>
  <c r="Y367" i="1"/>
  <c r="X367" i="1"/>
  <c r="W367" i="1"/>
  <c r="V367" i="1"/>
  <c r="I367" i="1"/>
  <c r="H367" i="1"/>
  <c r="G367" i="1"/>
  <c r="F367" i="1"/>
  <c r="J367" i="1"/>
  <c r="N367" i="1"/>
  <c r="M367" i="1"/>
  <c r="K367" i="1"/>
  <c r="Z367" i="1"/>
  <c r="T367" i="1"/>
  <c r="AA367" i="1"/>
  <c r="R367" i="1"/>
  <c r="U367" i="1"/>
  <c r="S367" i="1"/>
  <c r="Q367" i="1"/>
  <c r="O367" i="1"/>
  <c r="X75" i="1"/>
  <c r="K75" i="1"/>
  <c r="W75" i="1"/>
  <c r="O76" i="1" s="1"/>
  <c r="Z368" i="1" l="1"/>
  <c r="O368" i="1"/>
  <c r="K368" i="1"/>
  <c r="L369" i="1"/>
  <c r="AA368" i="1"/>
  <c r="X368" i="1"/>
  <c r="W368" i="1"/>
  <c r="Y368" i="1"/>
  <c r="I368" i="1"/>
  <c r="G368" i="1"/>
  <c r="N368" i="1"/>
  <c r="U368" i="1"/>
  <c r="V368" i="1"/>
  <c r="T368" i="1"/>
  <c r="M368" i="1"/>
  <c r="F368" i="1"/>
  <c r="J368" i="1"/>
  <c r="H368" i="1"/>
  <c r="S368" i="1"/>
  <c r="P368" i="1"/>
  <c r="R368" i="1"/>
  <c r="Q368" i="1"/>
  <c r="Z76" i="1"/>
  <c r="AA76" i="1" s="1"/>
  <c r="Y369" i="1" l="1"/>
  <c r="V369" i="1"/>
  <c r="U369" i="1"/>
  <c r="M369" i="1"/>
  <c r="K369" i="1"/>
  <c r="J369" i="1"/>
  <c r="F369" i="1"/>
  <c r="P369" i="1"/>
  <c r="O369" i="1"/>
  <c r="AA369" i="1"/>
  <c r="Z369" i="1"/>
  <c r="W369" i="1"/>
  <c r="S369" i="1"/>
  <c r="R369" i="1"/>
  <c r="T369" i="1"/>
  <c r="N369" i="1"/>
  <c r="G369" i="1"/>
  <c r="Q369" i="1"/>
  <c r="I369" i="1"/>
  <c r="H369" i="1"/>
  <c r="X369" i="1"/>
  <c r="L370" i="1"/>
  <c r="Y76" i="1"/>
  <c r="I76" i="1"/>
  <c r="N370" i="1" l="1"/>
  <c r="W370" i="1"/>
  <c r="V370" i="1"/>
  <c r="U370" i="1"/>
  <c r="T370" i="1"/>
  <c r="S370" i="1"/>
  <c r="Z370" i="1"/>
  <c r="Y370" i="1"/>
  <c r="AA370" i="1"/>
  <c r="M370" i="1"/>
  <c r="K370" i="1"/>
  <c r="J370" i="1"/>
  <c r="H370" i="1"/>
  <c r="I370" i="1"/>
  <c r="G370" i="1"/>
  <c r="F370" i="1"/>
  <c r="R370" i="1"/>
  <c r="Q370" i="1"/>
  <c r="X370" i="1"/>
  <c r="P370" i="1"/>
  <c r="O370" i="1"/>
  <c r="L371" i="1"/>
  <c r="R76" i="1"/>
  <c r="Q76" i="1" s="1"/>
  <c r="X371" i="1" l="1"/>
  <c r="M371" i="1"/>
  <c r="J371" i="1"/>
  <c r="I371" i="1"/>
  <c r="G371" i="1"/>
  <c r="F371" i="1"/>
  <c r="W371" i="1"/>
  <c r="V371" i="1"/>
  <c r="U371" i="1"/>
  <c r="T371" i="1"/>
  <c r="K371" i="1"/>
  <c r="L372" i="1"/>
  <c r="S371" i="1"/>
  <c r="Q371" i="1"/>
  <c r="R371" i="1"/>
  <c r="P371" i="1"/>
  <c r="Y371" i="1"/>
  <c r="H371" i="1"/>
  <c r="Z371" i="1"/>
  <c r="O371" i="1"/>
  <c r="N371" i="1"/>
  <c r="AA371" i="1"/>
  <c r="X76" i="1"/>
  <c r="K76" i="1"/>
  <c r="W76" i="1"/>
  <c r="O77" i="1" s="1"/>
  <c r="L373" i="1" l="1"/>
  <c r="W372" i="1"/>
  <c r="T372" i="1"/>
  <c r="S372" i="1"/>
  <c r="K372" i="1"/>
  <c r="J372" i="1"/>
  <c r="I372" i="1"/>
  <c r="H372" i="1"/>
  <c r="G372" i="1"/>
  <c r="AA372" i="1"/>
  <c r="Z372" i="1"/>
  <c r="Y372" i="1"/>
  <c r="X372" i="1"/>
  <c r="U372" i="1"/>
  <c r="V372" i="1"/>
  <c r="R372" i="1"/>
  <c r="P372" i="1"/>
  <c r="O372" i="1"/>
  <c r="N372" i="1"/>
  <c r="M372" i="1"/>
  <c r="Q372" i="1"/>
  <c r="F372" i="1"/>
  <c r="Z77" i="1"/>
  <c r="U373" i="1" l="1"/>
  <c r="T373" i="1"/>
  <c r="Q373" i="1"/>
  <c r="S373" i="1"/>
  <c r="R373" i="1"/>
  <c r="G373" i="1"/>
  <c r="F373" i="1"/>
  <c r="L374" i="1"/>
  <c r="Z373" i="1"/>
  <c r="Y373" i="1"/>
  <c r="W373" i="1"/>
  <c r="P373" i="1"/>
  <c r="N373" i="1"/>
  <c r="M373" i="1"/>
  <c r="X373" i="1"/>
  <c r="K373" i="1"/>
  <c r="J373" i="1"/>
  <c r="I373" i="1"/>
  <c r="H373" i="1"/>
  <c r="V373" i="1"/>
  <c r="O373" i="1"/>
  <c r="AA373" i="1"/>
  <c r="AA77" i="1"/>
  <c r="Y77" i="1" s="1"/>
  <c r="V374" i="1" l="1"/>
  <c r="K374" i="1"/>
  <c r="H374" i="1"/>
  <c r="G374" i="1"/>
  <c r="AA374" i="1"/>
  <c r="X374" i="1"/>
  <c r="Z374" i="1"/>
  <c r="W374" i="1"/>
  <c r="Y374" i="1"/>
  <c r="J374" i="1"/>
  <c r="I374" i="1"/>
  <c r="F374" i="1"/>
  <c r="L375" i="1"/>
  <c r="T374" i="1"/>
  <c r="O374" i="1"/>
  <c r="M374" i="1"/>
  <c r="R374" i="1"/>
  <c r="U374" i="1"/>
  <c r="N374" i="1"/>
  <c r="S374" i="1"/>
  <c r="Q374" i="1"/>
  <c r="P374" i="1"/>
  <c r="R77" i="1"/>
  <c r="Q77" i="1" s="1"/>
  <c r="I77" i="1"/>
  <c r="U375" i="1" l="1"/>
  <c r="R375" i="1"/>
  <c r="Q375" i="1"/>
  <c r="I375" i="1"/>
  <c r="H375" i="1"/>
  <c r="G375" i="1"/>
  <c r="F375" i="1"/>
  <c r="J375" i="1"/>
  <c r="L376" i="1"/>
  <c r="O375" i="1"/>
  <c r="M375" i="1"/>
  <c r="X375" i="1"/>
  <c r="W375" i="1"/>
  <c r="T375" i="1"/>
  <c r="P375" i="1"/>
  <c r="N375" i="1"/>
  <c r="S375" i="1"/>
  <c r="Y375" i="1"/>
  <c r="K375" i="1"/>
  <c r="V375" i="1"/>
  <c r="Z375" i="1"/>
  <c r="AA375" i="1"/>
  <c r="X77" i="1"/>
  <c r="K77" i="1"/>
  <c r="W77" i="1"/>
  <c r="O78" i="1" s="1"/>
  <c r="J376" i="1" l="1"/>
  <c r="AA376" i="1"/>
  <c r="S376" i="1"/>
  <c r="R376" i="1"/>
  <c r="Q376" i="1"/>
  <c r="P376" i="1"/>
  <c r="O376" i="1"/>
  <c r="Y376" i="1"/>
  <c r="Z376" i="1"/>
  <c r="T376" i="1"/>
  <c r="N376" i="1"/>
  <c r="M376" i="1"/>
  <c r="X376" i="1"/>
  <c r="W376" i="1"/>
  <c r="V376" i="1"/>
  <c r="U376" i="1"/>
  <c r="K376" i="1"/>
  <c r="L377" i="1"/>
  <c r="I376" i="1"/>
  <c r="H376" i="1"/>
  <c r="F376" i="1"/>
  <c r="G376" i="1"/>
  <c r="Z78" i="1"/>
  <c r="T377" i="1" l="1"/>
  <c r="I377" i="1"/>
  <c r="F377" i="1"/>
  <c r="Y377" i="1"/>
  <c r="AA377" i="1"/>
  <c r="Z377" i="1"/>
  <c r="J377" i="1"/>
  <c r="H377" i="1"/>
  <c r="G377" i="1"/>
  <c r="U377" i="1"/>
  <c r="R377" i="1"/>
  <c r="L378" i="1"/>
  <c r="K377" i="1"/>
  <c r="S377" i="1"/>
  <c r="Q377" i="1"/>
  <c r="P377" i="1"/>
  <c r="O377" i="1"/>
  <c r="N377" i="1"/>
  <c r="M377" i="1"/>
  <c r="X377" i="1"/>
  <c r="W377" i="1"/>
  <c r="V377" i="1"/>
  <c r="AA78" i="1"/>
  <c r="I78" i="1" s="1"/>
  <c r="S378" i="1" l="1"/>
  <c r="P378" i="1"/>
  <c r="O378" i="1"/>
  <c r="G378" i="1"/>
  <c r="F378" i="1"/>
  <c r="Y378" i="1"/>
  <c r="AA378" i="1"/>
  <c r="Z378" i="1"/>
  <c r="X378" i="1"/>
  <c r="W378" i="1"/>
  <c r="V378" i="1"/>
  <c r="R378" i="1"/>
  <c r="Q378" i="1"/>
  <c r="M378" i="1"/>
  <c r="J378" i="1"/>
  <c r="K378" i="1"/>
  <c r="L379" i="1"/>
  <c r="U378" i="1"/>
  <c r="H378" i="1"/>
  <c r="T378" i="1"/>
  <c r="I378" i="1"/>
  <c r="N378" i="1"/>
  <c r="Y78" i="1"/>
  <c r="H379" i="1" l="1"/>
  <c r="Z379" i="1"/>
  <c r="Y379" i="1"/>
  <c r="Q379" i="1"/>
  <c r="P379" i="1"/>
  <c r="O379" i="1"/>
  <c r="M379" i="1"/>
  <c r="N379" i="1"/>
  <c r="G379" i="1"/>
  <c r="F379" i="1"/>
  <c r="I379" i="1"/>
  <c r="AA379" i="1"/>
  <c r="L380" i="1"/>
  <c r="T379" i="1"/>
  <c r="R379" i="1"/>
  <c r="S379" i="1"/>
  <c r="J379" i="1"/>
  <c r="W379" i="1"/>
  <c r="X379" i="1"/>
  <c r="V379" i="1"/>
  <c r="U379" i="1"/>
  <c r="K379" i="1"/>
  <c r="R78" i="1"/>
  <c r="Q78" i="1" s="1"/>
  <c r="R380" i="1" l="1"/>
  <c r="G380" i="1"/>
  <c r="AA380" i="1"/>
  <c r="Z380" i="1"/>
  <c r="Y380" i="1"/>
  <c r="X380" i="1"/>
  <c r="W380" i="1"/>
  <c r="I380" i="1"/>
  <c r="F380" i="1"/>
  <c r="V380" i="1"/>
  <c r="L381" i="1"/>
  <c r="U380" i="1"/>
  <c r="S380" i="1"/>
  <c r="P380" i="1"/>
  <c r="O380" i="1"/>
  <c r="N380" i="1"/>
  <c r="M380" i="1"/>
  <c r="K380" i="1"/>
  <c r="J380" i="1"/>
  <c r="T380" i="1"/>
  <c r="Q380" i="1"/>
  <c r="H380" i="1"/>
  <c r="X78" i="1"/>
  <c r="K78" i="1"/>
  <c r="W78" i="1"/>
  <c r="O79" i="1" s="1"/>
  <c r="Q381" i="1" l="1"/>
  <c r="N381" i="1"/>
  <c r="M381" i="1"/>
  <c r="L382" i="1"/>
  <c r="J381" i="1"/>
  <c r="G381" i="1"/>
  <c r="I381" i="1"/>
  <c r="F381" i="1"/>
  <c r="H381" i="1"/>
  <c r="S381" i="1"/>
  <c r="R381" i="1"/>
  <c r="P381" i="1"/>
  <c r="O381" i="1"/>
  <c r="W381" i="1"/>
  <c r="V381" i="1"/>
  <c r="T381" i="1"/>
  <c r="K381" i="1"/>
  <c r="X381" i="1"/>
  <c r="U381" i="1"/>
  <c r="AA381" i="1"/>
  <c r="Z381" i="1"/>
  <c r="Y381" i="1"/>
  <c r="Z79" i="1"/>
  <c r="AA79" i="1" s="1"/>
  <c r="F382" i="1" l="1"/>
  <c r="AA382" i="1"/>
  <c r="X382" i="1"/>
  <c r="W382" i="1"/>
  <c r="O382" i="1"/>
  <c r="N382" i="1"/>
  <c r="K382" i="1"/>
  <c r="M382" i="1"/>
  <c r="Q382" i="1"/>
  <c r="J382" i="1"/>
  <c r="V382" i="1"/>
  <c r="U382" i="1"/>
  <c r="Z382" i="1"/>
  <c r="Y382" i="1"/>
  <c r="T382" i="1"/>
  <c r="G382" i="1"/>
  <c r="L383" i="1"/>
  <c r="R382" i="1"/>
  <c r="S382" i="1"/>
  <c r="H382" i="1"/>
  <c r="P382" i="1"/>
  <c r="I382" i="1"/>
  <c r="Y79" i="1"/>
  <c r="I79" i="1"/>
  <c r="P383" i="1" l="1"/>
  <c r="L384" i="1"/>
  <c r="Y383" i="1"/>
  <c r="X383" i="1"/>
  <c r="W383" i="1"/>
  <c r="U383" i="1"/>
  <c r="V383" i="1"/>
  <c r="J383" i="1"/>
  <c r="I383" i="1"/>
  <c r="H383" i="1"/>
  <c r="G383" i="1"/>
  <c r="F383" i="1"/>
  <c r="AA383" i="1"/>
  <c r="Z383" i="1"/>
  <c r="T383" i="1"/>
  <c r="S383" i="1"/>
  <c r="R383" i="1"/>
  <c r="Q383" i="1"/>
  <c r="K383" i="1"/>
  <c r="M383" i="1"/>
  <c r="O383" i="1"/>
  <c r="N383" i="1"/>
  <c r="R79" i="1"/>
  <c r="Q79" i="1" s="1"/>
  <c r="Z384" i="1" l="1"/>
  <c r="O384" i="1"/>
  <c r="K384" i="1"/>
  <c r="L385" i="1"/>
  <c r="AA384" i="1"/>
  <c r="Y384" i="1"/>
  <c r="V384" i="1"/>
  <c r="T384" i="1"/>
  <c r="R384" i="1"/>
  <c r="Q384" i="1"/>
  <c r="N384" i="1"/>
  <c r="M384" i="1"/>
  <c r="J384" i="1"/>
  <c r="I384" i="1"/>
  <c r="S384" i="1"/>
  <c r="G384" i="1"/>
  <c r="U384" i="1"/>
  <c r="P384" i="1"/>
  <c r="H384" i="1"/>
  <c r="F384" i="1"/>
  <c r="X384" i="1"/>
  <c r="W384" i="1"/>
  <c r="X79" i="1"/>
  <c r="K79" i="1"/>
  <c r="W79" i="1"/>
  <c r="O80" i="1" s="1"/>
  <c r="Y385" i="1" l="1"/>
  <c r="V385" i="1"/>
  <c r="U385" i="1"/>
  <c r="M385" i="1"/>
  <c r="K385" i="1"/>
  <c r="J385" i="1"/>
  <c r="I385" i="1"/>
  <c r="H385" i="1"/>
  <c r="G385" i="1"/>
  <c r="F385" i="1"/>
  <c r="X385" i="1"/>
  <c r="Q385" i="1"/>
  <c r="O385" i="1"/>
  <c r="P385" i="1"/>
  <c r="N385" i="1"/>
  <c r="Z385" i="1"/>
  <c r="L386" i="1"/>
  <c r="S385" i="1"/>
  <c r="AA385" i="1"/>
  <c r="W385" i="1"/>
  <c r="T385" i="1"/>
  <c r="R385" i="1"/>
  <c r="Z80" i="1"/>
  <c r="AA80" i="1" s="1"/>
  <c r="N386" i="1" l="1"/>
  <c r="W386" i="1"/>
  <c r="V386" i="1"/>
  <c r="S386" i="1"/>
  <c r="U386" i="1"/>
  <c r="T386" i="1"/>
  <c r="L387" i="1"/>
  <c r="J386" i="1"/>
  <c r="I386" i="1"/>
  <c r="H386" i="1"/>
  <c r="G386" i="1"/>
  <c r="AA386" i="1"/>
  <c r="Z386" i="1"/>
  <c r="R386" i="1"/>
  <c r="P386" i="1"/>
  <c r="O386" i="1"/>
  <c r="Q386" i="1"/>
  <c r="F386" i="1"/>
  <c r="Y386" i="1"/>
  <c r="X386" i="1"/>
  <c r="M386" i="1"/>
  <c r="K386" i="1"/>
  <c r="Y80" i="1"/>
  <c r="I80" i="1"/>
  <c r="X387" i="1" l="1"/>
  <c r="M387" i="1"/>
  <c r="J387" i="1"/>
  <c r="I387" i="1"/>
  <c r="G387" i="1"/>
  <c r="F387" i="1"/>
  <c r="K387" i="1"/>
  <c r="H387" i="1"/>
  <c r="P387" i="1"/>
  <c r="N387" i="1"/>
  <c r="T387" i="1"/>
  <c r="S387" i="1"/>
  <c r="R387" i="1"/>
  <c r="Q387" i="1"/>
  <c r="O387" i="1"/>
  <c r="AA387" i="1"/>
  <c r="Z387" i="1"/>
  <c r="L388" i="1"/>
  <c r="Y387" i="1"/>
  <c r="W387" i="1"/>
  <c r="U387" i="1"/>
  <c r="V387" i="1"/>
  <c r="R80" i="1"/>
  <c r="Q80" i="1" s="1"/>
  <c r="L389" i="1" l="1"/>
  <c r="W388" i="1"/>
  <c r="T388" i="1"/>
  <c r="S388" i="1"/>
  <c r="K388" i="1"/>
  <c r="J388" i="1"/>
  <c r="I388" i="1"/>
  <c r="G388" i="1"/>
  <c r="H388" i="1"/>
  <c r="R388" i="1"/>
  <c r="Q388" i="1"/>
  <c r="P388" i="1"/>
  <c r="O388" i="1"/>
  <c r="X388" i="1"/>
  <c r="Z388" i="1"/>
  <c r="M388" i="1"/>
  <c r="F388" i="1"/>
  <c r="AA388" i="1"/>
  <c r="V388" i="1"/>
  <c r="N388" i="1"/>
  <c r="Y388" i="1"/>
  <c r="U388" i="1"/>
  <c r="X80" i="1"/>
  <c r="K80" i="1"/>
  <c r="W80" i="1"/>
  <c r="O81" i="1" s="1"/>
  <c r="U389" i="1" l="1"/>
  <c r="T389" i="1"/>
  <c r="S389" i="1"/>
  <c r="R389" i="1"/>
  <c r="Q389" i="1"/>
  <c r="J389" i="1"/>
  <c r="I389" i="1"/>
  <c r="F389" i="1"/>
  <c r="H389" i="1"/>
  <c r="G389" i="1"/>
  <c r="X389" i="1"/>
  <c r="V389" i="1"/>
  <c r="L390" i="1"/>
  <c r="K389" i="1"/>
  <c r="O389" i="1"/>
  <c r="M389" i="1"/>
  <c r="N389" i="1"/>
  <c r="AA389" i="1"/>
  <c r="Z389" i="1"/>
  <c r="W389" i="1"/>
  <c r="Y389" i="1"/>
  <c r="P389" i="1"/>
  <c r="Z81" i="1"/>
  <c r="V390" i="1" l="1"/>
  <c r="K390" i="1"/>
  <c r="H390" i="1"/>
  <c r="G390" i="1"/>
  <c r="AA390" i="1"/>
  <c r="L391" i="1"/>
  <c r="Z390" i="1"/>
  <c r="X390" i="1"/>
  <c r="W390" i="1"/>
  <c r="U390" i="1"/>
  <c r="T390" i="1"/>
  <c r="O390" i="1"/>
  <c r="N390" i="1"/>
  <c r="M390" i="1"/>
  <c r="J390" i="1"/>
  <c r="I390" i="1"/>
  <c r="F390" i="1"/>
  <c r="Y390" i="1"/>
  <c r="S390" i="1"/>
  <c r="R390" i="1"/>
  <c r="P390" i="1"/>
  <c r="Q390" i="1"/>
  <c r="AA81" i="1"/>
  <c r="Y81" i="1" s="1"/>
  <c r="U391" i="1" l="1"/>
  <c r="R391" i="1"/>
  <c r="Q391" i="1"/>
  <c r="I391" i="1"/>
  <c r="H391" i="1"/>
  <c r="G391" i="1"/>
  <c r="F391" i="1"/>
  <c r="M391" i="1"/>
  <c r="J391" i="1"/>
  <c r="K391" i="1"/>
  <c r="AA391" i="1"/>
  <c r="X391" i="1"/>
  <c r="Z391" i="1"/>
  <c r="Y391" i="1"/>
  <c r="W391" i="1"/>
  <c r="L392" i="1"/>
  <c r="V391" i="1"/>
  <c r="N391" i="1"/>
  <c r="O391" i="1"/>
  <c r="P391" i="1"/>
  <c r="S391" i="1"/>
  <c r="T391" i="1"/>
  <c r="R81" i="1"/>
  <c r="Q81" i="1" s="1"/>
  <c r="I81" i="1"/>
  <c r="J392" i="1" l="1"/>
  <c r="AA392" i="1"/>
  <c r="S392" i="1"/>
  <c r="R392" i="1"/>
  <c r="Q392" i="1"/>
  <c r="O392" i="1"/>
  <c r="P392" i="1"/>
  <c r="L393" i="1"/>
  <c r="G392" i="1"/>
  <c r="Z392" i="1"/>
  <c r="X392" i="1"/>
  <c r="W392" i="1"/>
  <c r="Y392" i="1"/>
  <c r="V392" i="1"/>
  <c r="T392" i="1"/>
  <c r="M392" i="1"/>
  <c r="I392" i="1"/>
  <c r="U392" i="1"/>
  <c r="K392" i="1"/>
  <c r="H392" i="1"/>
  <c r="F392" i="1"/>
  <c r="N392" i="1"/>
  <c r="X81" i="1"/>
  <c r="K81" i="1"/>
  <c r="W81" i="1"/>
  <c r="O82" i="1" s="1"/>
  <c r="T393" i="1" l="1"/>
  <c r="I393" i="1"/>
  <c r="F393" i="1"/>
  <c r="AA393" i="1"/>
  <c r="Z393" i="1"/>
  <c r="Y393" i="1"/>
  <c r="M393" i="1"/>
  <c r="J393" i="1"/>
  <c r="K393" i="1"/>
  <c r="H393" i="1"/>
  <c r="Q393" i="1"/>
  <c r="P393" i="1"/>
  <c r="O393" i="1"/>
  <c r="N393" i="1"/>
  <c r="S393" i="1"/>
  <c r="R393" i="1"/>
  <c r="G393" i="1"/>
  <c r="L394" i="1"/>
  <c r="X393" i="1"/>
  <c r="V393" i="1"/>
  <c r="W393" i="1"/>
  <c r="U393" i="1"/>
  <c r="Z82" i="1"/>
  <c r="S394" i="1" l="1"/>
  <c r="P394" i="1"/>
  <c r="O394" i="1"/>
  <c r="G394" i="1"/>
  <c r="F394" i="1"/>
  <c r="Q394" i="1"/>
  <c r="M394" i="1"/>
  <c r="U394" i="1"/>
  <c r="L395" i="1"/>
  <c r="W394" i="1"/>
  <c r="T394" i="1"/>
  <c r="R394" i="1"/>
  <c r="V394" i="1"/>
  <c r="Y394" i="1"/>
  <c r="K394" i="1"/>
  <c r="J394" i="1"/>
  <c r="I394" i="1"/>
  <c r="AA394" i="1"/>
  <c r="Z394" i="1"/>
  <c r="X394" i="1"/>
  <c r="N394" i="1"/>
  <c r="H394" i="1"/>
  <c r="AA82" i="1"/>
  <c r="I82" i="1" s="1"/>
  <c r="H395" i="1" l="1"/>
  <c r="Z395" i="1"/>
  <c r="Y395" i="1"/>
  <c r="Q395" i="1"/>
  <c r="P395" i="1"/>
  <c r="M395" i="1"/>
  <c r="O395" i="1"/>
  <c r="N395" i="1"/>
  <c r="K395" i="1"/>
  <c r="J395" i="1"/>
  <c r="F395" i="1"/>
  <c r="I395" i="1"/>
  <c r="G395" i="1"/>
  <c r="AA395" i="1"/>
  <c r="X395" i="1"/>
  <c r="W395" i="1"/>
  <c r="V395" i="1"/>
  <c r="L396" i="1"/>
  <c r="T395" i="1"/>
  <c r="R395" i="1"/>
  <c r="U395" i="1"/>
  <c r="S395" i="1"/>
  <c r="Y82" i="1"/>
  <c r="R396" i="1" l="1"/>
  <c r="G396" i="1"/>
  <c r="F396" i="1"/>
  <c r="AA396" i="1"/>
  <c r="Z396" i="1"/>
  <c r="Y396" i="1"/>
  <c r="W396" i="1"/>
  <c r="X396" i="1"/>
  <c r="L397" i="1"/>
  <c r="V396" i="1"/>
  <c r="T396" i="1"/>
  <c r="O396" i="1"/>
  <c r="N396" i="1"/>
  <c r="M396" i="1"/>
  <c r="K396" i="1"/>
  <c r="J396" i="1"/>
  <c r="I396" i="1"/>
  <c r="P396" i="1"/>
  <c r="Q396" i="1"/>
  <c r="H396" i="1"/>
  <c r="U396" i="1"/>
  <c r="S396" i="1"/>
  <c r="R82" i="1"/>
  <c r="Q82" i="1" s="1"/>
  <c r="Q397" i="1" l="1"/>
  <c r="P397" i="1"/>
  <c r="N397" i="1"/>
  <c r="M397" i="1"/>
  <c r="L398" i="1"/>
  <c r="R397" i="1"/>
  <c r="J397" i="1"/>
  <c r="O397" i="1"/>
  <c r="K397" i="1"/>
  <c r="W397" i="1"/>
  <c r="I397" i="1"/>
  <c r="G397" i="1"/>
  <c r="H397" i="1"/>
  <c r="F397" i="1"/>
  <c r="U397" i="1"/>
  <c r="T397" i="1"/>
  <c r="AA397" i="1"/>
  <c r="S397" i="1"/>
  <c r="Z397" i="1"/>
  <c r="Y397" i="1"/>
  <c r="V397" i="1"/>
  <c r="X397" i="1"/>
  <c r="X82" i="1"/>
  <c r="K82" i="1"/>
  <c r="W82" i="1"/>
  <c r="O83" i="1" s="1"/>
  <c r="F398" i="1" l="1"/>
  <c r="AA398" i="1"/>
  <c r="Z398" i="1"/>
  <c r="X398" i="1"/>
  <c r="W398" i="1"/>
  <c r="O398" i="1"/>
  <c r="N398" i="1"/>
  <c r="M398" i="1"/>
  <c r="K398" i="1"/>
  <c r="L399" i="1"/>
  <c r="P398" i="1"/>
  <c r="J398" i="1"/>
  <c r="I398" i="1"/>
  <c r="H398" i="1"/>
  <c r="U398" i="1"/>
  <c r="R398" i="1"/>
  <c r="Q398" i="1"/>
  <c r="T398" i="1"/>
  <c r="S398" i="1"/>
  <c r="Y398" i="1"/>
  <c r="G398" i="1"/>
  <c r="V398" i="1"/>
  <c r="Z83" i="1"/>
  <c r="AA83" i="1" s="1"/>
  <c r="P399" i="1" l="1"/>
  <c r="L400" i="1"/>
  <c r="Y399" i="1"/>
  <c r="X399" i="1"/>
  <c r="U399" i="1"/>
  <c r="W399" i="1"/>
  <c r="V399" i="1"/>
  <c r="Q399" i="1"/>
  <c r="M399" i="1"/>
  <c r="O399" i="1"/>
  <c r="N399" i="1"/>
  <c r="R399" i="1"/>
  <c r="J399" i="1"/>
  <c r="T399" i="1"/>
  <c r="S399" i="1"/>
  <c r="K399" i="1"/>
  <c r="I399" i="1"/>
  <c r="G399" i="1"/>
  <c r="F399" i="1"/>
  <c r="H399" i="1"/>
  <c r="AA399" i="1"/>
  <c r="Z399" i="1"/>
  <c r="Y83" i="1"/>
  <c r="I83" i="1"/>
  <c r="Z400" i="1" l="1"/>
  <c r="O400" i="1"/>
  <c r="N400" i="1"/>
  <c r="K400" i="1"/>
  <c r="L401" i="1"/>
  <c r="W400" i="1"/>
  <c r="V400" i="1"/>
  <c r="U400" i="1"/>
  <c r="T400" i="1"/>
  <c r="X400" i="1"/>
  <c r="AA400" i="1"/>
  <c r="S400" i="1"/>
  <c r="P400" i="1"/>
  <c r="J400" i="1"/>
  <c r="I400" i="1"/>
  <c r="H400" i="1"/>
  <c r="Q400" i="1"/>
  <c r="M400" i="1"/>
  <c r="G400" i="1"/>
  <c r="Y400" i="1"/>
  <c r="R400" i="1"/>
  <c r="F400" i="1"/>
  <c r="R83" i="1"/>
  <c r="Q83" i="1" s="1"/>
  <c r="Y401" i="1" l="1"/>
  <c r="X401" i="1"/>
  <c r="V401" i="1"/>
  <c r="U401" i="1"/>
  <c r="M401" i="1"/>
  <c r="K401" i="1"/>
  <c r="I401" i="1"/>
  <c r="J401" i="1"/>
  <c r="T401" i="1"/>
  <c r="S401" i="1"/>
  <c r="Q401" i="1"/>
  <c r="P401" i="1"/>
  <c r="R401" i="1"/>
  <c r="L402" i="1"/>
  <c r="G401" i="1"/>
  <c r="F401" i="1"/>
  <c r="AA401" i="1"/>
  <c r="W401" i="1"/>
  <c r="N401" i="1"/>
  <c r="Z401" i="1"/>
  <c r="H401" i="1"/>
  <c r="O401" i="1"/>
  <c r="X83" i="1"/>
  <c r="K83" i="1"/>
  <c r="W83" i="1"/>
  <c r="O84" i="1" s="1"/>
  <c r="N402" i="1" l="1"/>
  <c r="L403" i="1"/>
  <c r="W402" i="1"/>
  <c r="V402" i="1"/>
  <c r="U402" i="1"/>
  <c r="T402" i="1"/>
  <c r="S402" i="1"/>
  <c r="H402" i="1"/>
  <c r="F402" i="1"/>
  <c r="Q402" i="1"/>
  <c r="P402" i="1"/>
  <c r="O402" i="1"/>
  <c r="M402" i="1"/>
  <c r="K402" i="1"/>
  <c r="J402" i="1"/>
  <c r="Z402" i="1"/>
  <c r="AA402" i="1"/>
  <c r="Y402" i="1"/>
  <c r="I402" i="1"/>
  <c r="X402" i="1"/>
  <c r="R402" i="1"/>
  <c r="G402" i="1"/>
  <c r="Z84" i="1"/>
  <c r="AA84" i="1" s="1"/>
  <c r="X403" i="1" l="1"/>
  <c r="M403" i="1"/>
  <c r="J403" i="1"/>
  <c r="I403" i="1"/>
  <c r="V403" i="1"/>
  <c r="U403" i="1"/>
  <c r="R403" i="1"/>
  <c r="T403" i="1"/>
  <c r="S403" i="1"/>
  <c r="N403" i="1"/>
  <c r="K403" i="1"/>
  <c r="H403" i="1"/>
  <c r="G403" i="1"/>
  <c r="AA403" i="1"/>
  <c r="L404" i="1"/>
  <c r="Z403" i="1"/>
  <c r="Y403" i="1"/>
  <c r="F403" i="1"/>
  <c r="Q403" i="1"/>
  <c r="W403" i="1"/>
  <c r="O403" i="1"/>
  <c r="P403" i="1"/>
  <c r="Y84" i="1"/>
  <c r="I84" i="1"/>
  <c r="L405" i="1" l="1"/>
  <c r="W404" i="1"/>
  <c r="V404" i="1"/>
  <c r="T404" i="1"/>
  <c r="S404" i="1"/>
  <c r="K404" i="1"/>
  <c r="J404" i="1"/>
  <c r="G404" i="1"/>
  <c r="I404" i="1"/>
  <c r="H404" i="1"/>
  <c r="Q404" i="1"/>
  <c r="O404" i="1"/>
  <c r="Z404" i="1"/>
  <c r="X404" i="1"/>
  <c r="P404" i="1"/>
  <c r="AA404" i="1"/>
  <c r="R404" i="1"/>
  <c r="N404" i="1"/>
  <c r="M404" i="1"/>
  <c r="F404" i="1"/>
  <c r="Y404" i="1"/>
  <c r="U404" i="1"/>
  <c r="R84" i="1"/>
  <c r="Q84" i="1" s="1"/>
  <c r="U405" i="1" l="1"/>
  <c r="T405" i="1"/>
  <c r="S405" i="1"/>
  <c r="Q405" i="1"/>
  <c r="R405" i="1"/>
  <c r="Z405" i="1"/>
  <c r="W405" i="1"/>
  <c r="Y405" i="1"/>
  <c r="X405" i="1"/>
  <c r="V405" i="1"/>
  <c r="AA405" i="1"/>
  <c r="P405" i="1"/>
  <c r="O405" i="1"/>
  <c r="N405" i="1"/>
  <c r="M405" i="1"/>
  <c r="K405" i="1"/>
  <c r="J405" i="1"/>
  <c r="H405" i="1"/>
  <c r="I405" i="1"/>
  <c r="G405" i="1"/>
  <c r="F405" i="1"/>
  <c r="L406" i="1"/>
  <c r="X84" i="1"/>
  <c r="K84" i="1"/>
  <c r="W84" i="1"/>
  <c r="O85" i="1" s="1"/>
  <c r="V406" i="1" l="1"/>
  <c r="K406" i="1"/>
  <c r="J406" i="1"/>
  <c r="H406" i="1"/>
  <c r="G406" i="1"/>
  <c r="AA406" i="1"/>
  <c r="F406" i="1"/>
  <c r="Y406" i="1"/>
  <c r="W406" i="1"/>
  <c r="Z406" i="1"/>
  <c r="U406" i="1"/>
  <c r="T406" i="1"/>
  <c r="X406" i="1"/>
  <c r="R406" i="1"/>
  <c r="I406" i="1"/>
  <c r="Q406" i="1"/>
  <c r="M406" i="1"/>
  <c r="L407" i="1"/>
  <c r="P406" i="1"/>
  <c r="O406" i="1"/>
  <c r="N406" i="1"/>
  <c r="S406" i="1"/>
  <c r="Z85" i="1"/>
  <c r="U407" i="1" l="1"/>
  <c r="T407" i="1"/>
  <c r="R407" i="1"/>
  <c r="Q407" i="1"/>
  <c r="I407" i="1"/>
  <c r="H407" i="1"/>
  <c r="G407" i="1"/>
  <c r="F407" i="1"/>
  <c r="X407" i="1"/>
  <c r="AA407" i="1"/>
  <c r="Z407" i="1"/>
  <c r="Y407" i="1"/>
  <c r="L408" i="1"/>
  <c r="W407" i="1"/>
  <c r="V407" i="1"/>
  <c r="S407" i="1"/>
  <c r="P407" i="1"/>
  <c r="K407" i="1"/>
  <c r="J407" i="1"/>
  <c r="O407" i="1"/>
  <c r="M407" i="1"/>
  <c r="N407" i="1"/>
  <c r="AA85" i="1"/>
  <c r="Y85" i="1" s="1"/>
  <c r="J408" i="1" l="1"/>
  <c r="AA408" i="1"/>
  <c r="S408" i="1"/>
  <c r="R408" i="1"/>
  <c r="Q408" i="1"/>
  <c r="O408" i="1"/>
  <c r="P408" i="1"/>
  <c r="F408" i="1"/>
  <c r="N408" i="1"/>
  <c r="M408" i="1"/>
  <c r="K408" i="1"/>
  <c r="Y408" i="1"/>
  <c r="X408" i="1"/>
  <c r="W408" i="1"/>
  <c r="V408" i="1"/>
  <c r="U408" i="1"/>
  <c r="T408" i="1"/>
  <c r="I408" i="1"/>
  <c r="Z408" i="1"/>
  <c r="H408" i="1"/>
  <c r="G408" i="1"/>
  <c r="L409" i="1"/>
  <c r="R85" i="1"/>
  <c r="Q85" i="1" s="1"/>
  <c r="I85" i="1"/>
  <c r="T409" i="1" l="1"/>
  <c r="I409" i="1"/>
  <c r="H409" i="1"/>
  <c r="F409" i="1"/>
  <c r="Y409" i="1"/>
  <c r="AA409" i="1"/>
  <c r="Z409" i="1"/>
  <c r="X409" i="1"/>
  <c r="W409" i="1"/>
  <c r="O409" i="1"/>
  <c r="M409" i="1"/>
  <c r="Q409" i="1"/>
  <c r="N409" i="1"/>
  <c r="P409" i="1"/>
  <c r="K409" i="1"/>
  <c r="J409" i="1"/>
  <c r="L410" i="1"/>
  <c r="R409" i="1"/>
  <c r="V409" i="1"/>
  <c r="S409" i="1"/>
  <c r="U409" i="1"/>
  <c r="G409" i="1"/>
  <c r="X85" i="1"/>
  <c r="K85" i="1"/>
  <c r="W85" i="1"/>
  <c r="O86" i="1" s="1"/>
  <c r="S410" i="1" l="1"/>
  <c r="R410" i="1"/>
  <c r="P410" i="1"/>
  <c r="O410" i="1"/>
  <c r="G410" i="1"/>
  <c r="F410" i="1"/>
  <c r="J410" i="1"/>
  <c r="I410" i="1"/>
  <c r="H410" i="1"/>
  <c r="Z410" i="1"/>
  <c r="Y410" i="1"/>
  <c r="X410" i="1"/>
  <c r="W410" i="1"/>
  <c r="L411" i="1"/>
  <c r="K410" i="1"/>
  <c r="AA410" i="1"/>
  <c r="U410" i="1"/>
  <c r="V410" i="1"/>
  <c r="T410" i="1"/>
  <c r="Q410" i="1"/>
  <c r="M410" i="1"/>
  <c r="N410" i="1"/>
  <c r="Z86" i="1"/>
  <c r="H411" i="1" l="1"/>
  <c r="Z411" i="1"/>
  <c r="Y411" i="1"/>
  <c r="Q411" i="1"/>
  <c r="P411" i="1"/>
  <c r="O411" i="1"/>
  <c r="N411" i="1"/>
  <c r="M411" i="1"/>
  <c r="L412" i="1"/>
  <c r="X411" i="1"/>
  <c r="V411" i="1"/>
  <c r="W411" i="1"/>
  <c r="U411" i="1"/>
  <c r="T411" i="1"/>
  <c r="S411" i="1"/>
  <c r="R411" i="1"/>
  <c r="K411" i="1"/>
  <c r="G411" i="1"/>
  <c r="F411" i="1"/>
  <c r="J411" i="1"/>
  <c r="AA411" i="1"/>
  <c r="I411" i="1"/>
  <c r="AA86" i="1"/>
  <c r="I86" i="1" s="1"/>
  <c r="R412" i="1" l="1"/>
  <c r="G412" i="1"/>
  <c r="F412" i="1"/>
  <c r="AA412" i="1"/>
  <c r="W412" i="1"/>
  <c r="Z412" i="1"/>
  <c r="Y412" i="1"/>
  <c r="X412" i="1"/>
  <c r="I412" i="1"/>
  <c r="K412" i="1"/>
  <c r="H412" i="1"/>
  <c r="J412" i="1"/>
  <c r="L413" i="1"/>
  <c r="Q412" i="1"/>
  <c r="V412" i="1"/>
  <c r="U412" i="1"/>
  <c r="T412" i="1"/>
  <c r="S412" i="1"/>
  <c r="P412" i="1"/>
  <c r="O412" i="1"/>
  <c r="N412" i="1"/>
  <c r="M412" i="1"/>
  <c r="Y86" i="1"/>
  <c r="Q413" i="1" l="1"/>
  <c r="P413" i="1"/>
  <c r="N413" i="1"/>
  <c r="M413" i="1"/>
  <c r="L414" i="1"/>
  <c r="O413" i="1"/>
  <c r="K413" i="1"/>
  <c r="J413" i="1"/>
  <c r="H413" i="1"/>
  <c r="T413" i="1"/>
  <c r="G413" i="1"/>
  <c r="S413" i="1"/>
  <c r="R413" i="1"/>
  <c r="I413" i="1"/>
  <c r="F413" i="1"/>
  <c r="X413" i="1"/>
  <c r="V413" i="1"/>
  <c r="Z413" i="1"/>
  <c r="W413" i="1"/>
  <c r="U413" i="1"/>
  <c r="AA413" i="1"/>
  <c r="Y413" i="1"/>
  <c r="R86" i="1"/>
  <c r="Q86" i="1" s="1"/>
  <c r="F414" i="1" l="1"/>
  <c r="AA414" i="1"/>
  <c r="Z414" i="1"/>
  <c r="X414" i="1"/>
  <c r="W414" i="1"/>
  <c r="O414" i="1"/>
  <c r="N414" i="1"/>
  <c r="M414" i="1"/>
  <c r="K414" i="1"/>
  <c r="P414" i="1"/>
  <c r="J414" i="1"/>
  <c r="I414" i="1"/>
  <c r="H414" i="1"/>
  <c r="G414" i="1"/>
  <c r="T414" i="1"/>
  <c r="R414" i="1"/>
  <c r="Q414" i="1"/>
  <c r="V414" i="1"/>
  <c r="U414" i="1"/>
  <c r="Y414" i="1"/>
  <c r="L415" i="1"/>
  <c r="S414" i="1"/>
  <c r="X86" i="1"/>
  <c r="K86" i="1"/>
  <c r="W86" i="1"/>
  <c r="O87" i="1" s="1"/>
  <c r="P415" i="1" l="1"/>
  <c r="L416" i="1"/>
  <c r="Y415" i="1"/>
  <c r="X415" i="1"/>
  <c r="U415" i="1"/>
  <c r="W415" i="1"/>
  <c r="V415" i="1"/>
  <c r="Z415" i="1"/>
  <c r="T415" i="1"/>
  <c r="S415" i="1"/>
  <c r="R415" i="1"/>
  <c r="I415" i="1"/>
  <c r="H415" i="1"/>
  <c r="G415" i="1"/>
  <c r="F415" i="1"/>
  <c r="O415" i="1"/>
  <c r="N415" i="1"/>
  <c r="M415" i="1"/>
  <c r="K415" i="1"/>
  <c r="J415" i="1"/>
  <c r="AA415" i="1"/>
  <c r="Q415" i="1"/>
  <c r="Z87" i="1"/>
  <c r="AA87" i="1" s="1"/>
  <c r="Z416" i="1" l="1"/>
  <c r="O416" i="1"/>
  <c r="N416" i="1"/>
  <c r="K416" i="1"/>
  <c r="L417" i="1"/>
  <c r="R416" i="1"/>
  <c r="M416" i="1"/>
  <c r="J416" i="1"/>
  <c r="Q416" i="1"/>
  <c r="P416" i="1"/>
  <c r="Y416" i="1"/>
  <c r="X416" i="1"/>
  <c r="S416" i="1"/>
  <c r="AA416" i="1"/>
  <c r="W416" i="1"/>
  <c r="V416" i="1"/>
  <c r="T416" i="1"/>
  <c r="I416" i="1"/>
  <c r="U416" i="1"/>
  <c r="H416" i="1"/>
  <c r="G416" i="1"/>
  <c r="F416" i="1"/>
  <c r="Y87" i="1"/>
  <c r="I87" i="1"/>
  <c r="Y417" i="1" l="1"/>
  <c r="X417" i="1"/>
  <c r="V417" i="1"/>
  <c r="U417" i="1"/>
  <c r="M417" i="1"/>
  <c r="K417" i="1"/>
  <c r="I417" i="1"/>
  <c r="J417" i="1"/>
  <c r="L418" i="1"/>
  <c r="F417" i="1"/>
  <c r="AA417" i="1"/>
  <c r="Z417" i="1"/>
  <c r="W417" i="1"/>
  <c r="T417" i="1"/>
  <c r="S417" i="1"/>
  <c r="R417" i="1"/>
  <c r="P417" i="1"/>
  <c r="G417" i="1"/>
  <c r="Q417" i="1"/>
  <c r="N417" i="1"/>
  <c r="O417" i="1"/>
  <c r="H417" i="1"/>
  <c r="R87" i="1"/>
  <c r="Q87" i="1" s="1"/>
  <c r="N418" i="1" l="1"/>
  <c r="L419" i="1"/>
  <c r="AA418" i="1"/>
  <c r="Z418" i="1"/>
  <c r="Y418" i="1"/>
  <c r="X418" i="1"/>
  <c r="W418" i="1"/>
  <c r="V418" i="1"/>
  <c r="U418" i="1"/>
  <c r="T418" i="1"/>
  <c r="S418" i="1"/>
  <c r="R418" i="1"/>
  <c r="Q418" i="1"/>
  <c r="P418" i="1"/>
  <c r="M418" i="1"/>
  <c r="O418" i="1"/>
  <c r="K418" i="1"/>
  <c r="J418" i="1"/>
  <c r="I418" i="1"/>
  <c r="H418" i="1"/>
  <c r="G418" i="1"/>
  <c r="F418" i="1"/>
  <c r="X87" i="1"/>
  <c r="K87" i="1"/>
  <c r="W87" i="1"/>
  <c r="O88" i="1" s="1"/>
  <c r="AA419" i="1" l="1"/>
  <c r="Z419" i="1"/>
  <c r="Y419" i="1"/>
  <c r="X419" i="1"/>
  <c r="W419" i="1"/>
  <c r="V419" i="1"/>
  <c r="V8" i="1" s="1"/>
  <c r="U419" i="1"/>
  <c r="T419" i="1"/>
  <c r="V7" i="1" s="1"/>
  <c r="S419" i="1"/>
  <c r="V6" i="1" s="1"/>
  <c r="R419" i="1"/>
  <c r="Q419" i="1"/>
  <c r="P419" i="1"/>
  <c r="AA5" i="1" s="1"/>
  <c r="O419" i="1"/>
  <c r="N419" i="1"/>
  <c r="M419" i="1"/>
  <c r="K419" i="1"/>
  <c r="J419" i="1"/>
  <c r="C11" i="1" s="1"/>
  <c r="I419" i="1"/>
  <c r="H419" i="1"/>
  <c r="G419" i="1"/>
  <c r="F419" i="1"/>
  <c r="AI6" i="1"/>
  <c r="Z88" i="1"/>
  <c r="AA88" i="1" s="1"/>
  <c r="Y88" i="1" l="1"/>
  <c r="I88" i="1"/>
  <c r="R88" i="1" l="1"/>
  <c r="Q88" i="1" s="1"/>
  <c r="X88" i="1" l="1"/>
  <c r="K88" i="1"/>
  <c r="W88" i="1"/>
  <c r="O89" i="1" s="1"/>
  <c r="Z89" i="1" l="1"/>
  <c r="AA89" i="1" l="1"/>
  <c r="Y89" i="1" s="1"/>
  <c r="R89" i="1" l="1"/>
  <c r="Q89" i="1" s="1"/>
  <c r="I89" i="1"/>
  <c r="X89" i="1" l="1"/>
  <c r="K89" i="1"/>
  <c r="W89" i="1"/>
  <c r="O90" i="1" s="1"/>
  <c r="Z90" i="1" l="1"/>
  <c r="AA90" i="1" l="1"/>
  <c r="I90" i="1" s="1"/>
  <c r="Y90" i="1" l="1"/>
  <c r="R90" i="1" l="1"/>
  <c r="Q90" i="1" s="1"/>
  <c r="X90" i="1" l="1"/>
  <c r="K90" i="1"/>
  <c r="W90" i="1"/>
  <c r="O91" i="1" s="1"/>
  <c r="Z91" i="1" l="1"/>
  <c r="AA91" i="1" s="1"/>
  <c r="Y91" i="1" l="1"/>
  <c r="I91" i="1"/>
  <c r="R91" i="1" l="1"/>
  <c r="Q91" i="1" s="1"/>
  <c r="X91" i="1" l="1"/>
  <c r="K91" i="1"/>
  <c r="W91" i="1"/>
  <c r="O92" i="1" s="1"/>
  <c r="Z92" i="1" l="1"/>
  <c r="AA92" i="1" s="1"/>
  <c r="Y92" i="1" l="1"/>
  <c r="I92" i="1"/>
  <c r="R92" i="1" l="1"/>
  <c r="Q92" i="1" s="1"/>
  <c r="X92" i="1" l="1"/>
  <c r="K92" i="1"/>
  <c r="W92" i="1"/>
  <c r="O93" i="1" s="1"/>
  <c r="Z93" i="1" l="1"/>
  <c r="AA93" i="1" l="1"/>
  <c r="Y93" i="1" s="1"/>
  <c r="R93" i="1" l="1"/>
  <c r="Q93" i="1" s="1"/>
  <c r="I93" i="1"/>
  <c r="X93" i="1" l="1"/>
  <c r="K93" i="1"/>
  <c r="W93" i="1"/>
  <c r="O94" i="1" s="1"/>
  <c r="Z94" i="1" l="1"/>
  <c r="AA94" i="1" l="1"/>
  <c r="I94" i="1" s="1"/>
  <c r="Y94" i="1" l="1"/>
  <c r="R94" i="1" l="1"/>
  <c r="Q94" i="1" s="1"/>
  <c r="X94" i="1" l="1"/>
  <c r="K94" i="1"/>
  <c r="W94" i="1"/>
  <c r="O95" i="1" s="1"/>
  <c r="Z95" i="1" l="1"/>
  <c r="AA95" i="1" s="1"/>
  <c r="Y95" i="1" l="1"/>
  <c r="I95" i="1"/>
  <c r="R95" i="1" l="1"/>
  <c r="Q95" i="1" s="1"/>
  <c r="X95" i="1" l="1"/>
  <c r="K95" i="1"/>
  <c r="W95" i="1"/>
  <c r="O96" i="1" s="1"/>
  <c r="Z96" i="1" l="1"/>
  <c r="AA96" i="1" s="1"/>
  <c r="Y96" i="1" l="1"/>
  <c r="I96" i="1"/>
  <c r="R96" i="1" l="1"/>
  <c r="Q96" i="1" s="1"/>
  <c r="X96" i="1" l="1"/>
  <c r="K96" i="1"/>
  <c r="W96" i="1"/>
  <c r="O97" i="1" s="1"/>
  <c r="Z97" i="1" l="1"/>
  <c r="AA97" i="1" l="1"/>
  <c r="Y97" i="1" s="1"/>
  <c r="R97" i="1" l="1"/>
  <c r="Q97" i="1" s="1"/>
  <c r="I97" i="1"/>
  <c r="X97" i="1" l="1"/>
  <c r="K97" i="1"/>
  <c r="W97" i="1"/>
  <c r="O98" i="1" s="1"/>
  <c r="Z98" i="1" l="1"/>
  <c r="AA98" i="1" l="1"/>
  <c r="I98" i="1" s="1"/>
  <c r="Y98" i="1" l="1"/>
  <c r="R98" i="1" l="1"/>
  <c r="Q98" i="1" s="1"/>
  <c r="X98" i="1" l="1"/>
  <c r="K98" i="1"/>
  <c r="W98" i="1"/>
  <c r="O99" i="1" s="1"/>
  <c r="Z99" i="1" l="1"/>
  <c r="AA99" i="1" s="1"/>
  <c r="Y99" i="1" l="1"/>
  <c r="I99" i="1"/>
  <c r="R99" i="1" l="1"/>
  <c r="Q99" i="1" s="1"/>
  <c r="X99" i="1" l="1"/>
  <c r="K99" i="1"/>
  <c r="W99" i="1"/>
  <c r="O100" i="1" s="1"/>
  <c r="Z100" i="1" l="1"/>
  <c r="AA100" i="1" s="1"/>
  <c r="Y100" i="1" l="1"/>
  <c r="I100" i="1"/>
  <c r="R100" i="1" l="1"/>
  <c r="Q100" i="1" s="1"/>
  <c r="X100" i="1" l="1"/>
  <c r="K100" i="1"/>
  <c r="W100" i="1"/>
  <c r="O101" i="1" s="1"/>
  <c r="Z101" i="1" l="1"/>
  <c r="AA101" i="1" l="1"/>
  <c r="Y101" i="1" s="1"/>
  <c r="R101" i="1" l="1"/>
  <c r="Q101" i="1" s="1"/>
  <c r="I101" i="1"/>
  <c r="X101" i="1" l="1"/>
  <c r="K101" i="1"/>
  <c r="W101" i="1"/>
  <c r="O102" i="1" s="1"/>
  <c r="Z102" i="1" l="1"/>
  <c r="AA102" i="1" l="1"/>
  <c r="I102" i="1" s="1"/>
  <c r="Y102" i="1" l="1"/>
  <c r="R102" i="1" l="1"/>
  <c r="Q102" i="1" s="1"/>
  <c r="X102" i="1" l="1"/>
  <c r="K102" i="1"/>
  <c r="W102" i="1"/>
  <c r="O103" i="1" s="1"/>
  <c r="Z103" i="1" l="1"/>
  <c r="AA103" i="1" s="1"/>
  <c r="Y103" i="1" l="1"/>
  <c r="I103" i="1"/>
  <c r="R103" i="1" l="1"/>
  <c r="Q103" i="1" s="1"/>
  <c r="X103" i="1" l="1"/>
  <c r="K103" i="1"/>
  <c r="W103" i="1"/>
  <c r="O104" i="1" s="1"/>
  <c r="Z104" i="1" l="1"/>
  <c r="AA104" i="1" s="1"/>
  <c r="Y104" i="1" l="1"/>
  <c r="I104" i="1"/>
  <c r="R104" i="1" l="1"/>
  <c r="Q104" i="1" s="1"/>
  <c r="X104" i="1" l="1"/>
  <c r="K104" i="1"/>
  <c r="W104" i="1"/>
  <c r="O105" i="1" s="1"/>
  <c r="Z105" i="1" l="1"/>
  <c r="AA105" i="1" l="1"/>
  <c r="Y105" i="1" s="1"/>
  <c r="R105" i="1" l="1"/>
  <c r="Q105" i="1" s="1"/>
  <c r="I105" i="1"/>
  <c r="X105" i="1" l="1"/>
  <c r="K105" i="1"/>
  <c r="W105" i="1"/>
  <c r="O106" i="1" s="1"/>
  <c r="Z106" i="1" l="1"/>
  <c r="AA106" i="1" l="1"/>
  <c r="I106" i="1" s="1"/>
  <c r="Y106" i="1" l="1"/>
  <c r="R106" i="1" l="1"/>
  <c r="Q106" i="1" s="1"/>
  <c r="X106" i="1" l="1"/>
  <c r="K106" i="1"/>
  <c r="W106" i="1"/>
  <c r="O107" i="1" s="1"/>
  <c r="Z107" i="1" l="1"/>
  <c r="AA107" i="1" s="1"/>
  <c r="Y107" i="1" l="1"/>
  <c r="I107" i="1"/>
  <c r="R107" i="1" l="1"/>
  <c r="Q107" i="1" s="1"/>
  <c r="X107" i="1" l="1"/>
  <c r="K107" i="1"/>
  <c r="W107" i="1"/>
  <c r="O108" i="1" s="1"/>
  <c r="Z108" i="1" l="1"/>
  <c r="AA108" i="1" s="1"/>
  <c r="Y108" i="1" l="1"/>
  <c r="I108" i="1"/>
  <c r="R108" i="1" l="1"/>
  <c r="Q108" i="1" s="1"/>
  <c r="X108" i="1" l="1"/>
  <c r="K108" i="1"/>
  <c r="W108" i="1"/>
  <c r="O109" i="1" s="1"/>
  <c r="Z109" i="1" l="1"/>
  <c r="AA109" i="1" l="1"/>
  <c r="Y109" i="1" s="1"/>
  <c r="R109" i="1" l="1"/>
  <c r="Q109" i="1" s="1"/>
  <c r="I109" i="1"/>
  <c r="X109" i="1" l="1"/>
  <c r="K109" i="1"/>
  <c r="W109" i="1"/>
  <c r="O110" i="1" s="1"/>
  <c r="Z110" i="1" l="1"/>
  <c r="AA110" i="1" l="1"/>
  <c r="I110" i="1" s="1"/>
  <c r="Y110" i="1" l="1"/>
  <c r="R110" i="1" l="1"/>
  <c r="Q110" i="1" s="1"/>
  <c r="X110" i="1" l="1"/>
  <c r="K110" i="1"/>
  <c r="W110" i="1"/>
  <c r="O111" i="1" s="1"/>
  <c r="Z111" i="1" l="1"/>
  <c r="AA111" i="1" s="1"/>
  <c r="Y111" i="1" l="1"/>
  <c r="I111" i="1"/>
  <c r="R111" i="1" l="1"/>
  <c r="Q111" i="1" s="1"/>
  <c r="X111" i="1" l="1"/>
  <c r="K111" i="1"/>
  <c r="W111" i="1"/>
  <c r="O112" i="1" s="1"/>
  <c r="Z112" i="1" l="1"/>
  <c r="AA112" i="1" s="1"/>
  <c r="Y112" i="1" l="1"/>
  <c r="I112" i="1"/>
  <c r="R112" i="1" l="1"/>
  <c r="Q112" i="1" s="1"/>
  <c r="X112" i="1" l="1"/>
  <c r="K112" i="1"/>
  <c r="W112" i="1"/>
  <c r="O113" i="1" s="1"/>
  <c r="Z113" i="1" l="1"/>
  <c r="AA113" i="1" l="1"/>
  <c r="Y113" i="1" s="1"/>
  <c r="R113" i="1" l="1"/>
  <c r="Q113" i="1" s="1"/>
  <c r="I113" i="1"/>
  <c r="X113" i="1" l="1"/>
  <c r="K113" i="1"/>
  <c r="W113" i="1"/>
  <c r="O114" i="1" s="1"/>
  <c r="Z114" i="1" l="1"/>
  <c r="AA114" i="1" l="1"/>
  <c r="I114" i="1" s="1"/>
  <c r="Y114" i="1" l="1"/>
  <c r="R114" i="1" l="1"/>
  <c r="Q114" i="1" s="1"/>
  <c r="X114" i="1" l="1"/>
  <c r="K114" i="1"/>
  <c r="W114" i="1"/>
  <c r="O115" i="1" s="1"/>
  <c r="Z115" i="1" l="1"/>
  <c r="AA115" i="1" s="1"/>
  <c r="Y115" i="1" l="1"/>
  <c r="I115" i="1"/>
  <c r="R115" i="1" l="1"/>
  <c r="Q115" i="1" s="1"/>
  <c r="X115" i="1" l="1"/>
  <c r="K115" i="1"/>
  <c r="W115" i="1"/>
  <c r="O116" i="1" s="1"/>
  <c r="Z116" i="1" l="1"/>
  <c r="AA116" i="1" s="1"/>
  <c r="Y116" i="1" l="1"/>
  <c r="I116" i="1"/>
  <c r="R116" i="1" l="1"/>
  <c r="Q116" i="1" s="1"/>
  <c r="X116" i="1" l="1"/>
  <c r="K116" i="1"/>
  <c r="W116" i="1"/>
  <c r="O117" i="1" s="1"/>
  <c r="Z117" i="1" l="1"/>
  <c r="AA117" i="1" l="1"/>
  <c r="Y117" i="1" s="1"/>
  <c r="R117" i="1" l="1"/>
  <c r="Q117" i="1" s="1"/>
  <c r="I117" i="1"/>
  <c r="X117" i="1" l="1"/>
  <c r="K117" i="1"/>
  <c r="W117" i="1"/>
  <c r="O118" i="1" s="1"/>
  <c r="Z118" i="1" l="1"/>
  <c r="AA118" i="1" l="1"/>
  <c r="I118" i="1" s="1"/>
  <c r="Y118" i="1" l="1"/>
  <c r="R118" i="1" l="1"/>
  <c r="Q118" i="1" s="1"/>
  <c r="X118" i="1" l="1"/>
  <c r="K118" i="1"/>
  <c r="W118" i="1"/>
  <c r="O119" i="1" s="1"/>
  <c r="Z119" i="1" l="1"/>
  <c r="AA119" i="1" s="1"/>
  <c r="Y119" i="1" l="1"/>
  <c r="I119" i="1"/>
  <c r="R119" i="1" l="1"/>
  <c r="Q119" i="1" s="1"/>
  <c r="X119" i="1" l="1"/>
  <c r="K119" i="1"/>
  <c r="W119" i="1"/>
  <c r="O120" i="1" s="1"/>
  <c r="Z120" i="1" l="1"/>
  <c r="AA120" i="1" s="1"/>
  <c r="Y120" i="1" l="1"/>
  <c r="I120" i="1"/>
  <c r="R120" i="1" l="1"/>
  <c r="Q120" i="1" s="1"/>
  <c r="X120" i="1" l="1"/>
  <c r="K120" i="1"/>
  <c r="W120" i="1"/>
  <c r="O121" i="1" s="1"/>
  <c r="Z121" i="1" l="1"/>
  <c r="AA121" i="1" l="1"/>
  <c r="Y121" i="1" s="1"/>
  <c r="R121" i="1" l="1"/>
  <c r="Q121" i="1" s="1"/>
  <c r="I121" i="1"/>
  <c r="X121" i="1" l="1"/>
  <c r="K121" i="1"/>
  <c r="W121" i="1"/>
  <c r="O122" i="1" s="1"/>
  <c r="Z122" i="1" l="1"/>
  <c r="AA122" i="1" l="1"/>
  <c r="I122" i="1" s="1"/>
  <c r="Y122" i="1" l="1"/>
  <c r="R122" i="1" l="1"/>
  <c r="Q122" i="1" s="1"/>
  <c r="X122" i="1" l="1"/>
  <c r="K122" i="1"/>
  <c r="W122" i="1"/>
  <c r="O123" i="1" s="1"/>
  <c r="Z123" i="1" l="1"/>
  <c r="AA123" i="1" s="1"/>
  <c r="Y123" i="1" l="1"/>
  <c r="I123" i="1"/>
  <c r="R123" i="1" l="1"/>
  <c r="Q123" i="1" s="1"/>
  <c r="X123" i="1" l="1"/>
  <c r="K123" i="1"/>
  <c r="W123" i="1"/>
  <c r="O124" i="1" s="1"/>
  <c r="Z124" i="1" l="1"/>
  <c r="AA124" i="1" s="1"/>
  <c r="Y124" i="1" l="1"/>
  <c r="I124" i="1"/>
  <c r="R124" i="1" l="1"/>
  <c r="Q124" i="1" s="1"/>
  <c r="X124" i="1" l="1"/>
  <c r="K124" i="1"/>
  <c r="W124" i="1"/>
  <c r="O125" i="1" s="1"/>
  <c r="Z125" i="1" l="1"/>
  <c r="AA125" i="1" l="1"/>
  <c r="Y125" i="1" s="1"/>
  <c r="R125" i="1" l="1"/>
  <c r="Q125" i="1" s="1"/>
  <c r="I125" i="1"/>
  <c r="X125" i="1" l="1"/>
  <c r="K125" i="1"/>
  <c r="W125" i="1"/>
  <c r="O126" i="1" s="1"/>
  <c r="Z126" i="1" l="1"/>
  <c r="AA126" i="1" l="1"/>
  <c r="I126" i="1" s="1"/>
  <c r="Y126" i="1" l="1"/>
  <c r="R126" i="1" l="1"/>
  <c r="Q126" i="1" s="1"/>
  <c r="X126" i="1" l="1"/>
  <c r="K126" i="1"/>
  <c r="W126" i="1"/>
  <c r="O127" i="1" s="1"/>
  <c r="Z127" i="1" l="1"/>
  <c r="AA127" i="1" s="1"/>
  <c r="Y127" i="1" l="1"/>
  <c r="I127" i="1"/>
  <c r="R127" i="1" l="1"/>
  <c r="Q127" i="1" s="1"/>
  <c r="X127" i="1" l="1"/>
  <c r="K127" i="1"/>
  <c r="W127" i="1"/>
  <c r="O128" i="1" s="1"/>
  <c r="Z128" i="1" l="1"/>
  <c r="AA128" i="1" s="1"/>
  <c r="Y128" i="1" l="1"/>
  <c r="I128" i="1"/>
  <c r="R128" i="1" l="1"/>
  <c r="Q128" i="1" s="1"/>
  <c r="X128" i="1" l="1"/>
  <c r="K128" i="1"/>
  <c r="W128" i="1"/>
  <c r="O129" i="1" s="1"/>
  <c r="Z129" i="1" l="1"/>
  <c r="AA129" i="1" l="1"/>
  <c r="Y129" i="1" s="1"/>
  <c r="R129" i="1" l="1"/>
  <c r="Q129" i="1" s="1"/>
  <c r="I129" i="1"/>
  <c r="X129" i="1" l="1"/>
  <c r="K129" i="1"/>
  <c r="W129" i="1"/>
  <c r="O130" i="1" s="1"/>
  <c r="Z130" i="1" l="1"/>
  <c r="AA130" i="1" l="1"/>
  <c r="I130" i="1" s="1"/>
  <c r="Y130" i="1" l="1"/>
  <c r="R130" i="1" l="1"/>
  <c r="Q130" i="1" s="1"/>
  <c r="X130" i="1" l="1"/>
  <c r="K130" i="1"/>
  <c r="W130" i="1"/>
  <c r="O131" i="1" s="1"/>
  <c r="Z131" i="1" l="1"/>
  <c r="AA131" i="1" s="1"/>
  <c r="Y131" i="1" l="1"/>
  <c r="I131" i="1"/>
  <c r="R131" i="1" l="1"/>
  <c r="Q131" i="1" s="1"/>
  <c r="X131" i="1" l="1"/>
  <c r="K131" i="1"/>
  <c r="W131" i="1"/>
  <c r="O132" i="1" s="1"/>
  <c r="Z132" i="1" l="1"/>
  <c r="AA132" i="1" s="1"/>
  <c r="Y132" i="1" l="1"/>
  <c r="I132" i="1"/>
  <c r="R132" i="1" l="1"/>
  <c r="Q132" i="1" s="1"/>
  <c r="X132" i="1" l="1"/>
  <c r="K132" i="1"/>
  <c r="W132" i="1"/>
  <c r="O133" i="1" s="1"/>
  <c r="Z133" i="1" l="1"/>
  <c r="AA133" i="1" s="1"/>
  <c r="Y133" i="1" l="1"/>
  <c r="I133" i="1"/>
  <c r="R133" i="1" l="1"/>
  <c r="Q133" i="1" s="1"/>
  <c r="X133" i="1" l="1"/>
  <c r="K133" i="1"/>
  <c r="W133" i="1"/>
  <c r="O134" i="1" s="1"/>
  <c r="Z134" i="1" l="1"/>
  <c r="AA134" i="1" s="1"/>
  <c r="I134" i="1" l="1"/>
  <c r="Y134" i="1"/>
  <c r="R134" i="1" l="1"/>
  <c r="Q134" i="1" s="1"/>
  <c r="X134" i="1" l="1"/>
  <c r="K134" i="1"/>
  <c r="W134" i="1"/>
  <c r="O135" i="1" s="1"/>
  <c r="Z135" i="1" l="1"/>
  <c r="AA135" i="1" s="1"/>
  <c r="Y135" i="1" l="1"/>
  <c r="I135" i="1"/>
  <c r="R135" i="1" l="1"/>
  <c r="Q135" i="1" s="1"/>
  <c r="X135" i="1" l="1"/>
  <c r="K135" i="1"/>
  <c r="W135" i="1"/>
  <c r="O136" i="1" s="1"/>
  <c r="Z136" i="1" l="1"/>
  <c r="AA136" i="1" s="1"/>
  <c r="Y136" i="1" l="1"/>
  <c r="I136" i="1"/>
  <c r="R136" i="1" l="1"/>
  <c r="Q136" i="1" s="1"/>
  <c r="X136" i="1" l="1"/>
  <c r="K136" i="1"/>
  <c r="W136" i="1"/>
  <c r="O137" i="1" s="1"/>
  <c r="Z137" i="1" l="1"/>
  <c r="AA137" i="1" s="1"/>
  <c r="Y137" i="1" l="1"/>
  <c r="I137" i="1"/>
  <c r="R137" i="1" l="1"/>
  <c r="Q137" i="1" s="1"/>
  <c r="X137" i="1" l="1"/>
  <c r="K137" i="1"/>
  <c r="W137" i="1"/>
  <c r="O138" i="1" s="1"/>
  <c r="Z138" i="1" l="1"/>
  <c r="AA138" i="1" s="1"/>
  <c r="Y138" i="1" l="1"/>
  <c r="I138" i="1"/>
  <c r="R138" i="1" l="1"/>
  <c r="Q138" i="1" s="1"/>
  <c r="X138" i="1" l="1"/>
  <c r="K138" i="1"/>
  <c r="W138" i="1"/>
  <c r="O139" i="1" s="1"/>
  <c r="Z139" i="1" l="1"/>
  <c r="AA139" i="1" l="1"/>
  <c r="Y139" i="1" s="1"/>
  <c r="R139" i="1" l="1"/>
  <c r="Q139" i="1" s="1"/>
  <c r="I139" i="1"/>
  <c r="X139" i="1" l="1"/>
  <c r="K139" i="1"/>
  <c r="W139" i="1"/>
  <c r="O140" i="1" s="1"/>
  <c r="Z140" i="1" l="1"/>
  <c r="AA140" i="1" s="1"/>
  <c r="Y140" i="1" l="1"/>
  <c r="I140" i="1"/>
  <c r="R140" i="1" l="1"/>
  <c r="Q140" i="1" s="1"/>
  <c r="X140" i="1" l="1"/>
  <c r="K140" i="1"/>
  <c r="W140" i="1"/>
  <c r="O141" i="1" s="1"/>
  <c r="Z141" i="1" l="1"/>
  <c r="AA141" i="1" s="1"/>
  <c r="Y141" i="1" l="1"/>
  <c r="I141" i="1"/>
  <c r="R141" i="1" l="1"/>
  <c r="Q141" i="1" s="1"/>
  <c r="X141" i="1" l="1"/>
  <c r="K141" i="1"/>
  <c r="W141" i="1"/>
  <c r="O142" i="1" s="1"/>
  <c r="Z142" i="1" l="1"/>
  <c r="AA142" i="1" s="1"/>
  <c r="Y142" i="1" l="1"/>
  <c r="I142" i="1"/>
  <c r="R142" i="1" l="1"/>
  <c r="Q142" i="1" s="1"/>
  <c r="X142" i="1" l="1"/>
  <c r="K142" i="1"/>
  <c r="W142" i="1"/>
  <c r="O143" i="1" s="1"/>
  <c r="Z143" i="1" l="1"/>
  <c r="AA143" i="1" s="1"/>
  <c r="Y143" i="1" l="1"/>
  <c r="I143" i="1"/>
  <c r="R143" i="1" l="1"/>
  <c r="Q143" i="1" s="1"/>
  <c r="X143" i="1" l="1"/>
  <c r="K143" i="1"/>
  <c r="W143" i="1"/>
  <c r="O144" i="1" s="1"/>
  <c r="Z144" i="1" l="1"/>
  <c r="AA144" i="1" s="1"/>
  <c r="Y144" i="1" l="1"/>
  <c r="I144" i="1"/>
  <c r="R144" i="1" l="1"/>
  <c r="Q144" i="1" s="1"/>
  <c r="X144" i="1" l="1"/>
  <c r="K144" i="1"/>
  <c r="W144" i="1"/>
  <c r="O145" i="1" s="1"/>
  <c r="Z145" i="1" l="1"/>
  <c r="AA145" i="1" s="1"/>
  <c r="Y145" i="1" l="1"/>
  <c r="I145" i="1"/>
  <c r="R145" i="1" l="1"/>
  <c r="Q145" i="1" s="1"/>
  <c r="X145" i="1" l="1"/>
  <c r="K145" i="1"/>
  <c r="W145" i="1"/>
  <c r="O146" i="1" s="1"/>
  <c r="Z146" i="1" l="1"/>
  <c r="AA146" i="1" l="1"/>
  <c r="Y146" i="1" s="1"/>
  <c r="R146" i="1" l="1"/>
  <c r="Q146" i="1" s="1"/>
  <c r="I146" i="1"/>
  <c r="X146" i="1" l="1"/>
  <c r="K146" i="1"/>
  <c r="W146" i="1"/>
  <c r="O147" i="1" s="1"/>
  <c r="Z147" i="1" l="1"/>
  <c r="AA147" i="1" s="1"/>
  <c r="Y147" i="1" l="1"/>
  <c r="I147" i="1"/>
  <c r="R147" i="1" l="1"/>
  <c r="Q147" i="1" s="1"/>
  <c r="X147" i="1" l="1"/>
  <c r="K147" i="1"/>
  <c r="W147" i="1"/>
  <c r="O148" i="1" s="1"/>
  <c r="Z148" i="1" l="1"/>
  <c r="AA148" i="1" s="1"/>
  <c r="Y148" i="1" l="1"/>
  <c r="I148" i="1"/>
  <c r="R148" i="1" l="1"/>
  <c r="Q148" i="1" s="1"/>
  <c r="X148" i="1" l="1"/>
  <c r="K148" i="1"/>
  <c r="W148" i="1"/>
  <c r="O149" i="1" s="1"/>
  <c r="Z149" i="1" l="1"/>
  <c r="AA149" i="1" s="1"/>
  <c r="Y149" i="1" l="1"/>
  <c r="I149" i="1"/>
  <c r="R149" i="1" l="1"/>
  <c r="Q149" i="1" s="1"/>
  <c r="X149" i="1" l="1"/>
  <c r="K149" i="1"/>
  <c r="W149" i="1"/>
  <c r="O150" i="1" s="1"/>
  <c r="Z150" i="1" l="1"/>
  <c r="AA150" i="1" s="1"/>
  <c r="Y150" i="1" l="1"/>
  <c r="I150" i="1"/>
  <c r="R150" i="1" l="1"/>
  <c r="Q150" i="1" s="1"/>
  <c r="X150" i="1" l="1"/>
  <c r="K150" i="1"/>
  <c r="W150" i="1"/>
  <c r="O151" i="1" s="1"/>
  <c r="Z151" i="1" l="1"/>
  <c r="AA151" i="1" s="1"/>
  <c r="Y151" i="1" l="1"/>
  <c r="I151" i="1"/>
  <c r="R151" i="1" l="1"/>
  <c r="Q151" i="1" s="1"/>
  <c r="X151" i="1" l="1"/>
  <c r="K151" i="1"/>
  <c r="W151" i="1"/>
  <c r="O152" i="1" s="1"/>
  <c r="Z152" i="1" l="1"/>
  <c r="AA152" i="1" l="1"/>
  <c r="Y152" i="1" s="1"/>
  <c r="R152" i="1" l="1"/>
  <c r="Q152" i="1" s="1"/>
  <c r="I152" i="1"/>
  <c r="X152" i="1" l="1"/>
  <c r="K152" i="1"/>
  <c r="W152" i="1"/>
  <c r="O153" i="1" s="1"/>
  <c r="Z153" i="1" l="1"/>
  <c r="AA153" i="1" s="1"/>
  <c r="Y153" i="1" l="1"/>
  <c r="I153" i="1"/>
  <c r="R153" i="1" l="1"/>
  <c r="Q153" i="1" s="1"/>
  <c r="X153" i="1" l="1"/>
  <c r="K153" i="1"/>
  <c r="W153" i="1"/>
  <c r="O154" i="1" s="1"/>
  <c r="Z154" i="1" l="1"/>
  <c r="AA154" i="1" s="1"/>
  <c r="Y154" i="1" l="1"/>
  <c r="I154" i="1"/>
  <c r="R154" i="1" l="1"/>
  <c r="Q154" i="1" s="1"/>
  <c r="X154" i="1" l="1"/>
  <c r="K154" i="1"/>
  <c r="W154" i="1"/>
  <c r="O155" i="1" s="1"/>
  <c r="Z155" i="1" l="1"/>
  <c r="AA155" i="1" s="1"/>
  <c r="Y155" i="1" l="1"/>
  <c r="I155" i="1"/>
  <c r="R155" i="1" l="1"/>
  <c r="Q155" i="1" s="1"/>
  <c r="X155" i="1" l="1"/>
  <c r="K155" i="1"/>
  <c r="W155" i="1"/>
  <c r="O156" i="1" s="1"/>
  <c r="Z156" i="1" l="1"/>
  <c r="AA156" i="1" s="1"/>
  <c r="Y156" i="1" l="1"/>
  <c r="I156" i="1"/>
  <c r="R156" i="1" l="1"/>
  <c r="Q156" i="1" s="1"/>
  <c r="X156" i="1" l="1"/>
  <c r="K156" i="1"/>
  <c r="W156" i="1"/>
  <c r="O157" i="1" s="1"/>
  <c r="Z157" i="1" l="1"/>
  <c r="AA157" i="1" s="1"/>
  <c r="Y157" i="1" l="1"/>
  <c r="I157" i="1"/>
  <c r="R157" i="1" l="1"/>
  <c r="Q157" i="1" s="1"/>
  <c r="X157" i="1" l="1"/>
  <c r="K157" i="1"/>
  <c r="W157" i="1"/>
  <c r="O158" i="1" s="1"/>
  <c r="Z158" i="1" l="1"/>
  <c r="AA158" i="1" s="1"/>
  <c r="Y158" i="1" l="1"/>
  <c r="I158" i="1"/>
  <c r="R158" i="1" l="1"/>
  <c r="Q158" i="1" s="1"/>
  <c r="X158" i="1" l="1"/>
  <c r="K158" i="1"/>
  <c r="W158" i="1"/>
  <c r="O159" i="1" s="1"/>
  <c r="Z159" i="1" l="1"/>
  <c r="AA159" i="1" s="1"/>
  <c r="Y159" i="1" l="1"/>
  <c r="I159" i="1"/>
  <c r="R159" i="1" l="1"/>
  <c r="Q159" i="1" s="1"/>
  <c r="X159" i="1" l="1"/>
  <c r="K159" i="1"/>
  <c r="W159" i="1"/>
  <c r="O160" i="1" s="1"/>
  <c r="Z160" i="1" l="1"/>
  <c r="AA160" i="1" l="1"/>
  <c r="Y160" i="1" s="1"/>
  <c r="R160" i="1" l="1"/>
  <c r="Q160" i="1" s="1"/>
  <c r="I160" i="1"/>
  <c r="X160" i="1" l="1"/>
  <c r="K160" i="1"/>
  <c r="W160" i="1"/>
  <c r="O161" i="1" s="1"/>
  <c r="Z161" i="1" l="1"/>
  <c r="AA161" i="1" s="1"/>
  <c r="Y161" i="1" l="1"/>
  <c r="I161" i="1"/>
  <c r="R161" i="1" l="1"/>
  <c r="Q161" i="1" s="1"/>
  <c r="X161" i="1" l="1"/>
  <c r="K161" i="1"/>
  <c r="W161" i="1"/>
  <c r="O162" i="1" s="1"/>
  <c r="Z162" i="1" l="1"/>
  <c r="AA162" i="1" s="1"/>
  <c r="Y162" i="1" l="1"/>
  <c r="I162" i="1"/>
  <c r="R162" i="1" l="1"/>
  <c r="Q162" i="1" s="1"/>
  <c r="X162" i="1" l="1"/>
  <c r="K162" i="1"/>
  <c r="W162" i="1"/>
  <c r="O163" i="1" s="1"/>
  <c r="Z163" i="1" l="1"/>
  <c r="AA163" i="1" s="1"/>
  <c r="Y163" i="1" l="1"/>
  <c r="I163" i="1"/>
  <c r="R163" i="1" l="1"/>
  <c r="Q163" i="1" s="1"/>
  <c r="X163" i="1" l="1"/>
  <c r="K163" i="1"/>
  <c r="W163" i="1"/>
  <c r="O164" i="1" s="1"/>
  <c r="Z164" i="1" l="1"/>
  <c r="AA164" i="1" l="1"/>
  <c r="Y164" i="1" s="1"/>
  <c r="R164" i="1" l="1"/>
  <c r="Q164" i="1" s="1"/>
  <c r="I164" i="1"/>
  <c r="X164" i="1" l="1"/>
  <c r="K164" i="1"/>
  <c r="W164" i="1"/>
  <c r="O165" i="1" s="1"/>
  <c r="Z165" i="1" l="1"/>
  <c r="AA165" i="1" s="1"/>
  <c r="Y165" i="1" l="1"/>
  <c r="I165" i="1"/>
  <c r="R165" i="1" l="1"/>
  <c r="Q165" i="1" s="1"/>
  <c r="X165" i="1" l="1"/>
  <c r="K165" i="1"/>
  <c r="W165" i="1"/>
  <c r="O166" i="1" s="1"/>
  <c r="Z166" i="1" l="1"/>
  <c r="AA166" i="1" s="1"/>
  <c r="Y166" i="1" l="1"/>
  <c r="I166" i="1"/>
  <c r="R166" i="1" l="1"/>
  <c r="Q166" i="1" s="1"/>
  <c r="X166" i="1" l="1"/>
  <c r="K166" i="1"/>
  <c r="W166" i="1"/>
  <c r="O167" i="1" s="1"/>
  <c r="Z167" i="1" l="1"/>
  <c r="AA167" i="1" s="1"/>
  <c r="I167" i="1" l="1"/>
  <c r="Y167" i="1"/>
  <c r="R167" i="1" l="1"/>
  <c r="Q167" i="1" s="1"/>
  <c r="X167" i="1" l="1"/>
  <c r="K167" i="1"/>
  <c r="W167" i="1"/>
  <c r="O168" i="1" s="1"/>
  <c r="Z168" i="1" l="1"/>
  <c r="AA168" i="1" l="1"/>
  <c r="Y168" i="1" s="1"/>
  <c r="R168" i="1" l="1"/>
  <c r="Q168" i="1" s="1"/>
  <c r="I168" i="1"/>
  <c r="X168" i="1" l="1"/>
  <c r="K168" i="1"/>
  <c r="W168" i="1"/>
  <c r="O169" i="1" s="1"/>
  <c r="Z169" i="1" l="1"/>
  <c r="AA169" i="1" s="1"/>
  <c r="Y169" i="1" l="1"/>
  <c r="I169" i="1"/>
  <c r="R169" i="1" l="1"/>
  <c r="Q169" i="1" s="1"/>
  <c r="X169" i="1" l="1"/>
  <c r="K169" i="1"/>
  <c r="W169" i="1"/>
  <c r="O170" i="1" s="1"/>
  <c r="Z170" i="1" l="1"/>
  <c r="AA170" i="1" s="1"/>
  <c r="Y170" i="1" l="1"/>
  <c r="I170" i="1"/>
  <c r="R170" i="1" l="1"/>
  <c r="Q170" i="1" s="1"/>
  <c r="X170" i="1" l="1"/>
  <c r="K170" i="1"/>
  <c r="W170" i="1"/>
  <c r="O171" i="1" s="1"/>
  <c r="Z171" i="1" l="1"/>
  <c r="AA171" i="1" s="1"/>
  <c r="Y171" i="1" l="1"/>
  <c r="I171" i="1"/>
  <c r="R171" i="1" l="1"/>
  <c r="Q171" i="1" s="1"/>
  <c r="X171" i="1" l="1"/>
  <c r="K171" i="1"/>
  <c r="W171" i="1"/>
  <c r="O172" i="1" s="1"/>
  <c r="Z172" i="1" l="1"/>
  <c r="AA172" i="1" l="1"/>
  <c r="Y172" i="1" s="1"/>
  <c r="R172" i="1" l="1"/>
  <c r="Q172" i="1" s="1"/>
  <c r="I172" i="1"/>
  <c r="X172" i="1" l="1"/>
  <c r="K172" i="1"/>
  <c r="W172" i="1"/>
  <c r="O173" i="1" s="1"/>
  <c r="Z173" i="1" l="1"/>
  <c r="AA173" i="1" s="1"/>
  <c r="Y173" i="1" l="1"/>
  <c r="I173" i="1"/>
  <c r="R173" i="1" l="1"/>
  <c r="Q173" i="1" s="1"/>
  <c r="X173" i="1" l="1"/>
  <c r="K173" i="1"/>
  <c r="W173" i="1"/>
  <c r="O174" i="1" s="1"/>
  <c r="Z174" i="1" l="1"/>
  <c r="AA174" i="1" s="1"/>
  <c r="Y174" i="1" l="1"/>
  <c r="I174" i="1"/>
  <c r="R174" i="1" l="1"/>
  <c r="Q174" i="1" s="1"/>
  <c r="X174" i="1" l="1"/>
  <c r="K174" i="1"/>
  <c r="W174" i="1"/>
  <c r="O175" i="1" s="1"/>
  <c r="Z175" i="1" l="1"/>
  <c r="AA175" i="1" s="1"/>
  <c r="Y175" i="1" l="1"/>
  <c r="I175" i="1"/>
  <c r="R175" i="1" l="1"/>
  <c r="Q175" i="1" s="1"/>
  <c r="X175" i="1" l="1"/>
  <c r="K175" i="1"/>
  <c r="W175" i="1"/>
  <c r="O176" i="1" s="1"/>
  <c r="Z176" i="1" l="1"/>
  <c r="AA176" i="1" l="1"/>
  <c r="Y176" i="1" s="1"/>
  <c r="R176" i="1" l="1"/>
  <c r="Q176" i="1" s="1"/>
  <c r="I176" i="1"/>
  <c r="X176" i="1" l="1"/>
  <c r="K176" i="1"/>
  <c r="W176" i="1"/>
  <c r="O177" i="1" s="1"/>
  <c r="Z177" i="1" l="1"/>
  <c r="AA177" i="1" s="1"/>
  <c r="Y177" i="1" l="1"/>
  <c r="I177" i="1"/>
  <c r="R177" i="1" l="1"/>
  <c r="Q177" i="1" s="1"/>
  <c r="X177" i="1" l="1"/>
  <c r="K177" i="1"/>
  <c r="W177" i="1"/>
  <c r="O178" i="1" s="1"/>
  <c r="Z178" i="1" l="1"/>
  <c r="AA178" i="1" s="1"/>
  <c r="Y178" i="1" l="1"/>
  <c r="I178" i="1"/>
  <c r="R178" i="1" l="1"/>
  <c r="Q178" i="1" s="1"/>
  <c r="X178" i="1" l="1"/>
  <c r="K178" i="1"/>
  <c r="W178" i="1"/>
  <c r="O179" i="1" s="1"/>
  <c r="Z179" i="1" l="1"/>
  <c r="AA179" i="1" s="1"/>
  <c r="Y179" i="1" l="1"/>
  <c r="I179" i="1"/>
  <c r="R179" i="1" l="1"/>
  <c r="Q179" i="1" s="1"/>
  <c r="X179" i="1" l="1"/>
  <c r="K179" i="1"/>
  <c r="W179" i="1"/>
  <c r="O180" i="1" s="1"/>
  <c r="Z180" i="1" l="1"/>
  <c r="AA180" i="1" l="1"/>
  <c r="Y180" i="1" s="1"/>
  <c r="R180" i="1" l="1"/>
  <c r="Q180" i="1" s="1"/>
  <c r="I180" i="1"/>
  <c r="X180" i="1" l="1"/>
  <c r="K180" i="1"/>
  <c r="W180" i="1"/>
  <c r="O181" i="1" s="1"/>
  <c r="Z181" i="1" l="1"/>
  <c r="AA181" i="1" s="1"/>
  <c r="Y181" i="1" l="1"/>
  <c r="I181" i="1"/>
  <c r="R181" i="1" l="1"/>
  <c r="Q181" i="1" s="1"/>
  <c r="X181" i="1" l="1"/>
  <c r="K181" i="1"/>
  <c r="W181" i="1"/>
  <c r="O182" i="1" s="1"/>
  <c r="Z182" i="1" l="1"/>
  <c r="AA182" i="1" s="1"/>
  <c r="Y182" i="1" l="1"/>
  <c r="I182" i="1"/>
  <c r="R182" i="1" l="1"/>
  <c r="Q182" i="1" s="1"/>
  <c r="X182" i="1" l="1"/>
  <c r="K182" i="1"/>
  <c r="W182" i="1"/>
  <c r="O183" i="1" s="1"/>
  <c r="Z183" i="1" l="1"/>
  <c r="AA183" i="1" s="1"/>
  <c r="Y183" i="1" l="1"/>
  <c r="I183" i="1"/>
  <c r="R183" i="1" l="1"/>
  <c r="Q183" i="1" s="1"/>
  <c r="X183" i="1" l="1"/>
  <c r="K183" i="1"/>
  <c r="W183" i="1"/>
  <c r="O184" i="1" s="1"/>
  <c r="Z184" i="1" l="1"/>
  <c r="AA184" i="1" l="1"/>
  <c r="Y184" i="1" s="1"/>
  <c r="R184" i="1" l="1"/>
  <c r="Q184" i="1" s="1"/>
  <c r="I184" i="1"/>
  <c r="X184" i="1" l="1"/>
  <c r="K184" i="1"/>
  <c r="W184" i="1"/>
  <c r="O185" i="1" s="1"/>
  <c r="Z185" i="1" l="1"/>
  <c r="AA185" i="1" s="1"/>
  <c r="Y185" i="1" l="1"/>
  <c r="I185" i="1"/>
  <c r="R185" i="1" l="1"/>
  <c r="Q185" i="1" s="1"/>
  <c r="X185" i="1" l="1"/>
  <c r="K185" i="1"/>
  <c r="W185" i="1"/>
  <c r="O186" i="1" s="1"/>
  <c r="Z186" i="1" l="1"/>
  <c r="AA186" i="1" s="1"/>
  <c r="Y186" i="1" l="1"/>
  <c r="I186" i="1"/>
  <c r="R186" i="1" l="1"/>
  <c r="Q186" i="1" s="1"/>
  <c r="X186" i="1" l="1"/>
  <c r="K186" i="1"/>
  <c r="W186" i="1"/>
  <c r="O187" i="1" s="1"/>
  <c r="Z187" i="1" l="1"/>
  <c r="AA187" i="1" s="1"/>
  <c r="Y187" i="1" l="1"/>
  <c r="I187" i="1"/>
  <c r="R187" i="1" l="1"/>
  <c r="Q187" i="1" s="1"/>
  <c r="X187" i="1" l="1"/>
  <c r="K187" i="1"/>
  <c r="W187" i="1"/>
  <c r="O188" i="1" s="1"/>
  <c r="Z188" i="1" l="1"/>
  <c r="AA188" i="1" l="1"/>
  <c r="Y188" i="1" s="1"/>
  <c r="R188" i="1" l="1"/>
  <c r="Q188" i="1" s="1"/>
  <c r="I188" i="1"/>
  <c r="X188" i="1" l="1"/>
  <c r="K188" i="1"/>
  <c r="W188" i="1"/>
  <c r="O189" i="1" s="1"/>
  <c r="Z189" i="1" l="1"/>
  <c r="AA189" i="1" s="1"/>
  <c r="Y189" i="1" l="1"/>
  <c r="I189" i="1"/>
  <c r="R189" i="1" l="1"/>
  <c r="Q189" i="1" s="1"/>
  <c r="X189" i="1" l="1"/>
  <c r="K189" i="1"/>
  <c r="W189" i="1"/>
  <c r="O190" i="1" s="1"/>
  <c r="Z190" i="1" l="1"/>
  <c r="AA190" i="1" s="1"/>
  <c r="Y190" i="1" l="1"/>
  <c r="I190" i="1"/>
  <c r="R190" i="1" l="1"/>
  <c r="Q190" i="1" s="1"/>
  <c r="X190" i="1" l="1"/>
  <c r="K190" i="1"/>
  <c r="W190" i="1"/>
  <c r="O191" i="1" s="1"/>
  <c r="Z191" i="1" l="1"/>
  <c r="AA191" i="1" s="1"/>
  <c r="Y191" i="1" l="1"/>
  <c r="I191" i="1"/>
  <c r="R191" i="1" l="1"/>
  <c r="Q191" i="1" s="1"/>
  <c r="X191" i="1" l="1"/>
  <c r="K191" i="1"/>
  <c r="W191" i="1"/>
  <c r="O192" i="1" s="1"/>
  <c r="Z192" i="1" l="1"/>
  <c r="AA192" i="1" l="1"/>
  <c r="Y192" i="1" s="1"/>
  <c r="R192" i="1" l="1"/>
  <c r="Q192" i="1" s="1"/>
  <c r="I192" i="1"/>
  <c r="X192" i="1" l="1"/>
  <c r="K192" i="1"/>
  <c r="W192" i="1"/>
  <c r="O193" i="1" s="1"/>
  <c r="Z193" i="1" l="1"/>
  <c r="AA193" i="1" s="1"/>
  <c r="Y193" i="1" l="1"/>
  <c r="I193" i="1"/>
  <c r="R193" i="1" l="1"/>
  <c r="Q193" i="1" s="1"/>
  <c r="X193" i="1" l="1"/>
  <c r="K193" i="1"/>
  <c r="W193" i="1"/>
  <c r="O194" i="1" s="1"/>
  <c r="Z194" i="1" l="1"/>
  <c r="AA194" i="1" s="1"/>
  <c r="Y194" i="1" l="1"/>
  <c r="I194" i="1"/>
  <c r="R194" i="1" l="1"/>
  <c r="Q194" i="1" s="1"/>
  <c r="X194" i="1" l="1"/>
  <c r="K194" i="1"/>
  <c r="W194" i="1"/>
  <c r="O195" i="1" s="1"/>
  <c r="Z195" i="1" l="1"/>
  <c r="AA195" i="1" s="1"/>
  <c r="Y195" i="1" l="1"/>
  <c r="I195" i="1"/>
  <c r="R195" i="1" l="1"/>
  <c r="Q195" i="1" s="1"/>
  <c r="X195" i="1" l="1"/>
  <c r="K195" i="1"/>
  <c r="W195" i="1"/>
  <c r="O196" i="1" s="1"/>
  <c r="Z196" i="1" l="1"/>
  <c r="AA196" i="1" l="1"/>
  <c r="Y196" i="1" s="1"/>
  <c r="R196" i="1" l="1"/>
  <c r="Q196" i="1" s="1"/>
  <c r="I196" i="1"/>
  <c r="X196" i="1" l="1"/>
  <c r="K196" i="1"/>
  <c r="W196" i="1"/>
  <c r="O197" i="1" s="1"/>
  <c r="Z197" i="1" l="1"/>
  <c r="AA197" i="1" s="1"/>
  <c r="Y197" i="1" l="1"/>
  <c r="I197" i="1"/>
  <c r="R197" i="1" l="1"/>
  <c r="Q197" i="1" s="1"/>
  <c r="X197" i="1" l="1"/>
  <c r="K197" i="1"/>
  <c r="W197" i="1"/>
  <c r="O198" i="1" s="1"/>
  <c r="Z198" i="1" l="1"/>
  <c r="AA198" i="1" s="1"/>
  <c r="Y198" i="1" l="1"/>
  <c r="I198" i="1"/>
  <c r="R198" i="1" l="1"/>
  <c r="Q198" i="1" s="1"/>
  <c r="X198" i="1" l="1"/>
  <c r="K198" i="1"/>
  <c r="W198" i="1"/>
  <c r="O199" i="1" s="1"/>
  <c r="Z199" i="1" l="1"/>
  <c r="AA199" i="1" s="1"/>
  <c r="Y199" i="1" l="1"/>
  <c r="I199" i="1"/>
  <c r="R199" i="1" l="1"/>
  <c r="Q199" i="1" s="1"/>
  <c r="X199" i="1" l="1"/>
  <c r="K199" i="1"/>
  <c r="W199" i="1"/>
  <c r="O200" i="1" s="1"/>
  <c r="Z200" i="1" l="1"/>
  <c r="AA200" i="1" l="1"/>
  <c r="Y200" i="1" s="1"/>
  <c r="R200" i="1" l="1"/>
  <c r="Q200" i="1" s="1"/>
  <c r="I200" i="1"/>
  <c r="X200" i="1" l="1"/>
  <c r="K200" i="1"/>
  <c r="W200" i="1"/>
  <c r="O201" i="1" s="1"/>
  <c r="Z201" i="1" l="1"/>
  <c r="AA201" i="1" s="1"/>
  <c r="Y201" i="1" l="1"/>
  <c r="I201" i="1"/>
  <c r="R201" i="1" l="1"/>
  <c r="Q201" i="1" s="1"/>
  <c r="X201" i="1" l="1"/>
  <c r="K201" i="1"/>
  <c r="W201" i="1"/>
  <c r="O202" i="1" s="1"/>
  <c r="Z202" i="1" l="1"/>
  <c r="AA202" i="1" s="1"/>
  <c r="Y202" i="1" l="1"/>
  <c r="I202" i="1"/>
  <c r="R202" i="1" l="1"/>
  <c r="Q202" i="1" s="1"/>
  <c r="X202" i="1" l="1"/>
  <c r="K202" i="1"/>
  <c r="W202" i="1"/>
  <c r="O203" i="1" s="1"/>
  <c r="Z203" i="1" l="1"/>
  <c r="AA203" i="1" s="1"/>
  <c r="Y203" i="1" l="1"/>
  <c r="I203" i="1"/>
  <c r="R203" i="1" l="1"/>
  <c r="Q203" i="1" s="1"/>
  <c r="X203" i="1" l="1"/>
  <c r="K203" i="1"/>
  <c r="W203" i="1"/>
  <c r="O204" i="1" s="1"/>
  <c r="Z204" i="1" l="1"/>
  <c r="AA204" i="1" l="1"/>
  <c r="Y204" i="1" s="1"/>
  <c r="R204" i="1" l="1"/>
  <c r="Q204" i="1" s="1"/>
  <c r="I204" i="1"/>
  <c r="X204" i="1" l="1"/>
  <c r="K204" i="1"/>
  <c r="W204" i="1"/>
  <c r="O205" i="1" s="1"/>
  <c r="Z205" i="1" l="1"/>
  <c r="AA205" i="1" s="1"/>
  <c r="Y205" i="1" l="1"/>
  <c r="I205" i="1"/>
  <c r="R205" i="1" l="1"/>
  <c r="Q205" i="1" s="1"/>
  <c r="X205" i="1" l="1"/>
  <c r="K205" i="1"/>
  <c r="W205" i="1"/>
  <c r="O206" i="1" s="1"/>
  <c r="Z206" i="1" l="1"/>
  <c r="AA206" i="1" s="1"/>
  <c r="Y206" i="1" l="1"/>
  <c r="I206" i="1"/>
  <c r="R206" i="1" l="1"/>
  <c r="Q206" i="1" s="1"/>
  <c r="X206" i="1" l="1"/>
  <c r="K206" i="1"/>
  <c r="W206" i="1"/>
  <c r="O207" i="1" s="1"/>
  <c r="Z207" i="1" l="1"/>
  <c r="AA207" i="1" s="1"/>
  <c r="Y207" i="1" l="1"/>
  <c r="I207" i="1"/>
  <c r="R207" i="1" l="1"/>
  <c r="Q207" i="1" s="1"/>
  <c r="X207" i="1" l="1"/>
  <c r="K207" i="1"/>
  <c r="W207" i="1"/>
  <c r="O208" i="1" s="1"/>
  <c r="Z208" i="1" l="1"/>
  <c r="AA208" i="1" l="1"/>
  <c r="Y208" i="1" s="1"/>
  <c r="R208" i="1" l="1"/>
  <c r="Q208" i="1" s="1"/>
  <c r="I208" i="1"/>
  <c r="X208" i="1" l="1"/>
  <c r="K208" i="1"/>
  <c r="W208" i="1"/>
  <c r="O209" i="1" s="1"/>
  <c r="Z209" i="1" l="1"/>
  <c r="AA209" i="1" s="1"/>
  <c r="Y209" i="1" l="1"/>
  <c r="I209" i="1"/>
  <c r="R209" i="1" l="1"/>
  <c r="Q209" i="1" s="1"/>
  <c r="X209" i="1" l="1"/>
  <c r="K209" i="1"/>
  <c r="W209" i="1"/>
  <c r="O210" i="1" s="1"/>
  <c r="Z210" i="1" l="1"/>
  <c r="AA210" i="1" s="1"/>
  <c r="Y210" i="1" l="1"/>
  <c r="I210" i="1"/>
  <c r="R210" i="1" l="1"/>
  <c r="Q210" i="1" s="1"/>
  <c r="X210" i="1" l="1"/>
  <c r="K210" i="1"/>
  <c r="W210" i="1"/>
  <c r="O211" i="1" s="1"/>
  <c r="Z211" i="1" l="1"/>
  <c r="AA211" i="1" s="1"/>
  <c r="Y211" i="1" l="1"/>
  <c r="I211" i="1"/>
  <c r="R211" i="1" l="1"/>
  <c r="Q211" i="1" s="1"/>
  <c r="X211" i="1" l="1"/>
  <c r="K211" i="1"/>
  <c r="W211" i="1"/>
  <c r="O212" i="1" s="1"/>
  <c r="Z212" i="1" l="1"/>
  <c r="AA212" i="1" l="1"/>
  <c r="Y212" i="1" s="1"/>
  <c r="R212" i="1" l="1"/>
  <c r="Q212" i="1" s="1"/>
  <c r="I212" i="1"/>
  <c r="X212" i="1" l="1"/>
  <c r="K212" i="1"/>
  <c r="W212" i="1"/>
  <c r="O213" i="1" s="1"/>
  <c r="Z213" i="1" l="1"/>
  <c r="AA213" i="1" s="1"/>
  <c r="Y213" i="1" l="1"/>
  <c r="I213" i="1"/>
  <c r="R213" i="1" l="1"/>
  <c r="Q213" i="1" s="1"/>
  <c r="X213" i="1" l="1"/>
  <c r="K213" i="1"/>
  <c r="W213" i="1"/>
  <c r="O214" i="1" s="1"/>
  <c r="Z214" i="1" l="1"/>
  <c r="AA214" i="1" s="1"/>
  <c r="Y214" i="1" l="1"/>
  <c r="I214" i="1"/>
  <c r="R214" i="1" l="1"/>
  <c r="Q214" i="1" s="1"/>
  <c r="X214" i="1" l="1"/>
  <c r="K214" i="1"/>
  <c r="W214" i="1"/>
  <c r="O215" i="1" s="1"/>
  <c r="Z215" i="1" l="1"/>
  <c r="AA215" i="1" s="1"/>
  <c r="Y215" i="1" l="1"/>
  <c r="I215" i="1"/>
  <c r="R215" i="1" l="1"/>
  <c r="Q215" i="1" s="1"/>
  <c r="X215" i="1" l="1"/>
  <c r="K215" i="1"/>
  <c r="W215" i="1"/>
  <c r="O216" i="1" s="1"/>
  <c r="Z216" i="1" l="1"/>
  <c r="AA216" i="1" l="1"/>
  <c r="Y216" i="1" s="1"/>
  <c r="R216" i="1" l="1"/>
  <c r="Q216" i="1" s="1"/>
  <c r="I216" i="1"/>
  <c r="X216" i="1" l="1"/>
  <c r="K216" i="1"/>
  <c r="W216" i="1"/>
  <c r="O217" i="1" s="1"/>
  <c r="Z217" i="1" l="1"/>
  <c r="AA217" i="1" s="1"/>
  <c r="Y217" i="1" l="1"/>
  <c r="I217" i="1"/>
  <c r="R217" i="1" l="1"/>
  <c r="Q217" i="1" s="1"/>
  <c r="X217" i="1" l="1"/>
  <c r="K217" i="1"/>
  <c r="W217" i="1"/>
  <c r="O218" i="1" s="1"/>
  <c r="Z218" i="1" l="1"/>
  <c r="AA218" i="1" s="1"/>
  <c r="Y218" i="1" l="1"/>
  <c r="I218" i="1"/>
  <c r="R218" i="1" l="1"/>
  <c r="Q218" i="1" s="1"/>
  <c r="X218" i="1" l="1"/>
  <c r="K218" i="1"/>
  <c r="W218" i="1"/>
  <c r="O219" i="1" s="1"/>
  <c r="Z219" i="1" l="1"/>
  <c r="AA219" i="1" s="1"/>
  <c r="Y219" i="1" l="1"/>
  <c r="I219" i="1"/>
  <c r="R219" i="1" l="1"/>
  <c r="Q219" i="1" s="1"/>
  <c r="X219" i="1" l="1"/>
  <c r="K219" i="1"/>
  <c r="W219" i="1"/>
  <c r="O220" i="1" s="1"/>
  <c r="Z220" i="1" l="1"/>
  <c r="AA220" i="1" l="1"/>
  <c r="Y220" i="1" s="1"/>
  <c r="R220" i="1" l="1"/>
  <c r="Q220" i="1" s="1"/>
  <c r="I220" i="1"/>
  <c r="X220" i="1" l="1"/>
  <c r="K220" i="1"/>
  <c r="W220" i="1"/>
  <c r="O221" i="1" s="1"/>
  <c r="Z221" i="1" l="1"/>
  <c r="AA221" i="1" s="1"/>
  <c r="Y221" i="1" l="1"/>
  <c r="I221" i="1"/>
  <c r="R221" i="1" l="1"/>
  <c r="Q221" i="1" s="1"/>
  <c r="X221" i="1" l="1"/>
  <c r="K221" i="1"/>
  <c r="W221" i="1"/>
  <c r="O222" i="1" s="1"/>
  <c r="Z222" i="1" l="1"/>
  <c r="AA222" i="1" s="1"/>
  <c r="Y222" i="1" l="1"/>
  <c r="I222" i="1"/>
  <c r="R222" i="1" l="1"/>
  <c r="Q222" i="1" s="1"/>
  <c r="X222" i="1" l="1"/>
  <c r="K222" i="1"/>
  <c r="W222" i="1"/>
  <c r="O223" i="1" s="1"/>
  <c r="Z223" i="1" l="1"/>
  <c r="AA223" i="1" s="1"/>
  <c r="Y223" i="1" l="1"/>
  <c r="I223" i="1"/>
  <c r="R223" i="1" l="1"/>
  <c r="Q223" i="1" s="1"/>
  <c r="X223" i="1" l="1"/>
  <c r="K223" i="1"/>
  <c r="W223" i="1"/>
  <c r="O224" i="1" s="1"/>
  <c r="Z224" i="1" l="1"/>
  <c r="AA224" i="1" l="1"/>
  <c r="Y224" i="1" s="1"/>
  <c r="R224" i="1" l="1"/>
  <c r="Q224" i="1" s="1"/>
  <c r="I224" i="1"/>
  <c r="X224" i="1" l="1"/>
  <c r="K224" i="1"/>
  <c r="K11" i="1" s="1"/>
  <c r="W224" i="1"/>
  <c r="O225" i="1" s="1"/>
  <c r="Z225" i="1" l="1"/>
  <c r="AA225" i="1" l="1"/>
  <c r="I225" i="1" s="1"/>
  <c r="Y225" i="1" l="1"/>
  <c r="R225" i="1" l="1"/>
  <c r="X225" i="1" s="1"/>
  <c r="Q225" i="1" l="1"/>
  <c r="W225" i="1" s="1"/>
  <c r="O226" i="1" l="1"/>
  <c r="Z226" i="1" l="1"/>
  <c r="AA226" i="1" s="1"/>
  <c r="I226" i="1" l="1"/>
  <c r="Y226" i="1"/>
  <c r="R226" i="1" l="1"/>
  <c r="X226" i="1" s="1"/>
  <c r="Q226" i="1" l="1"/>
  <c r="W226" i="1" s="1"/>
  <c r="O227" i="1" s="1"/>
  <c r="Z227" i="1" l="1"/>
  <c r="AA227" i="1" l="1"/>
  <c r="I227" i="1" s="1"/>
  <c r="Y227" i="1" l="1"/>
  <c r="R227" i="1" l="1"/>
  <c r="X227" i="1" s="1"/>
  <c r="Q227" i="1" l="1"/>
  <c r="W227" i="1" s="1"/>
  <c r="O228" i="1" s="1"/>
  <c r="Z228" i="1" l="1"/>
  <c r="AA228" i="1" l="1"/>
  <c r="I228" i="1" s="1"/>
  <c r="Y228" i="1" l="1"/>
  <c r="R228" i="1" l="1"/>
  <c r="X228" i="1" s="1"/>
  <c r="Q228" i="1" l="1"/>
  <c r="W228" i="1" s="1"/>
  <c r="O229" i="1" s="1"/>
  <c r="Z229" i="1" l="1"/>
  <c r="AA229" i="1" l="1"/>
  <c r="Y229" i="1" s="1"/>
  <c r="R229" i="1" l="1"/>
  <c r="X229" i="1" s="1"/>
  <c r="I229" i="1"/>
  <c r="Q229" i="1" l="1"/>
  <c r="W229" i="1" s="1"/>
  <c r="O230" i="1" s="1"/>
  <c r="Z230" i="1" l="1"/>
  <c r="AA230" i="1" l="1"/>
  <c r="Y230" i="1" s="1"/>
  <c r="R230" i="1" l="1"/>
  <c r="X230" i="1" s="1"/>
  <c r="I230" i="1"/>
  <c r="Q230" i="1" l="1"/>
  <c r="W230" i="1" s="1"/>
  <c r="O231" i="1" s="1"/>
  <c r="Z231" i="1" l="1"/>
  <c r="AA231" i="1" s="1"/>
  <c r="Y231" i="1" l="1"/>
  <c r="I231" i="1"/>
  <c r="R231" i="1" l="1"/>
  <c r="Q231" i="1" s="1"/>
  <c r="W231" i="1" s="1"/>
  <c r="O232" i="1" s="1"/>
  <c r="X231" i="1" l="1"/>
  <c r="Z232" i="1" s="1"/>
  <c r="AA232" i="1" s="1"/>
  <c r="Y232" i="1" l="1"/>
  <c r="I232" i="1"/>
  <c r="R232" i="1" l="1"/>
  <c r="Q232" i="1" s="1"/>
  <c r="W232" i="1" s="1"/>
  <c r="O233" i="1" s="1"/>
  <c r="X232" i="1" l="1"/>
  <c r="Z233" i="1" s="1"/>
  <c r="AA233" i="1" s="1"/>
  <c r="Y233" i="1" l="1"/>
  <c r="I233" i="1"/>
  <c r="R233" i="1" l="1"/>
  <c r="Q233" i="1" s="1"/>
  <c r="W233" i="1" s="1"/>
  <c r="O234" i="1" s="1"/>
  <c r="X233" i="1" l="1"/>
  <c r="Z234" i="1" s="1"/>
  <c r="AA234" i="1" s="1"/>
  <c r="Y234" i="1" l="1"/>
  <c r="I234" i="1"/>
  <c r="R234" i="1" l="1"/>
  <c r="Q234" i="1" s="1"/>
  <c r="W234" i="1" s="1"/>
  <c r="O235" i="1" s="1"/>
  <c r="X234" i="1" l="1"/>
  <c r="Z235" i="1"/>
  <c r="AA235" i="1" l="1"/>
  <c r="Y235" i="1" s="1"/>
  <c r="R235" i="1" l="1"/>
  <c r="Q235" i="1" s="1"/>
  <c r="W235" i="1" s="1"/>
  <c r="O236" i="1" s="1"/>
  <c r="I235" i="1"/>
  <c r="X235" i="1" l="1"/>
  <c r="Z236" i="1" s="1"/>
  <c r="AA236" i="1" s="1"/>
  <c r="I236" i="1" l="1"/>
  <c r="Y236" i="1"/>
  <c r="R236" i="1" l="1"/>
  <c r="Q236" i="1" s="1"/>
  <c r="W236" i="1" s="1"/>
  <c r="O237" i="1" s="1"/>
  <c r="X236" i="1" l="1"/>
  <c r="Z237" i="1" s="1"/>
  <c r="AA237" i="1" s="1"/>
  <c r="Y237" i="1" l="1"/>
  <c r="I237" i="1"/>
  <c r="R237" i="1" l="1"/>
  <c r="Q237" i="1" s="1"/>
  <c r="W237" i="1" s="1"/>
  <c r="O238" i="1" s="1"/>
  <c r="X237" i="1" l="1"/>
  <c r="Z238" i="1" s="1"/>
  <c r="AA238" i="1" s="1"/>
  <c r="I238" i="1" l="1"/>
  <c r="Y238" i="1"/>
  <c r="R238" i="1" l="1"/>
  <c r="Q238" i="1" s="1"/>
  <c r="W238" i="1" s="1"/>
  <c r="O239" i="1" s="1"/>
  <c r="X238" i="1" l="1"/>
  <c r="Z239" i="1" s="1"/>
  <c r="AA239" i="1" s="1"/>
  <c r="I239" i="1" l="1"/>
  <c r="Y239" i="1"/>
  <c r="R239" i="1" l="1"/>
  <c r="X239" i="1" s="1"/>
  <c r="Q239" i="1" l="1"/>
  <c r="W239" i="1" s="1"/>
  <c r="O240" i="1" s="1"/>
  <c r="Z240" i="1" l="1"/>
  <c r="AA240" i="1" l="1"/>
  <c r="I240" i="1" s="1"/>
  <c r="Y240" i="1" l="1"/>
  <c r="R240" i="1" l="1"/>
  <c r="X240" i="1" s="1"/>
  <c r="Q240" i="1" l="1"/>
  <c r="W240" i="1" s="1"/>
  <c r="O241" i="1" s="1"/>
  <c r="Z241" i="1" l="1"/>
  <c r="AA241" i="1" s="1"/>
  <c r="I241" i="1" l="1"/>
  <c r="Y241" i="1"/>
  <c r="R241" i="1" l="1"/>
  <c r="X241" i="1" s="1"/>
  <c r="Q241" i="1" l="1"/>
  <c r="W241" i="1" s="1"/>
  <c r="O242" i="1" s="1"/>
  <c r="Z242" i="1" l="1"/>
  <c r="AA242" i="1" l="1"/>
  <c r="Y242" i="1" s="1"/>
  <c r="R242" i="1" l="1"/>
  <c r="X242" i="1" s="1"/>
  <c r="I242" i="1"/>
  <c r="Q242" i="1" l="1"/>
  <c r="W242" i="1" s="1"/>
  <c r="O243" i="1" s="1"/>
  <c r="Z243" i="1" l="1"/>
  <c r="AA243" i="1" l="1"/>
  <c r="I243" i="1" s="1"/>
  <c r="Y243" i="1" l="1"/>
  <c r="R243" i="1" l="1"/>
  <c r="X243" i="1" s="1"/>
  <c r="Q243" i="1" l="1"/>
  <c r="W243" i="1" s="1"/>
  <c r="O244" i="1" s="1"/>
  <c r="Z244" i="1" l="1"/>
  <c r="AA244" i="1" s="1"/>
  <c r="Y244" i="1" l="1"/>
  <c r="I244" i="1"/>
  <c r="R244" i="1" l="1"/>
  <c r="X244" i="1" s="1"/>
  <c r="Q244" i="1" l="1"/>
  <c r="W244" i="1" s="1"/>
  <c r="O245" i="1" s="1"/>
  <c r="Z245" i="1" l="1"/>
  <c r="AA245" i="1" s="1"/>
  <c r="Y245" i="1" l="1"/>
  <c r="I245" i="1"/>
  <c r="R245" i="1" l="1"/>
  <c r="Q245" i="1" s="1"/>
  <c r="W245" i="1" s="1"/>
  <c r="O246" i="1" s="1"/>
  <c r="X245" i="1" l="1"/>
  <c r="Z246" i="1" s="1"/>
  <c r="AA246" i="1" l="1"/>
  <c r="Y246" i="1" s="1"/>
  <c r="R246" i="1" l="1"/>
  <c r="Q246" i="1" s="1"/>
  <c r="W246" i="1" s="1"/>
  <c r="O247" i="1" s="1"/>
  <c r="I246" i="1"/>
  <c r="X246" i="1" l="1"/>
  <c r="Z247" i="1" s="1"/>
  <c r="AA247" i="1" l="1"/>
  <c r="Y247" i="1" s="1"/>
  <c r="R247" i="1" l="1"/>
  <c r="Q247" i="1" s="1"/>
  <c r="W247" i="1" s="1"/>
  <c r="O248" i="1" s="1"/>
  <c r="I247" i="1"/>
  <c r="X247" i="1" l="1"/>
  <c r="Z248" i="1" s="1"/>
  <c r="AA248" i="1" l="1"/>
  <c r="Y248" i="1" s="1"/>
  <c r="R248" i="1" l="1"/>
  <c r="Q248" i="1" s="1"/>
  <c r="W248" i="1" s="1"/>
  <c r="O249" i="1" s="1"/>
  <c r="I248" i="1"/>
  <c r="X248" i="1" l="1"/>
  <c r="Z249" i="1" s="1"/>
  <c r="AA249" i="1" l="1"/>
  <c r="Y249" i="1" s="1"/>
  <c r="R249" i="1" l="1"/>
  <c r="Q249" i="1" s="1"/>
  <c r="W249" i="1" s="1"/>
  <c r="O250" i="1" s="1"/>
  <c r="I249" i="1"/>
  <c r="X249" i="1" l="1"/>
  <c r="Z250" i="1"/>
  <c r="AA250" i="1" l="1"/>
  <c r="I250" i="1" s="1"/>
  <c r="Y250" i="1" l="1"/>
  <c r="R250" i="1" l="1"/>
  <c r="Q250" i="1" s="1"/>
  <c r="W250" i="1" s="1"/>
  <c r="O251" i="1" s="1"/>
  <c r="X250" i="1" l="1"/>
  <c r="Z251" i="1"/>
  <c r="AA251" i="1" l="1"/>
  <c r="I251" i="1" s="1"/>
  <c r="Y251" i="1" l="1"/>
  <c r="R251" i="1" l="1"/>
  <c r="Q251" i="1" s="1"/>
  <c r="W251" i="1" s="1"/>
  <c r="O252" i="1" s="1"/>
  <c r="X251" i="1" l="1"/>
  <c r="Z252" i="1" s="1"/>
  <c r="AA252" i="1" s="1"/>
  <c r="Y252" i="1" l="1"/>
  <c r="I252" i="1"/>
  <c r="R252" i="1" l="1"/>
  <c r="Q252" i="1" s="1"/>
  <c r="W252" i="1" s="1"/>
  <c r="O253" i="1" s="1"/>
  <c r="X252" i="1" l="1"/>
  <c r="Z253" i="1" s="1"/>
  <c r="AA253" i="1" l="1"/>
  <c r="Y253" i="1" s="1"/>
  <c r="R253" i="1" l="1"/>
  <c r="Q253" i="1" s="1"/>
  <c r="W253" i="1" s="1"/>
  <c r="O254" i="1" s="1"/>
  <c r="I253" i="1"/>
  <c r="X253" i="1" l="1"/>
  <c r="Z254" i="1" s="1"/>
  <c r="AA254" i="1" l="1"/>
  <c r="Y254" i="1" s="1"/>
  <c r="R254" i="1" l="1"/>
  <c r="Q254" i="1" s="1"/>
  <c r="W254" i="1" s="1"/>
  <c r="O255" i="1" s="1"/>
  <c r="I254" i="1"/>
  <c r="X254" i="1" l="1"/>
  <c r="Z255" i="1" s="1"/>
  <c r="AA255" i="1" l="1"/>
  <c r="I255" i="1" s="1"/>
  <c r="Y255" i="1" l="1"/>
  <c r="R255" i="1" l="1"/>
  <c r="Q255" i="1" s="1"/>
  <c r="W255" i="1" s="1"/>
  <c r="O256" i="1" s="1"/>
  <c r="X255" i="1" l="1"/>
  <c r="Z256" i="1" s="1"/>
  <c r="AA256" i="1" l="1"/>
  <c r="Y256" i="1" s="1"/>
  <c r="R256" i="1" l="1"/>
  <c r="Q256" i="1" s="1"/>
  <c r="W256" i="1" s="1"/>
  <c r="O257" i="1" s="1"/>
  <c r="I256" i="1"/>
  <c r="X256" i="1" l="1"/>
  <c r="Z257" i="1" s="1"/>
  <c r="AA257" i="1" s="1"/>
  <c r="I257" i="1" l="1"/>
  <c r="Y257" i="1"/>
  <c r="R257" i="1" l="1"/>
  <c r="Q257" i="1" s="1"/>
  <c r="W257" i="1" s="1"/>
  <c r="O258" i="1" s="1"/>
  <c r="X257" i="1" l="1"/>
  <c r="Z258" i="1" s="1"/>
  <c r="AA258" i="1" l="1"/>
  <c r="I258" i="1" s="1"/>
  <c r="Y258" i="1" l="1"/>
  <c r="R258" i="1" l="1"/>
  <c r="Q258" i="1" s="1"/>
  <c r="W258" i="1" s="1"/>
  <c r="O259" i="1" s="1"/>
  <c r="X258" i="1" l="1"/>
  <c r="Z259" i="1" s="1"/>
  <c r="AA259" i="1" s="1"/>
  <c r="Y259" i="1" l="1"/>
  <c r="I259" i="1"/>
  <c r="R259" i="1" l="1"/>
  <c r="Q259" i="1" s="1"/>
  <c r="W259" i="1" s="1"/>
  <c r="O260" i="1" s="1"/>
  <c r="X259" i="1" l="1"/>
  <c r="Z260" i="1" s="1"/>
  <c r="AA260" i="1" l="1"/>
  <c r="Y260" i="1" s="1"/>
  <c r="R260" i="1" l="1"/>
  <c r="Q260" i="1" s="1"/>
  <c r="W260" i="1" s="1"/>
  <c r="O261" i="1" s="1"/>
  <c r="I260" i="1"/>
  <c r="X260" i="1" l="1"/>
  <c r="Z261" i="1" s="1"/>
  <c r="AA261" i="1" s="1"/>
  <c r="I261" i="1" l="1"/>
  <c r="Y261" i="1"/>
  <c r="R261" i="1" l="1"/>
  <c r="Q261" i="1" s="1"/>
  <c r="W261" i="1" s="1"/>
  <c r="O262" i="1" s="1"/>
  <c r="X261" i="1" l="1"/>
  <c r="Z262" i="1" s="1"/>
  <c r="AA262" i="1" l="1"/>
  <c r="Y262" i="1" s="1"/>
  <c r="R262" i="1" l="1"/>
  <c r="Q262" i="1" s="1"/>
  <c r="W262" i="1" s="1"/>
  <c r="O263" i="1" s="1"/>
  <c r="I262" i="1"/>
  <c r="X262" i="1" l="1"/>
  <c r="Z263" i="1" s="1"/>
  <c r="AA263" i="1" l="1"/>
  <c r="Y263" i="1" s="1"/>
  <c r="R263" i="1" l="1"/>
  <c r="Q263" i="1" s="1"/>
  <c r="W263" i="1" s="1"/>
  <c r="O264" i="1" s="1"/>
  <c r="I263" i="1"/>
  <c r="X263" i="1" l="1"/>
  <c r="Z264" i="1" s="1"/>
  <c r="AA264" i="1" l="1"/>
  <c r="I264" i="1" s="1"/>
  <c r="Y264" i="1" l="1"/>
  <c r="R264" i="1" l="1"/>
  <c r="Q264" i="1" s="1"/>
  <c r="W264" i="1" s="1"/>
  <c r="O265" i="1" s="1"/>
  <c r="X264" i="1" l="1"/>
  <c r="Z265" i="1" s="1"/>
  <c r="AA265" i="1" s="1"/>
  <c r="Y265" i="1" l="1"/>
  <c r="I265" i="1"/>
  <c r="R265" i="1" l="1"/>
  <c r="Q265" i="1" s="1"/>
  <c r="W265" i="1" s="1"/>
  <c r="O266" i="1" s="1"/>
  <c r="X265" i="1" l="1"/>
  <c r="Z266" i="1" s="1"/>
  <c r="AA266" i="1" s="1"/>
  <c r="Y266" i="1" l="1"/>
  <c r="I266" i="1"/>
  <c r="R266" i="1" l="1"/>
  <c r="Q266" i="1" s="1"/>
  <c r="W266" i="1" s="1"/>
  <c r="O267" i="1" s="1"/>
  <c r="X266" i="1" l="1"/>
  <c r="Z267" i="1" s="1"/>
  <c r="AA267" i="1" l="1"/>
  <c r="Y267" i="1" s="1"/>
  <c r="R267" i="1" l="1"/>
  <c r="Q267" i="1" s="1"/>
  <c r="W267" i="1" s="1"/>
  <c r="O268" i="1" s="1"/>
  <c r="I267" i="1"/>
  <c r="X267" i="1" l="1"/>
  <c r="Z268" i="1" s="1"/>
  <c r="AA268" i="1" l="1"/>
  <c r="I268" i="1" s="1"/>
  <c r="Y268" i="1" l="1"/>
  <c r="R268" i="1" l="1"/>
  <c r="Q268" i="1" s="1"/>
  <c r="W268" i="1" s="1"/>
  <c r="O269" i="1" s="1"/>
  <c r="X268" i="1" l="1"/>
  <c r="Z269" i="1" s="1"/>
  <c r="AA269" i="1" l="1"/>
  <c r="I269" i="1" s="1"/>
  <c r="Y269" i="1" l="1"/>
  <c r="R269" i="1" l="1"/>
  <c r="Q269" i="1" s="1"/>
  <c r="W269" i="1" s="1"/>
  <c r="O270" i="1" s="1"/>
  <c r="X269" i="1" l="1"/>
  <c r="Z270" i="1" s="1"/>
  <c r="AA270" i="1" l="1"/>
  <c r="Y270" i="1" s="1"/>
  <c r="R270" i="1" l="1"/>
  <c r="Q270" i="1" s="1"/>
  <c r="W270" i="1" s="1"/>
  <c r="O271" i="1" s="1"/>
  <c r="I270" i="1"/>
  <c r="X270" i="1" l="1"/>
  <c r="Z271" i="1" s="1"/>
  <c r="AA271" i="1" l="1"/>
  <c r="Y271" i="1" s="1"/>
  <c r="R271" i="1" l="1"/>
  <c r="Q271" i="1" s="1"/>
  <c r="W271" i="1" s="1"/>
  <c r="O272" i="1" s="1"/>
  <c r="I271" i="1"/>
  <c r="X271" i="1" l="1"/>
  <c r="Z272" i="1" s="1"/>
  <c r="AA272" i="1" s="1"/>
  <c r="I272" i="1" l="1"/>
  <c r="Y272" i="1"/>
  <c r="R272" i="1" l="1"/>
  <c r="Q272" i="1" s="1"/>
  <c r="W272" i="1" s="1"/>
  <c r="O273" i="1" s="1"/>
  <c r="X272" i="1" l="1"/>
  <c r="Z273" i="1" s="1"/>
  <c r="AA273" i="1" s="1"/>
  <c r="Y273" i="1" l="1"/>
  <c r="R273" i="1" s="1"/>
  <c r="Q273" i="1" s="1"/>
  <c r="W273" i="1" s="1"/>
  <c r="O274" i="1" s="1"/>
  <c r="I273" i="1"/>
  <c r="X273" i="1" l="1"/>
  <c r="Z274" i="1" s="1"/>
  <c r="AA274" i="1" l="1"/>
  <c r="I274" i="1" s="1"/>
  <c r="Y274" i="1" l="1"/>
  <c r="R274" i="1" l="1"/>
  <c r="Q274" i="1" s="1"/>
  <c r="W274" i="1" s="1"/>
  <c r="O275" i="1" s="1"/>
  <c r="X274" i="1" l="1"/>
  <c r="Z275" i="1" s="1"/>
  <c r="AA275" i="1" s="1"/>
  <c r="Y275" i="1" l="1"/>
  <c r="I275" i="1"/>
  <c r="R275" i="1" l="1"/>
  <c r="Q275" i="1" s="1"/>
  <c r="W275" i="1" s="1"/>
  <c r="O276" i="1" s="1"/>
  <c r="X275" i="1" l="1"/>
  <c r="Z276" i="1" s="1"/>
  <c r="AA276" i="1" s="1"/>
  <c r="I276" i="1" l="1"/>
  <c r="Y276" i="1"/>
  <c r="R276" i="1" s="1"/>
  <c r="Q276" i="1" s="1"/>
  <c r="W276" i="1" s="1"/>
  <c r="O277" i="1" s="1"/>
  <c r="X276" i="1" l="1"/>
  <c r="Z277" i="1" s="1"/>
  <c r="AA277" i="1" s="1"/>
  <c r="I277" i="1" l="1"/>
  <c r="Y277" i="1"/>
  <c r="R277" i="1" s="1"/>
  <c r="Q277" i="1" s="1"/>
  <c r="W277" i="1" s="1"/>
  <c r="O278" i="1" s="1"/>
  <c r="X277" i="1" l="1"/>
  <c r="Z278" i="1" s="1"/>
  <c r="AA278" i="1" l="1"/>
  <c r="I278" i="1" s="1"/>
  <c r="Y278" i="1" l="1"/>
  <c r="R278" i="1" l="1"/>
  <c r="Q278" i="1" s="1"/>
  <c r="W278" i="1" s="1"/>
  <c r="O279" i="1" s="1"/>
  <c r="X278" i="1" l="1"/>
  <c r="Z279" i="1" s="1"/>
  <c r="AA279" i="1" s="1"/>
  <c r="I279" i="1" l="1"/>
  <c r="Y279" i="1"/>
  <c r="R279" i="1" l="1"/>
  <c r="Q279" i="1" s="1"/>
  <c r="W279" i="1" s="1"/>
  <c r="O280" i="1" s="1"/>
  <c r="X279" i="1" l="1"/>
  <c r="Z280" i="1" s="1"/>
  <c r="AA280" i="1" l="1"/>
  <c r="Y280" i="1" s="1"/>
  <c r="R280" i="1" l="1"/>
  <c r="Q280" i="1" s="1"/>
  <c r="W280" i="1" s="1"/>
  <c r="O281" i="1" s="1"/>
  <c r="I280" i="1"/>
  <c r="X280" i="1" l="1"/>
  <c r="Z281" i="1" s="1"/>
  <c r="AA281" i="1" s="1"/>
  <c r="Y281" i="1" l="1"/>
  <c r="I281" i="1"/>
  <c r="R281" i="1" l="1"/>
  <c r="Q281" i="1" s="1"/>
  <c r="W281" i="1" s="1"/>
  <c r="O282" i="1" s="1"/>
  <c r="X281" i="1" l="1"/>
  <c r="Z282" i="1" s="1"/>
  <c r="AA282" i="1" s="1"/>
  <c r="I282" i="1" l="1"/>
  <c r="Y282" i="1"/>
  <c r="R282" i="1" l="1"/>
  <c r="Q282" i="1" s="1"/>
  <c r="W282" i="1" s="1"/>
  <c r="O283" i="1" s="1"/>
  <c r="X282" i="1" l="1"/>
  <c r="Z283" i="1" s="1"/>
  <c r="AA283" i="1" s="1"/>
  <c r="I283" i="1" l="1"/>
  <c r="Y283" i="1"/>
  <c r="R283" i="1" l="1"/>
  <c r="Q283" i="1" s="1"/>
  <c r="W283" i="1" s="1"/>
  <c r="O284" i="1" s="1"/>
  <c r="X283" i="1" l="1"/>
  <c r="Z284" i="1" s="1"/>
  <c r="AA284" i="1" l="1"/>
  <c r="I284" i="1" s="1"/>
  <c r="Y284" i="1" l="1"/>
  <c r="R284" i="1" l="1"/>
  <c r="Q284" i="1" s="1"/>
  <c r="W284" i="1" s="1"/>
  <c r="O285" i="1" s="1"/>
  <c r="X284" i="1" l="1"/>
  <c r="Z285" i="1" s="1"/>
  <c r="AA285" i="1" s="1"/>
  <c r="Y285" i="1" l="1"/>
  <c r="I285" i="1"/>
  <c r="R285" i="1" l="1"/>
  <c r="Q285" i="1" s="1"/>
  <c r="W285" i="1" s="1"/>
  <c r="O286" i="1" s="1"/>
  <c r="X285" i="1" l="1"/>
  <c r="Z286" i="1" s="1"/>
  <c r="AA286" i="1" s="1"/>
  <c r="I286" i="1" l="1"/>
  <c r="Y286" i="1"/>
  <c r="R286" i="1" l="1"/>
  <c r="Q286" i="1" s="1"/>
  <c r="W286" i="1" s="1"/>
  <c r="O287" i="1" s="1"/>
  <c r="X286" i="1" l="1"/>
  <c r="Z287" i="1" s="1"/>
  <c r="AA287" i="1" l="1"/>
  <c r="I287" i="1" s="1"/>
  <c r="Y287" i="1" l="1"/>
  <c r="R287" i="1" l="1"/>
  <c r="Q287" i="1" s="1"/>
  <c r="W287" i="1" s="1"/>
  <c r="O288" i="1" s="1"/>
  <c r="X287" i="1" l="1"/>
  <c r="Z288" i="1" s="1"/>
  <c r="AA288" i="1" s="1"/>
  <c r="Y288" i="1" l="1"/>
  <c r="R288" i="1" s="1"/>
  <c r="Q288" i="1" s="1"/>
  <c r="W288" i="1" s="1"/>
  <c r="O289" i="1" s="1"/>
  <c r="I288" i="1"/>
  <c r="X288" i="1" l="1"/>
  <c r="Z289" i="1" s="1"/>
  <c r="AA289" i="1" s="1"/>
  <c r="I289" i="1" l="1"/>
  <c r="Y289" i="1"/>
  <c r="R289" i="1" l="1"/>
  <c r="Q289" i="1" s="1"/>
  <c r="W289" i="1" s="1"/>
  <c r="O290" i="1" s="1"/>
  <c r="X289" i="1" l="1"/>
  <c r="Z290" i="1" s="1"/>
  <c r="AA290" i="1" l="1"/>
  <c r="I290" i="1" s="1"/>
  <c r="Y290" i="1" l="1"/>
  <c r="R290" i="1" l="1"/>
  <c r="Q290" i="1" s="1"/>
  <c r="W290" i="1" s="1"/>
  <c r="O291" i="1" s="1"/>
  <c r="X290" i="1" l="1"/>
  <c r="Z291" i="1" s="1"/>
  <c r="AA291" i="1" s="1"/>
  <c r="I291" i="1" l="1"/>
  <c r="Y291" i="1"/>
  <c r="R291" i="1" l="1"/>
  <c r="Q291" i="1" s="1"/>
  <c r="W291" i="1" s="1"/>
  <c r="O292" i="1" s="1"/>
  <c r="X291" i="1" l="1"/>
  <c r="Z292" i="1" s="1"/>
  <c r="AA292" i="1" l="1"/>
  <c r="Y292" i="1" s="1"/>
  <c r="R292" i="1" l="1"/>
  <c r="Q292" i="1" s="1"/>
  <c r="W292" i="1" s="1"/>
  <c r="O293" i="1" s="1"/>
  <c r="I292" i="1"/>
  <c r="X292" i="1" l="1"/>
  <c r="Z293" i="1" s="1"/>
  <c r="AA293" i="1" s="1"/>
  <c r="I293" i="1" l="1"/>
  <c r="Y293" i="1"/>
  <c r="R293" i="1" l="1"/>
  <c r="Q293" i="1" s="1"/>
  <c r="W293" i="1" s="1"/>
  <c r="O294" i="1" s="1"/>
  <c r="X293" i="1" l="1"/>
  <c r="Z294" i="1" s="1"/>
  <c r="AA294" i="1" s="1"/>
  <c r="I294" i="1" l="1"/>
  <c r="Y294" i="1"/>
  <c r="R294" i="1" l="1"/>
  <c r="Q294" i="1" s="1"/>
  <c r="W294" i="1" s="1"/>
  <c r="O295" i="1" s="1"/>
  <c r="X294" i="1" l="1"/>
  <c r="Z295" i="1" s="1"/>
  <c r="AA295" i="1" l="1"/>
  <c r="I295" i="1" s="1"/>
  <c r="Y295" i="1" l="1"/>
  <c r="R295" i="1" l="1"/>
  <c r="Q295" i="1" s="1"/>
  <c r="W295" i="1" s="1"/>
  <c r="O296" i="1" s="1"/>
  <c r="X295" i="1" l="1"/>
  <c r="Z296" i="1" s="1"/>
  <c r="AA296" i="1" l="1"/>
  <c r="Y296" i="1" s="1"/>
  <c r="R296" i="1" l="1"/>
  <c r="Q296" i="1" s="1"/>
  <c r="W296" i="1" s="1"/>
  <c r="O297" i="1" s="1"/>
  <c r="I296" i="1"/>
  <c r="X296" i="1" l="1"/>
  <c r="Z297" i="1" s="1"/>
  <c r="AA297" i="1" s="1"/>
  <c r="I297" i="1" l="1"/>
  <c r="Y297" i="1"/>
  <c r="R297" i="1" l="1"/>
  <c r="Q297" i="1" s="1"/>
  <c r="W297" i="1" s="1"/>
  <c r="O298" i="1" s="1"/>
  <c r="X297" i="1" l="1"/>
  <c r="Z298" i="1" s="1"/>
  <c r="AA298" i="1" l="1"/>
  <c r="I298" i="1" s="1"/>
  <c r="Y298" i="1" l="1"/>
  <c r="R298" i="1" l="1"/>
  <c r="Q298" i="1" s="1"/>
  <c r="W298" i="1" s="1"/>
  <c r="O299" i="1" s="1"/>
  <c r="X298" i="1" l="1"/>
  <c r="Z299" i="1" s="1"/>
  <c r="AA299" i="1" s="1"/>
  <c r="Y299" i="1" l="1"/>
  <c r="I299" i="1"/>
  <c r="R299" i="1" l="1"/>
  <c r="Q299" i="1" s="1"/>
  <c r="W299" i="1" s="1"/>
  <c r="O300" i="1" s="1"/>
  <c r="X299" i="1" l="1"/>
  <c r="Z300" i="1" s="1"/>
  <c r="AA300" i="1" s="1"/>
  <c r="I300" i="1" l="1"/>
  <c r="Y300" i="1"/>
  <c r="R300" i="1" l="1"/>
  <c r="Q300" i="1" s="1"/>
  <c r="W300" i="1" s="1"/>
  <c r="O301" i="1" s="1"/>
  <c r="X300" i="1" l="1"/>
  <c r="Z301" i="1" s="1"/>
  <c r="AA301" i="1" l="1"/>
  <c r="I301" i="1" s="1"/>
  <c r="Y301" i="1" l="1"/>
  <c r="R301" i="1" l="1"/>
  <c r="Q301" i="1" s="1"/>
  <c r="W301" i="1" s="1"/>
  <c r="O302" i="1" s="1"/>
  <c r="X301" i="1" l="1"/>
  <c r="Z302" i="1" s="1"/>
  <c r="AA302" i="1" l="1"/>
  <c r="I302" i="1" s="1"/>
  <c r="Y302" i="1" l="1"/>
  <c r="R302" i="1" l="1"/>
  <c r="Q302" i="1" s="1"/>
  <c r="W302" i="1" s="1"/>
  <c r="O303" i="1" s="1"/>
  <c r="X302" i="1" l="1"/>
  <c r="Z303" i="1" s="1"/>
  <c r="AA303" i="1" s="1"/>
  <c r="I303" i="1" l="1"/>
  <c r="Y303" i="1"/>
  <c r="R303" i="1" l="1"/>
  <c r="Q303" i="1" s="1"/>
  <c r="W303" i="1" s="1"/>
  <c r="O304" i="1" s="1"/>
  <c r="X303" i="1" l="1"/>
  <c r="Z304" i="1" s="1"/>
  <c r="AA304" i="1" s="1"/>
  <c r="Y304" i="1" l="1"/>
  <c r="R304" i="1" s="1"/>
  <c r="Q304" i="1" s="1"/>
  <c r="W304" i="1" s="1"/>
  <c r="O305" i="1" s="1"/>
  <c r="I304" i="1"/>
  <c r="X304" i="1" l="1"/>
  <c r="Z305" i="1" s="1"/>
  <c r="AA305" i="1" l="1"/>
  <c r="I305" i="1" s="1"/>
  <c r="Y305" i="1" l="1"/>
  <c r="R305" i="1" l="1"/>
  <c r="Q305" i="1" s="1"/>
  <c r="W305" i="1" s="1"/>
  <c r="O306" i="1" s="1"/>
  <c r="X305" i="1" l="1"/>
  <c r="Z306" i="1" s="1"/>
  <c r="AA306" i="1" l="1"/>
  <c r="I306" i="1" s="1"/>
  <c r="Y306" i="1" l="1"/>
  <c r="R306" i="1" l="1"/>
  <c r="Q306" i="1" s="1"/>
  <c r="W306" i="1" s="1"/>
  <c r="O307" i="1" s="1"/>
  <c r="X306" i="1" l="1"/>
  <c r="Z307" i="1" s="1"/>
  <c r="AA307" i="1" s="1"/>
  <c r="Y307" i="1" l="1"/>
  <c r="I307" i="1"/>
  <c r="R307" i="1" l="1"/>
  <c r="Q307" i="1" s="1"/>
  <c r="W307" i="1" s="1"/>
  <c r="O308" i="1" s="1"/>
  <c r="X307" i="1" l="1"/>
  <c r="Z308" i="1" s="1"/>
  <c r="AA308" i="1" l="1"/>
  <c r="I308" i="1" s="1"/>
  <c r="Y308" i="1" l="1"/>
  <c r="R308" i="1" l="1"/>
  <c r="Q308" i="1" s="1"/>
  <c r="W308" i="1" s="1"/>
  <c r="O309" i="1" s="1"/>
  <c r="X308" i="1" l="1"/>
  <c r="Z309" i="1" s="1"/>
  <c r="AA309" i="1" l="1"/>
  <c r="I309" i="1" s="1"/>
  <c r="Y309" i="1" l="1"/>
  <c r="R309" i="1" l="1"/>
  <c r="Q309" i="1" s="1"/>
  <c r="W309" i="1" s="1"/>
  <c r="O310" i="1" s="1"/>
  <c r="X309" i="1" l="1"/>
  <c r="Z310" i="1" s="1"/>
  <c r="AA310" i="1" s="1"/>
  <c r="Y310" i="1" l="1"/>
  <c r="I310" i="1"/>
  <c r="R310" i="1" l="1"/>
  <c r="Q310" i="1" s="1"/>
  <c r="W310" i="1" s="1"/>
  <c r="O311" i="1" s="1"/>
  <c r="X310" i="1" l="1"/>
  <c r="Z311" i="1" s="1"/>
  <c r="AA311" i="1" s="1"/>
  <c r="I311" i="1" l="1"/>
  <c r="AI7" i="1" s="1"/>
  <c r="Y311" i="1"/>
  <c r="R311" i="1" l="1"/>
  <c r="X311" i="1" s="1"/>
  <c r="Q311" i="1" l="1"/>
  <c r="W311" i="1" s="1"/>
  <c r="AA7" i="1" s="1"/>
  <c r="AB7" i="1"/>
  <c r="AA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Q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Plazo Original</t>
        </r>
      </text>
    </comment>
    <comment ref="Q7" authorId="0" shapeId="0" xr:uid="{923D8E05-8A03-4483-937D-82BCAE513E36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Q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R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Q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<sst xmlns="http://schemas.openxmlformats.org/spreadsheetml/2006/main" count="127" uniqueCount="125">
  <si>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</si>
  <si>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</si>
  <si>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</si>
  <si>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</si>
  <si>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</si>
  <si>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</si>
  <si>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</si>
  <si>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</si>
  <si>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</si>
  <si>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</si>
  <si>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</si>
  <si>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</si>
  <si>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</si>
  <si>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</si>
  <si>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</si>
  <si>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</si>
  <si>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</si>
  <si>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</si>
  <si>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</si>
  <si>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</si>
  <si>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</si>
  <si>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</si>
  <si>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</si>
  <si>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</si>
  <si>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</si>
  <si>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</si>
  <si>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</si>
  <si>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</si>
  <si>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</si>
  <si>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</si>
  <si>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</si>
  <si>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</si>
  <si>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</si>
  <si>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</si>
  <si>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</si>
  <si>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</si>
  <si>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</si>
  <si>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</si>
  <si>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</si>
  <si>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</si>
  <si>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</si>
  <si>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</si>
  <si>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</si>
  <si>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</si>
  <si>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</si>
  <si>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</si>
  <si>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</si>
  <si>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</si>
  <si>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</si>
  <si>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</si>
  <si>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</si>
  <si>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</si>
  <si>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</si>
  <si>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</si>
  <si>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</si>
  <si>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</si>
  <si>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</si>
  <si>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</si>
  <si>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</si>
  <si>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</si>
  <si>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</si>
  <si>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</si>
  <si>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</si>
  <si>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</si>
  <si>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</si>
  <si>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</si>
  <si>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</si>
  <si>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</si>
  <si>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</si>
  <si>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</si>
  <si>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</si>
  <si>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</si>
  <si>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</si>
  <si>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</si>
  <si>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</si>
  <si>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</si>
  <si>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</si>
  <si>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</si>
  <si>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</si>
  <si>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</si>
  <si>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</si>
  <si>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</si>
  <si>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</si>
  <si>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</si>
  <si>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</si>
  <si>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</si>
  <si>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</si>
  <si>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</si>
  <si>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</si>
  <si>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</si>
  <si>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</si>
  <si>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</si>
  <si>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</si>
  <si>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</si>
  <si>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</si>
  <si>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</si>
  <si>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</si>
  <si>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</si>
  <si>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</si>
  <si>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</si>
  <si>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</si>
  <si>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</si>
  <si>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</si>
  <si>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</si>
  <si>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</si>
  <si>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</si>
  <si>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</si>
  <si>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</si>
  <si>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</si>
  <si>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</si>
  <si>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</si>
  <si>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</si>
  <si>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</si>
  <si>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</si>
  <si>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</si>
  <si>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</si>
  <si>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</si>
  <si>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Doble</t>
  </si>
  <si>
    <t>CuotaFija</t>
  </si>
  <si>
    <t>CAPITALFIJOPAGADO</t>
  </si>
  <si>
    <t>https://github.com/Kyouru/Cronograma-de-Pagos</t>
  </si>
  <si>
    <t>Plazo</t>
  </si>
  <si>
    <t>v7.6</t>
  </si>
  <si>
    <t>SrvAdicional</t>
  </si>
  <si>
    <t>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</si>
</sst>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/>
    <xf numFmtId="14" fontId="0" fillId="0" borderId="0" xfId="0" applyNumberFormat="1"/>
    <xf numFmtId="164" fontId="0" fillId="0" borderId="0" xfId="0" applyNumberFormat="1"/>
    <xf numFmtId="3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Font="1"/>
    <xf numFmtId="0" fontId="9" fillId="0" borderId="0" xfId="3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</cellXfs>
  <cellStyles count="4">
    <cellStyle name="Comma" xfId="1" builtinId="3"/>
    <cellStyle name="Hyperlink" xfId="3" builtinId="8"/>
    <cellStyle name="Normal" xfId="0" builtinId="0"/>
    <cellStyle name="Per cent" xfId="2" builtinId="5"/>
  </cellStyles>
  <dxfs count="19"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CheckBox" checked="Checked" fmlaLink="$B$1" lockText="1" noThreeD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7</xdr:row>
          <xdr:rowOff>30480</xdr:rowOff>
        </xdr:from>
        <xdr:to>
          <xdr:col>3</xdr:col>
          <xdr:colOff>556260</xdr:colOff>
          <xdr:row>8</xdr:row>
          <xdr:rowOff>137160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327660</xdr:colOff>
          <xdr:row>4</xdr:row>
          <xdr:rowOff>99060</xdr:rowOff>
        </xdr:from>
        <xdr:to>
          <xdr:col>18</xdr:col>
          <xdr:colOff>312420</xdr:colOff>
          <xdr:row>6</xdr:row>
          <xdr:rowOff>144780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3</xdr:row>
          <xdr:rowOff>144780</xdr:rowOff>
        </xdr:from>
        <xdr:to>
          <xdr:col>1</xdr:col>
          <xdr:colOff>228600</xdr:colOff>
          <xdr:row>5</xdr:row>
          <xdr:rowOff>76200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</xdr:row>
          <xdr:rowOff>160020</xdr:rowOff>
        </xdr:from>
        <xdr:to>
          <xdr:col>3</xdr:col>
          <xdr:colOff>137160</xdr:colOff>
          <xdr:row>5</xdr:row>
          <xdr:rowOff>68580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152400</xdr:rowOff>
        </xdr:from>
        <xdr:to>
          <xdr:col>4</xdr:col>
          <xdr:colOff>190500</xdr:colOff>
          <xdr:row>5</xdr:row>
          <xdr:rowOff>60960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3</xdr:row>
          <xdr:rowOff>175260</xdr:rowOff>
        </xdr:from>
        <xdr:to>
          <xdr:col>24</xdr:col>
          <xdr:colOff>655320</xdr:colOff>
          <xdr:row>6</xdr:row>
          <xdr:rowOff>144780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</xdr:row>
          <xdr:rowOff>175260</xdr:rowOff>
        </xdr:from>
        <xdr:to>
          <xdr:col>14</xdr:col>
          <xdr:colOff>982980</xdr:colOff>
          <xdr:row>7</xdr:row>
          <xdr:rowOff>38100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 Adicional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Kyouru/Cronograma-de-Pagos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H419"/>
  <sheetViews>
    <sheetView tabSelected="1" zoomScale="80" zoomScaleNormal="80" workbookViewId="0">
      <pane ySplit="10" topLeftCell="A11" activePane="bottomLeft" state="frozen"/>
      <selection pane="bottomLeft" activeCell="M12" sqref="M12"/>
    </sheetView>
  </sheetViews>
  <sheetFormatPr defaultColWidth="11.44140625" defaultRowHeight="14.4" x14ac:dyDescent="0.3"/>
  <cols>
    <col min="1" max="1" width="13.33203125" customWidth="1"/>
    <col min="2" max="2" width="5.44140625" customWidth="1"/>
    <col min="3" max="3" width="11" style="17" customWidth="1"/>
    <col min="4" max="4" width="11.109375" style="17" customWidth="1"/>
    <col min="5" max="5" width="12.33203125" customWidth="1"/>
    <col min="6" max="6" width="6.33203125" hidden="1" customWidth="1"/>
    <col min="7" max="7" width="12.6640625" hidden="1" customWidth="1"/>
    <col min="8" max="11" width="9.33203125" hidden="1" customWidth="1"/>
    <col min="12" max="12" width="5.109375" customWidth="1"/>
    <col min="13" max="13" width="13.6640625" customWidth="1"/>
    <col min="14" max="14" width="15.88671875" customWidth="1"/>
    <col min="15" max="15" width="15" customWidth="1"/>
    <col min="16" max="16" width="14" customWidth="1"/>
    <col min="17" max="17" width="14.33203125" customWidth="1"/>
    <col min="18" max="22" width="13.6640625" customWidth="1"/>
    <col min="23" max="23" width="19.33203125" customWidth="1"/>
    <col min="24" max="24" width="13.33203125" customWidth="1"/>
    <col min="25" max="25" width="15.5546875" hidden="1" customWidth="1"/>
    <col min="26" max="26" width="13.6640625" customWidth="1"/>
    <col min="27" max="27" width="13.5546875" customWidth="1"/>
    <col min="28" max="28" width="14.6640625" customWidth="1"/>
  </cols>
  <sheetData>
    <row r="1" spans="1:86" ht="20.100000000000001" customHeight="1" x14ac:dyDescent="0.3">
      <c r="A1" s="1">
        <v>1</v>
      </c>
      <c r="B1" s="1" t="b">
        <v>1</v>
      </c>
      <c r="C1" s="16" t="str">
        <f>CONCATENATE($N$1,$N$2,$P$1,$P$2,$R$1,$R$2,$T$1,$T$2,$V$1,$V$2,$Y$1,$Y$2)</f>
        <v>111111111111</v>
      </c>
      <c r="D1" s="16"/>
      <c r="E1" s="4"/>
      <c r="H1" s="1"/>
      <c r="I1" s="1"/>
      <c r="J1" s="1"/>
      <c r="K1" s="1"/>
      <c r="L1" s="26" t="s">
        <v>117</v>
      </c>
      <c r="M1" s="2" t="s">
        <v>0</v>
      </c>
      <c r="N1" s="8">
        <v>1</v>
      </c>
      <c r="O1" s="2" t="s">
        <v>1</v>
      </c>
      <c r="P1" s="8">
        <v>1</v>
      </c>
      <c r="Q1" s="2" t="s">
        <v>2</v>
      </c>
      <c r="R1" s="8">
        <v>1</v>
      </c>
      <c r="S1" s="2" t="s">
        <v>3</v>
      </c>
      <c r="T1" s="8">
        <v>1</v>
      </c>
      <c r="U1" s="2" t="s">
        <v>4</v>
      </c>
      <c r="V1" s="8">
        <v>1</v>
      </c>
      <c r="W1" s="2" t="s">
        <v>5</v>
      </c>
      <c r="X1" s="2"/>
      <c r="Y1" s="8">
        <v>1</v>
      </c>
      <c r="AA1" s="11">
        <v>1.388843</v>
      </c>
      <c r="AB1" s="22">
        <f>ROUND(($AA$1/100+1)^12-1,2)</f>
        <v>0.18</v>
      </c>
    </row>
    <row r="2" spans="1:86" ht="20.100000000000001" customHeight="1" x14ac:dyDescent="0.3">
      <c r="A2" t="s">
        <v>122</v>
      </c>
      <c r="L2" s="27"/>
      <c r="M2" s="2" t="s">
        <v>6</v>
      </c>
      <c r="N2" s="8">
        <v>1</v>
      </c>
      <c r="O2" s="2" t="s">
        <v>7</v>
      </c>
      <c r="P2" s="8">
        <v>1</v>
      </c>
      <c r="Q2" s="2" t="s">
        <v>8</v>
      </c>
      <c r="R2" s="8">
        <v>1</v>
      </c>
      <c r="S2" s="2" t="s">
        <v>9</v>
      </c>
      <c r="T2" s="8">
        <v>1</v>
      </c>
      <c r="U2" s="2" t="s">
        <v>10</v>
      </c>
      <c r="V2" s="8">
        <v>1</v>
      </c>
      <c r="W2" s="2" t="s">
        <v>11</v>
      </c>
      <c r="X2" s="2"/>
      <c r="Y2" s="8">
        <v>1</v>
      </c>
    </row>
    <row r="3" spans="1:86" x14ac:dyDescent="0.3">
      <c r="A3" s="24" t="s">
        <v>120</v>
      </c>
      <c r="Z3" s="14" t="s">
        <v>111</v>
      </c>
      <c r="AA3" s="3">
        <f>INDEX($P$12:$P889,+NCUOTAS+CUOTAADICIONAL+NPREPAGO)</f>
        <v>6137.4700000000021</v>
      </c>
    </row>
    <row r="4" spans="1:86" x14ac:dyDescent="0.3">
      <c r="T4" t="s">
        <v>38</v>
      </c>
      <c r="U4" s="13">
        <v>7.0000000000000007E-2</v>
      </c>
      <c r="Z4" s="14" t="s">
        <v>35</v>
      </c>
      <c r="AA4" s="3">
        <f>SUM($R$12:$R889)</f>
        <v>825.07</v>
      </c>
      <c r="AC4" s="20" t="s">
        <v>104</v>
      </c>
    </row>
    <row r="5" spans="1:86" x14ac:dyDescent="0.3">
      <c r="O5" s="5"/>
      <c r="P5" t="s">
        <v>13</v>
      </c>
      <c r="Q5" s="3">
        <v>6137.5200000000023</v>
      </c>
      <c r="T5" t="s">
        <v>33</v>
      </c>
      <c r="U5" s="12">
        <v>0</v>
      </c>
      <c r="V5" s="15">
        <f>ROUND(((1+$U$4)^(1/12)-1)*100,6)</f>
        <v>0.565415</v>
      </c>
      <c r="Z5" s="14" t="s">
        <v>59</v>
      </c>
      <c r="AA5" s="3">
        <f>SUM($P$12:$P889)</f>
        <v>36825.070000000014</v>
      </c>
    </row>
    <row r="6" spans="1:86" x14ac:dyDescent="0.3">
      <c r="G6" s="5"/>
      <c r="M6" t="s">
        <v>12</v>
      </c>
      <c r="N6" s="9">
        <v>45271</v>
      </c>
      <c r="O6" s="18"/>
      <c r="P6" t="s">
        <v>121</v>
      </c>
      <c r="Q6" s="11">
        <v>6</v>
      </c>
      <c r="T6" t="s">
        <v>34</v>
      </c>
      <c r="U6" s="12">
        <v>0</v>
      </c>
      <c r="V6" s="3">
        <f>SUM($S$12:$S889)</f>
        <v>0</v>
      </c>
      <c r="X6" s="3"/>
      <c r="Z6" s="14" t="s">
        <v>37</v>
      </c>
      <c r="AA6">
        <f>DAY($N$7)</f>
        <v>25</v>
      </c>
      <c r="AC6" s="25" t="s">
        <v>105</v>
      </c>
      <c r="AD6" s="25"/>
      <c r="AI6" t="str">
        <f>IF(COUNTA($L$12:$L889)&lt;$Q$6,"Falta Extender la formula hacia abajo","OK")</f>
        <v>OK</v>
      </c>
    </row>
    <row r="7" spans="1:86" x14ac:dyDescent="0.3">
      <c r="M7" t="s">
        <v>37</v>
      </c>
      <c r="N7" s="11">
        <v>25</v>
      </c>
      <c r="P7" s="3" t="s">
        <v>110</v>
      </c>
      <c r="Q7" s="11">
        <v>0</v>
      </c>
      <c r="T7" t="s">
        <v>123</v>
      </c>
      <c r="U7" s="12">
        <v>0</v>
      </c>
      <c r="V7" s="3">
        <f>SUM($T$12:$T889)</f>
        <v>0</v>
      </c>
      <c r="X7" s="3"/>
      <c r="Z7" s="14" t="s">
        <v>15</v>
      </c>
      <c r="AA7" s="3">
        <f>ROUND(INDEX($W$12:$W889,+NCUOTAS+CUOTAADICIONAL+NPREPAGO),2)</f>
        <v>0</v>
      </c>
      <c r="AB7" s="3">
        <f>ROUND(INDEX($V$12:$V889,+NCUOTAS+CUOTAADICIONAL+NPREPAGO),2)+ROUND(INDEX($T$12:$T889,+NCUOTAS+CUOTAADICIONAL+NPREPAGO),2)+ROUND(INDEX($S$12:$S889,+NCUOTAS+CUOTAADICIONAL+NPREPAGO),2)+ROUND(INDEX($R$12:$R889,+NCUOTAS+CUOTAADICIONAL+NPREPAGO),2)</f>
        <v>35.659999999999997</v>
      </c>
      <c r="AC7" s="21" t="s">
        <v>106</v>
      </c>
      <c r="AD7" s="21"/>
      <c r="AI7" t="str">
        <f>IF(SUM($I$12:$I889)&gt;0,"Falta Extender la formula hacia la derecha","OK")</f>
        <v>OK</v>
      </c>
    </row>
    <row r="8" spans="1:86" x14ac:dyDescent="0.3">
      <c r="M8" t="s">
        <v>17</v>
      </c>
      <c r="N8" s="10">
        <v>36000</v>
      </c>
      <c r="P8" t="s">
        <v>114</v>
      </c>
      <c r="Q8">
        <f>SUM($B$12:$B1048576)</f>
        <v>0</v>
      </c>
      <c r="R8">
        <f>SUM(Q6:Q8)</f>
        <v>6</v>
      </c>
      <c r="T8" t="s">
        <v>32</v>
      </c>
      <c r="U8" s="12">
        <v>0</v>
      </c>
      <c r="V8" s="3">
        <f>SUM($V$12:$V889)</f>
        <v>0</v>
      </c>
      <c r="X8" s="3"/>
      <c r="Z8" s="14" t="s">
        <v>103</v>
      </c>
      <c r="AA8" s="3">
        <v>0.05</v>
      </c>
    </row>
    <row r="9" spans="1:86" x14ac:dyDescent="0.3">
      <c r="M9" s="5"/>
      <c r="N9" s="6"/>
      <c r="P9" s="3" t="s">
        <v>113</v>
      </c>
      <c r="Q9">
        <f>COUNTIF($A$12:$A1048576,"Prepago")</f>
        <v>0</v>
      </c>
    </row>
    <row r="10" spans="1:86" x14ac:dyDescent="0.3">
      <c r="A10" t="s">
        <v>98</v>
      </c>
      <c r="B10" t="s">
        <v>109</v>
      </c>
      <c r="C10" s="19" t="s">
        <v>97</v>
      </c>
      <c r="D10" s="19" t="s">
        <v>116</v>
      </c>
      <c r="E10" t="s">
        <v>108</v>
      </c>
      <c r="F10" t="s">
        <v>112</v>
      </c>
      <c r="G10" t="s">
        <v>115</v>
      </c>
      <c r="H10" t="s">
        <v>102</v>
      </c>
      <c r="I10" t="s">
        <v>107</v>
      </c>
      <c r="J10" t="s">
        <v>118</v>
      </c>
      <c r="K10" t="s">
        <v>119</v>
      </c>
      <c r="L10" t="s">
        <v>19</v>
      </c>
      <c r="M10" t="s">
        <v>20</v>
      </c>
      <c r="N10" t="s">
        <v>21</v>
      </c>
      <c r="O10" t="s">
        <v>22</v>
      </c>
      <c r="P10" t="s">
        <v>19</v>
      </c>
      <c r="Q10" t="s">
        <v>23</v>
      </c>
      <c r="R10" t="s">
        <v>24</v>
      </c>
      <c r="S10" t="s">
        <v>14</v>
      </c>
      <c r="T10" t="s">
        <v>16</v>
      </c>
      <c r="U10" t="s">
        <v>124</v>
      </c>
      <c r="V10" t="s">
        <v>18</v>
      </c>
      <c r="W10" t="s">
        <v>25</v>
      </c>
      <c r="X10" t="s">
        <v>26</v>
      </c>
      <c r="Y10" t="s">
        <v>39</v>
      </c>
      <c r="Z10" t="s">
        <v>27</v>
      </c>
      <c r="AA10" t="s">
        <v>28</v>
      </c>
      <c r="AB10" t="s">
        <v>29</v>
      </c>
      <c r="AC10" t="s">
        <v>30</v>
      </c>
      <c r="AD10" t="s">
        <v>31</v>
      </c>
      <c r="AE10" t="s">
        <v>36</v>
      </c>
      <c r="AF10" t="s">
        <v>41</v>
      </c>
      <c r="AG10" t="s">
        <v>42</v>
      </c>
      <c r="AH10" t="s">
        <v>43</v>
      </c>
      <c r="AI10" t="s">
        <v>44</v>
      </c>
      <c r="AJ10" t="s">
        <v>45</v>
      </c>
      <c r="AK10" t="s">
        <v>46</v>
      </c>
      <c r="AL10" t="s">
        <v>47</v>
      </c>
      <c r="AM10" t="s">
        <v>48</v>
      </c>
      <c r="AN10" t="s">
        <v>49</v>
      </c>
      <c r="AO10" t="s">
        <v>50</v>
      </c>
      <c r="AP10" t="s">
        <v>51</v>
      </c>
      <c r="AQ10" t="s">
        <v>52</v>
      </c>
      <c r="AR10" t="s">
        <v>53</v>
      </c>
      <c r="AS10" t="s">
        <v>54</v>
      </c>
      <c r="AT10" t="s">
        <v>55</v>
      </c>
      <c r="AU10" t="s">
        <v>56</v>
      </c>
      <c r="AV10" t="s">
        <v>57</v>
      </c>
      <c r="AW10" t="s">
        <v>58</v>
      </c>
      <c r="AX10" t="s">
        <v>60</v>
      </c>
      <c r="AY10" t="s">
        <v>61</v>
      </c>
      <c r="AZ10" t="s">
        <v>62</v>
      </c>
      <c r="BA10" t="s">
        <v>63</v>
      </c>
      <c r="BB10" t="s">
        <v>64</v>
      </c>
      <c r="BC10" t="s">
        <v>65</v>
      </c>
      <c r="BD10" t="s">
        <v>66</v>
      </c>
      <c r="BE10" t="s">
        <v>67</v>
      </c>
      <c r="BF10" t="s">
        <v>68</v>
      </c>
      <c r="BG10" t="s">
        <v>69</v>
      </c>
      <c r="BH10" t="s">
        <v>70</v>
      </c>
      <c r="BI10" t="s">
        <v>71</v>
      </c>
      <c r="BJ10" t="s">
        <v>72</v>
      </c>
      <c r="BK10" t="s">
        <v>73</v>
      </c>
      <c r="BL10" t="s">
        <v>74</v>
      </c>
      <c r="BM10" t="s">
        <v>75</v>
      </c>
      <c r="BN10" t="s">
        <v>76</v>
      </c>
      <c r="BO10" t="s">
        <v>77</v>
      </c>
      <c r="BP10" t="s">
        <v>78</v>
      </c>
      <c r="BQ10" t="s">
        <v>79</v>
      </c>
      <c r="BR10" t="s">
        <v>80</v>
      </c>
      <c r="BS10" t="s">
        <v>81</v>
      </c>
      <c r="BT10" t="s">
        <v>82</v>
      </c>
      <c r="BU10" t="s">
        <v>83</v>
      </c>
      <c r="BV10" t="s">
        <v>84</v>
      </c>
      <c r="BW10" t="s">
        <v>85</v>
      </c>
      <c r="BX10" t="s">
        <v>86</v>
      </c>
      <c r="BY10" t="s">
        <v>87</v>
      </c>
      <c r="BZ10" t="s">
        <v>88</v>
      </c>
      <c r="CA10" t="s">
        <v>89</v>
      </c>
      <c r="CB10" t="s">
        <v>90</v>
      </c>
      <c r="CC10" t="s">
        <v>91</v>
      </c>
      <c r="CD10" t="s">
        <v>92</v>
      </c>
      <c r="CE10" t="s">
        <v>93</v>
      </c>
      <c r="CF10" t="s">
        <v>94</v>
      </c>
      <c r="CG10" t="s">
        <v>95</v>
      </c>
      <c r="CH10" t="s">
        <v>96</v>
      </c>
    </row>
    <row r="11" spans="1:86" x14ac:dyDescent="0.3">
      <c r="A11" s="23"/>
      <c r="B11" s="23">
        <f>SUM($B$12:$B$1000)</f>
        <v>0</v>
      </c>
      <c r="C11" s="23">
        <f>SUM($J$12:$J1000)</f>
        <v>0</v>
      </c>
      <c r="D11" s="23"/>
      <c r="E11" s="23"/>
      <c r="H11">
        <v>0</v>
      </c>
      <c r="K11">
        <f>SUM(K12:K1000)</f>
        <v>0</v>
      </c>
      <c r="L11">
        <v>0</v>
      </c>
      <c r="M11" s="5">
        <f>$N$6</f>
        <v>45271</v>
      </c>
      <c r="W11" s="3">
        <f>$N$8</f>
        <v>36000</v>
      </c>
      <c r="Z11">
        <v>30</v>
      </c>
      <c r="AA11">
        <v>60</v>
      </c>
      <c r="AB11">
        <v>90</v>
      </c>
      <c r="AC11">
        <v>120</v>
      </c>
      <c r="AD11">
        <v>150</v>
      </c>
      <c r="AE11">
        <v>180</v>
      </c>
      <c r="AF11">
        <v>210</v>
      </c>
      <c r="AG11">
        <v>240</v>
      </c>
      <c r="AH11">
        <v>270</v>
      </c>
      <c r="AI11">
        <v>300</v>
      </c>
      <c r="AJ11">
        <v>330</v>
      </c>
      <c r="AK11">
        <v>360</v>
      </c>
      <c r="AL11">
        <v>390</v>
      </c>
      <c r="AM11">
        <v>420</v>
      </c>
      <c r="AN11">
        <v>450</v>
      </c>
      <c r="AO11">
        <v>480</v>
      </c>
      <c r="AP11">
        <v>510</v>
      </c>
      <c r="AQ11">
        <v>540</v>
      </c>
      <c r="AR11">
        <v>570</v>
      </c>
      <c r="AS11">
        <v>600</v>
      </c>
      <c r="AT11">
        <v>630</v>
      </c>
      <c r="AU11">
        <v>660</v>
      </c>
      <c r="AV11">
        <v>690</v>
      </c>
      <c r="AW11">
        <v>720</v>
      </c>
      <c r="AX11">
        <v>750</v>
      </c>
      <c r="AY11">
        <v>780</v>
      </c>
      <c r="AZ11">
        <v>810</v>
      </c>
      <c r="BA11">
        <v>840</v>
      </c>
      <c r="BB11">
        <v>870</v>
      </c>
      <c r="BC11">
        <v>900</v>
      </c>
      <c r="BD11">
        <v>930</v>
      </c>
      <c r="BE11">
        <v>960</v>
      </c>
      <c r="BF11">
        <v>990</v>
      </c>
      <c r="BG11">
        <v>1020</v>
      </c>
      <c r="BH11">
        <v>1050</v>
      </c>
      <c r="BI11">
        <v>1080</v>
      </c>
      <c r="BJ11">
        <v>1110</v>
      </c>
      <c r="BK11">
        <v>1140</v>
      </c>
      <c r="BL11">
        <v>1170</v>
      </c>
      <c r="BM11">
        <v>1200</v>
      </c>
      <c r="BN11">
        <v>1230</v>
      </c>
      <c r="BO11">
        <v>1260</v>
      </c>
      <c r="BP11">
        <v>1290</v>
      </c>
      <c r="BQ11">
        <v>1320</v>
      </c>
      <c r="BR11">
        <v>1350</v>
      </c>
      <c r="BS11">
        <v>1380</v>
      </c>
      <c r="BT11">
        <v>1410</v>
      </c>
      <c r="BU11">
        <v>1440</v>
      </c>
      <c r="BV11">
        <v>1470</v>
      </c>
      <c r="BW11">
        <v>1500</v>
      </c>
      <c r="BX11">
        <v>1530</v>
      </c>
      <c r="BY11">
        <v>1560</v>
      </c>
      <c r="BZ11">
        <v>1590</v>
      </c>
      <c r="CA11">
        <v>1620</v>
      </c>
      <c r="CB11">
        <v>1650</v>
      </c>
      <c r="CC11">
        <v>1680</v>
      </c>
      <c r="CD11">
        <v>1710</v>
      </c>
      <c r="CE11">
        <v>1740</v>
      </c>
      <c r="CF11">
        <v>1770</v>
      </c>
      <c r="CG11">
        <v>1800</v>
      </c>
      <c r="CH11">
        <v>1830</v>
      </c>
    </row>
    <row r="12" spans="1:86" x14ac:dyDescent="0.3">
      <c r="E12" s="5"/>
      <c r="F12" t="str">
        <f t="shared" ref="F12:F43" si="0">IF($L12&lt;&gt;"",TEXT(M12,"DDD"),"")</f>
        <v>Thu</v>
      </c>
      <c r="G12" s="5">
        <f t="shared" ref="G12:G43" si="1">IF($L12&lt;&gt;"",EOMONTH(DATE(YEAR($M$11),MONTH($M$11)-IF(DAY($N$6)&lt;$N$7,1,0),DAY($M$11)),($H12*$A$1)+IF(MESADICIONAL=TRUE,1,0)),"")</f>
        <v>45322</v>
      </c>
      <c r="H12">
        <f t="shared" ref="H12:H43" si="2">IF($L12&lt;&gt;"",IF($A12="Prepago",$H11,$H11+1)+B12,"")</f>
        <v>1</v>
      </c>
      <c r="I12">
        <f t="shared" ref="I12:I75" si="3">IF(L12&lt;&gt;"",IF(COUNTA($Z12:$XFD12)*30&lt;$N12,1,0),"")</f>
        <v>0</v>
      </c>
      <c r="J12">
        <f t="shared" ref="J12:J43" si="4">IF($L12&lt;&gt;"",IF(OR(A12&lt;&gt;"",C12&lt;&gt;""),1,0),"")</f>
        <v>0</v>
      </c>
      <c r="K12">
        <f>IF($L12&lt;&gt;"",IF(J12=1,Q12,0),"")</f>
        <v>0</v>
      </c>
      <c r="L12">
        <f t="shared" ref="L12:L43" si="5">IF($L11&lt;NCUOTAS+CUOTAADICIONAL+NPREPAGO,$L11+1,"")</f>
        <v>1</v>
      </c>
      <c r="M12" s="5">
        <f>IF($L12&lt;&gt;"",IF($E12="",IF(DAY($G12)&lt;$N$7,$G12,DATE(YEAR($G12),MONTH($G12),$N$7)),$E12),"")</f>
        <v>45316</v>
      </c>
      <c r="N12" s="7">
        <f t="shared" ref="N12:N43" si="6">IF($L12&lt;&gt;"",$M12-$M11,"")</f>
        <v>45</v>
      </c>
      <c r="O12" s="3">
        <f t="shared" ref="O12:O75" si="7">IF($L12&lt;&gt;"",$W11,"")</f>
        <v>36000</v>
      </c>
      <c r="P12" s="3">
        <f t="shared" ref="P12:P75" si="8">IF($L12&lt;&gt;"",IF($A12="Gracia Parcial",IF(AND($C12&lt;$Y12+$S12+$T12+$V12+$X11,$C12&gt;0),$C12,$Y12+$S12+$T12+$V12+$X11),IF($A12="Gracia Total",0,IF($A12="Prepago",$C12,IF(ISNUMBER($C12),$C12*VALUE(MID($C$1,MONTH($M12),1)),$Q$5*VALUE(MID($C$1,MONTH($M12),1))))))-IF($L13="",ARREGLO,0),"")</f>
        <v>6137.5200000000023</v>
      </c>
      <c r="Q12" s="3">
        <f t="shared" ref="Q12:Q75" si="9">IF($L12&lt;&gt;"",IF($P12-$R12&gt;0,IF($P12&gt;=$R12+$S12+$T12+$V12,$P12-$R12-$S12-$T12-$V12,P12),0),"")</f>
        <v>5831.8200000000024</v>
      </c>
      <c r="R12" s="3">
        <f t="shared" ref="R12:R75" si="10">IF($L12&lt;&gt;"",IF($P12&gt;IF($D12="",$Y12,$D12)+$X11+$S12+$T12+$V12,IF($D12="",$Y12,$D12)+$X11,IF($P12&gt;=$S12+$T12+$V12,$P12-$S12-$T12-$V12,IF($D12="",$Y12,$D12)+$X11)),"")</f>
        <v>305.70000000000005</v>
      </c>
      <c r="S12" s="3">
        <f>IF($L12&lt;&gt;"",IF($A12="Prepago",0,IF(ROUND($H12*$U$5,2)&gt;ROUND(SUM($S$11:$S11)+$U$5,2),$U$5*2,$U$5)),"")</f>
        <v>0</v>
      </c>
      <c r="T12" s="3">
        <f>IF($L12&lt;&gt;"",IF($A12="Prepago",0,IF(ROUND($H12*$U$6,2)&gt;ROUND(SUM($T$11:$T11)+$U$6,2),$U$6*2,$U$6)),"")</f>
        <v>0</v>
      </c>
      <c r="U12" s="3">
        <f>IF($L12&lt;&gt;"",IF($A12="Prepago",0,IF(ROUND($H12*$U$7,2)&gt;ROUND(SUM($U$11:$U11)+$U$7,2),$U$7*2,$U$7)),"")</f>
        <v>0</v>
      </c>
      <c r="V12" s="3">
        <f>IF($L12&lt;&gt;"",IF($A12="Prepago",0,IF(ROUND($H12*$U$8,2)&gt;ROUND(SUM($V$11:$V11)+$U$8,2),$U$8*2,$U$8)),"")</f>
        <v>0</v>
      </c>
      <c r="W12" s="3">
        <f t="shared" ref="W12:W43" si="11">IF($L12&lt;&gt;"",$O12-$Q12,"")</f>
        <v>30168.179999999997</v>
      </c>
      <c r="X12" s="3">
        <f t="shared" ref="X12:X75" si="12">IF($L12&lt;&gt;"",+$X11+IF($D12="",$Y12,$D12)-$R12,"")</f>
        <v>0</v>
      </c>
      <c r="Y12" s="3">
        <f t="shared" ref="Y12:Y75" si="13">IF($L12&lt;&gt;"",SUM($Z12:$XFD12),"")</f>
        <v>305.70000000000005</v>
      </c>
      <c r="Z12" s="3">
        <f t="shared" ref="Z12:Z75" si="14">IF($L12&lt;&gt;"",IF($N12&gt;Z$11,30,$N12)*ROUND(($O12+$X11)*$V$5/3000,2),"")</f>
        <v>203.4</v>
      </c>
      <c r="AA12" s="3">
        <f>IF($L12&lt;&gt;"",IF($N12&gt;Z$11,IF($N12&lt;AA$11,$N12-Z$11,30),0)*ROUND(($O12+$X11+SUM($Z12:Z12))*$V$5/3000,2),"")</f>
        <v>102.30000000000001</v>
      </c>
      <c r="AB12" s="3">
        <f>IF($L12&lt;&gt;"",IF($N12&gt;AA$11,IF($N12&lt;AB$11,$N12-AA$11,30),0)*ROUND(($O12+$X11+SUM($Z12:AA12))*$V$5/3000,2),"")</f>
        <v>0</v>
      </c>
      <c r="AC12" s="3">
        <f>IF($L12&lt;&gt;"",IF($N12&gt;AB$11,IF($N12&lt;AC$11,$N12-AB$11,30),0)*ROUND(($O12+$X11+SUM($Z12:AB12))*$V$5/3000,2),"")</f>
        <v>0</v>
      </c>
      <c r="AD12" s="3">
        <f>IF($L12&lt;&gt;"",IF($N12&gt;AC$11,IF($N12&lt;AD$11,$N12-AC$11,30),0)*ROUND(($O12+$X11+SUM($Z12:AC12))*$V$5/3000,2),"")</f>
        <v>0</v>
      </c>
      <c r="AE12" s="3">
        <f>IF($L12&lt;&gt;"",IF($N12&gt;AD$11,IF($N12&lt;AE$11,$N12-AD$11,30),0)*ROUND(($O12+$X11+SUM($Z12:AD12))*$V$5/3000,2),"")</f>
        <v>0</v>
      </c>
      <c r="AF12" s="3">
        <f>IF($L12&lt;&gt;"",IF($N12&gt;AE$11,IF($N12&lt;AF$11,$N12-AE$11,30),0)*ROUND(($O12+$X11+SUM($Z12:AE12))*$V$5/3000,2),"")</f>
        <v>0</v>
      </c>
      <c r="AG12" s="3">
        <f>IF($L12&lt;&gt;"",IF($N12&gt;AF$11,IF($N12&lt;AG$11,$N12-AF$11,30),0)*ROUND(($O12+$X11+SUM($Z12:AF12))*$V$5/3000,2),"")</f>
        <v>0</v>
      </c>
      <c r="AH12" s="3">
        <f>IF($L12&lt;&gt;"",IF($N12&gt;AG$11,IF($N12&lt;AH$11,$N12-AG$11,30),0)*ROUND(($O12+$X11+SUM($Z12:AG12))*$V$5/3000,2),"")</f>
        <v>0</v>
      </c>
      <c r="AI12" s="3">
        <f>IF($L12&lt;&gt;"",IF($N12&gt;AH$11,IF($N12&lt;AI$11,$N12-AH$11,30),0)*ROUND(($O12+$X11+SUM($Z12:AH12))*$V$5/3000,2),"")</f>
        <v>0</v>
      </c>
      <c r="AJ12" s="3">
        <f>IF($L12&lt;&gt;"",IF($N12&gt;AI$11,IF($N12&lt;AJ$11,$N12-AI$11,30),0)*ROUND(($O12+$X11+SUM($Z12:AI12))*$V$5/3000,2),"")</f>
        <v>0</v>
      </c>
      <c r="AK12" s="3">
        <f>IF($L12&lt;&gt;"",IF($N12&gt;AJ$11,IF($N12&lt;AK$11,$N12-AJ$11,30),0)*ROUND(($O12+$X11+SUM($Z12:AJ12))*$V$5/3000,2),"")</f>
        <v>0</v>
      </c>
      <c r="AL12" s="3">
        <f>IF($L12&lt;&gt;"",IF($N12&gt;AK$11,IF($N12&lt;AL$11,$N12-AK$11,30),0)*ROUND(($O12+$X11+SUM($Z12:AK12))*$V$5/3000,2),"")</f>
        <v>0</v>
      </c>
      <c r="AM12" s="3">
        <f>IF($L12&lt;&gt;"",IF($N12&gt;AL$11,IF($N12&lt;AM$11,$N12-AL$11,30),0)*ROUND(($O12+$X11+SUM($Z12:AL12))*$V$5/3000,2),"")</f>
        <v>0</v>
      </c>
      <c r="AN12" s="3">
        <f>IF($L12&lt;&gt;"",IF($N12&gt;AM$11,IF($N12&lt;AN$11,$N12-AM$11,30),0)*ROUND(($O12+$X11+SUM($Z12:AM12))*$V$5/3000,2),"")</f>
        <v>0</v>
      </c>
      <c r="AO12" s="3">
        <f>IF($L12&lt;&gt;"",IF($N12&gt;AN$11,IF($N12&lt;AO$11,$N12-AN$11,30),0)*ROUND(($O12+$X11+SUM($Z12:AN12))*$V$5/3000,2),"")</f>
        <v>0</v>
      </c>
      <c r="AP12" s="3">
        <f>IF($L12&lt;&gt;"",IF($N12&gt;AO$11,IF($N12&lt;AP$11,$N12-AO$11,30),0)*ROUND(($O12+$X11+SUM($Z12:AO12))*$V$5/3000,2),"")</f>
        <v>0</v>
      </c>
      <c r="AQ12" s="3">
        <f>IF($L12&lt;&gt;"",IF($N12&gt;AP$11,IF($N12&lt;AQ$11,$N12-AP$11,30),0)*ROUND(($O12+$X11+SUM($Z12:AP12))*$V$5/3000,2),"")</f>
        <v>0</v>
      </c>
      <c r="AR12" s="3">
        <f>IF($L12&lt;&gt;"",IF($N12&gt;AQ$11,IF($N12&lt;AR$11,$N12-AQ$11,30),0)*ROUND(($O12+$X11+SUM($Z12:AQ12))*$V$5/3000,2),"")</f>
        <v>0</v>
      </c>
      <c r="AS12" s="3">
        <f>IF($L12&lt;&gt;"",IF($N12&gt;AR$11,IF($N12&lt;AS$11,$N12-AR$11,30),0)*ROUND(($O12+$X11+SUM($Z12:AR12))*$V$5/3000,2),"")</f>
        <v>0</v>
      </c>
      <c r="AT12" s="3">
        <f>IF($L12&lt;&gt;"",IF($N12&gt;AS$11,IF($N12&lt;AT$11,$N12-AS$11,30),0)*ROUND(($O12+$X11+SUM($Z12:AS12))*$V$5/3000,2),"")</f>
        <v>0</v>
      </c>
      <c r="AU12" s="3">
        <f>IF($L12&lt;&gt;"",IF($N12&gt;AT$11,IF($N12&lt;AU$11,$N12-AT$11,30),0)*ROUND(($O12+$X11+SUM($Z12:AT12))*$V$5/3000,2),"")</f>
        <v>0</v>
      </c>
      <c r="AV12" s="3">
        <f>IF($L12&lt;&gt;"",IF($N12&gt;AU$11,IF($N12&lt;AV$11,$N12-AU$11,30),0)*ROUND(($O12+$X11+SUM($Z12:AU12))*$V$5/3000,2),"")</f>
        <v>0</v>
      </c>
      <c r="AW12" s="3">
        <f>IF($L12&lt;&gt;"",IF($N12&gt;AV$11,IF($N12&lt;AW$11,$N12-AV$11,30),0)*ROUND(($O12+$X11+SUM($Z12:AV12))*$V$5/3000,2),"")</f>
        <v>0</v>
      </c>
      <c r="AX12" s="3">
        <f>IF($L12&lt;&gt;"",IF($N12&gt;AW$11,IF($N12&lt;AX$11,$N12-AW$11,30),0)*ROUND(($O12+$X11+SUM($Z12:AW12))*$V$5/3000,2),"")</f>
        <v>0</v>
      </c>
      <c r="AY12" s="3">
        <f>IF($L12&lt;&gt;"",IF($N12&gt;AX$11,IF($N12&lt;AY$11,$N12-AX$11,30),0)*ROUND(($O12+$X11+SUM($Z12:AX12))*$V$5/3000,2),"")</f>
        <v>0</v>
      </c>
      <c r="AZ12" s="3">
        <f>IF($L12&lt;&gt;"",IF($N12&gt;AY$11,IF($N12&lt;AZ$11,$N12-AY$11,30),0)*ROUND(($O12+$X11+SUM($Z12:AY12))*$V$5/3000,2),"")</f>
        <v>0</v>
      </c>
      <c r="BA12" s="3">
        <f>IF($L12&lt;&gt;"",IF($N12&gt;AZ$11,IF($N12&lt;BA$11,$N12-AZ$11,30),0)*ROUND(($O12+$X11+SUM($Z12:AZ12))*$V$5/3000,2),"")</f>
        <v>0</v>
      </c>
      <c r="BB12" s="3">
        <f>IF($L12&lt;&gt;"",IF($N12&gt;BA$11,IF($N12&lt;BB$11,$N12-BA$11,30),0)*ROUND(($O12+$X11+SUM($Z12:BA12))*$V$5/3000,2),"")</f>
        <v>0</v>
      </c>
      <c r="BC12" s="3">
        <f>IF($L12&lt;&gt;"",IF($N12&gt;BB$11,IF($N12&lt;BC$11,$N12-BB$11,30),0)*ROUND(($O12+$X11+SUM($Z12:BB12))*$V$5/3000,2),"")</f>
        <v>0</v>
      </c>
      <c r="BD12" s="3">
        <f>IF($L12&lt;&gt;"",IF($N12&gt;BC$11,IF($N12&lt;BD$11,$N12-BC$11,30),0)*ROUND(($O12+$X11+SUM($Z12:BC12))*$V$5/3000,2),"")</f>
        <v>0</v>
      </c>
      <c r="BE12" s="3">
        <f>IF($L12&lt;&gt;"",IF($N12&gt;BD$11,IF($N12&lt;BE$11,$N12-BD$11,30),0)*ROUND(($O12+$X11+SUM($Z12:BD12))*$V$5/3000,2),"")</f>
        <v>0</v>
      </c>
      <c r="BF12" s="3">
        <f>IF($L12&lt;&gt;"",IF($N12&gt;BE$11,IF($N12&lt;BF$11,$N12-BE$11,30),0)*ROUND(($O12+$X11+SUM($Z12:BE12))*$V$5/3000,2),"")</f>
        <v>0</v>
      </c>
      <c r="BG12" s="3">
        <f>IF($L12&lt;&gt;"",IF($N12&gt;BF$11,IF($N12&lt;BG$11,$N12-BF$11,30),0)*ROUND(($O12+$X11+SUM($Z12:BF12))*$V$5/3000,2),"")</f>
        <v>0</v>
      </c>
      <c r="BH12" s="3">
        <f>IF($L12&lt;&gt;"",IF($N12&gt;BG$11,IF($N12&lt;BH$11,$N12-BG$11,30),0)*ROUND(($O12+$X11+SUM($Z12:BG12))*$V$5/3000,2),"")</f>
        <v>0</v>
      </c>
      <c r="BI12" s="3">
        <f>IF($L12&lt;&gt;"",IF($N12&gt;BH$11,IF($N12&lt;BI$11,$N12-BH$11,30),0)*ROUND(($O12+$X11+SUM($Z12:BH12))*$V$5/3000,2),"")</f>
        <v>0</v>
      </c>
      <c r="BJ12" s="3">
        <f>IF($L12&lt;&gt;"",IF($N12&gt;BI$11,IF($N12&lt;BJ$11,$N12-BI$11,30),0)*ROUND(($O12+$X11+SUM($Z12:BI12))*$V$5/3000,2),"")</f>
        <v>0</v>
      </c>
      <c r="BK12" s="3">
        <f>IF($L12&lt;&gt;"",IF($N12&gt;BJ$11,IF($N12&lt;BK$11,$N12-BJ$11,30),0)*ROUND(($O12+$X11+SUM($Z12:BJ12))*$V$5/3000,2),"")</f>
        <v>0</v>
      </c>
      <c r="BL12" s="3">
        <f>IF($L12&lt;&gt;"",IF($N12&gt;BK$11,IF($N12&lt;BL$11,$N12-BK$11,30),0)*ROUND(($O12+$X11+SUM($Z12:BK12))*$V$5/3000,2),"")</f>
        <v>0</v>
      </c>
      <c r="BM12" s="3">
        <f>IF($L12&lt;&gt;"",IF($N12&gt;BL$11,IF($N12&lt;BM$11,$N12-BL$11,30),0)*ROUND(($O12+$X11+SUM($Z12:BL12))*$V$5/3000,2),"")</f>
        <v>0</v>
      </c>
      <c r="BN12" s="3">
        <f>IF($L12&lt;&gt;"",IF($N12&gt;BM$11,IF($N12&lt;BN$11,$N12-BM$11,30),0)*ROUND(($O12+$X11+SUM($Z12:BM12))*$V$5/3000,2),"")</f>
        <v>0</v>
      </c>
      <c r="BO12" s="3">
        <f>IF($L12&lt;&gt;"",IF($N12&gt;BN$11,IF($N12&lt;BO$11,$N12-BN$11,30),0)*ROUND(($O12+$X11+SUM($Z12:BN12))*$V$5/3000,2),"")</f>
        <v>0</v>
      </c>
      <c r="BP12" s="3">
        <f>IF($L12&lt;&gt;"",IF($N12&gt;BO$11,IF($N12&lt;BP$11,$N12-BO$11,30),0)*ROUND(($O12+$X11+SUM($Z12:BO12))*$V$5/3000,2),"")</f>
        <v>0</v>
      </c>
      <c r="BQ12" s="3">
        <f>IF($L12&lt;&gt;"",IF($N12&gt;BP$11,IF($N12&lt;BQ$11,$N12-BP$11,30),0)*ROUND(($O12+$X11+SUM($Z12:BP12))*$V$5/3000,2),"")</f>
        <v>0</v>
      </c>
      <c r="BR12" s="3">
        <f>IF($L12&lt;&gt;"",IF($N12&gt;BQ$11,IF($N12&lt;BR$11,$N12-BQ$11,30),0)*ROUND(($O12+$X11+SUM($Z12:BQ12))*$V$5/3000,2),"")</f>
        <v>0</v>
      </c>
      <c r="BS12" s="3">
        <f>IF($L12&lt;&gt;"",IF($N12&gt;BR$11,IF($N12&lt;BS$11,$N12-BR$11,30),0)*ROUND(($O12+$X11+SUM($Z12:BR12))*$V$5/3000,2),"")</f>
        <v>0</v>
      </c>
      <c r="BT12" s="3">
        <f>IF($L12&lt;&gt;"",IF($N12&gt;BS$11,IF($N12&lt;BT$11,$N12-BS$11,30),0)*ROUND(($O12+$X11+SUM($Z12:BS12))*$V$5/3000,2),"")</f>
        <v>0</v>
      </c>
      <c r="BU12" s="3">
        <f>IF($L12&lt;&gt;"",IF($N12&gt;BT$11,IF($N12&lt;BU$11,$N12-BT$11,30),0)*ROUND(($O12+$X11+SUM($Z12:BT12))*$V$5/3000,2),"")</f>
        <v>0</v>
      </c>
      <c r="BV12" s="3">
        <f>IF($L12&lt;&gt;"",IF($N12&gt;BU$11,IF($N12&lt;BV$11,$N12-BU$11,30),0)*ROUND(($O12+$X11+SUM($Z12:BU12))*$V$5/3000,2),"")</f>
        <v>0</v>
      </c>
      <c r="BW12" s="3">
        <f>IF($L12&lt;&gt;"",IF($N12&gt;BV$11,IF($N12&lt;BW$11,$N12-BV$11,30),0)*ROUND(($O12+$X11+SUM($Z12:BV12))*$V$5/3000,2),"")</f>
        <v>0</v>
      </c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</row>
    <row r="13" spans="1:86" x14ac:dyDescent="0.3">
      <c r="E13" s="5"/>
      <c r="F13" t="str">
        <f t="shared" si="0"/>
        <v>Sun</v>
      </c>
      <c r="G13" s="5">
        <f t="shared" si="1"/>
        <v>45351</v>
      </c>
      <c r="H13">
        <f t="shared" si="2"/>
        <v>2</v>
      </c>
      <c r="I13">
        <f t="shared" si="3"/>
        <v>0</v>
      </c>
      <c r="J13">
        <f t="shared" si="4"/>
        <v>0</v>
      </c>
      <c r="K13">
        <f t="shared" ref="K13:K76" si="15">IF($L13&lt;&gt;"",IF(J13=1,Q13,0),"")</f>
        <v>0</v>
      </c>
      <c r="L13">
        <f t="shared" si="5"/>
        <v>2</v>
      </c>
      <c r="M13" s="5">
        <f t="shared" ref="M13:M76" si="16">IF($L13&lt;&gt;"",IF($E13="",IF(DAY($G13)&lt;$N$7,$G13,DATE(YEAR($G13),MONTH($G13),$N$7)),$E13),"")</f>
        <v>45347</v>
      </c>
      <c r="N13" s="7">
        <f t="shared" si="6"/>
        <v>31</v>
      </c>
      <c r="O13" s="3">
        <f t="shared" si="7"/>
        <v>30168.179999999997</v>
      </c>
      <c r="P13" s="3">
        <f t="shared" si="8"/>
        <v>6137.5200000000023</v>
      </c>
      <c r="Q13" s="3">
        <f t="shared" si="9"/>
        <v>5961.1000000000022</v>
      </c>
      <c r="R13" s="3">
        <f t="shared" si="10"/>
        <v>176.42000000000002</v>
      </c>
      <c r="S13" s="3">
        <f>IF($L13&lt;&gt;"",IF($A13="Prepago",0,IF(ROUND($H13*$U$5,2)&gt;ROUND(SUM($S$11:$S12)+$U$5,2),$U$5*2,$U$5)),"")</f>
        <v>0</v>
      </c>
      <c r="T13" s="3">
        <f>IF($L13&lt;&gt;"",IF($A13="Prepago",0,IF(ROUND($H13*$U$6,2)&gt;ROUND(SUM($T$11:$T12)+$U$6,2),$U$6*2,$U$6)),"")</f>
        <v>0</v>
      </c>
      <c r="U13" s="3">
        <f>IF($L13&lt;&gt;"",IF($A13="Prepago",0,IF(ROUND($H13*$U$7,2)&gt;ROUND(SUM($U$11:$U12)+$U$7,2),$U$7*2,$U$7)),"")</f>
        <v>0</v>
      </c>
      <c r="V13" s="3">
        <f>IF($L13&lt;&gt;"",IF($A13="Prepago",0,IF(ROUND($H13*$U$8,2)&gt;ROUND(SUM($V$11:$V12)+$U$8,2),$U$8*2,$U$8)),"")</f>
        <v>0</v>
      </c>
      <c r="W13" s="3">
        <f t="shared" si="11"/>
        <v>24207.079999999994</v>
      </c>
      <c r="X13" s="3">
        <f t="shared" si="12"/>
        <v>0</v>
      </c>
      <c r="Y13" s="3">
        <f t="shared" si="13"/>
        <v>176.42000000000002</v>
      </c>
      <c r="Z13" s="3">
        <f t="shared" si="14"/>
        <v>170.70000000000002</v>
      </c>
      <c r="AA13" s="3">
        <f>IF($L13&lt;&gt;"",IF($N13&gt;Z$11,IF($N13&lt;AA$11,$N13-Z$11,30),0)*ROUND(($O13+$X12+SUM($Z13:Z13))*$V$5/3000,2),"")</f>
        <v>5.72</v>
      </c>
      <c r="AB13" s="3">
        <f>IF($L13&lt;&gt;"",IF($N13&gt;AA$11,IF($N13&lt;AB$11,$N13-AA$11,30),0)*ROUND(($O13+$X12+SUM($Z13:AA13))*$V$5/3000,2),"")</f>
        <v>0</v>
      </c>
      <c r="AC13" s="3">
        <f>IF($L13&lt;&gt;"",IF($N13&gt;AB$11,IF($N13&lt;AC$11,$N13-AB$11,30),0)*ROUND(($O13+$X12+SUM($Z13:AB13))*$V$5/3000,2),"")</f>
        <v>0</v>
      </c>
      <c r="AD13" s="3">
        <f>IF($L13&lt;&gt;"",IF($N13&gt;AC$11,IF($N13&lt;AD$11,$N13-AC$11,30),0)*ROUND(($O13+$X12+SUM($Z13:AC13))*$V$5/3000,2),"")</f>
        <v>0</v>
      </c>
      <c r="AE13" s="3">
        <f>IF($L13&lt;&gt;"",IF($N13&gt;AD$11,IF($N13&lt;AE$11,$N13-AD$11,30),0)*ROUND(($O13+$X12+SUM($Z13:AD13))*$V$5/3000,2),"")</f>
        <v>0</v>
      </c>
      <c r="AF13" s="3">
        <f>IF($L13&lt;&gt;"",IF($N13&gt;AE$11,IF($N13&lt;AF$11,$N13-AE$11,30),0)*ROUND(($O13+$X12+SUM($Z13:AE13))*$V$5/3000,2),"")</f>
        <v>0</v>
      </c>
      <c r="AG13" s="3">
        <f>IF($L13&lt;&gt;"",IF($N13&gt;AF$11,IF($N13&lt;AG$11,$N13-AF$11,30),0)*ROUND(($O13+$X12+SUM($Z13:AF13))*$V$5/3000,2),"")</f>
        <v>0</v>
      </c>
      <c r="AH13" s="3">
        <f>IF($L13&lt;&gt;"",IF($N13&gt;AG$11,IF($N13&lt;AH$11,$N13-AG$11,30),0)*ROUND(($O13+$X12+SUM($Z13:AG13))*$V$5/3000,2),"")</f>
        <v>0</v>
      </c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</row>
    <row r="14" spans="1:86" x14ac:dyDescent="0.3">
      <c r="E14" s="5"/>
      <c r="F14" t="str">
        <f t="shared" si="0"/>
        <v>Mon</v>
      </c>
      <c r="G14" s="5">
        <f t="shared" si="1"/>
        <v>45382</v>
      </c>
      <c r="H14">
        <f t="shared" si="2"/>
        <v>3</v>
      </c>
      <c r="I14">
        <f t="shared" si="3"/>
        <v>0</v>
      </c>
      <c r="J14">
        <f t="shared" si="4"/>
        <v>0</v>
      </c>
      <c r="K14">
        <f t="shared" si="15"/>
        <v>0</v>
      </c>
      <c r="L14">
        <f t="shared" si="5"/>
        <v>3</v>
      </c>
      <c r="M14" s="5">
        <f t="shared" si="16"/>
        <v>45376</v>
      </c>
      <c r="N14" s="7">
        <f t="shared" si="6"/>
        <v>29</v>
      </c>
      <c r="O14" s="3">
        <f t="shared" si="7"/>
        <v>24207.079999999994</v>
      </c>
      <c r="P14" s="3">
        <f t="shared" si="8"/>
        <v>6137.5200000000023</v>
      </c>
      <c r="Q14" s="3">
        <f t="shared" si="9"/>
        <v>6005.2800000000025</v>
      </c>
      <c r="R14" s="3">
        <f t="shared" si="10"/>
        <v>132.23999999999998</v>
      </c>
      <c r="S14" s="3">
        <f>IF($L14&lt;&gt;"",IF($A14="Prepago",0,IF(ROUND($H14*$U$5,2)&gt;ROUND(SUM($S$11:$S13)+$U$5,2),$U$5*2,$U$5)),"")</f>
        <v>0</v>
      </c>
      <c r="T14" s="3">
        <f>IF($L14&lt;&gt;"",IF($A14="Prepago",0,IF(ROUND($H14*$U$6,2)&gt;ROUND(SUM($T$11:$T13)+$U$6,2),$U$6*2,$U$6)),"")</f>
        <v>0</v>
      </c>
      <c r="U14" s="3">
        <f>IF($L14&lt;&gt;"",IF($A14="Prepago",0,IF(ROUND($H14*$U$7,2)&gt;ROUND(SUM($U$11:$U13)+$U$7,2),$U$7*2,$U$7)),"")</f>
        <v>0</v>
      </c>
      <c r="V14" s="3">
        <f>IF($L14&lt;&gt;"",IF($A14="Prepago",0,IF(ROUND($H14*$U$8,2)&gt;ROUND(SUM($V$11:$V13)+$U$8,2),$U$8*2,$U$8)),"")</f>
        <v>0</v>
      </c>
      <c r="W14" s="3">
        <f t="shared" si="11"/>
        <v>18201.799999999992</v>
      </c>
      <c r="X14" s="3">
        <f t="shared" si="12"/>
        <v>0</v>
      </c>
      <c r="Y14" s="3">
        <f t="shared" si="13"/>
        <v>132.23999999999998</v>
      </c>
      <c r="Z14" s="3">
        <f t="shared" si="14"/>
        <v>132.23999999999998</v>
      </c>
      <c r="AA14" s="3">
        <f>IF($L14&lt;&gt;"",IF($N14&gt;Z$11,IF($N14&lt;AA$11,$N14-Z$11,30),0)*ROUND(($O14+$X13+SUM($Z14:Z14))*$V$5/3000,2),"")</f>
        <v>0</v>
      </c>
      <c r="AB14" s="3">
        <f>IF($L14&lt;&gt;"",IF($N14&gt;AA$11,IF($N14&lt;AB$11,$N14-AA$11,30),0)*ROUND(($O14+$X13+SUM($Z14:AA14))*$V$5/3000,2),"")</f>
        <v>0</v>
      </c>
      <c r="AC14" s="3">
        <f>IF($L14&lt;&gt;"",IF($N14&gt;AB$11,IF($N14&lt;AC$11,$N14-AB$11,30),0)*ROUND(($O14+$X13+SUM($Z14:AB14))*$V$5/3000,2),"")</f>
        <v>0</v>
      </c>
      <c r="AD14" s="3">
        <f>IF($L14&lt;&gt;"",IF($N14&gt;AC$11,IF($N14&lt;AD$11,$N14-AC$11,30),0)*ROUND(($O14+$X13+SUM($Z14:AC14))*$V$5/3000,2),"")</f>
        <v>0</v>
      </c>
      <c r="AE14" s="3">
        <f>IF($L14&lt;&gt;"",IF($N14&gt;AD$11,IF($N14&lt;AE$11,$N14-AD$11,30),0)*ROUND(($O14+$X13+SUM($Z14:AD14))*$V$5/3000,2),"")</f>
        <v>0</v>
      </c>
      <c r="AF14" s="3">
        <f>IF($L14&lt;&gt;"",IF($N14&gt;AE$11,IF($N14&lt;AF$11,$N14-AE$11,30),0)*ROUND(($O14+$X13+SUM($Z14:AE14))*$V$5/3000,2),"")</f>
        <v>0</v>
      </c>
      <c r="AG14" s="3">
        <f>IF($L14&lt;&gt;"",IF($N14&gt;AF$11,IF($N14&lt;AG$11,$N14-AF$11,30),0)*ROUND(($O14+$X13+SUM($Z14:AF14))*$V$5/3000,2),"")</f>
        <v>0</v>
      </c>
      <c r="AH14" s="3">
        <f>IF($L14&lt;&gt;"",IF($N14&gt;AG$11,IF($N14&lt;AH$11,$N14-AG$11,30),0)*ROUND(($O14+$X13+SUM($Z14:AG14))*$V$5/3000,2),"")</f>
        <v>0</v>
      </c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</row>
    <row r="15" spans="1:86" x14ac:dyDescent="0.3">
      <c r="E15" s="5"/>
      <c r="F15" t="str">
        <f t="shared" si="0"/>
        <v>Thu</v>
      </c>
      <c r="G15" s="5">
        <f t="shared" si="1"/>
        <v>45412</v>
      </c>
      <c r="H15">
        <f t="shared" si="2"/>
        <v>4</v>
      </c>
      <c r="I15">
        <f t="shared" si="3"/>
        <v>0</v>
      </c>
      <c r="J15">
        <f t="shared" si="4"/>
        <v>0</v>
      </c>
      <c r="K15">
        <f t="shared" si="15"/>
        <v>0</v>
      </c>
      <c r="L15">
        <f t="shared" si="5"/>
        <v>4</v>
      </c>
      <c r="M15" s="5">
        <f t="shared" si="16"/>
        <v>45407</v>
      </c>
      <c r="N15" s="7">
        <f t="shared" si="6"/>
        <v>31</v>
      </c>
      <c r="O15" s="3">
        <f t="shared" si="7"/>
        <v>18201.799999999992</v>
      </c>
      <c r="P15" s="3">
        <f t="shared" si="8"/>
        <v>6137.5200000000023</v>
      </c>
      <c r="Q15" s="3">
        <f t="shared" si="9"/>
        <v>6031.1700000000019</v>
      </c>
      <c r="R15" s="3">
        <f t="shared" si="10"/>
        <v>106.35000000000001</v>
      </c>
      <c r="S15" s="3">
        <f>IF($L15&lt;&gt;"",IF($A15="Prepago",0,IF(ROUND($H15*$U$5,2)&gt;ROUND(SUM($S$11:$S14)+$U$5,2),$U$5*2,$U$5)),"")</f>
        <v>0</v>
      </c>
      <c r="T15" s="3">
        <f>IF($L15&lt;&gt;"",IF($A15="Prepago",0,IF(ROUND($H15*$U$6,2)&gt;ROUND(SUM($T$11:$T14)+$U$6,2),$U$6*2,$U$6)),"")</f>
        <v>0</v>
      </c>
      <c r="U15" s="3">
        <f>IF($L15&lt;&gt;"",IF($A15="Prepago",0,IF(ROUND($H15*$U$7,2)&gt;ROUND(SUM($U$11:$U14)+$U$7,2),$U$7*2,$U$7)),"")</f>
        <v>0</v>
      </c>
      <c r="V15" s="3">
        <f>IF($L15&lt;&gt;"",IF($A15="Prepago",0,IF(ROUND($H15*$U$8,2)&gt;ROUND(SUM($V$11:$V14)+$U$8,2),$U$8*2,$U$8)),"")</f>
        <v>0</v>
      </c>
      <c r="W15" s="3">
        <f t="shared" si="11"/>
        <v>12170.62999999999</v>
      </c>
      <c r="X15" s="3">
        <f t="shared" si="12"/>
        <v>0</v>
      </c>
      <c r="Y15" s="3">
        <f t="shared" si="13"/>
        <v>106.35000000000001</v>
      </c>
      <c r="Z15" s="3">
        <f t="shared" si="14"/>
        <v>102.9</v>
      </c>
      <c r="AA15" s="3">
        <f>IF($L15&lt;&gt;"",IF($N15&gt;Z$11,IF($N15&lt;AA$11,$N15-Z$11,30),0)*ROUND(($O15+$X14+SUM($Z15:Z15))*$V$5/3000,2),"")</f>
        <v>3.45</v>
      </c>
      <c r="AB15" s="3">
        <f>IF($L15&lt;&gt;"",IF($N15&gt;AA$11,IF($N15&lt;AB$11,$N15-AA$11,30),0)*ROUND(($O15+$X14+SUM($Z15:AA15))*$V$5/3000,2),"")</f>
        <v>0</v>
      </c>
      <c r="AC15" s="3">
        <f>IF($L15&lt;&gt;"",IF($N15&gt;AB$11,IF($N15&lt;AC$11,$N15-AB$11,30),0)*ROUND(($O15+$X14+SUM($Z15:AB15))*$V$5/3000,2),"")</f>
        <v>0</v>
      </c>
      <c r="AD15" s="3">
        <f>IF($L15&lt;&gt;"",IF($N15&gt;AC$11,IF($N15&lt;AD$11,$N15-AC$11,30),0)*ROUND(($O15+$X14+SUM($Z15:AC15))*$V$5/3000,2),"")</f>
        <v>0</v>
      </c>
      <c r="AE15" s="3">
        <f>IF($L15&lt;&gt;"",IF($N15&gt;AD$11,IF($N15&lt;AE$11,$N15-AD$11,30),0)*ROUND(($O15+$X14+SUM($Z15:AD15))*$V$5/3000,2),"")</f>
        <v>0</v>
      </c>
      <c r="AF15" s="3">
        <f>IF($L15&lt;&gt;"",IF($N15&gt;AE$11,IF($N15&lt;AF$11,$N15-AE$11,30),0)*ROUND(($O15+$X14+SUM($Z15:AE15))*$V$5/3000,2),"")</f>
        <v>0</v>
      </c>
      <c r="AG15" s="3">
        <f>IF($L15&lt;&gt;"",IF($N15&gt;AF$11,IF($N15&lt;AG$11,$N15-AF$11,30),0)*ROUND(($O15+$X14+SUM($Z15:AF15))*$V$5/3000,2),"")</f>
        <v>0</v>
      </c>
      <c r="AH15" s="3">
        <f>IF($L15&lt;&gt;"",IF($N15&gt;AG$11,IF($N15&lt;AH$11,$N15-AG$11,30),0)*ROUND(($O15+$X14+SUM($Z15:AG15))*$V$5/3000,2),"")</f>
        <v>0</v>
      </c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</row>
    <row r="16" spans="1:86" x14ac:dyDescent="0.3">
      <c r="E16" s="5"/>
      <c r="F16" t="str">
        <f t="shared" si="0"/>
        <v>Sat</v>
      </c>
      <c r="G16" s="5">
        <f t="shared" si="1"/>
        <v>45443</v>
      </c>
      <c r="H16">
        <f t="shared" si="2"/>
        <v>5</v>
      </c>
      <c r="I16">
        <f t="shared" si="3"/>
        <v>0</v>
      </c>
      <c r="J16">
        <f t="shared" si="4"/>
        <v>0</v>
      </c>
      <c r="K16">
        <f t="shared" si="15"/>
        <v>0</v>
      </c>
      <c r="L16">
        <f t="shared" si="5"/>
        <v>5</v>
      </c>
      <c r="M16" s="5">
        <f t="shared" si="16"/>
        <v>45437</v>
      </c>
      <c r="N16" s="7">
        <f t="shared" si="6"/>
        <v>30</v>
      </c>
      <c r="O16" s="3">
        <f t="shared" si="7"/>
        <v>12170.62999999999</v>
      </c>
      <c r="P16" s="3">
        <f t="shared" si="8"/>
        <v>6137.5200000000023</v>
      </c>
      <c r="Q16" s="3">
        <f t="shared" si="9"/>
        <v>6068.8200000000024</v>
      </c>
      <c r="R16" s="3">
        <f t="shared" si="10"/>
        <v>68.7</v>
      </c>
      <c r="S16" s="3">
        <f>IF($L16&lt;&gt;"",IF($A16="Prepago",0,IF(ROUND($H16*$U$5,2)&gt;ROUND(SUM($S$11:$S15)+$U$5,2),$U$5*2,$U$5)),"")</f>
        <v>0</v>
      </c>
      <c r="T16" s="3">
        <f>IF($L16&lt;&gt;"",IF($A16="Prepago",0,IF(ROUND($H16*$U$6,2)&gt;ROUND(SUM($T$11:$T15)+$U$6,2),$U$6*2,$U$6)),"")</f>
        <v>0</v>
      </c>
      <c r="U16" s="3">
        <f>IF($L16&lt;&gt;"",IF($A16="Prepago",0,IF(ROUND($H16*$U$7,2)&gt;ROUND(SUM($U$11:$U15)+$U$7,2),$U$7*2,$U$7)),"")</f>
        <v>0</v>
      </c>
      <c r="V16" s="3">
        <f>IF($L16&lt;&gt;"",IF($A16="Prepago",0,IF(ROUND($H16*$U$8,2)&gt;ROUND(SUM($V$11:$V15)+$U$8,2),$U$8*2,$U$8)),"")</f>
        <v>0</v>
      </c>
      <c r="W16" s="3">
        <f t="shared" si="11"/>
        <v>6101.8099999999877</v>
      </c>
      <c r="X16" s="3">
        <f t="shared" si="12"/>
        <v>0</v>
      </c>
      <c r="Y16" s="3">
        <f t="shared" si="13"/>
        <v>68.7</v>
      </c>
      <c r="Z16" s="3">
        <f t="shared" si="14"/>
        <v>68.7</v>
      </c>
      <c r="AA16" s="3">
        <f>IF($L16&lt;&gt;"",IF($N16&gt;Z$11,IF($N16&lt;AA$11,$N16-Z$11,30),0)*ROUND(($O16+$X15+SUM($Z16:Z16))*$V$5/3000,2),"")</f>
        <v>0</v>
      </c>
      <c r="AB16" s="3">
        <f>IF($L16&lt;&gt;"",IF($N16&gt;AA$11,IF($N16&lt;AB$11,$N16-AA$11,30),0)*ROUND(($O16+$X15+SUM($Z16:AA16))*$V$5/3000,2),"")</f>
        <v>0</v>
      </c>
      <c r="AC16" s="3">
        <f>IF($L16&lt;&gt;"",IF($N16&gt;AB$11,IF($N16&lt;AC$11,$N16-AB$11,30),0)*ROUND(($O16+$X15+SUM($Z16:AB16))*$V$5/3000,2),"")</f>
        <v>0</v>
      </c>
      <c r="AD16" s="3">
        <f>IF($L16&lt;&gt;"",IF($N16&gt;AC$11,IF($N16&lt;AD$11,$N16-AC$11,30),0)*ROUND(($O16+$X15+SUM($Z16:AC16))*$V$5/3000,2),"")</f>
        <v>0</v>
      </c>
      <c r="AE16" s="3">
        <f>IF($L16&lt;&gt;"",IF($N16&gt;AD$11,IF($N16&lt;AE$11,$N16-AD$11,30),0)*ROUND(($O16+$X15+SUM($Z16:AD16))*$V$5/3000,2),"")</f>
        <v>0</v>
      </c>
      <c r="AF16" s="3">
        <f>IF($L16&lt;&gt;"",IF($N16&gt;AE$11,IF($N16&lt;AF$11,$N16-AE$11,30),0)*ROUND(($O16+$X15+SUM($Z16:AE16))*$V$5/3000,2),"")</f>
        <v>0</v>
      </c>
      <c r="AG16" s="3">
        <f>IF($L16&lt;&gt;"",IF($N16&gt;AF$11,IF($N16&lt;AG$11,$N16-AF$11,30),0)*ROUND(($O16+$X15+SUM($Z16:AF16))*$V$5/3000,2),"")</f>
        <v>0</v>
      </c>
      <c r="AH16" s="3">
        <f>IF($L16&lt;&gt;"",IF($N16&gt;AG$11,IF($N16&lt;AH$11,$N16-AG$11,30),0)*ROUND(($O16+$X15+SUM($Z16:AG16))*$V$5/3000,2),"")</f>
        <v>0</v>
      </c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</row>
    <row r="17" spans="5:86" x14ac:dyDescent="0.3">
      <c r="E17" s="5"/>
      <c r="F17" t="str">
        <f t="shared" si="0"/>
        <v>Tue</v>
      </c>
      <c r="G17" s="5">
        <f t="shared" si="1"/>
        <v>45473</v>
      </c>
      <c r="H17">
        <f t="shared" si="2"/>
        <v>6</v>
      </c>
      <c r="I17">
        <f t="shared" si="3"/>
        <v>0</v>
      </c>
      <c r="J17">
        <f t="shared" si="4"/>
        <v>0</v>
      </c>
      <c r="K17">
        <f t="shared" si="15"/>
        <v>0</v>
      </c>
      <c r="L17">
        <f t="shared" si="5"/>
        <v>6</v>
      </c>
      <c r="M17" s="5">
        <f t="shared" si="16"/>
        <v>45468</v>
      </c>
      <c r="N17" s="7">
        <f t="shared" si="6"/>
        <v>31</v>
      </c>
      <c r="O17" s="3">
        <f t="shared" si="7"/>
        <v>6101.8099999999877</v>
      </c>
      <c r="P17" s="3">
        <f t="shared" si="8"/>
        <v>6137.4700000000021</v>
      </c>
      <c r="Q17" s="3">
        <f t="shared" si="9"/>
        <v>6101.8100000000022</v>
      </c>
      <c r="R17" s="3">
        <f t="shared" si="10"/>
        <v>35.659999999999997</v>
      </c>
      <c r="S17" s="3">
        <f>IF($L17&lt;&gt;"",IF($A17="Prepago",0,IF(ROUND($H17*$U$5,2)&gt;ROUND(SUM($S$11:$S16)+$U$5,2),$U$5*2,$U$5)),"")</f>
        <v>0</v>
      </c>
      <c r="T17" s="3">
        <f>IF($L17&lt;&gt;"",IF($A17="Prepago",0,IF(ROUND($H17*$U$6,2)&gt;ROUND(SUM($T$11:$T16)+$U$6,2),$U$6*2,$U$6)),"")</f>
        <v>0</v>
      </c>
      <c r="U17" s="3">
        <f>IF($L17&lt;&gt;"",IF($A17="Prepago",0,IF(ROUND($H17*$U$7,2)&gt;ROUND(SUM($U$11:$U16)+$U$7,2),$U$7*2,$U$7)),"")</f>
        <v>0</v>
      </c>
      <c r="V17" s="3">
        <f>IF($L17&lt;&gt;"",IF($A17="Prepago",0,IF(ROUND($H17*$U$8,2)&gt;ROUND(SUM($V$11:$V16)+$U$8,2),$U$8*2,$U$8)),"")</f>
        <v>0</v>
      </c>
      <c r="W17" s="3">
        <f t="shared" si="11"/>
        <v>-1.4551915228366852E-11</v>
      </c>
      <c r="X17" s="3">
        <f t="shared" si="12"/>
        <v>0</v>
      </c>
      <c r="Y17" s="3">
        <f t="shared" si="13"/>
        <v>35.659999999999997</v>
      </c>
      <c r="Z17" s="3">
        <f t="shared" si="14"/>
        <v>34.5</v>
      </c>
      <c r="AA17" s="3">
        <f>IF($L17&lt;&gt;"",IF($N17&gt;Z$11,IF($N17&lt;AA$11,$N17-Z$11,30),0)*ROUND(($O17+$X16+SUM($Z17:Z17))*$V$5/3000,2),"")</f>
        <v>1.1599999999999999</v>
      </c>
      <c r="AB17" s="3">
        <f>IF($L17&lt;&gt;"",IF($N17&gt;AA$11,IF($N17&lt;AB$11,$N17-AA$11,30),0)*ROUND(($O17+$X16+SUM($Z17:AA17))*$V$5/3000,2),"")</f>
        <v>0</v>
      </c>
      <c r="AC17" s="3">
        <f>IF($L17&lt;&gt;"",IF($N17&gt;AB$11,IF($N17&lt;AC$11,$N17-AB$11,30),0)*ROUND(($O17+$X16+SUM($Z17:AB17))*$V$5/3000,2),"")</f>
        <v>0</v>
      </c>
      <c r="AD17" s="3">
        <f>IF($L17&lt;&gt;"",IF($N17&gt;AC$11,IF($N17&lt;AD$11,$N17-AC$11,30),0)*ROUND(($O17+$X16+SUM($Z17:AC17))*$V$5/3000,2),"")</f>
        <v>0</v>
      </c>
      <c r="AE17" s="3">
        <f>IF($L17&lt;&gt;"",IF($N17&gt;AD$11,IF($N17&lt;AE$11,$N17-AD$11,30),0)*ROUND(($O17+$X16+SUM($Z17:AD17))*$V$5/3000,2),"")</f>
        <v>0</v>
      </c>
      <c r="AF17" s="3">
        <f>IF($L17&lt;&gt;"",IF($N17&gt;AE$11,IF($N17&lt;AF$11,$N17-AE$11,30),0)*ROUND(($O17+$X16+SUM($Z17:AE17))*$V$5/3000,2),"")</f>
        <v>0</v>
      </c>
      <c r="AG17" s="3">
        <f>IF($L17&lt;&gt;"",IF($N17&gt;AF$11,IF($N17&lt;AG$11,$N17-AF$11,30),0)*ROUND(($O17+$X16+SUM($Z17:AF17))*$V$5/3000,2),"")</f>
        <v>0</v>
      </c>
      <c r="AH17" s="3">
        <f>IF($L17&lt;&gt;"",IF($N17&gt;AG$11,IF($N17&lt;AH$11,$N17-AG$11,30),0)*ROUND(($O17+$X16+SUM($Z17:AG17))*$V$5/3000,2),"")</f>
        <v>0</v>
      </c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</row>
    <row r="18" spans="5:86" x14ac:dyDescent="0.3">
      <c r="E18" s="5"/>
      <c r="F18" t="str">
        <f t="shared" si="0"/>
        <v/>
      </c>
      <c r="G18" s="5" t="str">
        <f t="shared" si="1"/>
        <v/>
      </c>
      <c r="H18" t="str">
        <f t="shared" si="2"/>
        <v/>
      </c>
      <c r="I18" t="str">
        <f t="shared" si="3"/>
        <v/>
      </c>
      <c r="J18" t="str">
        <f t="shared" si="4"/>
        <v/>
      </c>
      <c r="K18" t="str">
        <f t="shared" si="15"/>
        <v/>
      </c>
      <c r="L18" t="str">
        <f t="shared" si="5"/>
        <v/>
      </c>
      <c r="M18" s="5" t="str">
        <f t="shared" si="16"/>
        <v/>
      </c>
      <c r="N18" s="7" t="str">
        <f t="shared" si="6"/>
        <v/>
      </c>
      <c r="O18" s="3" t="str">
        <f t="shared" si="7"/>
        <v/>
      </c>
      <c r="P18" s="3" t="str">
        <f t="shared" si="8"/>
        <v/>
      </c>
      <c r="Q18" s="3" t="str">
        <f t="shared" si="9"/>
        <v/>
      </c>
      <c r="R18" s="3" t="str">
        <f t="shared" si="10"/>
        <v/>
      </c>
      <c r="S18" s="3" t="str">
        <f>IF($L18&lt;&gt;"",IF($A18="Prepago",0,IF(ROUND($H18*$U$5,2)&gt;ROUND(SUM($S$11:$S17)+$U$5,2),$U$5*2,$U$5)),"")</f>
        <v/>
      </c>
      <c r="T18" s="3" t="str">
        <f>IF($L18&lt;&gt;"",IF($A18="Prepago",0,IF(ROUND($H18*$U$6,2)&gt;ROUND(SUM($T$11:$T17)+$U$6,2),$U$6*2,$U$6)),"")</f>
        <v/>
      </c>
      <c r="U18" s="3" t="str">
        <f>IF($L18&lt;&gt;"",IF($A18="Prepago",0,IF(ROUND($H18*$U$7,2)&gt;ROUND(SUM($U$11:$U17)+$U$7,2),$U$7*2,$U$7)),"")</f>
        <v/>
      </c>
      <c r="V18" s="3" t="str">
        <f>IF($L18&lt;&gt;"",IF($A18="Prepago",0,IF(ROUND($H18*$U$8,2)&gt;ROUND(SUM($V$11:$V17)+$U$8,2),$U$8*2,$U$8)),"")</f>
        <v/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/>
      </c>
      <c r="AA18" s="3" t="str">
        <f>IF($L18&lt;&gt;"",IF($N18&gt;Z$11,IF($N18&lt;AA$11,$N18-Z$11,30),0)*ROUND(($O18+$X17+SUM($Z18:Z18))*$V$5/3000,2),"")</f>
        <v/>
      </c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</row>
    <row r="19" spans="5:86" x14ac:dyDescent="0.3">
      <c r="E19" s="5"/>
      <c r="F19" t="str">
        <f t="shared" si="0"/>
        <v/>
      </c>
      <c r="G19" s="5" t="str">
        <f t="shared" si="1"/>
        <v/>
      </c>
      <c r="H19" t="str">
        <f t="shared" si="2"/>
        <v/>
      </c>
      <c r="I19" t="str">
        <f t="shared" si="3"/>
        <v/>
      </c>
      <c r="J19" t="str">
        <f t="shared" si="4"/>
        <v/>
      </c>
      <c r="K19" t="str">
        <f t="shared" si="15"/>
        <v/>
      </c>
      <c r="L19" t="str">
        <f t="shared" si="5"/>
        <v/>
      </c>
      <c r="M19" s="5" t="str">
        <f t="shared" si="16"/>
        <v/>
      </c>
      <c r="N19" s="7" t="str">
        <f t="shared" si="6"/>
        <v/>
      </c>
      <c r="O19" s="3" t="str">
        <f t="shared" si="7"/>
        <v/>
      </c>
      <c r="P19" s="3" t="str">
        <f t="shared" si="8"/>
        <v/>
      </c>
      <c r="Q19" s="3" t="str">
        <f t="shared" si="9"/>
        <v/>
      </c>
      <c r="R19" s="3" t="str">
        <f t="shared" si="10"/>
        <v/>
      </c>
      <c r="S19" s="3" t="str">
        <f>IF($L19&lt;&gt;"",IF($A19="Prepago",0,IF(ROUND($H19*$U$5,2)&gt;ROUND(SUM($S$11:$S18)+$U$5,2),$U$5*2,$U$5)),"")</f>
        <v/>
      </c>
      <c r="T19" s="3" t="str">
        <f>IF($L19&lt;&gt;"",IF($A19="Prepago",0,IF(ROUND($H19*$U$6,2)&gt;ROUND(SUM($T$11:$T18)+$U$6,2),$U$6*2,$U$6)),"")</f>
        <v/>
      </c>
      <c r="U19" s="3" t="str">
        <f>IF($L19&lt;&gt;"",IF($A19="Prepago",0,IF(ROUND($H19*$U$7,2)&gt;ROUND(SUM($U$11:$U18)+$U$7,2),$U$7*2,$U$7)),"")</f>
        <v/>
      </c>
      <c r="V19" s="3" t="str">
        <f>IF($L19&lt;&gt;"",IF($A19="Prepago",0,IF(ROUND($H19*$U$8,2)&gt;ROUND(SUM($V$11:$V18)+$U$8,2),$U$8*2,$U$8)),"")</f>
        <v/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/>
      </c>
      <c r="AA19" s="3" t="str">
        <f>IF($L19&lt;&gt;"",IF($N19&gt;Z$11,IF($N19&lt;AA$11,$N19-Z$11,30),0)*ROUND(($O19+$X18+SUM($Z19:Z19))*$V$5/3000,2),"")</f>
        <v/>
      </c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</row>
    <row r="20" spans="5:86" x14ac:dyDescent="0.3">
      <c r="E20" s="5"/>
      <c r="F20" t="str">
        <f t="shared" si="0"/>
        <v/>
      </c>
      <c r="G20" s="5" t="str">
        <f t="shared" si="1"/>
        <v/>
      </c>
      <c r="H20" t="str">
        <f t="shared" si="2"/>
        <v/>
      </c>
      <c r="I20" t="str">
        <f t="shared" si="3"/>
        <v/>
      </c>
      <c r="J20" t="str">
        <f t="shared" si="4"/>
        <v/>
      </c>
      <c r="K20" t="str">
        <f t="shared" si="15"/>
        <v/>
      </c>
      <c r="L20" t="str">
        <f t="shared" si="5"/>
        <v/>
      </c>
      <c r="M20" s="5" t="str">
        <f t="shared" si="16"/>
        <v/>
      </c>
      <c r="N20" s="7" t="str">
        <f t="shared" si="6"/>
        <v/>
      </c>
      <c r="O20" s="3" t="str">
        <f t="shared" si="7"/>
        <v/>
      </c>
      <c r="P20" s="3" t="str">
        <f t="shared" si="8"/>
        <v/>
      </c>
      <c r="Q20" s="3" t="str">
        <f t="shared" si="9"/>
        <v/>
      </c>
      <c r="R20" s="3" t="str">
        <f t="shared" si="10"/>
        <v/>
      </c>
      <c r="S20" s="3" t="str">
        <f>IF($L20&lt;&gt;"",IF($A20="Prepago",0,IF(ROUND($H20*$U$5,2)&gt;ROUND(SUM($S$11:$S19)+$U$5,2),$U$5*2,$U$5)),"")</f>
        <v/>
      </c>
      <c r="T20" s="3" t="str">
        <f>IF($L20&lt;&gt;"",IF($A20="Prepago",0,IF(ROUND($H20*$U$6,2)&gt;ROUND(SUM($T$11:$T19)+$U$6,2),$U$6*2,$U$6)),"")</f>
        <v/>
      </c>
      <c r="U20" s="3" t="str">
        <f>IF($L20&lt;&gt;"",IF($A20="Prepago",0,IF(ROUND($H20*$U$7,2)&gt;ROUND(SUM($U$11:$U19)+$U$7,2),$U$7*2,$U$7)),"")</f>
        <v/>
      </c>
      <c r="V20" s="3" t="str">
        <f>IF($L20&lt;&gt;"",IF($A20="Prepago",0,IF(ROUND($H20*$U$8,2)&gt;ROUND(SUM($V$11:$V19)+$U$8,2),$U$8*2,$U$8)),"")</f>
        <v/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/>
      </c>
      <c r="AA20" s="3" t="str">
        <f>IF($L20&lt;&gt;"",IF($N20&gt;Z$11,IF($N20&lt;AA$11,$N20-Z$11,30),0)*ROUND(($O20+$X19+SUM($Z20:Z20))*$V$5/3000,2),"")</f>
        <v/>
      </c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</row>
    <row r="21" spans="5:86" x14ac:dyDescent="0.3">
      <c r="E21" s="5"/>
      <c r="F21" t="str">
        <f t="shared" si="0"/>
        <v/>
      </c>
      <c r="G21" s="5" t="str">
        <f t="shared" si="1"/>
        <v/>
      </c>
      <c r="H21" t="str">
        <f t="shared" si="2"/>
        <v/>
      </c>
      <c r="I21" t="str">
        <f t="shared" si="3"/>
        <v/>
      </c>
      <c r="J21" t="str">
        <f t="shared" si="4"/>
        <v/>
      </c>
      <c r="K21" t="str">
        <f t="shared" si="15"/>
        <v/>
      </c>
      <c r="L21" t="str">
        <f t="shared" si="5"/>
        <v/>
      </c>
      <c r="M21" s="5" t="str">
        <f t="shared" si="16"/>
        <v/>
      </c>
      <c r="N21" s="7" t="str">
        <f t="shared" si="6"/>
        <v/>
      </c>
      <c r="O21" s="3" t="str">
        <f t="shared" si="7"/>
        <v/>
      </c>
      <c r="P21" s="3" t="str">
        <f t="shared" si="8"/>
        <v/>
      </c>
      <c r="Q21" s="3" t="str">
        <f t="shared" si="9"/>
        <v/>
      </c>
      <c r="R21" s="3" t="str">
        <f t="shared" si="10"/>
        <v/>
      </c>
      <c r="S21" s="3" t="str">
        <f>IF($L21&lt;&gt;"",IF($A21="Prepago",0,IF(ROUND($H21*$U$5,2)&gt;ROUND(SUM($S$11:$S20)+$U$5,2),$U$5*2,$U$5)),"")</f>
        <v/>
      </c>
      <c r="T21" s="3" t="str">
        <f>IF($L21&lt;&gt;"",IF($A21="Prepago",0,IF(ROUND($H21*$U$6,2)&gt;ROUND(SUM($T$11:$T20)+$U$6,2),$U$6*2,$U$6)),"")</f>
        <v/>
      </c>
      <c r="U21" s="3" t="str">
        <f>IF($L21&lt;&gt;"",IF($A21="Prepago",0,IF(ROUND($H21*$U$7,2)&gt;ROUND(SUM($U$11:$U20)+$U$7,2),$U$7*2,$U$7)),"")</f>
        <v/>
      </c>
      <c r="V21" s="3" t="str">
        <f>IF($L21&lt;&gt;"",IF($A21="Prepago",0,IF(ROUND($H21*$U$8,2)&gt;ROUND(SUM($V$11:$V20)+$U$8,2),$U$8*2,$U$8)),"")</f>
        <v/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/>
      </c>
      <c r="AA21" s="3" t="str">
        <f>IF($L21&lt;&gt;"",IF($N21&gt;Z$11,IF($N21&lt;AA$11,$N21-Z$11,30),0)*ROUND(($O21+$X20+SUM($Z21:Z21))*$V$5/3000,2),"")</f>
        <v/>
      </c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</row>
    <row r="22" spans="5:86" x14ac:dyDescent="0.3">
      <c r="E22" s="5"/>
      <c r="F22" t="str">
        <f t="shared" si="0"/>
        <v/>
      </c>
      <c r="G22" s="5" t="str">
        <f t="shared" si="1"/>
        <v/>
      </c>
      <c r="H22" t="str">
        <f t="shared" si="2"/>
        <v/>
      </c>
      <c r="I22" t="str">
        <f t="shared" si="3"/>
        <v/>
      </c>
      <c r="J22" t="str">
        <f t="shared" si="4"/>
        <v/>
      </c>
      <c r="K22" t="str">
        <f t="shared" si="15"/>
        <v/>
      </c>
      <c r="L22" t="str">
        <f t="shared" si="5"/>
        <v/>
      </c>
      <c r="M22" s="5" t="str">
        <f t="shared" si="16"/>
        <v/>
      </c>
      <c r="N22" s="7" t="str">
        <f t="shared" si="6"/>
        <v/>
      </c>
      <c r="O22" s="3" t="str">
        <f t="shared" si="7"/>
        <v/>
      </c>
      <c r="P22" s="3" t="str">
        <f t="shared" si="8"/>
        <v/>
      </c>
      <c r="Q22" s="3" t="str">
        <f t="shared" si="9"/>
        <v/>
      </c>
      <c r="R22" s="3" t="str">
        <f t="shared" si="10"/>
        <v/>
      </c>
      <c r="S22" s="3" t="str">
        <f>IF($L22&lt;&gt;"",IF($A22="Prepago",0,IF(ROUND($H22*$U$5,2)&gt;ROUND(SUM($S$11:$S21)+$U$5,2),$U$5*2,$U$5)),"")</f>
        <v/>
      </c>
      <c r="T22" s="3" t="str">
        <f>IF($L22&lt;&gt;"",IF($A22="Prepago",0,IF(ROUND($H22*$U$6,2)&gt;ROUND(SUM($T$11:$T21)+$U$6,2),$U$6*2,$U$6)),"")</f>
        <v/>
      </c>
      <c r="U22" s="3" t="str">
        <f>IF($L22&lt;&gt;"",IF($A22="Prepago",0,IF(ROUND($H22*$U$7,2)&gt;ROUND(SUM($U$11:$U21)+$U$7,2),$U$7*2,$U$7)),"")</f>
        <v/>
      </c>
      <c r="V22" s="3" t="str">
        <f>IF($L22&lt;&gt;"",IF($A22="Prepago",0,IF(ROUND($H22*$U$8,2)&gt;ROUND(SUM($V$11:$V21)+$U$8,2),$U$8*2,$U$8)),"")</f>
        <v/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>IF($L22&lt;&gt;"",IF($N22&gt;Z$11,IF($N22&lt;AA$11,$N22-Z$11,30),0)*ROUND(($O22+$X21+SUM($Z22:Z22))*$V$5/3000,2),"")</f>
        <v/>
      </c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</row>
    <row r="23" spans="5:86" x14ac:dyDescent="0.3">
      <c r="E23" s="5"/>
      <c r="F23" t="str">
        <f t="shared" si="0"/>
        <v/>
      </c>
      <c r="G23" s="5" t="str">
        <f t="shared" si="1"/>
        <v/>
      </c>
      <c r="H23" t="str">
        <f t="shared" si="2"/>
        <v/>
      </c>
      <c r="I23" t="str">
        <f t="shared" si="3"/>
        <v/>
      </c>
      <c r="J23" t="str">
        <f t="shared" si="4"/>
        <v/>
      </c>
      <c r="K23" t="str">
        <f t="shared" si="15"/>
        <v/>
      </c>
      <c r="L23" t="str">
        <f t="shared" si="5"/>
        <v/>
      </c>
      <c r="M23" s="5" t="str">
        <f t="shared" si="16"/>
        <v/>
      </c>
      <c r="N23" s="7" t="str">
        <f t="shared" si="6"/>
        <v/>
      </c>
      <c r="O23" s="3" t="str">
        <f t="shared" si="7"/>
        <v/>
      </c>
      <c r="P23" s="3" t="str">
        <f t="shared" si="8"/>
        <v/>
      </c>
      <c r="Q23" s="3" t="str">
        <f t="shared" si="9"/>
        <v/>
      </c>
      <c r="R23" s="3" t="str">
        <f t="shared" si="10"/>
        <v/>
      </c>
      <c r="S23" s="3" t="str">
        <f>IF($L23&lt;&gt;"",IF($A23="Prepago",0,IF(ROUND($H23*$U$5,2)&gt;ROUND(SUM($S$11:$S22)+$U$5,2),$U$5*2,$U$5)),"")</f>
        <v/>
      </c>
      <c r="T23" s="3" t="str">
        <f>IF($L23&lt;&gt;"",IF($A23="Prepago",0,IF(ROUND($H23*$U$6,2)&gt;ROUND(SUM($T$11:$T22)+$U$6,2),$U$6*2,$U$6)),"")</f>
        <v/>
      </c>
      <c r="U23" s="3" t="str">
        <f>IF($L23&lt;&gt;"",IF($A23="Prepago",0,IF(ROUND($H23*$U$7,2)&gt;ROUND(SUM($U$11:$U22)+$U$7,2),$U$7*2,$U$7)),"")</f>
        <v/>
      </c>
      <c r="V23" s="3" t="str">
        <f>IF($L23&lt;&gt;"",IF($A23="Prepago",0,IF(ROUND($H23*$U$8,2)&gt;ROUND(SUM($V$11:$V22)+$U$8,2),$U$8*2,$U$8)),"")</f>
        <v/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/>
      </c>
      <c r="AA23" s="3" t="str">
        <f>IF($L23&lt;&gt;"",IF($N23&gt;Z$11,IF($N23&lt;AA$11,$N23-Z$11,30),0)*ROUND(($O23+$X22+SUM($Z23:Z23))*$V$5/3000,2),"")</f>
        <v/>
      </c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</row>
    <row r="24" spans="5:86" x14ac:dyDescent="0.3">
      <c r="E24" s="5"/>
      <c r="F24" t="str">
        <f t="shared" si="0"/>
        <v/>
      </c>
      <c r="G24" s="5" t="str">
        <f t="shared" si="1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15"/>
        <v/>
      </c>
      <c r="L24" t="str">
        <f t="shared" si="5"/>
        <v/>
      </c>
      <c r="M24" s="5" t="str">
        <f t="shared" si="16"/>
        <v/>
      </c>
      <c r="N24" s="7" t="str">
        <f t="shared" si="6"/>
        <v/>
      </c>
      <c r="O24" s="3" t="str">
        <f t="shared" si="7"/>
        <v/>
      </c>
      <c r="P24" s="3" t="str">
        <f t="shared" si="8"/>
        <v/>
      </c>
      <c r="Q24" s="3" t="str">
        <f t="shared" si="9"/>
        <v/>
      </c>
      <c r="R24" s="3" t="str">
        <f t="shared" si="10"/>
        <v/>
      </c>
      <c r="S24" s="3" t="str">
        <f>IF($L24&lt;&gt;"",IF($A24="Prepago",0,IF(ROUND($H24*$U$5,2)&gt;ROUND(SUM($S$11:$S23)+$U$5,2),$U$5*2,$U$5)),"")</f>
        <v/>
      </c>
      <c r="T24" s="3" t="str">
        <f>IF($L24&lt;&gt;"",IF($A24="Prepago",0,IF(ROUND($H24*$U$6,2)&gt;ROUND(SUM($T$11:$T23)+$U$6,2),$U$6*2,$U$6)),"")</f>
        <v/>
      </c>
      <c r="U24" s="3" t="str">
        <f>IF($L24&lt;&gt;"",IF($A24="Prepago",0,IF(ROUND($H24*$U$7,2)&gt;ROUND(SUM($U$11:$U23)+$U$7,2),$U$7*2,$U$7)),"")</f>
        <v/>
      </c>
      <c r="V24" s="3" t="str">
        <f>IF($L24&lt;&gt;"",IF($A24="Prepago",0,IF(ROUND($H24*$U$8,2)&gt;ROUND(SUM($V$11:$V23)+$U$8,2),$U$8*2,$U$8)),"")</f>
        <v/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/>
      </c>
      <c r="AA24" s="3" t="str">
        <f>IF($L24&lt;&gt;"",IF($N24&gt;Z$11,IF($N24&lt;AA$11,$N24-Z$11,30),0)*ROUND(($O24+$X23+SUM($Z24:Z24))*$V$5/3000,2),"")</f>
        <v/>
      </c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5:86" x14ac:dyDescent="0.3">
      <c r="E25" s="5"/>
      <c r="F25" t="str">
        <f t="shared" si="0"/>
        <v/>
      </c>
      <c r="G25" s="5" t="str">
        <f t="shared" si="1"/>
        <v/>
      </c>
      <c r="H25" t="str">
        <f t="shared" si="2"/>
        <v/>
      </c>
      <c r="I25" t="str">
        <f t="shared" si="3"/>
        <v/>
      </c>
      <c r="J25" t="str">
        <f t="shared" si="4"/>
        <v/>
      </c>
      <c r="K25" t="str">
        <f t="shared" si="15"/>
        <v/>
      </c>
      <c r="L25" t="str">
        <f t="shared" si="5"/>
        <v/>
      </c>
      <c r="M25" s="5" t="str">
        <f t="shared" si="16"/>
        <v/>
      </c>
      <c r="N25" s="7" t="str">
        <f t="shared" si="6"/>
        <v/>
      </c>
      <c r="O25" s="3" t="str">
        <f t="shared" si="7"/>
        <v/>
      </c>
      <c r="P25" s="3" t="str">
        <f t="shared" si="8"/>
        <v/>
      </c>
      <c r="Q25" s="3" t="str">
        <f t="shared" si="9"/>
        <v/>
      </c>
      <c r="R25" s="3" t="str">
        <f t="shared" si="10"/>
        <v/>
      </c>
      <c r="S25" s="3" t="str">
        <f>IF($L25&lt;&gt;"",IF($A25="Prepago",0,IF(ROUND($H25*$U$5,2)&gt;ROUND(SUM($S$11:$S24)+$U$5,2),$U$5*2,$U$5)),"")</f>
        <v/>
      </c>
      <c r="T25" s="3" t="str">
        <f>IF($L25&lt;&gt;"",IF($A25="Prepago",0,IF(ROUND($H25*$U$6,2)&gt;ROUND(SUM($T$11:$T24)+$U$6,2),$U$6*2,$U$6)),"")</f>
        <v/>
      </c>
      <c r="U25" s="3" t="str">
        <f>IF($L25&lt;&gt;"",IF($A25="Prepago",0,IF(ROUND($H25*$U$7,2)&gt;ROUND(SUM($U$11:$U24)+$U$7,2),$U$7*2,$U$7)),"")</f>
        <v/>
      </c>
      <c r="V25" s="3" t="str">
        <f>IF($L25&lt;&gt;"",IF($A25="Prepago",0,IF(ROUND($H25*$U$8,2)&gt;ROUND(SUM($V$11:$V24)+$U$8,2),$U$8*2,$U$8)),"")</f>
        <v/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>IF($L25&lt;&gt;"",IF($N25&gt;Z$11,IF($N25&lt;AA$11,$N25-Z$11,30),0)*ROUND(($O25+$X24+SUM($Z25:Z25))*$V$5/3000,2),"")</f>
        <v/>
      </c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5:86" x14ac:dyDescent="0.3">
      <c r="E26" s="5"/>
      <c r="F26" t="str">
        <f t="shared" si="0"/>
        <v/>
      </c>
      <c r="G26" s="5" t="str">
        <f t="shared" si="1"/>
        <v/>
      </c>
      <c r="H26" t="str">
        <f t="shared" si="2"/>
        <v/>
      </c>
      <c r="I26" t="str">
        <f t="shared" si="3"/>
        <v/>
      </c>
      <c r="J26" t="str">
        <f t="shared" si="4"/>
        <v/>
      </c>
      <c r="K26" t="str">
        <f t="shared" si="15"/>
        <v/>
      </c>
      <c r="L26" t="str">
        <f t="shared" si="5"/>
        <v/>
      </c>
      <c r="M26" s="5" t="str">
        <f t="shared" si="16"/>
        <v/>
      </c>
      <c r="N26" s="7" t="str">
        <f t="shared" si="6"/>
        <v/>
      </c>
      <c r="O26" s="3" t="str">
        <f t="shared" si="7"/>
        <v/>
      </c>
      <c r="P26" s="3" t="str">
        <f t="shared" si="8"/>
        <v/>
      </c>
      <c r="Q26" s="3" t="str">
        <f t="shared" si="9"/>
        <v/>
      </c>
      <c r="R26" s="3" t="str">
        <f t="shared" si="10"/>
        <v/>
      </c>
      <c r="S26" s="3" t="str">
        <f>IF($L26&lt;&gt;"",IF($A26="Prepago",0,IF(ROUND($H26*$U$5,2)&gt;ROUND(SUM($S$11:$S25)+$U$5,2),$U$5*2,$U$5)),"")</f>
        <v/>
      </c>
      <c r="T26" s="3" t="str">
        <f>IF($L26&lt;&gt;"",IF($A26="Prepago",0,IF(ROUND($H26*$U$6,2)&gt;ROUND(SUM($T$11:$T25)+$U$6,2),$U$6*2,$U$6)),"")</f>
        <v/>
      </c>
      <c r="U26" s="3" t="str">
        <f>IF($L26&lt;&gt;"",IF($A26="Prepago",0,IF(ROUND($H26*$U$7,2)&gt;ROUND(SUM($U$11:$U25)+$U$7,2),$U$7*2,$U$7)),"")</f>
        <v/>
      </c>
      <c r="V26" s="3" t="str">
        <f>IF($L26&lt;&gt;"",IF($A26="Prepago",0,IF(ROUND($H26*$U$8,2)&gt;ROUND(SUM($V$11:$V25)+$U$8,2),$U$8*2,$U$8)),"")</f>
        <v/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/>
      </c>
      <c r="AA26" s="3" t="str">
        <f>IF($L26&lt;&gt;"",IF($N26&gt;Z$11,IF($N26&lt;AA$11,$N26-Z$11,30),0)*ROUND(($O26+$X25+SUM($Z26:Z26))*$V$5/3000,2),"")</f>
        <v/>
      </c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5:86" x14ac:dyDescent="0.3">
      <c r="E27" s="5"/>
      <c r="F27" t="str">
        <f t="shared" si="0"/>
        <v/>
      </c>
      <c r="G27" s="5" t="str">
        <f t="shared" si="1"/>
        <v/>
      </c>
      <c r="H27" t="str">
        <f t="shared" si="2"/>
        <v/>
      </c>
      <c r="I27" t="str">
        <f t="shared" si="3"/>
        <v/>
      </c>
      <c r="J27" t="str">
        <f t="shared" si="4"/>
        <v/>
      </c>
      <c r="K27" t="str">
        <f t="shared" si="15"/>
        <v/>
      </c>
      <c r="L27" t="str">
        <f t="shared" si="5"/>
        <v/>
      </c>
      <c r="M27" s="5" t="str">
        <f t="shared" si="16"/>
        <v/>
      </c>
      <c r="N27" s="7" t="str">
        <f t="shared" si="6"/>
        <v/>
      </c>
      <c r="O27" s="3" t="str">
        <f t="shared" si="7"/>
        <v/>
      </c>
      <c r="P27" s="3" t="str">
        <f t="shared" si="8"/>
        <v/>
      </c>
      <c r="Q27" s="3" t="str">
        <f t="shared" si="9"/>
        <v/>
      </c>
      <c r="R27" s="3" t="str">
        <f t="shared" si="10"/>
        <v/>
      </c>
      <c r="S27" s="3" t="str">
        <f>IF($L27&lt;&gt;"",IF($A27="Prepago",0,IF(ROUND($H27*$U$5,2)&gt;ROUND(SUM($S$11:$S26)+$U$5,2),$U$5*2,$U$5)),"")</f>
        <v/>
      </c>
      <c r="T27" s="3" t="str">
        <f>IF($L27&lt;&gt;"",IF($A27="Prepago",0,IF(ROUND($H27*$U$6,2)&gt;ROUND(SUM($T$11:$T26)+$U$6,2),$U$6*2,$U$6)),"")</f>
        <v/>
      </c>
      <c r="U27" s="3" t="str">
        <f>IF($L27&lt;&gt;"",IF($A27="Prepago",0,IF(ROUND($H27*$U$7,2)&gt;ROUND(SUM($U$11:$U26)+$U$7,2),$U$7*2,$U$7)),"")</f>
        <v/>
      </c>
      <c r="V27" s="3" t="str">
        <f>IF($L27&lt;&gt;"",IF($A27="Prepago",0,IF(ROUND($H27*$U$8,2)&gt;ROUND(SUM($V$11:$V26)+$U$8,2),$U$8*2,$U$8)),"")</f>
        <v/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/>
      </c>
      <c r="AA27" s="3" t="str">
        <f>IF($L27&lt;&gt;"",IF($N27&gt;Z$11,IF($N27&lt;AA$11,$N27-Z$11,30),0)*ROUND(($O27+$X26+SUM($Z27:Z27))*$V$5/3000,2),"")</f>
        <v/>
      </c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</row>
    <row r="28" spans="5:86" x14ac:dyDescent="0.3">
      <c r="E28" s="5"/>
      <c r="F28" t="str">
        <f t="shared" si="0"/>
        <v/>
      </c>
      <c r="G28" s="5" t="str">
        <f t="shared" si="1"/>
        <v/>
      </c>
      <c r="H28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15"/>
        <v/>
      </c>
      <c r="L28" t="str">
        <f t="shared" si="5"/>
        <v/>
      </c>
      <c r="M28" s="5" t="str">
        <f t="shared" si="16"/>
        <v/>
      </c>
      <c r="N28" s="7" t="str">
        <f t="shared" si="6"/>
        <v/>
      </c>
      <c r="O28" s="3" t="str">
        <f t="shared" si="7"/>
        <v/>
      </c>
      <c r="P28" s="3" t="str">
        <f t="shared" si="8"/>
        <v/>
      </c>
      <c r="Q28" s="3" t="str">
        <f t="shared" si="9"/>
        <v/>
      </c>
      <c r="R28" s="3" t="str">
        <f t="shared" si="10"/>
        <v/>
      </c>
      <c r="S28" s="3" t="str">
        <f>IF($L28&lt;&gt;"",IF($A28="Prepago",0,IF(ROUND($H28*$U$5,2)&gt;ROUND(SUM($S$11:$S27)+$U$5,2),$U$5*2,$U$5)),"")</f>
        <v/>
      </c>
      <c r="T28" s="3" t="str">
        <f>IF($L28&lt;&gt;"",IF($A28="Prepago",0,IF(ROUND($H28*$U$6,2)&gt;ROUND(SUM($T$11:$T27)+$U$6,2),$U$6*2,$U$6)),"")</f>
        <v/>
      </c>
      <c r="U28" s="3" t="str">
        <f>IF($L28&lt;&gt;"",IF($A28="Prepago",0,IF(ROUND($H28*$U$7,2)&gt;ROUND(SUM($U$11:$U27)+$U$7,2),$U$7*2,$U$7)),"")</f>
        <v/>
      </c>
      <c r="V28" s="3" t="str">
        <f>IF($L28&lt;&gt;"",IF($A28="Prepago",0,IF(ROUND($H28*$U$8,2)&gt;ROUND(SUM($V$11:$V27)+$U$8,2),$U$8*2,$U$8)),"")</f>
        <v/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/>
      </c>
      <c r="AA28" s="3" t="str">
        <f>IF($L28&lt;&gt;"",IF($N28&gt;Z$11,IF($N28&lt;AA$11,$N28-Z$11,30),0)*ROUND(($O28+$X27+SUM($Z28:Z28))*$V$5/3000,2),"")</f>
        <v/>
      </c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</row>
    <row r="29" spans="5:86" x14ac:dyDescent="0.3">
      <c r="E29" s="5"/>
      <c r="F29" t="str">
        <f t="shared" si="0"/>
        <v/>
      </c>
      <c r="G29" s="5" t="str">
        <f t="shared" si="1"/>
        <v/>
      </c>
      <c r="H29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15"/>
        <v/>
      </c>
      <c r="L29" t="str">
        <f t="shared" si="5"/>
        <v/>
      </c>
      <c r="M29" s="5" t="str">
        <f t="shared" si="16"/>
        <v/>
      </c>
      <c r="N29" s="7" t="str">
        <f t="shared" si="6"/>
        <v/>
      </c>
      <c r="O29" s="3" t="str">
        <f t="shared" si="7"/>
        <v/>
      </c>
      <c r="P29" s="3" t="str">
        <f t="shared" si="8"/>
        <v/>
      </c>
      <c r="Q29" s="3" t="str">
        <f t="shared" si="9"/>
        <v/>
      </c>
      <c r="R29" s="3" t="str">
        <f t="shared" si="10"/>
        <v/>
      </c>
      <c r="S29" s="3" t="str">
        <f>IF($L29&lt;&gt;"",IF($A29="Prepago",0,IF(ROUND($H29*$U$5,2)&gt;ROUND(SUM($S$11:$S28)+$U$5,2),$U$5*2,$U$5)),"")</f>
        <v/>
      </c>
      <c r="T29" s="3" t="str">
        <f>IF($L29&lt;&gt;"",IF($A29="Prepago",0,IF(ROUND($H29*$U$6,2)&gt;ROUND(SUM($T$11:$T28)+$U$6,2),$U$6*2,$U$6)),"")</f>
        <v/>
      </c>
      <c r="U29" s="3" t="str">
        <f>IF($L29&lt;&gt;"",IF($A29="Prepago",0,IF(ROUND($H29*$U$7,2)&gt;ROUND(SUM($U$11:$U28)+$U$7,2),$U$7*2,$U$7)),"")</f>
        <v/>
      </c>
      <c r="V29" s="3" t="str">
        <f>IF($L29&lt;&gt;"",IF($A29="Prepago",0,IF(ROUND($H29*$U$8,2)&gt;ROUND(SUM($V$11:$V28)+$U$8,2),$U$8*2,$U$8)),"")</f>
        <v/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/>
      </c>
      <c r="AA29" s="3" t="str">
        <f>IF($L29&lt;&gt;"",IF($N29&gt;Z$11,IF($N29&lt;AA$11,$N29-Z$11,30),0)*ROUND(($O29+$X28+SUM($Z29:Z29))*$V$5/3000,2),"")</f>
        <v/>
      </c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</row>
    <row r="30" spans="5:86" x14ac:dyDescent="0.3">
      <c r="E30" s="5"/>
      <c r="F30" t="str">
        <f t="shared" si="0"/>
        <v/>
      </c>
      <c r="G30" s="5" t="str">
        <f t="shared" si="1"/>
        <v/>
      </c>
      <c r="H30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15"/>
        <v/>
      </c>
      <c r="L30" t="str">
        <f t="shared" si="5"/>
        <v/>
      </c>
      <c r="M30" s="5" t="str">
        <f t="shared" si="16"/>
        <v/>
      </c>
      <c r="N30" s="7" t="str">
        <f t="shared" si="6"/>
        <v/>
      </c>
      <c r="O30" s="3" t="str">
        <f t="shared" si="7"/>
        <v/>
      </c>
      <c r="P30" s="3" t="str">
        <f t="shared" si="8"/>
        <v/>
      </c>
      <c r="Q30" s="3" t="str">
        <f t="shared" si="9"/>
        <v/>
      </c>
      <c r="R30" s="3" t="str">
        <f t="shared" si="10"/>
        <v/>
      </c>
      <c r="S30" s="3" t="str">
        <f>IF($L30&lt;&gt;"",IF($A30="Prepago",0,IF(ROUND($H30*$U$5,2)&gt;ROUND(SUM($S$11:$S29)+$U$5,2),$U$5*2,$U$5)),"")</f>
        <v/>
      </c>
      <c r="T30" s="3" t="str">
        <f>IF($L30&lt;&gt;"",IF($A30="Prepago",0,IF(ROUND($H30*$U$6,2)&gt;ROUND(SUM($T$11:$T29)+$U$6,2),$U$6*2,$U$6)),"")</f>
        <v/>
      </c>
      <c r="U30" s="3" t="str">
        <f>IF($L30&lt;&gt;"",IF($A30="Prepago",0,IF(ROUND($H30*$U$7,2)&gt;ROUND(SUM($U$11:$U29)+$U$7,2),$U$7*2,$U$7)),"")</f>
        <v/>
      </c>
      <c r="V30" s="3" t="str">
        <f>IF($L30&lt;&gt;"",IF($A30="Prepago",0,IF(ROUND($H30*$U$8,2)&gt;ROUND(SUM($V$11:$V29)+$U$8,2),$U$8*2,$U$8)),"")</f>
        <v/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/>
      </c>
      <c r="AA30" s="3" t="str">
        <f>IF($L30&lt;&gt;"",IF($N30&gt;Z$11,IF($N30&lt;AA$11,$N30-Z$11,30),0)*ROUND(($O30+$X29+SUM($Z30:Z30))*$V$5/3000,2),"")</f>
        <v/>
      </c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</row>
    <row r="31" spans="5:86" x14ac:dyDescent="0.3">
      <c r="E31" s="5"/>
      <c r="F31" t="str">
        <f t="shared" si="0"/>
        <v/>
      </c>
      <c r="G31" s="5" t="str">
        <f t="shared" si="1"/>
        <v/>
      </c>
      <c r="H31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15"/>
        <v/>
      </c>
      <c r="L31" t="str">
        <f t="shared" si="5"/>
        <v/>
      </c>
      <c r="M31" s="5" t="str">
        <f t="shared" si="16"/>
        <v/>
      </c>
      <c r="N31" s="7" t="str">
        <f t="shared" si="6"/>
        <v/>
      </c>
      <c r="O31" s="3" t="str">
        <f t="shared" si="7"/>
        <v/>
      </c>
      <c r="P31" s="3" t="str">
        <f t="shared" si="8"/>
        <v/>
      </c>
      <c r="Q31" s="3" t="str">
        <f t="shared" si="9"/>
        <v/>
      </c>
      <c r="R31" s="3" t="str">
        <f t="shared" si="10"/>
        <v/>
      </c>
      <c r="S31" s="3" t="str">
        <f>IF($L31&lt;&gt;"",IF($A31="Prepago",0,IF(ROUND($H31*$U$5,2)&gt;ROUND(SUM($S$11:$S30)+$U$5,2),$U$5*2,$U$5)),"")</f>
        <v/>
      </c>
      <c r="T31" s="3" t="str">
        <f>IF($L31&lt;&gt;"",IF($A31="Prepago",0,IF(ROUND($H31*$U$6,2)&gt;ROUND(SUM($T$11:$T30)+$U$6,2),$U$6*2,$U$6)),"")</f>
        <v/>
      </c>
      <c r="U31" s="3" t="str">
        <f>IF($L31&lt;&gt;"",IF($A31="Prepago",0,IF(ROUND($H31*$U$7,2)&gt;ROUND(SUM($U$11:$U30)+$U$7,2),$U$7*2,$U$7)),"")</f>
        <v/>
      </c>
      <c r="V31" s="3" t="str">
        <f>IF($L31&lt;&gt;"",IF($A31="Prepago",0,IF(ROUND($H31*$U$8,2)&gt;ROUND(SUM($V$11:$V30)+$U$8,2),$U$8*2,$U$8)),"")</f>
        <v/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/>
      </c>
      <c r="AA31" s="3" t="str">
        <f>IF($L31&lt;&gt;"",IF($N31&gt;Z$11,IF($N31&lt;AA$11,$N31-Z$11,30),0)*ROUND(($O31+$X30+SUM($Z31:Z31))*$V$5/3000,2),"")</f>
        <v/>
      </c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</row>
    <row r="32" spans="5:86" x14ac:dyDescent="0.3">
      <c r="E32" s="5"/>
      <c r="F32" t="str">
        <f t="shared" si="0"/>
        <v/>
      </c>
      <c r="G32" s="5" t="str">
        <f t="shared" si="1"/>
        <v/>
      </c>
      <c r="H32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15"/>
        <v/>
      </c>
      <c r="L32" t="str">
        <f t="shared" si="5"/>
        <v/>
      </c>
      <c r="M32" s="5" t="str">
        <f t="shared" si="16"/>
        <v/>
      </c>
      <c r="N32" s="7" t="str">
        <f t="shared" si="6"/>
        <v/>
      </c>
      <c r="O32" s="3" t="str">
        <f t="shared" si="7"/>
        <v/>
      </c>
      <c r="P32" s="3" t="str">
        <f t="shared" si="8"/>
        <v/>
      </c>
      <c r="Q32" s="3" t="str">
        <f t="shared" si="9"/>
        <v/>
      </c>
      <c r="R32" s="3" t="str">
        <f t="shared" si="10"/>
        <v/>
      </c>
      <c r="S32" s="3" t="str">
        <f>IF($L32&lt;&gt;"",IF($A32="Prepago",0,IF(ROUND($H32*$U$5,2)&gt;ROUND(SUM($S$11:$S31)+$U$5,2),$U$5*2,$U$5)),"")</f>
        <v/>
      </c>
      <c r="T32" s="3" t="str">
        <f>IF($L32&lt;&gt;"",IF($A32="Prepago",0,IF(ROUND($H32*$U$6,2)&gt;ROUND(SUM($T$11:$T31)+$U$6,2),$U$6*2,$U$6)),"")</f>
        <v/>
      </c>
      <c r="U32" s="3" t="str">
        <f>IF($L32&lt;&gt;"",IF($A32="Prepago",0,IF(ROUND($H32*$U$7,2)&gt;ROUND(SUM($U$11:$U31)+$U$7,2),$U$7*2,$U$7)),"")</f>
        <v/>
      </c>
      <c r="V32" s="3" t="str">
        <f>IF($L32&lt;&gt;"",IF($A32="Prepago",0,IF(ROUND($H32*$U$8,2)&gt;ROUND(SUM($V$11:$V31)+$U$8,2),$U$8*2,$U$8)),"")</f>
        <v/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>IF($L32&lt;&gt;"",IF($N32&gt;Z$11,IF($N32&lt;AA$11,$N32-Z$11,30),0)*ROUND(($O32+$X31+SUM($Z32:Z32))*$V$5/3000,2),"")</f>
        <v/>
      </c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</row>
    <row r="33" spans="5:86" x14ac:dyDescent="0.3">
      <c r="E33" s="5"/>
      <c r="F33" t="str">
        <f t="shared" si="0"/>
        <v/>
      </c>
      <c r="G33" s="5" t="str">
        <f t="shared" si="1"/>
        <v/>
      </c>
      <c r="H33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15"/>
        <v/>
      </c>
      <c r="L33" t="str">
        <f t="shared" si="5"/>
        <v/>
      </c>
      <c r="M33" s="5" t="str">
        <f t="shared" si="16"/>
        <v/>
      </c>
      <c r="N33" s="7" t="str">
        <f t="shared" si="6"/>
        <v/>
      </c>
      <c r="O33" s="3" t="str">
        <f t="shared" si="7"/>
        <v/>
      </c>
      <c r="P33" s="3" t="str">
        <f t="shared" si="8"/>
        <v/>
      </c>
      <c r="Q33" s="3" t="str">
        <f t="shared" si="9"/>
        <v/>
      </c>
      <c r="R33" s="3" t="str">
        <f t="shared" si="10"/>
        <v/>
      </c>
      <c r="S33" s="3" t="str">
        <f>IF($L33&lt;&gt;"",IF($A33="Prepago",0,IF(ROUND($H33*$U$5,2)&gt;ROUND(SUM($S$11:$S32)+$U$5,2),$U$5*2,$U$5)),"")</f>
        <v/>
      </c>
      <c r="T33" s="3" t="str">
        <f>IF($L33&lt;&gt;"",IF($A33="Prepago",0,IF(ROUND($H33*$U$6,2)&gt;ROUND(SUM($T$11:$T32)+$U$6,2),$U$6*2,$U$6)),"")</f>
        <v/>
      </c>
      <c r="U33" s="3" t="str">
        <f>IF($L33&lt;&gt;"",IF($A33="Prepago",0,IF(ROUND($H33*$U$7,2)&gt;ROUND(SUM($U$11:$U32)+$U$7,2),$U$7*2,$U$7)),"")</f>
        <v/>
      </c>
      <c r="V33" s="3" t="str">
        <f>IF($L33&lt;&gt;"",IF($A33="Prepago",0,IF(ROUND($H33*$U$8,2)&gt;ROUND(SUM($V$11:$V32)+$U$8,2),$U$8*2,$U$8)),"")</f>
        <v/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/>
      </c>
      <c r="AA33" s="3" t="str">
        <f>IF($L33&lt;&gt;"",IF($N33&gt;Z$11,IF($N33&lt;AA$11,$N33-Z$11,30),0)*ROUND(($O33+$X32+SUM($Z33:Z33))*$V$5/3000,2),"")</f>
        <v/>
      </c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</row>
    <row r="34" spans="5:86" x14ac:dyDescent="0.3">
      <c r="E34" s="5"/>
      <c r="F34" t="str">
        <f t="shared" si="0"/>
        <v/>
      </c>
      <c r="G34" s="5" t="str">
        <f t="shared" si="1"/>
        <v/>
      </c>
      <c r="H34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15"/>
        <v/>
      </c>
      <c r="L34" t="str">
        <f t="shared" si="5"/>
        <v/>
      </c>
      <c r="M34" s="5" t="str">
        <f t="shared" si="16"/>
        <v/>
      </c>
      <c r="N34" s="7" t="str">
        <f t="shared" si="6"/>
        <v/>
      </c>
      <c r="O34" s="3" t="str">
        <f t="shared" si="7"/>
        <v/>
      </c>
      <c r="P34" s="3" t="str">
        <f t="shared" si="8"/>
        <v/>
      </c>
      <c r="Q34" s="3" t="str">
        <f t="shared" si="9"/>
        <v/>
      </c>
      <c r="R34" s="3" t="str">
        <f t="shared" si="10"/>
        <v/>
      </c>
      <c r="S34" s="3" t="str">
        <f>IF($L34&lt;&gt;"",IF($A34="Prepago",0,IF(ROUND($H34*$U$5,2)&gt;ROUND(SUM($S$11:$S33)+$U$5,2),$U$5*2,$U$5)),"")</f>
        <v/>
      </c>
      <c r="T34" s="3" t="str">
        <f>IF($L34&lt;&gt;"",IF($A34="Prepago",0,IF(ROUND($H34*$U$6,2)&gt;ROUND(SUM($T$11:$T33)+$U$6,2),$U$6*2,$U$6)),"")</f>
        <v/>
      </c>
      <c r="U34" s="3" t="str">
        <f>IF($L34&lt;&gt;"",IF($A34="Prepago",0,IF(ROUND($H34*$U$7,2)&gt;ROUND(SUM($U$11:$U33)+$U$7,2),$U$7*2,$U$7)),"")</f>
        <v/>
      </c>
      <c r="V34" s="3" t="str">
        <f>IF($L34&lt;&gt;"",IF($A34="Prepago",0,IF(ROUND($H34*$U$8,2)&gt;ROUND(SUM($V$11:$V33)+$U$8,2),$U$8*2,$U$8)),"")</f>
        <v/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/>
      </c>
      <c r="AA34" s="3" t="str">
        <f>IF($L34&lt;&gt;"",IF($N34&gt;Z$11,IF($N34&lt;AA$11,$N34-Z$11,30),0)*ROUND(($O34+$X33+SUM($Z34:Z34))*$V$5/3000,2),"")</f>
        <v/>
      </c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</row>
    <row r="35" spans="5:86" x14ac:dyDescent="0.3">
      <c r="E35" s="5"/>
      <c r="F35" t="str">
        <f t="shared" si="0"/>
        <v/>
      </c>
      <c r="G35" s="5" t="str">
        <f t="shared" si="1"/>
        <v/>
      </c>
      <c r="H35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15"/>
        <v/>
      </c>
      <c r="L35" t="str">
        <f t="shared" si="5"/>
        <v/>
      </c>
      <c r="M35" s="5" t="str">
        <f t="shared" si="16"/>
        <v/>
      </c>
      <c r="N35" s="7" t="str">
        <f t="shared" si="6"/>
        <v/>
      </c>
      <c r="O35" s="3" t="str">
        <f t="shared" si="7"/>
        <v/>
      </c>
      <c r="P35" s="3" t="str">
        <f t="shared" si="8"/>
        <v/>
      </c>
      <c r="Q35" s="3" t="str">
        <f t="shared" si="9"/>
        <v/>
      </c>
      <c r="R35" s="3" t="str">
        <f t="shared" si="10"/>
        <v/>
      </c>
      <c r="S35" s="3" t="str">
        <f>IF($L35&lt;&gt;"",IF($A35="Prepago",0,IF(ROUND($H35*$U$5,2)&gt;ROUND(SUM($S$11:$S34)+$U$5,2),$U$5*2,$U$5)),"")</f>
        <v/>
      </c>
      <c r="T35" s="3" t="str">
        <f>IF($L35&lt;&gt;"",IF($A35="Prepago",0,IF(ROUND($H35*$U$6,2)&gt;ROUND(SUM($T$11:$T34)+$U$6,2),$U$6*2,$U$6)),"")</f>
        <v/>
      </c>
      <c r="U35" s="3" t="str">
        <f>IF($L35&lt;&gt;"",IF($A35="Prepago",0,IF(ROUND($H35*$U$7,2)&gt;ROUND(SUM($U$11:$U34)+$U$7,2),$U$7*2,$U$7)),"")</f>
        <v/>
      </c>
      <c r="V35" s="3" t="str">
        <f>IF($L35&lt;&gt;"",IF($A35="Prepago",0,IF(ROUND($H35*$U$8,2)&gt;ROUND(SUM($V$11:$V34)+$U$8,2),$U$8*2,$U$8)),"")</f>
        <v/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/>
      </c>
      <c r="AA35" s="3" t="str">
        <f>IF($L35&lt;&gt;"",IF($N35&gt;Z$11,IF($N35&lt;AA$11,$N35-Z$11,30),0)*ROUND(($O35+$X34+SUM($Z35:Z35))*$V$5/3000,2),"")</f>
        <v/>
      </c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5:86" x14ac:dyDescent="0.3">
      <c r="E36" s="5"/>
      <c r="F36" t="str">
        <f t="shared" si="0"/>
        <v/>
      </c>
      <c r="G36" s="5" t="str">
        <f t="shared" si="1"/>
        <v/>
      </c>
      <c r="H36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15"/>
        <v/>
      </c>
      <c r="L36" t="str">
        <f t="shared" si="5"/>
        <v/>
      </c>
      <c r="M36" s="5" t="str">
        <f t="shared" si="16"/>
        <v/>
      </c>
      <c r="N36" s="7" t="str">
        <f t="shared" si="6"/>
        <v/>
      </c>
      <c r="O36" s="3" t="str">
        <f t="shared" si="7"/>
        <v/>
      </c>
      <c r="P36" s="3" t="str">
        <f t="shared" si="8"/>
        <v/>
      </c>
      <c r="Q36" s="3" t="str">
        <f t="shared" si="9"/>
        <v/>
      </c>
      <c r="R36" s="3" t="str">
        <f t="shared" si="10"/>
        <v/>
      </c>
      <c r="S36" s="3" t="str">
        <f>IF($L36&lt;&gt;"",IF($A36="Prepago",0,IF(ROUND($H36*$U$5,2)&gt;ROUND(SUM($S$11:$S35)+$U$5,2),$U$5*2,$U$5)),"")</f>
        <v/>
      </c>
      <c r="T36" s="3" t="str">
        <f>IF($L36&lt;&gt;"",IF($A36="Prepago",0,IF(ROUND($H36*$U$6,2)&gt;ROUND(SUM($T$11:$T35)+$U$6,2),$U$6*2,$U$6)),"")</f>
        <v/>
      </c>
      <c r="U36" s="3" t="str">
        <f>IF($L36&lt;&gt;"",IF($A36="Prepago",0,IF(ROUND($H36*$U$7,2)&gt;ROUND(SUM($U$11:$U35)+$U$7,2),$U$7*2,$U$7)),"")</f>
        <v/>
      </c>
      <c r="V36" s="3" t="str">
        <f>IF($L36&lt;&gt;"",IF($A36="Prepago",0,IF(ROUND($H36*$U$8,2)&gt;ROUND(SUM($V$11:$V35)+$U$8,2),$U$8*2,$U$8)),"")</f>
        <v/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/>
      </c>
      <c r="AA36" s="3" t="str">
        <f>IF($L36&lt;&gt;"",IF($N36&gt;Z$11,IF($N36&lt;AA$11,$N36-Z$11,30),0)*ROUND(($O36+$X35+SUM($Z36:Z36))*$V$5/3000,2),"")</f>
        <v/>
      </c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5:86" x14ac:dyDescent="0.3">
      <c r="E37" s="5"/>
      <c r="F37" t="str">
        <f t="shared" si="0"/>
        <v/>
      </c>
      <c r="G37" s="5" t="str">
        <f t="shared" si="1"/>
        <v/>
      </c>
      <c r="H37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15"/>
        <v/>
      </c>
      <c r="L37" t="str">
        <f t="shared" si="5"/>
        <v/>
      </c>
      <c r="M37" s="5" t="str">
        <f t="shared" si="16"/>
        <v/>
      </c>
      <c r="N37" s="7" t="str">
        <f t="shared" si="6"/>
        <v/>
      </c>
      <c r="O37" s="3" t="str">
        <f t="shared" si="7"/>
        <v/>
      </c>
      <c r="P37" s="3" t="str">
        <f t="shared" si="8"/>
        <v/>
      </c>
      <c r="Q37" s="3" t="str">
        <f t="shared" si="9"/>
        <v/>
      </c>
      <c r="R37" s="3" t="str">
        <f t="shared" si="10"/>
        <v/>
      </c>
      <c r="S37" s="3" t="str">
        <f>IF($L37&lt;&gt;"",IF($A37="Prepago",0,IF(ROUND($H37*$U$5,2)&gt;ROUND(SUM($S$11:$S36)+$U$5,2),$U$5*2,$U$5)),"")</f>
        <v/>
      </c>
      <c r="T37" s="3" t="str">
        <f>IF($L37&lt;&gt;"",IF($A37="Prepago",0,IF(ROUND($H37*$U$6,2)&gt;ROUND(SUM($T$11:$T36)+$U$6,2),$U$6*2,$U$6)),"")</f>
        <v/>
      </c>
      <c r="U37" s="3" t="str">
        <f>IF($L37&lt;&gt;"",IF($A37="Prepago",0,IF(ROUND($H37*$U$7,2)&gt;ROUND(SUM($U$11:$U36)+$U$7,2),$U$7*2,$U$7)),"")</f>
        <v/>
      </c>
      <c r="V37" s="3" t="str">
        <f>IF($L37&lt;&gt;"",IF($A37="Prepago",0,IF(ROUND($H37*$U$8,2)&gt;ROUND(SUM($V$11:$V36)+$U$8,2),$U$8*2,$U$8)),"")</f>
        <v/>
      </c>
      <c r="W37" s="3" t="str">
        <f>IF($L37&lt;&gt;"",$O37-$Q37,"")</f>
        <v/>
      </c>
      <c r="X37" s="3" t="str">
        <f t="shared" si="12"/>
        <v/>
      </c>
      <c r="Y37" s="3" t="str">
        <f t="shared" si="13"/>
        <v/>
      </c>
      <c r="Z37" s="3" t="str">
        <f t="shared" si="14"/>
        <v/>
      </c>
      <c r="AA37" s="3" t="str">
        <f>IF($L37&lt;&gt;"",IF($N37&gt;Z$11,IF($N37&lt;AA$11,$N37-Z$11,30),0)*ROUND(($O37+$X36+SUM($Z37:Z37))*$V$5/3000,2),"")</f>
        <v/>
      </c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5:86" x14ac:dyDescent="0.3">
      <c r="E38" s="5"/>
      <c r="F38" t="str">
        <f t="shared" si="0"/>
        <v/>
      </c>
      <c r="G38" s="5" t="str">
        <f t="shared" si="1"/>
        <v/>
      </c>
      <c r="H38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15"/>
        <v/>
      </c>
      <c r="L38" t="str">
        <f t="shared" si="5"/>
        <v/>
      </c>
      <c r="M38" s="5" t="str">
        <f t="shared" si="16"/>
        <v/>
      </c>
      <c r="N38" s="7" t="str">
        <f t="shared" si="6"/>
        <v/>
      </c>
      <c r="O38" s="3" t="str">
        <f t="shared" si="7"/>
        <v/>
      </c>
      <c r="P38" s="3" t="str">
        <f t="shared" si="8"/>
        <v/>
      </c>
      <c r="Q38" s="3" t="str">
        <f t="shared" si="9"/>
        <v/>
      </c>
      <c r="R38" s="3" t="str">
        <f t="shared" si="10"/>
        <v/>
      </c>
      <c r="S38" s="3" t="str">
        <f>IF($L38&lt;&gt;"",IF($A38="Prepago",0,IF(ROUND($H38*$U$5,2)&gt;ROUND(SUM($S$11:$S37)+$U$5,2),$U$5*2,$U$5)),"")</f>
        <v/>
      </c>
      <c r="T38" s="3" t="str">
        <f>IF($L38&lt;&gt;"",IF($A38="Prepago",0,IF(ROUND($H38*$U$6,2)&gt;ROUND(SUM($T$11:$T37)+$U$6,2),$U$6*2,$U$6)),"")</f>
        <v/>
      </c>
      <c r="U38" s="3" t="str">
        <f>IF($L38&lt;&gt;"",IF($A38="Prepago",0,IF(ROUND($H38*$U$7,2)&gt;ROUND(SUM($U$11:$U37)+$U$7,2),$U$7*2,$U$7)),"")</f>
        <v/>
      </c>
      <c r="V38" s="3" t="str">
        <f>IF($L38&lt;&gt;"",IF($A38="Prepago",0,IF(ROUND($H38*$U$8,2)&gt;ROUND(SUM($V$11:$V37)+$U$8,2),$U$8*2,$U$8)),"")</f>
        <v/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/>
      </c>
      <c r="AA38" s="3" t="str">
        <f>IF($L38&lt;&gt;"",IF($N38&gt;Z$11,IF($N38&lt;AA$11,$N38-Z$11,30),0)*ROUND(($O38+$X37+SUM($Z38:Z38))*$V$5/3000,2),"")</f>
        <v/>
      </c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5:86" x14ac:dyDescent="0.3">
      <c r="E39" s="5"/>
      <c r="F39" t="str">
        <f t="shared" si="0"/>
        <v/>
      </c>
      <c r="G39" s="5" t="str">
        <f t="shared" si="1"/>
        <v/>
      </c>
      <c r="H39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15"/>
        <v/>
      </c>
      <c r="L39" t="str">
        <f t="shared" si="5"/>
        <v/>
      </c>
      <c r="M39" s="5" t="str">
        <f t="shared" si="16"/>
        <v/>
      </c>
      <c r="N39" s="7" t="str">
        <f t="shared" si="6"/>
        <v/>
      </c>
      <c r="O39" s="3" t="str">
        <f t="shared" si="7"/>
        <v/>
      </c>
      <c r="P39" s="3" t="str">
        <f t="shared" si="8"/>
        <v/>
      </c>
      <c r="Q39" s="3" t="str">
        <f t="shared" si="9"/>
        <v/>
      </c>
      <c r="R39" s="3" t="str">
        <f t="shared" si="10"/>
        <v/>
      </c>
      <c r="S39" s="3" t="str">
        <f>IF($L39&lt;&gt;"",IF($A39="Prepago",0,IF(ROUND($H39*$U$5,2)&gt;ROUND(SUM($S$11:$S38)+$U$5,2),$U$5*2,$U$5)),"")</f>
        <v/>
      </c>
      <c r="T39" s="3" t="str">
        <f>IF($L39&lt;&gt;"",IF($A39="Prepago",0,IF(ROUND($H39*$U$6,2)&gt;ROUND(SUM($T$11:$T38)+$U$6,2),$U$6*2,$U$6)),"")</f>
        <v/>
      </c>
      <c r="U39" s="3" t="str">
        <f>IF($L39&lt;&gt;"",IF($A39="Prepago",0,IF(ROUND($H39*$U$7,2)&gt;ROUND(SUM($U$11:$U38)+$U$7,2),$U$7*2,$U$7)),"")</f>
        <v/>
      </c>
      <c r="V39" s="3" t="str">
        <f>IF($L39&lt;&gt;"",IF($A39="Prepago",0,IF(ROUND($H39*$U$8,2)&gt;ROUND(SUM($V$11:$V38)+$U$8,2),$U$8*2,$U$8)),"")</f>
        <v/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/>
      </c>
      <c r="AA39" s="3" t="str">
        <f>IF($L39&lt;&gt;"",IF($N39&gt;Z$11,IF($N39&lt;AA$11,$N39-Z$11,30),0)*ROUND(($O39+$X38+SUM($Z39:Z39))*$V$5/3000,2),"")</f>
        <v/>
      </c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5:86" x14ac:dyDescent="0.3">
      <c r="E40" s="5"/>
      <c r="F40" t="str">
        <f t="shared" si="0"/>
        <v/>
      </c>
      <c r="G40" s="5" t="str">
        <f t="shared" si="1"/>
        <v/>
      </c>
      <c r="H40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15"/>
        <v/>
      </c>
      <c r="L40" t="str">
        <f t="shared" si="5"/>
        <v/>
      </c>
      <c r="M40" s="5" t="str">
        <f t="shared" si="16"/>
        <v/>
      </c>
      <c r="N40" s="7" t="str">
        <f t="shared" si="6"/>
        <v/>
      </c>
      <c r="O40" s="3" t="str">
        <f t="shared" si="7"/>
        <v/>
      </c>
      <c r="P40" s="3" t="str">
        <f t="shared" si="8"/>
        <v/>
      </c>
      <c r="Q40" s="3" t="str">
        <f t="shared" si="9"/>
        <v/>
      </c>
      <c r="R40" s="3" t="str">
        <f t="shared" si="10"/>
        <v/>
      </c>
      <c r="S40" s="3" t="str">
        <f>IF($L40&lt;&gt;"",IF($A40="Prepago",0,IF(ROUND($H40*$U$5,2)&gt;ROUND(SUM($S$11:$S39)+$U$5,2),$U$5*2,$U$5)),"")</f>
        <v/>
      </c>
      <c r="T40" s="3" t="str">
        <f>IF($L40&lt;&gt;"",IF($A40="Prepago",0,IF(ROUND($H40*$U$6,2)&gt;ROUND(SUM($T$11:$T39)+$U$6,2),$U$6*2,$U$6)),"")</f>
        <v/>
      </c>
      <c r="U40" s="3" t="str">
        <f>IF($L40&lt;&gt;"",IF($A40="Prepago",0,IF(ROUND($H40*$U$7,2)&gt;ROUND(SUM($U$11:$U39)+$U$7,2),$U$7*2,$U$7)),"")</f>
        <v/>
      </c>
      <c r="V40" s="3" t="str">
        <f>IF($L40&lt;&gt;"",IF($A40="Prepago",0,IF(ROUND($H40*$U$8,2)&gt;ROUND(SUM($V$11:$V39)+$U$8,2),$U$8*2,$U$8)),"")</f>
        <v/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/>
      </c>
      <c r="AA40" s="3" t="str">
        <f>IF($L40&lt;&gt;"",IF($N40&gt;Z$11,IF($N40&lt;AA$11,$N40-Z$11,30),0)*ROUND(($O40+$X39+SUM($Z40:Z40))*$V$5/3000,2),"")</f>
        <v/>
      </c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5:86" x14ac:dyDescent="0.3">
      <c r="E41" s="5"/>
      <c r="F41" t="str">
        <f t="shared" si="0"/>
        <v/>
      </c>
      <c r="G41" s="5" t="str">
        <f t="shared" si="1"/>
        <v/>
      </c>
      <c r="H41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15"/>
        <v/>
      </c>
      <c r="L41" t="str">
        <f t="shared" si="5"/>
        <v/>
      </c>
      <c r="M41" s="5" t="str">
        <f t="shared" si="16"/>
        <v/>
      </c>
      <c r="N41" s="7" t="str">
        <f t="shared" si="6"/>
        <v/>
      </c>
      <c r="O41" s="3" t="str">
        <f t="shared" si="7"/>
        <v/>
      </c>
      <c r="P41" s="3" t="str">
        <f t="shared" si="8"/>
        <v/>
      </c>
      <c r="Q41" s="3" t="str">
        <f t="shared" si="9"/>
        <v/>
      </c>
      <c r="R41" s="3" t="str">
        <f t="shared" si="10"/>
        <v/>
      </c>
      <c r="S41" s="3" t="str">
        <f>IF($L41&lt;&gt;"",IF($A41="Prepago",0,IF(ROUND($H41*$U$5,2)&gt;ROUND(SUM($S$11:$S40)+$U$5,2),$U$5*2,$U$5)),"")</f>
        <v/>
      </c>
      <c r="T41" s="3" t="str">
        <f>IF($L41&lt;&gt;"",IF($A41="Prepago",0,IF(ROUND($H41*$U$6,2)&gt;ROUND(SUM($T$11:$T40)+$U$6,2),$U$6*2,$U$6)),"")</f>
        <v/>
      </c>
      <c r="U41" s="3" t="str">
        <f>IF($L41&lt;&gt;"",IF($A41="Prepago",0,IF(ROUND($H41*$U$7,2)&gt;ROUND(SUM($U$11:$U40)+$U$7,2),$U$7*2,$U$7)),"")</f>
        <v/>
      </c>
      <c r="V41" s="3" t="str">
        <f>IF($L41&lt;&gt;"",IF($A41="Prepago",0,IF(ROUND($H41*$U$8,2)&gt;ROUND(SUM($V$11:$V40)+$U$8,2),$U$8*2,$U$8)),"")</f>
        <v/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/>
      </c>
      <c r="AA41" s="3" t="str">
        <f>IF($L41&lt;&gt;"",IF($N41&gt;Z$11,IF($N41&lt;AA$11,$N41-Z$11,30),0)*ROUND(($O41+$X40+SUM($Z41:Z41))*$V$5/3000,2),"")</f>
        <v/>
      </c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5:86" x14ac:dyDescent="0.3">
      <c r="E42" s="5"/>
      <c r="F42" t="str">
        <f t="shared" si="0"/>
        <v/>
      </c>
      <c r="G42" s="5" t="str">
        <f t="shared" si="1"/>
        <v/>
      </c>
      <c r="H42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15"/>
        <v/>
      </c>
      <c r="L42" t="str">
        <f t="shared" si="5"/>
        <v/>
      </c>
      <c r="M42" s="5" t="str">
        <f t="shared" si="16"/>
        <v/>
      </c>
      <c r="N42" s="7" t="str">
        <f t="shared" si="6"/>
        <v/>
      </c>
      <c r="O42" s="3" t="str">
        <f t="shared" si="7"/>
        <v/>
      </c>
      <c r="P42" s="3" t="str">
        <f t="shared" si="8"/>
        <v/>
      </c>
      <c r="Q42" s="3" t="str">
        <f t="shared" si="9"/>
        <v/>
      </c>
      <c r="R42" s="3" t="str">
        <f t="shared" si="10"/>
        <v/>
      </c>
      <c r="S42" s="3" t="str">
        <f>IF($L42&lt;&gt;"",IF($A42="Prepago",0,IF(ROUND($H42*$U$5,2)&gt;ROUND(SUM($S$11:$S41)+$U$5,2),$U$5*2,$U$5)),"")</f>
        <v/>
      </c>
      <c r="T42" s="3" t="str">
        <f>IF($L42&lt;&gt;"",IF($A42="Prepago",0,IF(ROUND($H42*$U$6,2)&gt;ROUND(SUM($T$11:$T41)+$U$6,2),$U$6*2,$U$6)),"")</f>
        <v/>
      </c>
      <c r="U42" s="3" t="str">
        <f>IF($L42&lt;&gt;"",IF($A42="Prepago",0,IF(ROUND($H42*$U$7,2)&gt;ROUND(SUM($U$11:$U41)+$U$7,2),$U$7*2,$U$7)),"")</f>
        <v/>
      </c>
      <c r="V42" s="3" t="str">
        <f>IF($L42&lt;&gt;"",IF($A42="Prepago",0,IF(ROUND($H42*$U$8,2)&gt;ROUND(SUM($V$11:$V41)+$U$8,2),$U$8*2,$U$8)),"")</f>
        <v/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/>
      </c>
      <c r="AA42" s="3" t="str">
        <f>IF($L42&lt;&gt;"",IF($N42&gt;Z$11,IF($N42&lt;AA$11,$N42-Z$11,30),0)*ROUND(($O42+$X41+SUM($Z42:Z42))*$V$5/3000,2),"")</f>
        <v/>
      </c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5:86" x14ac:dyDescent="0.3">
      <c r="E43" s="5"/>
      <c r="F43" t="str">
        <f t="shared" si="0"/>
        <v/>
      </c>
      <c r="G43" s="5" t="str">
        <f t="shared" si="1"/>
        <v/>
      </c>
      <c r="H43" t="str">
        <f t="shared" si="2"/>
        <v/>
      </c>
      <c r="I43" t="str">
        <f t="shared" si="3"/>
        <v/>
      </c>
      <c r="J43" t="str">
        <f t="shared" si="4"/>
        <v/>
      </c>
      <c r="K43" t="str">
        <f t="shared" si="15"/>
        <v/>
      </c>
      <c r="L43" t="str">
        <f t="shared" si="5"/>
        <v/>
      </c>
      <c r="M43" s="5" t="str">
        <f t="shared" si="16"/>
        <v/>
      </c>
      <c r="N43" s="7" t="str">
        <f t="shared" si="6"/>
        <v/>
      </c>
      <c r="O43" s="3" t="str">
        <f t="shared" si="7"/>
        <v/>
      </c>
      <c r="P43" s="3" t="str">
        <f t="shared" si="8"/>
        <v/>
      </c>
      <c r="Q43" s="3" t="str">
        <f t="shared" si="9"/>
        <v/>
      </c>
      <c r="R43" s="3" t="str">
        <f t="shared" si="10"/>
        <v/>
      </c>
      <c r="S43" s="3" t="str">
        <f>IF($L43&lt;&gt;"",IF($A43="Prepago",0,IF(ROUND($H43*$U$5,2)&gt;ROUND(SUM($S$11:$S42)+$U$5,2),$U$5*2,$U$5)),"")</f>
        <v/>
      </c>
      <c r="T43" s="3" t="str">
        <f>IF($L43&lt;&gt;"",IF($A43="Prepago",0,IF(ROUND($H43*$U$6,2)&gt;ROUND(SUM($T$11:$T42)+$U$6,2),$U$6*2,$U$6)),"")</f>
        <v/>
      </c>
      <c r="U43" s="3" t="str">
        <f>IF($L43&lt;&gt;"",IF($A43="Prepago",0,IF(ROUND($H43*$U$7,2)&gt;ROUND(SUM($U$11:$U42)+$U$7,2),$U$7*2,$U$7)),"")</f>
        <v/>
      </c>
      <c r="V43" s="3" t="str">
        <f>IF($L43&lt;&gt;"",IF($A43="Prepago",0,IF(ROUND($H43*$U$8,2)&gt;ROUND(SUM($V$11:$V42)+$U$8,2),$U$8*2,$U$8)),"")</f>
        <v/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/>
      </c>
      <c r="AA43" s="3" t="str">
        <f>IF($L43&lt;&gt;"",IF($N43&gt;Z$11,IF($N43&lt;AA$11,$N43-Z$11,30),0)*ROUND(($O43+$X42+SUM($Z43:Z43))*$V$5/3000,2),"")</f>
        <v/>
      </c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5:86" x14ac:dyDescent="0.3">
      <c r="E44" s="5"/>
      <c r="F44" t="str">
        <f t="shared" ref="F44:F75" si="17">IF($L44&lt;&gt;"",TEXT(M44,"DDD"),"")</f>
        <v/>
      </c>
      <c r="G44" s="5" t="str">
        <f t="shared" ref="G44:G75" si="18">IF($L44&lt;&gt;"",EOMONTH(DATE(YEAR($M$11),MONTH($M$11)-IF(DAY($N$6)&lt;$N$7,1,0),DAY($M$11)),($H44*$A$1)+IF(MESADICIONAL=TRUE,1,0)),"")</f>
        <v/>
      </c>
      <c r="H44" t="str">
        <f t="shared" ref="H44:H75" si="19">IF($L44&lt;&gt;"",IF($A44="Prepago",$H43,$H43+1)+B44,"")</f>
        <v/>
      </c>
      <c r="I44" t="str">
        <f t="shared" si="3"/>
        <v/>
      </c>
      <c r="J44" t="str">
        <f t="shared" ref="J44:J76" si="20">IF($L44&lt;&gt;"",IF(OR(A44&lt;&gt;"",C44&lt;&gt;""),1,0),"")</f>
        <v/>
      </c>
      <c r="K44" t="str">
        <f t="shared" si="15"/>
        <v/>
      </c>
      <c r="L44" t="str">
        <f t="shared" ref="L44:L107" si="21">IF($L43&lt;NCUOTAS+CUOTAADICIONAL+NPREPAGO,$L43+1,"")</f>
        <v/>
      </c>
      <c r="M44" s="5" t="str">
        <f t="shared" si="16"/>
        <v/>
      </c>
      <c r="N44" s="7" t="str">
        <f t="shared" ref="N44:N107" si="22">IF($L44&lt;&gt;"",$M44-$M43,"")</f>
        <v/>
      </c>
      <c r="O44" s="3" t="str">
        <f t="shared" si="7"/>
        <v/>
      </c>
      <c r="P44" s="3" t="str">
        <f t="shared" si="8"/>
        <v/>
      </c>
      <c r="Q44" s="3" t="str">
        <f t="shared" si="9"/>
        <v/>
      </c>
      <c r="R44" s="3" t="str">
        <f t="shared" si="10"/>
        <v/>
      </c>
      <c r="S44" s="3" t="str">
        <f>IF($L44&lt;&gt;"",IF($A44="Prepago",0,IF(ROUND($H44*$U$5,2)&gt;ROUND(SUM($S$11:$S43)+$U$5,2),$U$5*2,$U$5)),"")</f>
        <v/>
      </c>
      <c r="T44" s="3" t="str">
        <f>IF($L44&lt;&gt;"",IF($A44="Prepago",0,IF(ROUND($H44*$U$6,2)&gt;ROUND(SUM($T$11:$T43)+$U$6,2),$U$6*2,$U$6)),"")</f>
        <v/>
      </c>
      <c r="U44" s="3" t="str">
        <f>IF($L44&lt;&gt;"",IF($A44="Prepago",0,IF(ROUND($H44*$U$7,2)&gt;ROUND(SUM($U$11:$U43)+$U$7,2),$U$7*2,$U$7)),"")</f>
        <v/>
      </c>
      <c r="V44" s="3" t="str">
        <f>IF($L44&lt;&gt;"",IF($A44="Prepago",0,IF(ROUND($H44*$U$8,2)&gt;ROUND(SUM($V$11:$V43)+$U$8,2),$U$8*2,$U$8)),"")</f>
        <v/>
      </c>
      <c r="W44" s="3" t="str">
        <f t="shared" ref="W44:W107" si="23">IF($L44&lt;&gt;"",$O44-$Q44,"")</f>
        <v/>
      </c>
      <c r="X44" s="3" t="str">
        <f t="shared" si="12"/>
        <v/>
      </c>
      <c r="Y44" s="3" t="str">
        <f t="shared" si="13"/>
        <v/>
      </c>
      <c r="Z44" s="3" t="str">
        <f t="shared" si="14"/>
        <v/>
      </c>
      <c r="AA44" s="3" t="str">
        <f>IF($L44&lt;&gt;"",IF($N44&gt;Z$11,IF($N44&lt;AA$11,$N44-Z$11,30),0)*ROUND(($O44+$X43+SUM($Z44:Z44))*$V$5/3000,2),"")</f>
        <v/>
      </c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5:86" x14ac:dyDescent="0.3">
      <c r="E45" s="5"/>
      <c r="F45" t="str">
        <f t="shared" si="17"/>
        <v/>
      </c>
      <c r="G45" s="5" t="str">
        <f t="shared" si="18"/>
        <v/>
      </c>
      <c r="H45" t="str">
        <f t="shared" si="19"/>
        <v/>
      </c>
      <c r="I45" t="str">
        <f t="shared" si="3"/>
        <v/>
      </c>
      <c r="J45" t="str">
        <f t="shared" si="20"/>
        <v/>
      </c>
      <c r="K45" t="str">
        <f t="shared" si="15"/>
        <v/>
      </c>
      <c r="L45" t="str">
        <f t="shared" si="21"/>
        <v/>
      </c>
      <c r="M45" s="5" t="str">
        <f t="shared" si="16"/>
        <v/>
      </c>
      <c r="N45" s="7" t="str">
        <f t="shared" si="22"/>
        <v/>
      </c>
      <c r="O45" s="3" t="str">
        <f t="shared" si="7"/>
        <v/>
      </c>
      <c r="P45" s="3" t="str">
        <f t="shared" si="8"/>
        <v/>
      </c>
      <c r="Q45" s="3" t="str">
        <f t="shared" si="9"/>
        <v/>
      </c>
      <c r="R45" s="3" t="str">
        <f t="shared" si="10"/>
        <v/>
      </c>
      <c r="S45" s="3" t="str">
        <f>IF($L45&lt;&gt;"",IF($A45="Prepago",0,IF(ROUND($H45*$U$5,2)&gt;ROUND(SUM($S$11:$S44)+$U$5,2),$U$5*2,$U$5)),"")</f>
        <v/>
      </c>
      <c r="T45" s="3" t="str">
        <f>IF($L45&lt;&gt;"",IF($A45="Prepago",0,IF(ROUND($H45*$U$6,2)&gt;ROUND(SUM($T$11:$T44)+$U$6,2),$U$6*2,$U$6)),"")</f>
        <v/>
      </c>
      <c r="U45" s="3" t="str">
        <f>IF($L45&lt;&gt;"",IF($A45="Prepago",0,IF(ROUND($H45*$U$7,2)&gt;ROUND(SUM($U$11:$U44)+$U$7,2),$U$7*2,$U$7)),"")</f>
        <v/>
      </c>
      <c r="V45" s="3" t="str">
        <f>IF($L45&lt;&gt;"",IF($A45="Prepago",0,IF(ROUND($H45*$U$8,2)&gt;ROUND(SUM($V$11:$V44)+$U$8,2),$U$8*2,$U$8)),"")</f>
        <v/>
      </c>
      <c r="W45" s="3" t="str">
        <f t="shared" si="23"/>
        <v/>
      </c>
      <c r="X45" s="3" t="str">
        <f t="shared" si="12"/>
        <v/>
      </c>
      <c r="Y45" s="3" t="str">
        <f t="shared" si="13"/>
        <v/>
      </c>
      <c r="Z45" s="3" t="str">
        <f t="shared" si="14"/>
        <v/>
      </c>
      <c r="AA45" s="3" t="str">
        <f>IF($L45&lt;&gt;"",IF($N45&gt;Z$11,IF($N45&lt;AA$11,$N45-Z$11,30),0)*ROUND(($O45+$X44+SUM($Z45:Z45))*$V$5/3000,2),"")</f>
        <v/>
      </c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5:86" x14ac:dyDescent="0.3">
      <c r="E46" s="5"/>
      <c r="F46" t="str">
        <f t="shared" si="17"/>
        <v/>
      </c>
      <c r="G46" s="5" t="str">
        <f t="shared" si="18"/>
        <v/>
      </c>
      <c r="H46" t="str">
        <f t="shared" si="19"/>
        <v/>
      </c>
      <c r="I46" t="str">
        <f t="shared" si="3"/>
        <v/>
      </c>
      <c r="J46" t="str">
        <f t="shared" si="20"/>
        <v/>
      </c>
      <c r="K46" t="str">
        <f t="shared" si="15"/>
        <v/>
      </c>
      <c r="L46" t="str">
        <f t="shared" si="21"/>
        <v/>
      </c>
      <c r="M46" s="5" t="str">
        <f t="shared" si="16"/>
        <v/>
      </c>
      <c r="N46" s="7" t="str">
        <f t="shared" si="22"/>
        <v/>
      </c>
      <c r="O46" s="3" t="str">
        <f t="shared" si="7"/>
        <v/>
      </c>
      <c r="P46" s="3" t="str">
        <f t="shared" si="8"/>
        <v/>
      </c>
      <c r="Q46" s="3" t="str">
        <f t="shared" si="9"/>
        <v/>
      </c>
      <c r="R46" s="3" t="str">
        <f t="shared" si="10"/>
        <v/>
      </c>
      <c r="S46" s="3" t="str">
        <f>IF($L46&lt;&gt;"",IF($A46="Prepago",0,IF(ROUND($H46*$U$5,2)&gt;ROUND(SUM($S$11:$S45)+$U$5,2),$U$5*2,$U$5)),"")</f>
        <v/>
      </c>
      <c r="T46" s="3" t="str">
        <f>IF($L46&lt;&gt;"",IF($A46="Prepago",0,IF(ROUND($H46*$U$6,2)&gt;ROUND(SUM($T$11:$T45)+$U$6,2),$U$6*2,$U$6)),"")</f>
        <v/>
      </c>
      <c r="U46" s="3" t="str">
        <f>IF($L46&lt;&gt;"",IF($A46="Prepago",0,IF(ROUND($H46*$U$7,2)&gt;ROUND(SUM($U$11:$U45)+$U$7,2),$U$7*2,$U$7)),"")</f>
        <v/>
      </c>
      <c r="V46" s="3" t="str">
        <f>IF($L46&lt;&gt;"",IF($A46="Prepago",0,IF(ROUND($H46*$U$8,2)&gt;ROUND(SUM($V$11:$V45)+$U$8,2),$U$8*2,$U$8)),"")</f>
        <v/>
      </c>
      <c r="W46" s="3" t="str">
        <f t="shared" si="23"/>
        <v/>
      </c>
      <c r="X46" s="3" t="str">
        <f t="shared" si="12"/>
        <v/>
      </c>
      <c r="Y46" s="3" t="str">
        <f t="shared" si="13"/>
        <v/>
      </c>
      <c r="Z46" s="3" t="str">
        <f t="shared" si="14"/>
        <v/>
      </c>
      <c r="AA46" s="3" t="str">
        <f>IF($L46&lt;&gt;"",IF($N46&gt;Z$11,IF($N46&lt;AA$11,$N46-Z$11,30),0)*ROUND(($O46+$X45+SUM($Z46:Z46))*$V$5/3000,2),"")</f>
        <v/>
      </c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5:86" x14ac:dyDescent="0.3">
      <c r="E47" s="5"/>
      <c r="F47" t="str">
        <f t="shared" si="17"/>
        <v/>
      </c>
      <c r="G47" s="5" t="str">
        <f t="shared" si="18"/>
        <v/>
      </c>
      <c r="H47" t="str">
        <f t="shared" si="19"/>
        <v/>
      </c>
      <c r="I47" t="str">
        <f t="shared" si="3"/>
        <v/>
      </c>
      <c r="J47" t="str">
        <f t="shared" si="20"/>
        <v/>
      </c>
      <c r="K47" t="str">
        <f t="shared" si="15"/>
        <v/>
      </c>
      <c r="L47" t="str">
        <f t="shared" si="21"/>
        <v/>
      </c>
      <c r="M47" s="5" t="str">
        <f t="shared" si="16"/>
        <v/>
      </c>
      <c r="N47" s="7" t="str">
        <f t="shared" si="22"/>
        <v/>
      </c>
      <c r="O47" s="3" t="str">
        <f t="shared" si="7"/>
        <v/>
      </c>
      <c r="P47" s="3" t="str">
        <f t="shared" si="8"/>
        <v/>
      </c>
      <c r="Q47" s="3" t="str">
        <f t="shared" si="9"/>
        <v/>
      </c>
      <c r="R47" s="3" t="str">
        <f t="shared" si="10"/>
        <v/>
      </c>
      <c r="S47" s="3" t="str">
        <f>IF($L47&lt;&gt;"",IF($A47="Prepago",0,IF(ROUND($H47*$U$5,2)&gt;ROUND(SUM($S$11:$S46)+$U$5,2),$U$5*2,$U$5)),"")</f>
        <v/>
      </c>
      <c r="T47" s="3" t="str">
        <f>IF($L47&lt;&gt;"",IF($A47="Prepago",0,IF(ROUND($H47*$U$6,2)&gt;ROUND(SUM($T$11:$T46)+$U$6,2),$U$6*2,$U$6)),"")</f>
        <v/>
      </c>
      <c r="U47" s="3" t="str">
        <f>IF($L47&lt;&gt;"",IF($A47="Prepago",0,IF(ROUND($H47*$U$7,2)&gt;ROUND(SUM($U$11:$U46)+$U$7,2),$U$7*2,$U$7)),"")</f>
        <v/>
      </c>
      <c r="V47" s="3" t="str">
        <f>IF($L47&lt;&gt;"",IF($A47="Prepago",0,IF(ROUND($H47*$U$8,2)&gt;ROUND(SUM($V$11:$V46)+$U$8,2),$U$8*2,$U$8)),"")</f>
        <v/>
      </c>
      <c r="W47" s="3" t="str">
        <f>IF($L47&lt;&gt;"",$O47-$Q47,"")</f>
        <v/>
      </c>
      <c r="X47" s="3" t="str">
        <f t="shared" si="12"/>
        <v/>
      </c>
      <c r="Y47" s="3" t="str">
        <f t="shared" si="13"/>
        <v/>
      </c>
      <c r="Z47" s="3" t="str">
        <f t="shared" si="14"/>
        <v/>
      </c>
      <c r="AA47" s="3" t="str">
        <f>IF($L47&lt;&gt;"",IF($N47&gt;Z$11,IF($N47&lt;AA$11,$N47-Z$11,30),0)*ROUND(($O47+$X46+SUM($Z47:Z47))*$V$5/3000,2),"")</f>
        <v/>
      </c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5:86" x14ac:dyDescent="0.3">
      <c r="E48" s="5"/>
      <c r="F48" t="str">
        <f t="shared" si="17"/>
        <v/>
      </c>
      <c r="G48" s="5" t="str">
        <f t="shared" si="18"/>
        <v/>
      </c>
      <c r="H48" t="str">
        <f t="shared" si="19"/>
        <v/>
      </c>
      <c r="I48" t="str">
        <f t="shared" si="3"/>
        <v/>
      </c>
      <c r="J48" t="str">
        <f t="shared" si="20"/>
        <v/>
      </c>
      <c r="K48" t="str">
        <f t="shared" si="15"/>
        <v/>
      </c>
      <c r="L48" t="str">
        <f t="shared" si="21"/>
        <v/>
      </c>
      <c r="M48" s="5" t="str">
        <f t="shared" si="16"/>
        <v/>
      </c>
      <c r="N48" s="7" t="str">
        <f t="shared" si="22"/>
        <v/>
      </c>
      <c r="O48" s="3" t="str">
        <f t="shared" si="7"/>
        <v/>
      </c>
      <c r="P48" s="3" t="str">
        <f t="shared" si="8"/>
        <v/>
      </c>
      <c r="Q48" s="3" t="str">
        <f t="shared" si="9"/>
        <v/>
      </c>
      <c r="R48" s="3" t="str">
        <f t="shared" si="10"/>
        <v/>
      </c>
      <c r="S48" s="3" t="str">
        <f>IF($L48&lt;&gt;"",IF($A48="Prepago",0,IF(ROUND($H48*$U$5,2)&gt;ROUND(SUM($S$11:$S47)+$U$5,2),$U$5*2,$U$5)),"")</f>
        <v/>
      </c>
      <c r="T48" s="3" t="str">
        <f>IF($L48&lt;&gt;"",IF($A48="Prepago",0,IF(ROUND($H48*$U$6,2)&gt;ROUND(SUM($T$11:$T47)+$U$6,2),$U$6*2,$U$6)),"")</f>
        <v/>
      </c>
      <c r="U48" s="3" t="str">
        <f>IF($L48&lt;&gt;"",IF($A48="Prepago",0,IF(ROUND($H48*$U$7,2)&gt;ROUND(SUM($U$11:$U47)+$U$7,2),$U$7*2,$U$7)),"")</f>
        <v/>
      </c>
      <c r="V48" s="3" t="str">
        <f>IF($L48&lt;&gt;"",IF($A48="Prepago",0,IF(ROUND($H48*$U$8,2)&gt;ROUND(SUM($V$11:$V47)+$U$8,2),$U$8*2,$U$8)),"")</f>
        <v/>
      </c>
      <c r="W48" s="3" t="str">
        <f t="shared" si="23"/>
        <v/>
      </c>
      <c r="X48" s="3" t="str">
        <f t="shared" si="12"/>
        <v/>
      </c>
      <c r="Y48" s="3" t="str">
        <f t="shared" si="13"/>
        <v/>
      </c>
      <c r="Z48" s="3" t="str">
        <f t="shared" si="14"/>
        <v/>
      </c>
      <c r="AA48" s="3" t="str">
        <f>IF($L48&lt;&gt;"",IF($N48&gt;Z$11,IF($N48&lt;AA$11,$N48-Z$11,30),0)*ROUND(($O48+$X47+SUM($Z48:Z48))*$V$5/3000,2),"")</f>
        <v/>
      </c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5:86" x14ac:dyDescent="0.3">
      <c r="E49" s="5"/>
      <c r="F49" t="str">
        <f t="shared" si="17"/>
        <v/>
      </c>
      <c r="G49" s="5" t="str">
        <f t="shared" si="18"/>
        <v/>
      </c>
      <c r="H49" t="str">
        <f t="shared" si="19"/>
        <v/>
      </c>
      <c r="I49" t="str">
        <f t="shared" si="3"/>
        <v/>
      </c>
      <c r="J49" t="str">
        <f t="shared" si="20"/>
        <v/>
      </c>
      <c r="K49" t="str">
        <f t="shared" si="15"/>
        <v/>
      </c>
      <c r="L49" t="str">
        <f t="shared" si="21"/>
        <v/>
      </c>
      <c r="M49" s="5" t="str">
        <f t="shared" si="16"/>
        <v/>
      </c>
      <c r="N49" s="7" t="str">
        <f t="shared" si="22"/>
        <v/>
      </c>
      <c r="O49" s="3" t="str">
        <f t="shared" si="7"/>
        <v/>
      </c>
      <c r="P49" s="3" t="str">
        <f t="shared" si="8"/>
        <v/>
      </c>
      <c r="Q49" s="3" t="str">
        <f t="shared" si="9"/>
        <v/>
      </c>
      <c r="R49" s="3" t="str">
        <f t="shared" si="10"/>
        <v/>
      </c>
      <c r="S49" s="3" t="str">
        <f>IF($L49&lt;&gt;"",IF($A49="Prepago",0,IF(ROUND($H49*$U$5,2)&gt;ROUND(SUM($S$11:$S48)+$U$5,2),$U$5*2,$U$5)),"")</f>
        <v/>
      </c>
      <c r="T49" s="3" t="str">
        <f>IF($L49&lt;&gt;"",IF($A49="Prepago",0,IF(ROUND($H49*$U$6,2)&gt;ROUND(SUM($T$11:$T48)+$U$6,2),$U$6*2,$U$6)),"")</f>
        <v/>
      </c>
      <c r="U49" s="3" t="str">
        <f>IF($L49&lt;&gt;"",IF($A49="Prepago",0,IF(ROUND($H49*$U$7,2)&gt;ROUND(SUM($U$11:$U48)+$U$7,2),$U$7*2,$U$7)),"")</f>
        <v/>
      </c>
      <c r="V49" s="3" t="str">
        <f>IF($L49&lt;&gt;"",IF($A49="Prepago",0,IF(ROUND($H49*$U$8,2)&gt;ROUND(SUM($V$11:$V48)+$U$8,2),$U$8*2,$U$8)),"")</f>
        <v/>
      </c>
      <c r="W49" s="3" t="str">
        <f t="shared" si="23"/>
        <v/>
      </c>
      <c r="X49" s="3" t="str">
        <f t="shared" si="12"/>
        <v/>
      </c>
      <c r="Y49" s="3" t="str">
        <f t="shared" si="13"/>
        <v/>
      </c>
      <c r="Z49" s="3" t="str">
        <f t="shared" si="14"/>
        <v/>
      </c>
      <c r="AA49" s="3" t="str">
        <f>IF($L49&lt;&gt;"",IF($N49&gt;Z$11,IF($N49&lt;AA$11,$N49-Z$11,30),0)*ROUND(($O49+$X48+SUM($Z49:Z49))*$V$5/3000,2),"")</f>
        <v/>
      </c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5:86" x14ac:dyDescent="0.3">
      <c r="E50" s="5"/>
      <c r="F50" t="str">
        <f t="shared" si="17"/>
        <v/>
      </c>
      <c r="G50" s="5" t="str">
        <f t="shared" si="18"/>
        <v/>
      </c>
      <c r="H50" t="str">
        <f t="shared" si="19"/>
        <v/>
      </c>
      <c r="I50" t="str">
        <f t="shared" si="3"/>
        <v/>
      </c>
      <c r="J50" t="str">
        <f t="shared" si="20"/>
        <v/>
      </c>
      <c r="K50" t="str">
        <f t="shared" si="15"/>
        <v/>
      </c>
      <c r="L50" t="str">
        <f t="shared" si="21"/>
        <v/>
      </c>
      <c r="M50" s="5" t="str">
        <f t="shared" si="16"/>
        <v/>
      </c>
      <c r="N50" s="7" t="str">
        <f t="shared" si="22"/>
        <v/>
      </c>
      <c r="O50" s="3" t="str">
        <f t="shared" si="7"/>
        <v/>
      </c>
      <c r="P50" s="3" t="str">
        <f t="shared" si="8"/>
        <v/>
      </c>
      <c r="Q50" s="3" t="str">
        <f t="shared" si="9"/>
        <v/>
      </c>
      <c r="R50" s="3" t="str">
        <f t="shared" si="10"/>
        <v/>
      </c>
      <c r="S50" s="3" t="str">
        <f>IF($L50&lt;&gt;"",IF($A50="Prepago",0,IF(ROUND($H50*$U$5,2)&gt;ROUND(SUM($S$11:$S49)+$U$5,2),$U$5*2,$U$5)),"")</f>
        <v/>
      </c>
      <c r="T50" s="3" t="str">
        <f>IF($L50&lt;&gt;"",IF($A50="Prepago",0,IF(ROUND($H50*$U$6,2)&gt;ROUND(SUM($T$11:$T49)+$U$6,2),$U$6*2,$U$6)),"")</f>
        <v/>
      </c>
      <c r="U50" s="3" t="str">
        <f>IF($L50&lt;&gt;"",IF($A50="Prepago",0,IF(ROUND($H50*$U$7,2)&gt;ROUND(SUM($U$11:$U49)+$U$7,2),$U$7*2,$U$7)),"")</f>
        <v/>
      </c>
      <c r="V50" s="3" t="str">
        <f>IF($L50&lt;&gt;"",IF($A50="Prepago",0,IF(ROUND($H50*$U$8,2)&gt;ROUND(SUM($V$11:$V49)+$U$8,2),$U$8*2,$U$8)),"")</f>
        <v/>
      </c>
      <c r="W50" s="3" t="str">
        <f t="shared" si="23"/>
        <v/>
      </c>
      <c r="X50" s="3" t="str">
        <f t="shared" si="12"/>
        <v/>
      </c>
      <c r="Y50" s="3" t="str">
        <f t="shared" si="13"/>
        <v/>
      </c>
      <c r="Z50" s="3" t="str">
        <f t="shared" si="14"/>
        <v/>
      </c>
      <c r="AA50" s="3" t="str">
        <f>IF($L50&lt;&gt;"",IF($N50&gt;Z$11,IF($N50&lt;AA$11,$N50-Z$11,30),0)*ROUND(($O50+$X49+SUM($Z50:Z50))*$V$5/3000,2),"")</f>
        <v/>
      </c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5:86" x14ac:dyDescent="0.3">
      <c r="E51" s="5"/>
      <c r="F51" t="str">
        <f t="shared" si="17"/>
        <v/>
      </c>
      <c r="G51" s="5" t="str">
        <f t="shared" si="18"/>
        <v/>
      </c>
      <c r="H51" t="str">
        <f t="shared" si="19"/>
        <v/>
      </c>
      <c r="I51" t="str">
        <f t="shared" si="3"/>
        <v/>
      </c>
      <c r="J51" t="str">
        <f t="shared" si="20"/>
        <v/>
      </c>
      <c r="K51" t="str">
        <f t="shared" si="15"/>
        <v/>
      </c>
      <c r="L51" t="str">
        <f t="shared" si="21"/>
        <v/>
      </c>
      <c r="M51" s="5" t="str">
        <f t="shared" si="16"/>
        <v/>
      </c>
      <c r="N51" s="7" t="str">
        <f t="shared" si="22"/>
        <v/>
      </c>
      <c r="O51" s="3" t="str">
        <f t="shared" si="7"/>
        <v/>
      </c>
      <c r="P51" s="3" t="str">
        <f t="shared" si="8"/>
        <v/>
      </c>
      <c r="Q51" s="3" t="str">
        <f t="shared" si="9"/>
        <v/>
      </c>
      <c r="R51" s="3" t="str">
        <f t="shared" si="10"/>
        <v/>
      </c>
      <c r="S51" s="3" t="str">
        <f>IF($L51&lt;&gt;"",IF($A51="Prepago",0,IF(ROUND($H51*$U$5,2)&gt;ROUND(SUM($S$11:$S50)+$U$5,2),$U$5*2,$U$5)),"")</f>
        <v/>
      </c>
      <c r="T51" s="3" t="str">
        <f>IF($L51&lt;&gt;"",IF($A51="Prepago",0,IF(ROUND($H51*$U$6,2)&gt;ROUND(SUM($T$11:$T50)+$U$6,2),$U$6*2,$U$6)),"")</f>
        <v/>
      </c>
      <c r="U51" s="3" t="str">
        <f>IF($L51&lt;&gt;"",IF($A51="Prepago",0,IF(ROUND($H51*$U$7,2)&gt;ROUND(SUM($U$11:$U50)+$U$7,2),$U$7*2,$U$7)),"")</f>
        <v/>
      </c>
      <c r="V51" s="3" t="str">
        <f>IF($L51&lt;&gt;"",IF($A51="Prepago",0,IF(ROUND($H51*$U$8,2)&gt;ROUND(SUM($V$11:$V50)+$U$8,2),$U$8*2,$U$8)),"")</f>
        <v/>
      </c>
      <c r="W51" s="3" t="str">
        <f t="shared" si="23"/>
        <v/>
      </c>
      <c r="X51" s="3" t="str">
        <f t="shared" si="12"/>
        <v/>
      </c>
      <c r="Y51" s="3" t="str">
        <f t="shared" si="13"/>
        <v/>
      </c>
      <c r="Z51" s="3" t="str">
        <f t="shared" si="14"/>
        <v/>
      </c>
      <c r="AA51" s="3" t="str">
        <f>IF($L51&lt;&gt;"",IF($N51&gt;Z$11,IF($N51&lt;AA$11,$N51-Z$11,30),0)*ROUND(($O51+$X50+SUM($Z51:Z51))*$V$5/3000,2),"")</f>
        <v/>
      </c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5:86" x14ac:dyDescent="0.3">
      <c r="E52" s="5"/>
      <c r="F52" t="str">
        <f t="shared" si="17"/>
        <v/>
      </c>
      <c r="G52" s="5" t="str">
        <f t="shared" si="18"/>
        <v/>
      </c>
      <c r="H52" t="str">
        <f t="shared" si="19"/>
        <v/>
      </c>
      <c r="I52" t="str">
        <f t="shared" si="3"/>
        <v/>
      </c>
      <c r="J52" t="str">
        <f t="shared" si="20"/>
        <v/>
      </c>
      <c r="K52" t="str">
        <f t="shared" si="15"/>
        <v/>
      </c>
      <c r="L52" t="str">
        <f t="shared" si="21"/>
        <v/>
      </c>
      <c r="M52" s="5" t="str">
        <f t="shared" si="16"/>
        <v/>
      </c>
      <c r="N52" s="7" t="str">
        <f t="shared" si="22"/>
        <v/>
      </c>
      <c r="O52" s="3" t="str">
        <f t="shared" si="7"/>
        <v/>
      </c>
      <c r="P52" s="3" t="str">
        <f t="shared" si="8"/>
        <v/>
      </c>
      <c r="Q52" s="3" t="str">
        <f t="shared" si="9"/>
        <v/>
      </c>
      <c r="R52" s="3" t="str">
        <f t="shared" si="10"/>
        <v/>
      </c>
      <c r="S52" s="3" t="str">
        <f>IF($L52&lt;&gt;"",IF($A52="Prepago",0,IF(ROUND($H52*$U$5,2)&gt;ROUND(SUM($S$11:$S51)+$U$5,2),$U$5*2,$U$5)),"")</f>
        <v/>
      </c>
      <c r="T52" s="3" t="str">
        <f>IF($L52&lt;&gt;"",IF($A52="Prepago",0,IF(ROUND($H52*$U$6,2)&gt;ROUND(SUM($T$11:$T51)+$U$6,2),$U$6*2,$U$6)),"")</f>
        <v/>
      </c>
      <c r="U52" s="3" t="str">
        <f>IF($L52&lt;&gt;"",IF($A52="Prepago",0,IF(ROUND($H52*$U$7,2)&gt;ROUND(SUM($U$11:$U51)+$U$7,2),$U$7*2,$U$7)),"")</f>
        <v/>
      </c>
      <c r="V52" s="3" t="str">
        <f>IF($L52&lt;&gt;"",IF($A52="Prepago",0,IF(ROUND($H52*$U$8,2)&gt;ROUND(SUM($V$11:$V51)+$U$8,2),$U$8*2,$U$8)),"")</f>
        <v/>
      </c>
      <c r="W52" s="3" t="str">
        <f t="shared" si="23"/>
        <v/>
      </c>
      <c r="X52" s="3" t="str">
        <f t="shared" si="12"/>
        <v/>
      </c>
      <c r="Y52" s="3" t="str">
        <f t="shared" si="13"/>
        <v/>
      </c>
      <c r="Z52" s="3" t="str">
        <f t="shared" si="14"/>
        <v/>
      </c>
      <c r="AA52" s="3" t="str">
        <f>IF($L52&lt;&gt;"",IF($N52&gt;Z$11,IF($N52&lt;AA$11,$N52-Z$11,30),0)*ROUND(($O52+$X51+SUM($Z52:Z52))*$V$5/3000,2),"")</f>
        <v/>
      </c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5:86" x14ac:dyDescent="0.3">
      <c r="E53" s="5"/>
      <c r="F53" t="str">
        <f t="shared" si="17"/>
        <v/>
      </c>
      <c r="G53" s="5" t="str">
        <f t="shared" si="18"/>
        <v/>
      </c>
      <c r="H53" t="str">
        <f t="shared" si="19"/>
        <v/>
      </c>
      <c r="I53" t="str">
        <f t="shared" si="3"/>
        <v/>
      </c>
      <c r="J53" t="str">
        <f t="shared" si="20"/>
        <v/>
      </c>
      <c r="K53" t="str">
        <f t="shared" si="15"/>
        <v/>
      </c>
      <c r="L53" t="str">
        <f t="shared" si="21"/>
        <v/>
      </c>
      <c r="M53" s="5" t="str">
        <f t="shared" si="16"/>
        <v/>
      </c>
      <c r="N53" s="7" t="str">
        <f t="shared" si="22"/>
        <v/>
      </c>
      <c r="O53" s="3" t="str">
        <f t="shared" si="7"/>
        <v/>
      </c>
      <c r="P53" s="3" t="str">
        <f t="shared" si="8"/>
        <v/>
      </c>
      <c r="Q53" s="3" t="str">
        <f t="shared" si="9"/>
        <v/>
      </c>
      <c r="R53" s="3" t="str">
        <f t="shared" si="10"/>
        <v/>
      </c>
      <c r="S53" s="3" t="str">
        <f>IF($L53&lt;&gt;"",IF($A53="Prepago",0,IF(ROUND($H53*$U$5,2)&gt;ROUND(SUM($S$11:$S52)+$U$5,2),$U$5*2,$U$5)),"")</f>
        <v/>
      </c>
      <c r="T53" s="3" t="str">
        <f>IF($L53&lt;&gt;"",IF($A53="Prepago",0,IF(ROUND($H53*$U$6,2)&gt;ROUND(SUM($T$11:$T52)+$U$6,2),$U$6*2,$U$6)),"")</f>
        <v/>
      </c>
      <c r="U53" s="3" t="str">
        <f>IF($L53&lt;&gt;"",IF($A53="Prepago",0,IF(ROUND($H53*$U$7,2)&gt;ROUND(SUM($U$11:$U52)+$U$7,2),$U$7*2,$U$7)),"")</f>
        <v/>
      </c>
      <c r="V53" s="3" t="str">
        <f>IF($L53&lt;&gt;"",IF($A53="Prepago",0,IF(ROUND($H53*$U$8,2)&gt;ROUND(SUM($V$11:$V52)+$U$8,2),$U$8*2,$U$8)),"")</f>
        <v/>
      </c>
      <c r="W53" s="3" t="str">
        <f t="shared" si="23"/>
        <v/>
      </c>
      <c r="X53" s="3" t="str">
        <f t="shared" si="12"/>
        <v/>
      </c>
      <c r="Y53" s="3" t="str">
        <f t="shared" si="13"/>
        <v/>
      </c>
      <c r="Z53" s="3" t="str">
        <f t="shared" si="14"/>
        <v/>
      </c>
      <c r="AA53" s="3" t="str">
        <f>IF($L53&lt;&gt;"",IF($N53&gt;Z$11,IF($N53&lt;AA$11,$N53-Z$11,30),0)*ROUND(($O53+$X52+SUM($Z53:Z53))*$V$5/3000,2),"")</f>
        <v/>
      </c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5:86" x14ac:dyDescent="0.3">
      <c r="E54" s="5"/>
      <c r="F54" t="str">
        <f t="shared" si="17"/>
        <v/>
      </c>
      <c r="G54" s="5" t="str">
        <f t="shared" si="18"/>
        <v/>
      </c>
      <c r="H54" t="str">
        <f t="shared" si="19"/>
        <v/>
      </c>
      <c r="I54" t="str">
        <f t="shared" si="3"/>
        <v/>
      </c>
      <c r="J54" t="str">
        <f t="shared" si="20"/>
        <v/>
      </c>
      <c r="K54" t="str">
        <f t="shared" si="15"/>
        <v/>
      </c>
      <c r="L54" t="str">
        <f t="shared" si="21"/>
        <v/>
      </c>
      <c r="M54" s="5" t="str">
        <f t="shared" si="16"/>
        <v/>
      </c>
      <c r="N54" s="7" t="str">
        <f t="shared" si="22"/>
        <v/>
      </c>
      <c r="O54" s="3" t="str">
        <f t="shared" si="7"/>
        <v/>
      </c>
      <c r="P54" s="3" t="str">
        <f t="shared" si="8"/>
        <v/>
      </c>
      <c r="Q54" s="3" t="str">
        <f t="shared" si="9"/>
        <v/>
      </c>
      <c r="R54" s="3" t="str">
        <f t="shared" si="10"/>
        <v/>
      </c>
      <c r="S54" s="3" t="str">
        <f>IF($L54&lt;&gt;"",IF($A54="Prepago",0,IF(ROUND($H54*$U$5,2)&gt;ROUND(SUM($S$11:$S53)+$U$5,2),$U$5*2,$U$5)),"")</f>
        <v/>
      </c>
      <c r="T54" s="3" t="str">
        <f>IF($L54&lt;&gt;"",IF($A54="Prepago",0,IF(ROUND($H54*$U$6,2)&gt;ROUND(SUM($T$11:$T53)+$U$6,2),$U$6*2,$U$6)),"")</f>
        <v/>
      </c>
      <c r="U54" s="3" t="str">
        <f>IF($L54&lt;&gt;"",IF($A54="Prepago",0,IF(ROUND($H54*$U$7,2)&gt;ROUND(SUM($U$11:$U53)+$U$7,2),$U$7*2,$U$7)),"")</f>
        <v/>
      </c>
      <c r="V54" s="3" t="str">
        <f>IF($L54&lt;&gt;"",IF($A54="Prepago",0,IF(ROUND($H54*$U$8,2)&gt;ROUND(SUM($V$11:$V53)+$U$8,2),$U$8*2,$U$8)),"")</f>
        <v/>
      </c>
      <c r="W54" s="3" t="str">
        <f t="shared" si="23"/>
        <v/>
      </c>
      <c r="X54" s="3" t="str">
        <f t="shared" si="12"/>
        <v/>
      </c>
      <c r="Y54" s="3" t="str">
        <f t="shared" si="13"/>
        <v/>
      </c>
      <c r="Z54" s="3" t="str">
        <f t="shared" si="14"/>
        <v/>
      </c>
      <c r="AA54" s="3" t="str">
        <f>IF($L54&lt;&gt;"",IF($N54&gt;Z$11,IF($N54&lt;AA$11,$N54-Z$11,30),0)*ROUND(($O54+$X53+SUM($Z54:Z54))*$V$5/3000,2),"")</f>
        <v/>
      </c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5:86" x14ac:dyDescent="0.3">
      <c r="E55" s="5"/>
      <c r="F55" t="str">
        <f t="shared" si="17"/>
        <v/>
      </c>
      <c r="G55" s="5" t="str">
        <f t="shared" si="18"/>
        <v/>
      </c>
      <c r="H55" t="str">
        <f t="shared" si="19"/>
        <v/>
      </c>
      <c r="I55" t="str">
        <f t="shared" si="3"/>
        <v/>
      </c>
      <c r="J55" t="str">
        <f t="shared" si="20"/>
        <v/>
      </c>
      <c r="K55" t="str">
        <f t="shared" si="15"/>
        <v/>
      </c>
      <c r="L55" t="str">
        <f t="shared" si="21"/>
        <v/>
      </c>
      <c r="M55" s="5" t="str">
        <f t="shared" si="16"/>
        <v/>
      </c>
      <c r="N55" s="7" t="str">
        <f t="shared" si="22"/>
        <v/>
      </c>
      <c r="O55" s="3" t="str">
        <f t="shared" si="7"/>
        <v/>
      </c>
      <c r="P55" s="3" t="str">
        <f t="shared" si="8"/>
        <v/>
      </c>
      <c r="Q55" s="3" t="str">
        <f t="shared" si="9"/>
        <v/>
      </c>
      <c r="R55" s="3" t="str">
        <f t="shared" si="10"/>
        <v/>
      </c>
      <c r="S55" s="3" t="str">
        <f>IF($L55&lt;&gt;"",IF($A55="Prepago",0,IF(ROUND($H55*$U$5,2)&gt;ROUND(SUM($S$11:$S54)+$U$5,2),$U$5*2,$U$5)),"")</f>
        <v/>
      </c>
      <c r="T55" s="3" t="str">
        <f>IF($L55&lt;&gt;"",IF($A55="Prepago",0,IF(ROUND($H55*$U$6,2)&gt;ROUND(SUM($T$11:$T54)+$U$6,2),$U$6*2,$U$6)),"")</f>
        <v/>
      </c>
      <c r="U55" s="3" t="str">
        <f>IF($L55&lt;&gt;"",IF($A55="Prepago",0,IF(ROUND($H55*$U$7,2)&gt;ROUND(SUM($U$11:$U54)+$U$7,2),$U$7*2,$U$7)),"")</f>
        <v/>
      </c>
      <c r="V55" s="3" t="str">
        <f>IF($L55&lt;&gt;"",IF($A55="Prepago",0,IF(ROUND($H55*$U$8,2)&gt;ROUND(SUM($V$11:$V54)+$U$8,2),$U$8*2,$U$8)),"")</f>
        <v/>
      </c>
      <c r="W55" s="3" t="str">
        <f t="shared" si="23"/>
        <v/>
      </c>
      <c r="X55" s="3" t="str">
        <f t="shared" si="12"/>
        <v/>
      </c>
      <c r="Y55" s="3" t="str">
        <f t="shared" si="13"/>
        <v/>
      </c>
      <c r="Z55" s="3" t="str">
        <f t="shared" si="14"/>
        <v/>
      </c>
      <c r="AA55" s="3" t="str">
        <f>IF($L55&lt;&gt;"",IF($N55&gt;Z$11,IF($N55&lt;AA$11,$N55-Z$11,30),0)*ROUND(($O55+$X54+SUM($Z55:Z55))*$V$5/3000,2),"")</f>
        <v/>
      </c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5:86" x14ac:dyDescent="0.3">
      <c r="E56" s="5"/>
      <c r="F56" t="str">
        <f t="shared" si="17"/>
        <v/>
      </c>
      <c r="G56" s="5" t="str">
        <f t="shared" si="18"/>
        <v/>
      </c>
      <c r="H56" t="str">
        <f t="shared" si="19"/>
        <v/>
      </c>
      <c r="I56" t="str">
        <f t="shared" si="3"/>
        <v/>
      </c>
      <c r="J56" t="str">
        <f t="shared" si="20"/>
        <v/>
      </c>
      <c r="K56" t="str">
        <f t="shared" si="15"/>
        <v/>
      </c>
      <c r="L56" t="str">
        <f t="shared" si="21"/>
        <v/>
      </c>
      <c r="M56" s="5" t="str">
        <f t="shared" si="16"/>
        <v/>
      </c>
      <c r="N56" s="7" t="str">
        <f t="shared" si="22"/>
        <v/>
      </c>
      <c r="O56" s="3" t="str">
        <f t="shared" si="7"/>
        <v/>
      </c>
      <c r="P56" s="3" t="str">
        <f t="shared" si="8"/>
        <v/>
      </c>
      <c r="Q56" s="3" t="str">
        <f t="shared" si="9"/>
        <v/>
      </c>
      <c r="R56" s="3" t="str">
        <f t="shared" si="10"/>
        <v/>
      </c>
      <c r="S56" s="3" t="str">
        <f>IF($L56&lt;&gt;"",IF($A56="Prepago",0,IF(ROUND($H56*$U$5,2)&gt;ROUND(SUM($S$11:$S55)+$U$5,2),$U$5*2,$U$5)),"")</f>
        <v/>
      </c>
      <c r="T56" s="3" t="str">
        <f>IF($L56&lt;&gt;"",IF($A56="Prepago",0,IF(ROUND($H56*$U$6,2)&gt;ROUND(SUM($T$11:$T55)+$U$6,2),$U$6*2,$U$6)),"")</f>
        <v/>
      </c>
      <c r="U56" s="3" t="str">
        <f>IF($L56&lt;&gt;"",IF($A56="Prepago",0,IF(ROUND($H56*$U$7,2)&gt;ROUND(SUM($U$11:$U55)+$U$7,2),$U$7*2,$U$7)),"")</f>
        <v/>
      </c>
      <c r="V56" s="3" t="str">
        <f>IF($L56&lt;&gt;"",IF($A56="Prepago",0,IF(ROUND($H56*$U$8,2)&gt;ROUND(SUM($V$11:$V55)+$U$8,2),$U$8*2,$U$8)),"")</f>
        <v/>
      </c>
      <c r="W56" s="3" t="str">
        <f t="shared" si="23"/>
        <v/>
      </c>
      <c r="X56" s="3" t="str">
        <f t="shared" si="12"/>
        <v/>
      </c>
      <c r="Y56" s="3" t="str">
        <f t="shared" si="13"/>
        <v/>
      </c>
      <c r="Z56" s="3" t="str">
        <f t="shared" si="14"/>
        <v/>
      </c>
      <c r="AA56" s="3" t="str">
        <f>IF($L56&lt;&gt;"",IF($N56&gt;Z$11,IF($N56&lt;AA$11,$N56-Z$11,30),0)*ROUND(($O56+$X55+SUM($Z56:Z56))*$V$5/3000,2),"")</f>
        <v/>
      </c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5:86" x14ac:dyDescent="0.3">
      <c r="E57" s="5"/>
      <c r="F57" t="str">
        <f t="shared" si="17"/>
        <v/>
      </c>
      <c r="G57" s="5" t="str">
        <f t="shared" si="18"/>
        <v/>
      </c>
      <c r="H57" t="str">
        <f t="shared" si="19"/>
        <v/>
      </c>
      <c r="I57" t="str">
        <f t="shared" si="3"/>
        <v/>
      </c>
      <c r="J57" t="str">
        <f t="shared" si="20"/>
        <v/>
      </c>
      <c r="K57" t="str">
        <f t="shared" si="15"/>
        <v/>
      </c>
      <c r="L57" t="str">
        <f t="shared" si="21"/>
        <v/>
      </c>
      <c r="M57" s="5" t="str">
        <f t="shared" si="16"/>
        <v/>
      </c>
      <c r="N57" s="7" t="str">
        <f t="shared" si="22"/>
        <v/>
      </c>
      <c r="O57" s="3" t="str">
        <f t="shared" si="7"/>
        <v/>
      </c>
      <c r="P57" s="3" t="str">
        <f t="shared" si="8"/>
        <v/>
      </c>
      <c r="Q57" s="3" t="str">
        <f t="shared" si="9"/>
        <v/>
      </c>
      <c r="R57" s="3" t="str">
        <f t="shared" si="10"/>
        <v/>
      </c>
      <c r="S57" s="3" t="str">
        <f>IF($L57&lt;&gt;"",IF($A57="Prepago",0,IF(ROUND($H57*$U$5,2)&gt;ROUND(SUM($S$11:$S56)+$U$5,2),$U$5*2,$U$5)),"")</f>
        <v/>
      </c>
      <c r="T57" s="3" t="str">
        <f>IF($L57&lt;&gt;"",IF($A57="Prepago",0,IF(ROUND($H57*$U$6,2)&gt;ROUND(SUM($T$11:$T56)+$U$6,2),$U$6*2,$U$6)),"")</f>
        <v/>
      </c>
      <c r="U57" s="3" t="str">
        <f>IF($L57&lt;&gt;"",IF($A57="Prepago",0,IF(ROUND($H57*$U$7,2)&gt;ROUND(SUM($U$11:$U56)+$U$7,2),$U$7*2,$U$7)),"")</f>
        <v/>
      </c>
      <c r="V57" s="3" t="str">
        <f>IF($L57&lt;&gt;"",IF($A57="Prepago",0,IF(ROUND($H57*$U$8,2)&gt;ROUND(SUM($V$11:$V56)+$U$8,2),$U$8*2,$U$8)),"")</f>
        <v/>
      </c>
      <c r="W57" s="3" t="str">
        <f t="shared" si="23"/>
        <v/>
      </c>
      <c r="X57" s="3" t="str">
        <f t="shared" si="12"/>
        <v/>
      </c>
      <c r="Y57" s="3" t="str">
        <f t="shared" si="13"/>
        <v/>
      </c>
      <c r="Z57" s="3" t="str">
        <f t="shared" si="14"/>
        <v/>
      </c>
      <c r="AA57" s="3" t="str">
        <f>IF($L57&lt;&gt;"",IF($N57&gt;Z$11,IF($N57&lt;AA$11,$N57-Z$11,30),0)*ROUND(($O57+$X56+SUM($Z57:Z57))*$V$5/3000,2),"")</f>
        <v/>
      </c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5:86" x14ac:dyDescent="0.3">
      <c r="E58" s="5"/>
      <c r="F58" t="str">
        <f t="shared" si="17"/>
        <v/>
      </c>
      <c r="G58" s="5" t="str">
        <f t="shared" si="18"/>
        <v/>
      </c>
      <c r="H58" t="str">
        <f t="shared" si="19"/>
        <v/>
      </c>
      <c r="I58" t="str">
        <f t="shared" si="3"/>
        <v/>
      </c>
      <c r="J58" t="str">
        <f t="shared" si="20"/>
        <v/>
      </c>
      <c r="K58" t="str">
        <f t="shared" si="15"/>
        <v/>
      </c>
      <c r="L58" t="str">
        <f t="shared" si="21"/>
        <v/>
      </c>
      <c r="M58" s="5" t="str">
        <f t="shared" si="16"/>
        <v/>
      </c>
      <c r="N58" s="7" t="str">
        <f t="shared" si="22"/>
        <v/>
      </c>
      <c r="O58" s="3" t="str">
        <f t="shared" si="7"/>
        <v/>
      </c>
      <c r="P58" s="3" t="str">
        <f t="shared" si="8"/>
        <v/>
      </c>
      <c r="Q58" s="3" t="str">
        <f t="shared" si="9"/>
        <v/>
      </c>
      <c r="R58" s="3" t="str">
        <f t="shared" si="10"/>
        <v/>
      </c>
      <c r="S58" s="3" t="str">
        <f>IF($L58&lt;&gt;"",IF($A58="Prepago",0,IF(ROUND($H58*$U$5,2)&gt;ROUND(SUM($S$11:$S57)+$U$5,2),$U$5*2,$U$5)),"")</f>
        <v/>
      </c>
      <c r="T58" s="3" t="str">
        <f>IF($L58&lt;&gt;"",IF($A58="Prepago",0,IF(ROUND($H58*$U$6,2)&gt;ROUND(SUM($T$11:$T57)+$U$6,2),$U$6*2,$U$6)),"")</f>
        <v/>
      </c>
      <c r="U58" s="3" t="str">
        <f>IF($L58&lt;&gt;"",IF($A58="Prepago",0,IF(ROUND($H58*$U$7,2)&gt;ROUND(SUM($U$11:$U57)+$U$7,2),$U$7*2,$U$7)),"")</f>
        <v/>
      </c>
      <c r="V58" s="3" t="str">
        <f>IF($L58&lt;&gt;"",IF($A58="Prepago",0,IF(ROUND($H58*$U$8,2)&gt;ROUND(SUM($V$11:$V57)+$U$8,2),$U$8*2,$U$8)),"")</f>
        <v/>
      </c>
      <c r="W58" s="3" t="str">
        <f t="shared" si="23"/>
        <v/>
      </c>
      <c r="X58" s="3" t="str">
        <f t="shared" si="12"/>
        <v/>
      </c>
      <c r="Y58" s="3" t="str">
        <f t="shared" si="13"/>
        <v/>
      </c>
      <c r="Z58" s="3" t="str">
        <f t="shared" si="14"/>
        <v/>
      </c>
      <c r="AA58" s="3" t="str">
        <f>IF($L58&lt;&gt;"",IF($N58&gt;Z$11,IF($N58&lt;AA$11,$N58-Z$11,30),0)*ROUND(($O58+$X57+SUM($Z58:Z58))*$V$5/3000,2),"")</f>
        <v/>
      </c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5:86" x14ac:dyDescent="0.3">
      <c r="E59" s="5"/>
      <c r="F59" t="str">
        <f t="shared" si="17"/>
        <v/>
      </c>
      <c r="G59" s="5" t="str">
        <f t="shared" si="18"/>
        <v/>
      </c>
      <c r="H59" t="str">
        <f t="shared" si="19"/>
        <v/>
      </c>
      <c r="I59" t="str">
        <f t="shared" si="3"/>
        <v/>
      </c>
      <c r="J59" t="str">
        <f t="shared" si="20"/>
        <v/>
      </c>
      <c r="K59" t="str">
        <f t="shared" si="15"/>
        <v/>
      </c>
      <c r="L59" t="str">
        <f t="shared" si="21"/>
        <v/>
      </c>
      <c r="M59" s="5" t="str">
        <f t="shared" si="16"/>
        <v/>
      </c>
      <c r="N59" s="7" t="str">
        <f t="shared" si="22"/>
        <v/>
      </c>
      <c r="O59" s="3" t="str">
        <f t="shared" si="7"/>
        <v/>
      </c>
      <c r="P59" s="3" t="str">
        <f t="shared" si="8"/>
        <v/>
      </c>
      <c r="Q59" s="3" t="str">
        <f t="shared" si="9"/>
        <v/>
      </c>
      <c r="R59" s="3" t="str">
        <f t="shared" si="10"/>
        <v/>
      </c>
      <c r="S59" s="3" t="str">
        <f>IF($L59&lt;&gt;"",IF($A59="Prepago",0,IF(ROUND($H59*$U$5,2)&gt;ROUND(SUM($S$11:$S58)+$U$5,2),$U$5*2,$U$5)),"")</f>
        <v/>
      </c>
      <c r="T59" s="3" t="str">
        <f>IF($L59&lt;&gt;"",IF($A59="Prepago",0,IF(ROUND($H59*$U$6,2)&gt;ROUND(SUM($T$11:$T58)+$U$6,2),$U$6*2,$U$6)),"")</f>
        <v/>
      </c>
      <c r="U59" s="3" t="str">
        <f>IF($L59&lt;&gt;"",IF($A59="Prepago",0,IF(ROUND($H59*$U$7,2)&gt;ROUND(SUM($U$11:$U58)+$U$7,2),$U$7*2,$U$7)),"")</f>
        <v/>
      </c>
      <c r="V59" s="3" t="str">
        <f>IF($L59&lt;&gt;"",IF($A59="Prepago",0,IF(ROUND($H59*$U$8,2)&gt;ROUND(SUM($V$11:$V58)+$U$8,2),$U$8*2,$U$8)),"")</f>
        <v/>
      </c>
      <c r="W59" s="3" t="str">
        <f t="shared" si="23"/>
        <v/>
      </c>
      <c r="X59" s="3" t="str">
        <f t="shared" si="12"/>
        <v/>
      </c>
      <c r="Y59" s="3" t="str">
        <f t="shared" si="13"/>
        <v/>
      </c>
      <c r="Z59" s="3" t="str">
        <f t="shared" si="14"/>
        <v/>
      </c>
      <c r="AA59" s="3" t="str">
        <f>IF($L59&lt;&gt;"",IF($N59&gt;Z$11,IF($N59&lt;AA$11,$N59-Z$11,30),0)*ROUND(($O59+$X58+SUM($Z59:Z59))*$V$5/3000,2),"")</f>
        <v/>
      </c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5:86" x14ac:dyDescent="0.3">
      <c r="E60" s="5"/>
      <c r="F60" t="str">
        <f t="shared" si="17"/>
        <v/>
      </c>
      <c r="G60" s="5" t="str">
        <f t="shared" si="18"/>
        <v/>
      </c>
      <c r="H60" t="str">
        <f t="shared" si="19"/>
        <v/>
      </c>
      <c r="I60" t="str">
        <f t="shared" si="3"/>
        <v/>
      </c>
      <c r="J60" t="str">
        <f t="shared" si="20"/>
        <v/>
      </c>
      <c r="K60" t="str">
        <f t="shared" si="15"/>
        <v/>
      </c>
      <c r="L60" t="str">
        <f t="shared" si="21"/>
        <v/>
      </c>
      <c r="M60" s="5" t="str">
        <f t="shared" si="16"/>
        <v/>
      </c>
      <c r="N60" s="7" t="str">
        <f t="shared" si="22"/>
        <v/>
      </c>
      <c r="O60" s="3" t="str">
        <f t="shared" si="7"/>
        <v/>
      </c>
      <c r="P60" s="3" t="str">
        <f t="shared" si="8"/>
        <v/>
      </c>
      <c r="Q60" s="3" t="str">
        <f t="shared" si="9"/>
        <v/>
      </c>
      <c r="R60" s="3" t="str">
        <f t="shared" si="10"/>
        <v/>
      </c>
      <c r="S60" s="3" t="str">
        <f>IF($L60&lt;&gt;"",IF($A60="Prepago",0,IF(ROUND($H60*$U$5,2)&gt;ROUND(SUM($S$11:$S59)+$U$5,2),$U$5*2,$U$5)),"")</f>
        <v/>
      </c>
      <c r="T60" s="3" t="str">
        <f>IF($L60&lt;&gt;"",IF($A60="Prepago",0,IF(ROUND($H60*$U$6,2)&gt;ROUND(SUM($T$11:$T59)+$U$6,2),$U$6*2,$U$6)),"")</f>
        <v/>
      </c>
      <c r="U60" s="3" t="str">
        <f>IF($L60&lt;&gt;"",IF($A60="Prepago",0,IF(ROUND($H60*$U$7,2)&gt;ROUND(SUM($U$11:$U59)+$U$7,2),$U$7*2,$U$7)),"")</f>
        <v/>
      </c>
      <c r="V60" s="3" t="str">
        <f>IF($L60&lt;&gt;"",IF($A60="Prepago",0,IF(ROUND($H60*$U$8,2)&gt;ROUND(SUM($V$11:$V59)+$U$8,2),$U$8*2,$U$8)),"")</f>
        <v/>
      </c>
      <c r="W60" s="3" t="str">
        <f t="shared" si="23"/>
        <v/>
      </c>
      <c r="X60" s="3" t="str">
        <f t="shared" si="12"/>
        <v/>
      </c>
      <c r="Y60" s="3" t="str">
        <f t="shared" si="13"/>
        <v/>
      </c>
      <c r="Z60" s="3" t="str">
        <f t="shared" si="14"/>
        <v/>
      </c>
      <c r="AA60" s="3" t="str">
        <f>IF($L60&lt;&gt;"",IF($N60&gt;Z$11,IF($N60&lt;AA$11,$N60-Z$11,30),0)*ROUND(($O60+$X59+SUM($Z60:Z60))*$V$5/3000,2),"")</f>
        <v/>
      </c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5:86" x14ac:dyDescent="0.3">
      <c r="E61" s="5"/>
      <c r="F61" t="str">
        <f t="shared" si="17"/>
        <v/>
      </c>
      <c r="G61" s="5" t="str">
        <f t="shared" si="18"/>
        <v/>
      </c>
      <c r="H61" t="str">
        <f t="shared" si="19"/>
        <v/>
      </c>
      <c r="I61" t="str">
        <f t="shared" si="3"/>
        <v/>
      </c>
      <c r="J61" t="str">
        <f t="shared" si="20"/>
        <v/>
      </c>
      <c r="K61" t="str">
        <f t="shared" si="15"/>
        <v/>
      </c>
      <c r="L61" t="str">
        <f t="shared" si="21"/>
        <v/>
      </c>
      <c r="M61" s="5" t="str">
        <f t="shared" si="16"/>
        <v/>
      </c>
      <c r="N61" s="7" t="str">
        <f t="shared" si="22"/>
        <v/>
      </c>
      <c r="O61" s="3" t="str">
        <f t="shared" si="7"/>
        <v/>
      </c>
      <c r="P61" s="3" t="str">
        <f t="shared" si="8"/>
        <v/>
      </c>
      <c r="Q61" s="3" t="str">
        <f t="shared" si="9"/>
        <v/>
      </c>
      <c r="R61" s="3" t="str">
        <f t="shared" si="10"/>
        <v/>
      </c>
      <c r="S61" s="3" t="str">
        <f>IF($L61&lt;&gt;"",IF($A61="Prepago",0,IF(ROUND($H61*$U$5,2)&gt;ROUND(SUM($S$11:$S60)+$U$5,2),$U$5*2,$U$5)),"")</f>
        <v/>
      </c>
      <c r="T61" s="3" t="str">
        <f>IF($L61&lt;&gt;"",IF($A61="Prepago",0,IF(ROUND($H61*$U$6,2)&gt;ROUND(SUM($T$11:$T60)+$U$6,2),$U$6*2,$U$6)),"")</f>
        <v/>
      </c>
      <c r="U61" s="3" t="str">
        <f>IF($L61&lt;&gt;"",IF($A61="Prepago",0,IF(ROUND($H61*$U$7,2)&gt;ROUND(SUM($U$11:$U60)+$U$7,2),$U$7*2,$U$7)),"")</f>
        <v/>
      </c>
      <c r="V61" s="3" t="str">
        <f>IF($L61&lt;&gt;"",IF($A61="Prepago",0,IF(ROUND($H61*$U$8,2)&gt;ROUND(SUM($V$11:$V60)+$U$8,2),$U$8*2,$U$8)),"")</f>
        <v/>
      </c>
      <c r="W61" s="3" t="str">
        <f t="shared" si="23"/>
        <v/>
      </c>
      <c r="X61" s="3" t="str">
        <f t="shared" si="12"/>
        <v/>
      </c>
      <c r="Y61" s="3" t="str">
        <f t="shared" si="13"/>
        <v/>
      </c>
      <c r="Z61" s="3" t="str">
        <f t="shared" si="14"/>
        <v/>
      </c>
      <c r="AA61" s="3" t="str">
        <f>IF($L61&lt;&gt;"",IF($N61&gt;Z$11,IF($N61&lt;AA$11,$N61-Z$11,30),0)*ROUND(($O61+$X60+SUM($Z61:Z61))*$V$5/3000,2),"")</f>
        <v/>
      </c>
      <c r="AB61" s="3"/>
      <c r="AC61" s="3"/>
    </row>
    <row r="62" spans="5:86" x14ac:dyDescent="0.3">
      <c r="E62" s="5"/>
      <c r="F62" t="str">
        <f t="shared" si="17"/>
        <v/>
      </c>
      <c r="G62" s="5" t="str">
        <f t="shared" si="18"/>
        <v/>
      </c>
      <c r="H62" t="str">
        <f t="shared" si="19"/>
        <v/>
      </c>
      <c r="I62" t="str">
        <f t="shared" si="3"/>
        <v/>
      </c>
      <c r="J62" t="str">
        <f t="shared" si="20"/>
        <v/>
      </c>
      <c r="K62" t="str">
        <f t="shared" si="15"/>
        <v/>
      </c>
      <c r="L62" t="str">
        <f t="shared" si="21"/>
        <v/>
      </c>
      <c r="M62" s="5" t="str">
        <f t="shared" si="16"/>
        <v/>
      </c>
      <c r="N62" s="7" t="str">
        <f t="shared" si="22"/>
        <v/>
      </c>
      <c r="O62" s="3" t="str">
        <f t="shared" si="7"/>
        <v/>
      </c>
      <c r="P62" s="3" t="str">
        <f t="shared" si="8"/>
        <v/>
      </c>
      <c r="Q62" s="3" t="str">
        <f t="shared" si="9"/>
        <v/>
      </c>
      <c r="R62" s="3" t="str">
        <f t="shared" si="10"/>
        <v/>
      </c>
      <c r="S62" s="3" t="str">
        <f>IF($L62&lt;&gt;"",IF($A62="Prepago",0,IF(ROUND($H62*$U$5,2)&gt;ROUND(SUM($S$11:$S61)+$U$5,2),$U$5*2,$U$5)),"")</f>
        <v/>
      </c>
      <c r="T62" s="3" t="str">
        <f>IF($L62&lt;&gt;"",IF($A62="Prepago",0,IF(ROUND($H62*$U$6,2)&gt;ROUND(SUM($T$11:$T61)+$U$6,2),$U$6*2,$U$6)),"")</f>
        <v/>
      </c>
      <c r="U62" s="3" t="str">
        <f>IF($L62&lt;&gt;"",IF($A62="Prepago",0,IF(ROUND($H62*$U$7,2)&gt;ROUND(SUM($U$11:$U61)+$U$7,2),$U$7*2,$U$7)),"")</f>
        <v/>
      </c>
      <c r="V62" s="3" t="str">
        <f>IF($L62&lt;&gt;"",IF($A62="Prepago",0,IF(ROUND($H62*$U$8,2)&gt;ROUND(SUM($V$11:$V61)+$U$8,2),$U$8*2,$U$8)),"")</f>
        <v/>
      </c>
      <c r="W62" s="3" t="str">
        <f t="shared" si="23"/>
        <v/>
      </c>
      <c r="X62" s="3" t="str">
        <f t="shared" si="12"/>
        <v/>
      </c>
      <c r="Y62" s="3" t="str">
        <f t="shared" si="13"/>
        <v/>
      </c>
      <c r="Z62" s="3" t="str">
        <f t="shared" si="14"/>
        <v/>
      </c>
      <c r="AA62" s="3" t="str">
        <f>IF($L62&lt;&gt;"",IF($N62&gt;Z$11,IF($N62&lt;AA$11,$N62-Z$11,30),0)*ROUND(($O62+$X61+SUM($Z62:Z62))*$V$5/3000,2),"")</f>
        <v/>
      </c>
      <c r="AB62" s="3"/>
      <c r="AC62" s="3"/>
    </row>
    <row r="63" spans="5:86" x14ac:dyDescent="0.3">
      <c r="E63" s="5"/>
      <c r="F63" t="str">
        <f t="shared" si="17"/>
        <v/>
      </c>
      <c r="G63" s="5" t="str">
        <f t="shared" si="18"/>
        <v/>
      </c>
      <c r="H63" t="str">
        <f t="shared" si="19"/>
        <v/>
      </c>
      <c r="I63" t="str">
        <f t="shared" si="3"/>
        <v/>
      </c>
      <c r="J63" t="str">
        <f t="shared" si="20"/>
        <v/>
      </c>
      <c r="K63" t="str">
        <f t="shared" si="15"/>
        <v/>
      </c>
      <c r="L63" t="str">
        <f t="shared" si="21"/>
        <v/>
      </c>
      <c r="M63" s="5" t="str">
        <f t="shared" si="16"/>
        <v/>
      </c>
      <c r="N63" s="7" t="str">
        <f t="shared" si="22"/>
        <v/>
      </c>
      <c r="O63" s="3" t="str">
        <f t="shared" si="7"/>
        <v/>
      </c>
      <c r="P63" s="3" t="str">
        <f t="shared" si="8"/>
        <v/>
      </c>
      <c r="Q63" s="3" t="str">
        <f t="shared" si="9"/>
        <v/>
      </c>
      <c r="R63" s="3" t="str">
        <f t="shared" si="10"/>
        <v/>
      </c>
      <c r="S63" s="3" t="str">
        <f>IF($L63&lt;&gt;"",IF($A63="Prepago",0,IF(ROUND($H63*$U$5,2)&gt;ROUND(SUM($S$11:$S62)+$U$5,2),$U$5*2,$U$5)),"")</f>
        <v/>
      </c>
      <c r="T63" s="3" t="str">
        <f>IF($L63&lt;&gt;"",IF($A63="Prepago",0,IF(ROUND($H63*$U$6,2)&gt;ROUND(SUM($T$11:$T62)+$U$6,2),$U$6*2,$U$6)),"")</f>
        <v/>
      </c>
      <c r="U63" s="3" t="str">
        <f>IF($L63&lt;&gt;"",IF($A63="Prepago",0,IF(ROUND($H63*$U$7,2)&gt;ROUND(SUM($U$11:$U62)+$U$7,2),$U$7*2,$U$7)),"")</f>
        <v/>
      </c>
      <c r="V63" s="3" t="str">
        <f>IF($L63&lt;&gt;"",IF($A63="Prepago",0,IF(ROUND($H63*$U$8,2)&gt;ROUND(SUM($V$11:$V62)+$U$8,2),$U$8*2,$U$8)),"")</f>
        <v/>
      </c>
      <c r="W63" s="3" t="str">
        <f t="shared" si="23"/>
        <v/>
      </c>
      <c r="X63" s="3" t="str">
        <f t="shared" si="12"/>
        <v/>
      </c>
      <c r="Y63" s="3" t="str">
        <f t="shared" si="13"/>
        <v/>
      </c>
      <c r="Z63" s="3" t="str">
        <f t="shared" si="14"/>
        <v/>
      </c>
      <c r="AA63" s="3" t="str">
        <f>IF($L63&lt;&gt;"",IF($N63&gt;Z$11,IF($N63&lt;AA$11,$N63-Z$11,30),0)*ROUND(($O63+$X62+SUM($Z63:Z63))*$V$5/3000,2),"")</f>
        <v/>
      </c>
      <c r="AB63" s="3"/>
      <c r="AC63" s="3"/>
    </row>
    <row r="64" spans="5:86" x14ac:dyDescent="0.3">
      <c r="E64" s="5"/>
      <c r="F64" t="str">
        <f t="shared" si="17"/>
        <v/>
      </c>
      <c r="G64" s="5" t="str">
        <f t="shared" si="18"/>
        <v/>
      </c>
      <c r="H64" t="str">
        <f t="shared" si="19"/>
        <v/>
      </c>
      <c r="I64" t="str">
        <f t="shared" si="3"/>
        <v/>
      </c>
      <c r="J64" t="str">
        <f t="shared" si="20"/>
        <v/>
      </c>
      <c r="K64" t="str">
        <f t="shared" si="15"/>
        <v/>
      </c>
      <c r="L64" t="str">
        <f t="shared" si="21"/>
        <v/>
      </c>
      <c r="M64" s="5" t="str">
        <f t="shared" si="16"/>
        <v/>
      </c>
      <c r="N64" s="7" t="str">
        <f t="shared" si="22"/>
        <v/>
      </c>
      <c r="O64" s="3" t="str">
        <f t="shared" si="7"/>
        <v/>
      </c>
      <c r="P64" s="3" t="str">
        <f t="shared" si="8"/>
        <v/>
      </c>
      <c r="Q64" s="3" t="str">
        <f t="shared" si="9"/>
        <v/>
      </c>
      <c r="R64" s="3" t="str">
        <f t="shared" si="10"/>
        <v/>
      </c>
      <c r="S64" s="3" t="str">
        <f>IF($L64&lt;&gt;"",IF($A64="Prepago",0,IF(ROUND($H64*$U$5,2)&gt;ROUND(SUM($S$11:$S63)+$U$5,2),$U$5*2,$U$5)),"")</f>
        <v/>
      </c>
      <c r="T64" s="3" t="str">
        <f>IF($L64&lt;&gt;"",IF($A64="Prepago",0,IF(ROUND($H64*$U$6,2)&gt;ROUND(SUM($T$11:$T63)+$U$6,2),$U$6*2,$U$6)),"")</f>
        <v/>
      </c>
      <c r="U64" s="3" t="str">
        <f>IF($L64&lt;&gt;"",IF($A64="Prepago",0,IF(ROUND($H64*$U$7,2)&gt;ROUND(SUM($U$11:$U63)+$U$7,2),$U$7*2,$U$7)),"")</f>
        <v/>
      </c>
      <c r="V64" s="3" t="str">
        <f>IF($L64&lt;&gt;"",IF($A64="Prepago",0,IF(ROUND($H64*$U$8,2)&gt;ROUND(SUM($V$11:$V63)+$U$8,2),$U$8*2,$U$8)),"")</f>
        <v/>
      </c>
      <c r="W64" s="3" t="str">
        <f t="shared" si="23"/>
        <v/>
      </c>
      <c r="X64" s="3" t="str">
        <f t="shared" si="12"/>
        <v/>
      </c>
      <c r="Y64" s="3" t="str">
        <f t="shared" si="13"/>
        <v/>
      </c>
      <c r="Z64" s="3" t="str">
        <f t="shared" si="14"/>
        <v/>
      </c>
      <c r="AA64" s="3" t="str">
        <f>IF($L64&lt;&gt;"",IF($N64&gt;Z$11,IF($N64&lt;AA$11,$N64-Z$11,30),0)*ROUND(($O64+$X63+SUM($Z64:Z64))*$V$5/3000,2),"")</f>
        <v/>
      </c>
      <c r="AB64" s="3"/>
      <c r="AC64" s="3"/>
    </row>
    <row r="65" spans="5:29" x14ac:dyDescent="0.3">
      <c r="E65" s="5"/>
      <c r="F65" t="str">
        <f t="shared" si="17"/>
        <v/>
      </c>
      <c r="G65" s="5" t="str">
        <f t="shared" si="18"/>
        <v/>
      </c>
      <c r="H65" t="str">
        <f t="shared" si="19"/>
        <v/>
      </c>
      <c r="I65" t="str">
        <f t="shared" si="3"/>
        <v/>
      </c>
      <c r="J65" t="str">
        <f t="shared" si="20"/>
        <v/>
      </c>
      <c r="K65" t="str">
        <f t="shared" si="15"/>
        <v/>
      </c>
      <c r="L65" t="str">
        <f t="shared" si="21"/>
        <v/>
      </c>
      <c r="M65" s="5" t="str">
        <f t="shared" si="16"/>
        <v/>
      </c>
      <c r="N65" s="7" t="str">
        <f t="shared" si="22"/>
        <v/>
      </c>
      <c r="O65" s="3" t="str">
        <f t="shared" si="7"/>
        <v/>
      </c>
      <c r="P65" s="3" t="str">
        <f t="shared" si="8"/>
        <v/>
      </c>
      <c r="Q65" s="3" t="str">
        <f t="shared" si="9"/>
        <v/>
      </c>
      <c r="R65" s="3" t="str">
        <f t="shared" si="10"/>
        <v/>
      </c>
      <c r="S65" s="3" t="str">
        <f>IF($L65&lt;&gt;"",IF($A65="Prepago",0,IF(ROUND($H65*$U$5,2)&gt;ROUND(SUM($S$11:$S64)+$U$5,2),$U$5*2,$U$5)),"")</f>
        <v/>
      </c>
      <c r="T65" s="3" t="str">
        <f>IF($L65&lt;&gt;"",IF($A65="Prepago",0,IF(ROUND($H65*$U$6,2)&gt;ROUND(SUM($T$11:$T64)+$U$6,2),$U$6*2,$U$6)),"")</f>
        <v/>
      </c>
      <c r="U65" s="3" t="str">
        <f>IF($L65&lt;&gt;"",IF($A65="Prepago",0,IF(ROUND($H65*$U$7,2)&gt;ROUND(SUM($U$11:$U64)+$U$7,2),$U$7*2,$U$7)),"")</f>
        <v/>
      </c>
      <c r="V65" s="3" t="str">
        <f>IF($L65&lt;&gt;"",IF($A65="Prepago",0,IF(ROUND($H65*$U$8,2)&gt;ROUND(SUM($V$11:$V64)+$U$8,2),$U$8*2,$U$8)),"")</f>
        <v/>
      </c>
      <c r="W65" s="3" t="str">
        <f t="shared" si="23"/>
        <v/>
      </c>
      <c r="X65" s="3" t="str">
        <f t="shared" si="12"/>
        <v/>
      </c>
      <c r="Y65" s="3" t="str">
        <f t="shared" si="13"/>
        <v/>
      </c>
      <c r="Z65" s="3" t="str">
        <f t="shared" si="14"/>
        <v/>
      </c>
      <c r="AA65" s="3" t="str">
        <f>IF($L65&lt;&gt;"",IF($N65&gt;Z$11,IF($N65&lt;AA$11,$N65-Z$11,30),0)*ROUND(($O65+$X64+SUM($Z65:Z65))*$V$5/3000,2),"")</f>
        <v/>
      </c>
      <c r="AB65" s="3"/>
      <c r="AC65" s="3"/>
    </row>
    <row r="66" spans="5:29" x14ac:dyDescent="0.3">
      <c r="E66" s="5"/>
      <c r="F66" t="str">
        <f t="shared" si="17"/>
        <v/>
      </c>
      <c r="G66" s="5" t="str">
        <f t="shared" si="18"/>
        <v/>
      </c>
      <c r="H66" t="str">
        <f t="shared" si="19"/>
        <v/>
      </c>
      <c r="I66" t="str">
        <f t="shared" si="3"/>
        <v/>
      </c>
      <c r="J66" t="str">
        <f t="shared" si="20"/>
        <v/>
      </c>
      <c r="K66" t="str">
        <f t="shared" si="15"/>
        <v/>
      </c>
      <c r="L66" t="str">
        <f t="shared" si="21"/>
        <v/>
      </c>
      <c r="M66" s="5" t="str">
        <f t="shared" si="16"/>
        <v/>
      </c>
      <c r="N66" s="7" t="str">
        <f t="shared" si="22"/>
        <v/>
      </c>
      <c r="O66" s="3" t="str">
        <f t="shared" si="7"/>
        <v/>
      </c>
      <c r="P66" s="3" t="str">
        <f t="shared" si="8"/>
        <v/>
      </c>
      <c r="Q66" s="3" t="str">
        <f t="shared" si="9"/>
        <v/>
      </c>
      <c r="R66" s="3" t="str">
        <f t="shared" si="10"/>
        <v/>
      </c>
      <c r="S66" s="3" t="str">
        <f>IF($L66&lt;&gt;"",IF($A66="Prepago",0,IF(ROUND($H66*$U$5,2)&gt;ROUND(SUM($S$11:$S65)+$U$5,2),$U$5*2,$U$5)),"")</f>
        <v/>
      </c>
      <c r="T66" s="3" t="str">
        <f>IF($L66&lt;&gt;"",IF($A66="Prepago",0,IF(ROUND($H66*$U$6,2)&gt;ROUND(SUM($T$11:$T65)+$U$6,2),$U$6*2,$U$6)),"")</f>
        <v/>
      </c>
      <c r="U66" s="3" t="str">
        <f>IF($L66&lt;&gt;"",IF($A66="Prepago",0,IF(ROUND($H66*$U$7,2)&gt;ROUND(SUM($U$11:$U65)+$U$7,2),$U$7*2,$U$7)),"")</f>
        <v/>
      </c>
      <c r="V66" s="3" t="str">
        <f>IF($L66&lt;&gt;"",IF($A66="Prepago",0,IF(ROUND($H66*$U$8,2)&gt;ROUND(SUM($V$11:$V65)+$U$8,2),$U$8*2,$U$8)),"")</f>
        <v/>
      </c>
      <c r="W66" s="3" t="str">
        <f t="shared" si="23"/>
        <v/>
      </c>
      <c r="X66" s="3" t="str">
        <f t="shared" si="12"/>
        <v/>
      </c>
      <c r="Y66" s="3" t="str">
        <f t="shared" si="13"/>
        <v/>
      </c>
      <c r="Z66" s="3" t="str">
        <f t="shared" si="14"/>
        <v/>
      </c>
      <c r="AA66" s="3" t="str">
        <f>IF($L66&lt;&gt;"",IF($N66&gt;Z$11,IF($N66&lt;AA$11,$N66-Z$11,30),0)*ROUND(($O66+$X65+SUM($Z66:Z66))*$V$5/3000,2),"")</f>
        <v/>
      </c>
      <c r="AB66" s="3"/>
      <c r="AC66" s="3"/>
    </row>
    <row r="67" spans="5:29" x14ac:dyDescent="0.3">
      <c r="E67" s="5"/>
      <c r="F67" t="str">
        <f t="shared" si="17"/>
        <v/>
      </c>
      <c r="G67" s="5" t="str">
        <f t="shared" si="18"/>
        <v/>
      </c>
      <c r="H67" t="str">
        <f t="shared" si="19"/>
        <v/>
      </c>
      <c r="I67" t="str">
        <f t="shared" si="3"/>
        <v/>
      </c>
      <c r="J67" t="str">
        <f t="shared" si="20"/>
        <v/>
      </c>
      <c r="K67" t="str">
        <f t="shared" si="15"/>
        <v/>
      </c>
      <c r="L67" t="str">
        <f t="shared" si="21"/>
        <v/>
      </c>
      <c r="M67" s="5" t="str">
        <f t="shared" si="16"/>
        <v/>
      </c>
      <c r="N67" s="7" t="str">
        <f t="shared" si="22"/>
        <v/>
      </c>
      <c r="O67" s="3" t="str">
        <f t="shared" si="7"/>
        <v/>
      </c>
      <c r="P67" s="3" t="str">
        <f t="shared" si="8"/>
        <v/>
      </c>
      <c r="Q67" s="3" t="str">
        <f t="shared" si="9"/>
        <v/>
      </c>
      <c r="R67" s="3" t="str">
        <f t="shared" si="10"/>
        <v/>
      </c>
      <c r="S67" s="3" t="str">
        <f>IF($L67&lt;&gt;"",IF($A67="Prepago",0,IF(ROUND($H67*$U$5,2)&gt;ROUND(SUM($S$11:$S66)+$U$5,2),$U$5*2,$U$5)),"")</f>
        <v/>
      </c>
      <c r="T67" s="3" t="str">
        <f>IF($L67&lt;&gt;"",IF($A67="Prepago",0,IF(ROUND($H67*$U$6,2)&gt;ROUND(SUM($T$11:$T66)+$U$6,2),$U$6*2,$U$6)),"")</f>
        <v/>
      </c>
      <c r="U67" s="3" t="str">
        <f>IF($L67&lt;&gt;"",IF($A67="Prepago",0,IF(ROUND($H67*$U$7,2)&gt;ROUND(SUM($U$11:$U66)+$U$7,2),$U$7*2,$U$7)),"")</f>
        <v/>
      </c>
      <c r="V67" s="3" t="str">
        <f>IF($L67&lt;&gt;"",IF($A67="Prepago",0,IF(ROUND($H67*$U$8,2)&gt;ROUND(SUM($V$11:$V66)+$U$8,2),$U$8*2,$U$8)),"")</f>
        <v/>
      </c>
      <c r="W67" s="3" t="str">
        <f t="shared" si="23"/>
        <v/>
      </c>
      <c r="X67" s="3" t="str">
        <f t="shared" si="12"/>
        <v/>
      </c>
      <c r="Y67" s="3" t="str">
        <f t="shared" si="13"/>
        <v/>
      </c>
      <c r="Z67" s="3" t="str">
        <f t="shared" si="14"/>
        <v/>
      </c>
      <c r="AA67" s="3" t="str">
        <f>IF($L67&lt;&gt;"",IF($N67&gt;Z$11,IF($N67&lt;AA$11,$N67-Z$11,30),0)*ROUND(($O67+$X66+SUM($Z67:Z67))*$V$5/3000,2),"")</f>
        <v/>
      </c>
      <c r="AB67" s="3"/>
      <c r="AC67" s="3"/>
    </row>
    <row r="68" spans="5:29" x14ac:dyDescent="0.3">
      <c r="E68" s="5"/>
      <c r="F68" t="str">
        <f t="shared" si="17"/>
        <v/>
      </c>
      <c r="G68" s="5" t="str">
        <f t="shared" si="18"/>
        <v/>
      </c>
      <c r="H68" t="str">
        <f t="shared" si="19"/>
        <v/>
      </c>
      <c r="I68" t="str">
        <f t="shared" si="3"/>
        <v/>
      </c>
      <c r="J68" t="str">
        <f t="shared" si="20"/>
        <v/>
      </c>
      <c r="K68" t="str">
        <f t="shared" si="15"/>
        <v/>
      </c>
      <c r="L68" t="str">
        <f t="shared" si="21"/>
        <v/>
      </c>
      <c r="M68" s="5" t="str">
        <f t="shared" si="16"/>
        <v/>
      </c>
      <c r="N68" s="7" t="str">
        <f t="shared" si="22"/>
        <v/>
      </c>
      <c r="O68" s="3" t="str">
        <f t="shared" si="7"/>
        <v/>
      </c>
      <c r="P68" s="3" t="str">
        <f t="shared" si="8"/>
        <v/>
      </c>
      <c r="Q68" s="3" t="str">
        <f t="shared" si="9"/>
        <v/>
      </c>
      <c r="R68" s="3" t="str">
        <f t="shared" si="10"/>
        <v/>
      </c>
      <c r="S68" s="3" t="str">
        <f>IF($L68&lt;&gt;"",IF($A68="Prepago",0,IF(ROUND($H68*$U$5,2)&gt;ROUND(SUM($S$11:$S67)+$U$5,2),$U$5*2,$U$5)),"")</f>
        <v/>
      </c>
      <c r="T68" s="3" t="str">
        <f>IF($L68&lt;&gt;"",IF($A68="Prepago",0,IF(ROUND($H68*$U$6,2)&gt;ROUND(SUM($T$11:$T67)+$U$6,2),$U$6*2,$U$6)),"")</f>
        <v/>
      </c>
      <c r="U68" s="3" t="str">
        <f>IF($L68&lt;&gt;"",IF($A68="Prepago",0,IF(ROUND($H68*$U$7,2)&gt;ROUND(SUM($U$11:$U67)+$U$7,2),$U$7*2,$U$7)),"")</f>
        <v/>
      </c>
      <c r="V68" s="3" t="str">
        <f>IF($L68&lt;&gt;"",IF($A68="Prepago",0,IF(ROUND($H68*$U$8,2)&gt;ROUND(SUM($V$11:$V67)+$U$8,2),$U$8*2,$U$8)),"")</f>
        <v/>
      </c>
      <c r="W68" s="3" t="str">
        <f t="shared" si="23"/>
        <v/>
      </c>
      <c r="X68" s="3" t="str">
        <f t="shared" si="12"/>
        <v/>
      </c>
      <c r="Y68" s="3" t="str">
        <f t="shared" si="13"/>
        <v/>
      </c>
      <c r="Z68" s="3" t="str">
        <f t="shared" si="14"/>
        <v/>
      </c>
      <c r="AA68" s="3" t="str">
        <f>IF($L68&lt;&gt;"",IF($N68&gt;Z$11,IF($N68&lt;AA$11,$N68-Z$11,30),0)*ROUND(($O68+$X67+SUM($Z68:Z68))*$V$5/3000,2),"")</f>
        <v/>
      </c>
      <c r="AB68" s="3"/>
      <c r="AC68" s="3"/>
    </row>
    <row r="69" spans="5:29" x14ac:dyDescent="0.3">
      <c r="E69" s="5"/>
      <c r="F69" t="str">
        <f t="shared" si="17"/>
        <v/>
      </c>
      <c r="G69" s="5" t="str">
        <f t="shared" si="18"/>
        <v/>
      </c>
      <c r="H69" t="str">
        <f t="shared" si="19"/>
        <v/>
      </c>
      <c r="I69" t="str">
        <f t="shared" si="3"/>
        <v/>
      </c>
      <c r="J69" t="str">
        <f t="shared" si="20"/>
        <v/>
      </c>
      <c r="K69" t="str">
        <f t="shared" si="15"/>
        <v/>
      </c>
      <c r="L69" t="str">
        <f t="shared" si="21"/>
        <v/>
      </c>
      <c r="M69" s="5" t="str">
        <f t="shared" si="16"/>
        <v/>
      </c>
      <c r="N69" s="7" t="str">
        <f t="shared" si="22"/>
        <v/>
      </c>
      <c r="O69" s="3" t="str">
        <f t="shared" si="7"/>
        <v/>
      </c>
      <c r="P69" s="3" t="str">
        <f t="shared" si="8"/>
        <v/>
      </c>
      <c r="Q69" s="3" t="str">
        <f t="shared" si="9"/>
        <v/>
      </c>
      <c r="R69" s="3" t="str">
        <f t="shared" si="10"/>
        <v/>
      </c>
      <c r="S69" s="3" t="str">
        <f>IF($L69&lt;&gt;"",IF($A69="Prepago",0,IF(ROUND($H69*$U$5,2)&gt;ROUND(SUM($S$11:$S68)+$U$5,2),$U$5*2,$U$5)),"")</f>
        <v/>
      </c>
      <c r="T69" s="3" t="str">
        <f>IF($L69&lt;&gt;"",IF($A69="Prepago",0,IF(ROUND($H69*$U$6,2)&gt;ROUND(SUM($T$11:$T68)+$U$6,2),$U$6*2,$U$6)),"")</f>
        <v/>
      </c>
      <c r="U69" s="3" t="str">
        <f>IF($L69&lt;&gt;"",IF($A69="Prepago",0,IF(ROUND($H69*$U$7,2)&gt;ROUND(SUM($U$11:$U68)+$U$7,2),$U$7*2,$U$7)),"")</f>
        <v/>
      </c>
      <c r="V69" s="3" t="str">
        <f>IF($L69&lt;&gt;"",IF($A69="Prepago",0,IF(ROUND($H69*$U$8,2)&gt;ROUND(SUM($V$11:$V68)+$U$8,2),$U$8*2,$U$8)),"")</f>
        <v/>
      </c>
      <c r="W69" s="3" t="str">
        <f t="shared" si="23"/>
        <v/>
      </c>
      <c r="X69" s="3" t="str">
        <f t="shared" si="12"/>
        <v/>
      </c>
      <c r="Y69" s="3" t="str">
        <f t="shared" si="13"/>
        <v/>
      </c>
      <c r="Z69" s="3" t="str">
        <f t="shared" si="14"/>
        <v/>
      </c>
      <c r="AA69" s="3" t="str">
        <f>IF($L69&lt;&gt;"",IF($N69&gt;Z$11,IF($N69&lt;AA$11,$N69-Z$11,30),0)*ROUND(($O69+$X68+SUM($Z69:Z69))*$V$5/3000,2),"")</f>
        <v/>
      </c>
      <c r="AB69" s="3"/>
      <c r="AC69" s="3"/>
    </row>
    <row r="70" spans="5:29" x14ac:dyDescent="0.3">
      <c r="E70" s="5"/>
      <c r="F70" t="str">
        <f t="shared" si="17"/>
        <v/>
      </c>
      <c r="G70" s="5" t="str">
        <f t="shared" si="18"/>
        <v/>
      </c>
      <c r="H70" t="str">
        <f t="shared" si="19"/>
        <v/>
      </c>
      <c r="I70" t="str">
        <f t="shared" si="3"/>
        <v/>
      </c>
      <c r="J70" t="str">
        <f t="shared" si="20"/>
        <v/>
      </c>
      <c r="K70" t="str">
        <f t="shared" si="15"/>
        <v/>
      </c>
      <c r="L70" t="str">
        <f t="shared" si="21"/>
        <v/>
      </c>
      <c r="M70" s="5" t="str">
        <f t="shared" si="16"/>
        <v/>
      </c>
      <c r="N70" s="7" t="str">
        <f t="shared" si="22"/>
        <v/>
      </c>
      <c r="O70" s="3" t="str">
        <f t="shared" si="7"/>
        <v/>
      </c>
      <c r="P70" s="3" t="str">
        <f t="shared" si="8"/>
        <v/>
      </c>
      <c r="Q70" s="3" t="str">
        <f t="shared" si="9"/>
        <v/>
      </c>
      <c r="R70" s="3" t="str">
        <f t="shared" si="10"/>
        <v/>
      </c>
      <c r="S70" s="3" t="str">
        <f>IF($L70&lt;&gt;"",IF($A70="Prepago",0,IF(ROUND($H70*$U$5,2)&gt;ROUND(SUM($S$11:$S69)+$U$5,2),$U$5*2,$U$5)),"")</f>
        <v/>
      </c>
      <c r="T70" s="3" t="str">
        <f>IF($L70&lt;&gt;"",IF($A70="Prepago",0,IF(ROUND($H70*$U$6,2)&gt;ROUND(SUM($T$11:$T69)+$U$6,2),$U$6*2,$U$6)),"")</f>
        <v/>
      </c>
      <c r="U70" s="3" t="str">
        <f>IF($L70&lt;&gt;"",IF($A70="Prepago",0,IF(ROUND($H70*$U$7,2)&gt;ROUND(SUM($U$11:$U69)+$U$7,2),$U$7*2,$U$7)),"")</f>
        <v/>
      </c>
      <c r="V70" s="3" t="str">
        <f>IF($L70&lt;&gt;"",IF($A70="Prepago",0,IF(ROUND($H70*$U$8,2)&gt;ROUND(SUM($V$11:$V69)+$U$8,2),$U$8*2,$U$8)),"")</f>
        <v/>
      </c>
      <c r="W70" s="3" t="str">
        <f t="shared" si="23"/>
        <v/>
      </c>
      <c r="X70" s="3" t="str">
        <f t="shared" si="12"/>
        <v/>
      </c>
      <c r="Y70" s="3" t="str">
        <f t="shared" si="13"/>
        <v/>
      </c>
      <c r="Z70" s="3" t="str">
        <f t="shared" si="14"/>
        <v/>
      </c>
      <c r="AA70" s="3" t="str">
        <f>IF($L70&lt;&gt;"",IF($N70&gt;Z$11,IF($N70&lt;AA$11,$N70-Z$11,30),0)*ROUND(($O70+$X69+SUM($Z70:Z70))*$V$5/3000,2),"")</f>
        <v/>
      </c>
      <c r="AB70" s="3"/>
      <c r="AC70" s="3"/>
    </row>
    <row r="71" spans="5:29" x14ac:dyDescent="0.3">
      <c r="E71" s="5"/>
      <c r="F71" t="str">
        <f t="shared" si="17"/>
        <v/>
      </c>
      <c r="G71" s="5" t="str">
        <f t="shared" si="18"/>
        <v/>
      </c>
      <c r="H71" t="str">
        <f t="shared" si="19"/>
        <v/>
      </c>
      <c r="I71" t="str">
        <f t="shared" si="3"/>
        <v/>
      </c>
      <c r="J71" t="str">
        <f t="shared" si="20"/>
        <v/>
      </c>
      <c r="K71" t="str">
        <f t="shared" si="15"/>
        <v/>
      </c>
      <c r="L71" t="str">
        <f t="shared" si="21"/>
        <v/>
      </c>
      <c r="M71" s="5" t="str">
        <f t="shared" si="16"/>
        <v/>
      </c>
      <c r="N71" s="7" t="str">
        <f t="shared" si="22"/>
        <v/>
      </c>
      <c r="O71" s="3" t="str">
        <f t="shared" si="7"/>
        <v/>
      </c>
      <c r="P71" s="3" t="str">
        <f t="shared" si="8"/>
        <v/>
      </c>
      <c r="Q71" s="3" t="str">
        <f t="shared" si="9"/>
        <v/>
      </c>
      <c r="R71" s="3" t="str">
        <f t="shared" si="10"/>
        <v/>
      </c>
      <c r="S71" s="3" t="str">
        <f>IF($L71&lt;&gt;"",IF($A71="Prepago",0,IF(ROUND($H71*$U$5,2)&gt;ROUND(SUM($S$11:$S70)+$U$5,2),$U$5*2,$U$5)),"")</f>
        <v/>
      </c>
      <c r="T71" s="3" t="str">
        <f>IF($L71&lt;&gt;"",IF($A71="Prepago",0,IF(ROUND($H71*$U$6,2)&gt;ROUND(SUM($T$11:$T70)+$U$6,2),$U$6*2,$U$6)),"")</f>
        <v/>
      </c>
      <c r="U71" s="3" t="str">
        <f>IF($L71&lt;&gt;"",IF($A71="Prepago",0,IF(ROUND($H71*$U$7,2)&gt;ROUND(SUM($U$11:$U70)+$U$7,2),$U$7*2,$U$7)),"")</f>
        <v/>
      </c>
      <c r="V71" s="3" t="str">
        <f>IF($L71&lt;&gt;"",IF($A71="Prepago",0,IF(ROUND($H71*$U$8,2)&gt;ROUND(SUM($V$11:$V70)+$U$8,2),$U$8*2,$U$8)),"")</f>
        <v/>
      </c>
      <c r="W71" s="3" t="str">
        <f t="shared" si="23"/>
        <v/>
      </c>
      <c r="X71" s="3" t="str">
        <f t="shared" si="12"/>
        <v/>
      </c>
      <c r="Y71" s="3" t="str">
        <f t="shared" si="13"/>
        <v/>
      </c>
      <c r="Z71" s="3" t="str">
        <f t="shared" si="14"/>
        <v/>
      </c>
      <c r="AA71" s="3" t="str">
        <f>IF($L71&lt;&gt;"",IF($N71&gt;Z$11,IF($N71&lt;AA$11,$N71-Z$11,30),0)*ROUND(($O71+$X70+SUM($Z71:Z71))*$V$5/3000,2),"")</f>
        <v/>
      </c>
      <c r="AB71" s="3"/>
      <c r="AC71" s="3"/>
    </row>
    <row r="72" spans="5:29" x14ac:dyDescent="0.3">
      <c r="E72" s="5"/>
      <c r="F72" t="str">
        <f t="shared" si="17"/>
        <v/>
      </c>
      <c r="G72" s="5" t="str">
        <f t="shared" si="18"/>
        <v/>
      </c>
      <c r="H72" t="str">
        <f t="shared" si="19"/>
        <v/>
      </c>
      <c r="I72" t="str">
        <f t="shared" si="3"/>
        <v/>
      </c>
      <c r="J72" t="str">
        <f t="shared" si="20"/>
        <v/>
      </c>
      <c r="K72" t="str">
        <f t="shared" si="15"/>
        <v/>
      </c>
      <c r="L72" t="str">
        <f t="shared" si="21"/>
        <v/>
      </c>
      <c r="M72" s="5" t="str">
        <f t="shared" si="16"/>
        <v/>
      </c>
      <c r="N72" s="7" t="str">
        <f t="shared" si="22"/>
        <v/>
      </c>
      <c r="O72" s="3" t="str">
        <f t="shared" si="7"/>
        <v/>
      </c>
      <c r="P72" s="3" t="str">
        <f t="shared" si="8"/>
        <v/>
      </c>
      <c r="Q72" s="3" t="str">
        <f t="shared" si="9"/>
        <v/>
      </c>
      <c r="R72" s="3" t="str">
        <f t="shared" si="10"/>
        <v/>
      </c>
      <c r="S72" s="3" t="str">
        <f>IF($L72&lt;&gt;"",IF($A72="Prepago",0,IF(ROUND($H72*$U$5,2)&gt;ROUND(SUM($S$11:$S71)+$U$5,2),$U$5*2,$U$5)),"")</f>
        <v/>
      </c>
      <c r="T72" s="3" t="str">
        <f>IF($L72&lt;&gt;"",IF($A72="Prepago",0,IF(ROUND($H72*$U$6,2)&gt;ROUND(SUM($T$11:$T71)+$U$6,2),$U$6*2,$U$6)),"")</f>
        <v/>
      </c>
      <c r="U72" s="3" t="str">
        <f>IF($L72&lt;&gt;"",IF($A72="Prepago",0,IF(ROUND($H72*$U$7,2)&gt;ROUND(SUM($U$11:$U71)+$U$7,2),$U$7*2,$U$7)),"")</f>
        <v/>
      </c>
      <c r="V72" s="3" t="str">
        <f>IF($L72&lt;&gt;"",IF($A72="Prepago",0,IF(ROUND($H72*$U$8,2)&gt;ROUND(SUM($V$11:$V71)+$U$8,2),$U$8*2,$U$8)),"")</f>
        <v/>
      </c>
      <c r="W72" s="3" t="str">
        <f t="shared" si="23"/>
        <v/>
      </c>
      <c r="X72" s="3" t="str">
        <f t="shared" si="12"/>
        <v/>
      </c>
      <c r="Y72" s="3" t="str">
        <f t="shared" si="13"/>
        <v/>
      </c>
      <c r="Z72" s="3" t="str">
        <f t="shared" si="14"/>
        <v/>
      </c>
      <c r="AA72" s="3" t="str">
        <f>IF($L72&lt;&gt;"",IF($N72&gt;Z$11,IF($N72&lt;AA$11,$N72-Z$11,30),0)*ROUND(($O72+$X71+SUM($Z72:Z72))*$V$5/3000,2),"")</f>
        <v/>
      </c>
      <c r="AB72" s="3"/>
      <c r="AC72" s="3"/>
    </row>
    <row r="73" spans="5:29" x14ac:dyDescent="0.3">
      <c r="E73" s="5"/>
      <c r="F73" t="str">
        <f t="shared" si="17"/>
        <v/>
      </c>
      <c r="G73" s="5" t="str">
        <f t="shared" si="18"/>
        <v/>
      </c>
      <c r="H73" t="str">
        <f t="shared" si="19"/>
        <v/>
      </c>
      <c r="I73" t="str">
        <f t="shared" si="3"/>
        <v/>
      </c>
      <c r="J73" t="str">
        <f t="shared" si="20"/>
        <v/>
      </c>
      <c r="K73" t="str">
        <f t="shared" si="15"/>
        <v/>
      </c>
      <c r="L73" t="str">
        <f t="shared" si="21"/>
        <v/>
      </c>
      <c r="M73" s="5" t="str">
        <f t="shared" si="16"/>
        <v/>
      </c>
      <c r="N73" s="7" t="str">
        <f t="shared" si="22"/>
        <v/>
      </c>
      <c r="O73" s="3" t="str">
        <f t="shared" si="7"/>
        <v/>
      </c>
      <c r="P73" s="3" t="str">
        <f t="shared" si="8"/>
        <v/>
      </c>
      <c r="Q73" s="3" t="str">
        <f t="shared" si="9"/>
        <v/>
      </c>
      <c r="R73" s="3" t="str">
        <f t="shared" si="10"/>
        <v/>
      </c>
      <c r="S73" s="3" t="str">
        <f>IF($L73&lt;&gt;"",IF($A73="Prepago",0,IF(ROUND($H73*$U$5,2)&gt;ROUND(SUM($S$11:$S72)+$U$5,2),$U$5*2,$U$5)),"")</f>
        <v/>
      </c>
      <c r="T73" s="3" t="str">
        <f>IF($L73&lt;&gt;"",IF($A73="Prepago",0,IF(ROUND($H73*$U$6,2)&gt;ROUND(SUM($T$11:$T72)+$U$6,2),$U$6*2,$U$6)),"")</f>
        <v/>
      </c>
      <c r="U73" s="3" t="str">
        <f>IF($L73&lt;&gt;"",IF($A73="Prepago",0,IF(ROUND($H73*$U$7,2)&gt;ROUND(SUM($U$11:$U72)+$U$7,2),$U$7*2,$U$7)),"")</f>
        <v/>
      </c>
      <c r="V73" s="3" t="str">
        <f>IF($L73&lt;&gt;"",IF($A73="Prepago",0,IF(ROUND($H73*$U$8,2)&gt;ROUND(SUM($V$11:$V72)+$U$8,2),$U$8*2,$U$8)),"")</f>
        <v/>
      </c>
      <c r="W73" s="3" t="str">
        <f t="shared" si="23"/>
        <v/>
      </c>
      <c r="X73" s="3" t="str">
        <f t="shared" si="12"/>
        <v/>
      </c>
      <c r="Y73" s="3" t="str">
        <f t="shared" si="13"/>
        <v/>
      </c>
      <c r="Z73" s="3" t="str">
        <f t="shared" si="14"/>
        <v/>
      </c>
      <c r="AA73" s="3" t="str">
        <f>IF($L73&lt;&gt;"",IF($N73&gt;Z$11,IF($N73&lt;AA$11,$N73-Z$11,30),0)*ROUND(($O73+$X72+SUM($Z73:Z73))*$V$5/3000,2),"")</f>
        <v/>
      </c>
      <c r="AB73" s="3"/>
      <c r="AC73" s="3"/>
    </row>
    <row r="74" spans="5:29" x14ac:dyDescent="0.3">
      <c r="E74" s="5"/>
      <c r="F74" t="str">
        <f t="shared" si="17"/>
        <v/>
      </c>
      <c r="G74" s="5" t="str">
        <f t="shared" si="18"/>
        <v/>
      </c>
      <c r="H74" t="str">
        <f t="shared" si="19"/>
        <v/>
      </c>
      <c r="I74" t="str">
        <f t="shared" si="3"/>
        <v/>
      </c>
      <c r="J74" t="str">
        <f t="shared" si="20"/>
        <v/>
      </c>
      <c r="K74" t="str">
        <f t="shared" si="15"/>
        <v/>
      </c>
      <c r="L74" t="str">
        <f t="shared" si="21"/>
        <v/>
      </c>
      <c r="M74" s="5" t="str">
        <f t="shared" si="16"/>
        <v/>
      </c>
      <c r="N74" s="7" t="str">
        <f t="shared" si="22"/>
        <v/>
      </c>
      <c r="O74" s="3" t="str">
        <f t="shared" si="7"/>
        <v/>
      </c>
      <c r="P74" s="3" t="str">
        <f t="shared" si="8"/>
        <v/>
      </c>
      <c r="Q74" s="3" t="str">
        <f t="shared" si="9"/>
        <v/>
      </c>
      <c r="R74" s="3" t="str">
        <f t="shared" si="10"/>
        <v/>
      </c>
      <c r="S74" s="3" t="str">
        <f>IF($L74&lt;&gt;"",IF($A74="Prepago",0,IF(ROUND($H74*$U$5,2)&gt;ROUND(SUM($S$11:$S73)+$U$5,2),$U$5*2,$U$5)),"")</f>
        <v/>
      </c>
      <c r="T74" s="3" t="str">
        <f>IF($L74&lt;&gt;"",IF($A74="Prepago",0,IF(ROUND($H74*$U$6,2)&gt;ROUND(SUM($T$11:$T73)+$U$6,2),$U$6*2,$U$6)),"")</f>
        <v/>
      </c>
      <c r="U74" s="3" t="str">
        <f>IF($L74&lt;&gt;"",IF($A74="Prepago",0,IF(ROUND($H74*$U$7,2)&gt;ROUND(SUM($U$11:$U73)+$U$7,2),$U$7*2,$U$7)),"")</f>
        <v/>
      </c>
      <c r="V74" s="3" t="str">
        <f>IF($L74&lt;&gt;"",IF($A74="Prepago",0,IF(ROUND($H74*$U$8,2)&gt;ROUND(SUM($V$11:$V73)+$U$8,2),$U$8*2,$U$8)),"")</f>
        <v/>
      </c>
      <c r="W74" s="3" t="str">
        <f t="shared" si="23"/>
        <v/>
      </c>
      <c r="X74" s="3" t="str">
        <f t="shared" si="12"/>
        <v/>
      </c>
      <c r="Y74" s="3" t="str">
        <f t="shared" si="13"/>
        <v/>
      </c>
      <c r="Z74" s="3" t="str">
        <f t="shared" si="14"/>
        <v/>
      </c>
      <c r="AA74" s="3" t="str">
        <f>IF($L74&lt;&gt;"",IF($N74&gt;Z$11,IF($N74&lt;AA$11,$N74-Z$11,30),0)*ROUND(($O74+$X73+SUM($Z74:Z74))*$V$5/3000,2),"")</f>
        <v/>
      </c>
      <c r="AB74" s="3"/>
      <c r="AC74" s="3"/>
    </row>
    <row r="75" spans="5:29" x14ac:dyDescent="0.3">
      <c r="E75" s="5"/>
      <c r="F75" t="str">
        <f t="shared" si="17"/>
        <v/>
      </c>
      <c r="G75" s="5" t="str">
        <f t="shared" si="18"/>
        <v/>
      </c>
      <c r="H75" t="str">
        <f t="shared" si="19"/>
        <v/>
      </c>
      <c r="I75" t="str">
        <f t="shared" si="3"/>
        <v/>
      </c>
      <c r="J75" t="str">
        <f t="shared" si="20"/>
        <v/>
      </c>
      <c r="K75" t="str">
        <f t="shared" si="15"/>
        <v/>
      </c>
      <c r="L75" t="str">
        <f t="shared" si="21"/>
        <v/>
      </c>
      <c r="M75" s="5" t="str">
        <f t="shared" si="16"/>
        <v/>
      </c>
      <c r="N75" s="7" t="str">
        <f t="shared" si="22"/>
        <v/>
      </c>
      <c r="O75" s="3" t="str">
        <f t="shared" si="7"/>
        <v/>
      </c>
      <c r="P75" s="3" t="str">
        <f t="shared" si="8"/>
        <v/>
      </c>
      <c r="Q75" s="3" t="str">
        <f t="shared" si="9"/>
        <v/>
      </c>
      <c r="R75" s="3" t="str">
        <f t="shared" si="10"/>
        <v/>
      </c>
      <c r="S75" s="3" t="str">
        <f>IF($L75&lt;&gt;"",IF($A75="Prepago",0,IF(ROUND($H75*$U$5,2)&gt;ROUND(SUM($S$11:$S74)+$U$5,2),$U$5*2,$U$5)),"")</f>
        <v/>
      </c>
      <c r="T75" s="3" t="str">
        <f>IF($L75&lt;&gt;"",IF($A75="Prepago",0,IF(ROUND($H75*$U$6,2)&gt;ROUND(SUM($T$11:$T74)+$U$6,2),$U$6*2,$U$6)),"")</f>
        <v/>
      </c>
      <c r="U75" s="3" t="str">
        <f>IF($L75&lt;&gt;"",IF($A75="Prepago",0,IF(ROUND($H75*$U$7,2)&gt;ROUND(SUM($U$11:$U74)+$U$7,2),$U$7*2,$U$7)),"")</f>
        <v/>
      </c>
      <c r="V75" s="3" t="str">
        <f>IF($L75&lt;&gt;"",IF($A75="Prepago",0,IF(ROUND($H75*$U$8,2)&gt;ROUND(SUM($V$11:$V74)+$U$8,2),$U$8*2,$U$8)),"")</f>
        <v/>
      </c>
      <c r="W75" s="3" t="str">
        <f t="shared" si="23"/>
        <v/>
      </c>
      <c r="X75" s="3" t="str">
        <f t="shared" si="12"/>
        <v/>
      </c>
      <c r="Y75" s="3" t="str">
        <f t="shared" si="13"/>
        <v/>
      </c>
      <c r="Z75" s="3" t="str">
        <f t="shared" si="14"/>
        <v/>
      </c>
      <c r="AA75" s="3" t="str">
        <f>IF($L75&lt;&gt;"",IF($N75&gt;Z$11,IF($N75&lt;AA$11,$N75-Z$11,30),0)*ROUND(($O75+$X74+SUM($Z75:Z75))*$V$5/3000,2),"")</f>
        <v/>
      </c>
      <c r="AB75" s="3"/>
      <c r="AC75" s="3"/>
    </row>
    <row r="76" spans="5:29" x14ac:dyDescent="0.3">
      <c r="E76" s="5"/>
      <c r="F76" t="str">
        <f t="shared" ref="F76:F95" si="24">IF($L76&lt;&gt;"",TEXT(M76,"DDD"),"")</f>
        <v/>
      </c>
      <c r="G76" s="5" t="str">
        <f t="shared" ref="G76:G139" si="25">IF($L76&lt;&gt;"",EOMONTH(DATE(YEAR($M$11),MONTH($M$11)-IF(DAY($N$6)&lt;$N$7,1,0),DAY($M$11)),($H76*$A$1)+IF(MESADICIONAL=TRUE,1,0)),"")</f>
        <v/>
      </c>
      <c r="H76" t="str">
        <f t="shared" ref="H76:H95" si="26">IF($L76&lt;&gt;"",IF($A76="Prepago",$H75,$H75+1)+B76,"")</f>
        <v/>
      </c>
      <c r="I76" t="str">
        <f t="shared" ref="I76:I139" si="27">IF(L76&lt;&gt;"",IF(COUNTA($Z76:$XFD76)*30&lt;$N76,1,0),"")</f>
        <v/>
      </c>
      <c r="J76" t="str">
        <f t="shared" si="20"/>
        <v/>
      </c>
      <c r="K76" t="str">
        <f t="shared" si="15"/>
        <v/>
      </c>
      <c r="L76" t="str">
        <f t="shared" si="21"/>
        <v/>
      </c>
      <c r="M76" s="5" t="str">
        <f t="shared" si="16"/>
        <v/>
      </c>
      <c r="N76" s="7" t="str">
        <f t="shared" si="22"/>
        <v/>
      </c>
      <c r="O76" s="3" t="str">
        <f t="shared" ref="O76:O139" si="28">IF($L76&lt;&gt;"",$W75,"")</f>
        <v/>
      </c>
      <c r="P76" s="3" t="str">
        <f t="shared" ref="P76:P139" si="29">IF($L76&lt;&gt;"",IF($A76="Gracia Parcial",IF(AND($C76&lt;$Y76+$S76+$T76+$V76+$X75,$C76&gt;0),$C76,$Y76+$S76+$T76+$V76+$X75),IF($A76="Gracia Total",0,IF($A76="Prepago",$C76,IF(ISNUMBER($C76),$C76*VALUE(MID($C$1,MONTH($M76),1)),$Q$5*VALUE(MID($C$1,MONTH($M76),1))))))-IF($L77="",ARREGLO,0),"")</f>
        <v/>
      </c>
      <c r="Q76" s="3" t="str">
        <f t="shared" ref="Q76:Q139" si="30">IF($L76&lt;&gt;"",IF($P76-$R76&gt;0,IF($P76&gt;=$R76+$S76+$T76+$V76,$P76-$R76-$S76-$T76-$V76,P76),0),"")</f>
        <v/>
      </c>
      <c r="R76" s="3" t="str">
        <f t="shared" ref="R76:R139" si="31">IF($L76&lt;&gt;"",IF($P76&gt;IF($D76="",$Y76,$D76)+$X75+$S76+$T76+$V76,IF($D76="",$Y76,$D76)+$X75,IF($P76&gt;=$S76+$T76+$V76,$P76-$S76-$T76-$V76,IF($D76="",$Y76,$D76)+$X75)),"")</f>
        <v/>
      </c>
      <c r="S76" s="3" t="str">
        <f>IF($L76&lt;&gt;"",IF($A76="Prepago",0,IF(ROUND($H76*$U$5,2)&gt;ROUND(SUM($S$11:$S75)+$U$5,2),$U$5*2,$U$5)),"")</f>
        <v/>
      </c>
      <c r="T76" s="3" t="str">
        <f>IF($L76&lt;&gt;"",IF($A76="Prepago",0,IF(ROUND($H76*$U$6,2)&gt;ROUND(SUM($T$11:$T75)+$U$6,2),$U$6*2,$U$6)),"")</f>
        <v/>
      </c>
      <c r="U76" s="3" t="str">
        <f>IF($L76&lt;&gt;"",IF($A76="Prepago",0,IF(ROUND($H76*$U$7,2)&gt;ROUND(SUM($U$11:$U75)+$U$7,2),$U$7*2,$U$7)),"")</f>
        <v/>
      </c>
      <c r="V76" s="3" t="str">
        <f>IF($L76&lt;&gt;"",IF($A76="Prepago",0,IF(ROUND($H76*$U$8,2)&gt;ROUND(SUM($V$11:$V75)+$U$8,2),$U$8*2,$U$8)),"")</f>
        <v/>
      </c>
      <c r="W76" s="3" t="str">
        <f t="shared" si="23"/>
        <v/>
      </c>
      <c r="X76" s="3" t="str">
        <f t="shared" ref="X76:X139" si="32">IF($L76&lt;&gt;"",+$X75+IF($D76="",$Y76,$D76)-$R76,"")</f>
        <v/>
      </c>
      <c r="Y76" s="3" t="str">
        <f t="shared" ref="Y76:Y139" si="33">IF($L76&lt;&gt;"",SUM($Z76:$XFD76),"")</f>
        <v/>
      </c>
      <c r="Z76" s="3" t="str">
        <f t="shared" ref="Z76:Z139" si="34">IF($L76&lt;&gt;"",IF($N76&gt;Z$11,30,$N76)*ROUND(($O76+$X75)*$V$5/3000,2),"")</f>
        <v/>
      </c>
      <c r="AA76" s="3" t="str">
        <f>IF($L76&lt;&gt;"",IF($N76&gt;Z$11,IF($N76&lt;AA$11,$N76-Z$11,30),0)*ROUND(($O76+$X75+SUM($Z76:Z76))*$V$5/3000,2),"")</f>
        <v/>
      </c>
      <c r="AB76" s="3"/>
      <c r="AC76" s="3"/>
    </row>
    <row r="77" spans="5:29" x14ac:dyDescent="0.3">
      <c r="E77" s="5"/>
      <c r="F77" t="str">
        <f t="shared" si="24"/>
        <v/>
      </c>
      <c r="G77" s="5" t="str">
        <f t="shared" si="25"/>
        <v/>
      </c>
      <c r="H77" t="str">
        <f t="shared" si="26"/>
        <v/>
      </c>
      <c r="I77" t="str">
        <f t="shared" si="27"/>
        <v/>
      </c>
      <c r="J77" t="str">
        <f t="shared" ref="J77:J95" si="35">IF($L77&lt;&gt;"",IF(OR(A77&lt;&gt;"",C77&lt;&gt;""),1,0),"")</f>
        <v/>
      </c>
      <c r="K77" t="str">
        <f t="shared" ref="K77:K95" si="36">IF($L77&lt;&gt;"",IF(J77=1,Q77,0),"")</f>
        <v/>
      </c>
      <c r="L77" t="str">
        <f t="shared" si="21"/>
        <v/>
      </c>
      <c r="M77" s="5" t="str">
        <f t="shared" ref="M77:M140" si="37">IF($L77&lt;&gt;"",IF($E77="",IF(DAY($G77)&lt;$N$7,$G77,DATE(YEAR($G77),MONTH($G77),$N$7)),$E77),"")</f>
        <v/>
      </c>
      <c r="N77" s="7" t="str">
        <f t="shared" si="22"/>
        <v/>
      </c>
      <c r="O77" s="3" t="str">
        <f t="shared" si="28"/>
        <v/>
      </c>
      <c r="P77" s="3" t="str">
        <f t="shared" si="29"/>
        <v/>
      </c>
      <c r="Q77" s="3" t="str">
        <f t="shared" si="30"/>
        <v/>
      </c>
      <c r="R77" s="3" t="str">
        <f t="shared" si="31"/>
        <v/>
      </c>
      <c r="S77" s="3" t="str">
        <f>IF($L77&lt;&gt;"",IF($A77="Prepago",0,IF(ROUND($H77*$U$5,2)&gt;ROUND(SUM($S$11:$S76)+$U$5,2),$U$5*2,$U$5)),"")</f>
        <v/>
      </c>
      <c r="T77" s="3" t="str">
        <f>IF($L77&lt;&gt;"",IF($A77="Prepago",0,IF(ROUND($H77*$U$6,2)&gt;ROUND(SUM($T$11:$T76)+$U$6,2),$U$6*2,$U$6)),"")</f>
        <v/>
      </c>
      <c r="U77" s="3" t="str">
        <f>IF($L77&lt;&gt;"",IF($A77="Prepago",0,IF(ROUND($H77*$U$7,2)&gt;ROUND(SUM($U$11:$U76)+$U$7,2),$U$7*2,$U$7)),"")</f>
        <v/>
      </c>
      <c r="V77" s="3" t="str">
        <f>IF($L77&lt;&gt;"",IF($A77="Prepago",0,IF(ROUND($H77*$U$8,2)&gt;ROUND(SUM($V$11:$V76)+$U$8,2),$U$8*2,$U$8)),"")</f>
        <v/>
      </c>
      <c r="W77" s="3" t="str">
        <f t="shared" si="23"/>
        <v/>
      </c>
      <c r="X77" s="3" t="str">
        <f t="shared" si="32"/>
        <v/>
      </c>
      <c r="Y77" s="3" t="str">
        <f t="shared" si="33"/>
        <v/>
      </c>
      <c r="Z77" s="3" t="str">
        <f t="shared" si="34"/>
        <v/>
      </c>
      <c r="AA77" s="3" t="str">
        <f>IF($L77&lt;&gt;"",IF($N77&gt;Z$11,IF($N77&lt;AA$11,$N77-Z$11,30),0)*ROUND(($O77+$X76+SUM($Z77:Z77))*$V$5/3000,2),"")</f>
        <v/>
      </c>
      <c r="AB77" s="3"/>
      <c r="AC77" s="3"/>
    </row>
    <row r="78" spans="5:29" x14ac:dyDescent="0.3">
      <c r="E78" s="5"/>
      <c r="F78" t="str">
        <f t="shared" si="24"/>
        <v/>
      </c>
      <c r="G78" s="5" t="str">
        <f t="shared" si="25"/>
        <v/>
      </c>
      <c r="H78" t="str">
        <f t="shared" si="26"/>
        <v/>
      </c>
      <c r="I78" t="str">
        <f t="shared" si="27"/>
        <v/>
      </c>
      <c r="J78" t="str">
        <f t="shared" si="35"/>
        <v/>
      </c>
      <c r="K78" t="str">
        <f t="shared" si="36"/>
        <v/>
      </c>
      <c r="L78" t="str">
        <f t="shared" si="21"/>
        <v/>
      </c>
      <c r="M78" s="5" t="str">
        <f t="shared" si="37"/>
        <v/>
      </c>
      <c r="N78" s="7" t="str">
        <f t="shared" si="22"/>
        <v/>
      </c>
      <c r="O78" s="3" t="str">
        <f t="shared" si="28"/>
        <v/>
      </c>
      <c r="P78" s="3" t="str">
        <f t="shared" si="29"/>
        <v/>
      </c>
      <c r="Q78" s="3" t="str">
        <f t="shared" si="30"/>
        <v/>
      </c>
      <c r="R78" s="3" t="str">
        <f t="shared" si="31"/>
        <v/>
      </c>
      <c r="S78" s="3" t="str">
        <f>IF($L78&lt;&gt;"",IF($A78="Prepago",0,IF(ROUND($H78*$U$5,2)&gt;ROUND(SUM($S$11:$S77)+$U$5,2),$U$5*2,$U$5)),"")</f>
        <v/>
      </c>
      <c r="T78" s="3" t="str">
        <f>IF($L78&lt;&gt;"",IF($A78="Prepago",0,IF(ROUND($H78*$U$6,2)&gt;ROUND(SUM($T$11:$T77)+$U$6,2),$U$6*2,$U$6)),"")</f>
        <v/>
      </c>
      <c r="U78" s="3" t="str">
        <f>IF($L78&lt;&gt;"",IF($A78="Prepago",0,IF(ROUND($H78*$U$7,2)&gt;ROUND(SUM($U$11:$U77)+$U$7,2),$U$7*2,$U$7)),"")</f>
        <v/>
      </c>
      <c r="V78" s="3" t="str">
        <f>IF($L78&lt;&gt;"",IF($A78="Prepago",0,IF(ROUND($H78*$U$8,2)&gt;ROUND(SUM($V$11:$V77)+$U$8,2),$U$8*2,$U$8)),"")</f>
        <v/>
      </c>
      <c r="W78" s="3" t="str">
        <f t="shared" si="23"/>
        <v/>
      </c>
      <c r="X78" s="3" t="str">
        <f t="shared" si="32"/>
        <v/>
      </c>
      <c r="Y78" s="3" t="str">
        <f t="shared" si="33"/>
        <v/>
      </c>
      <c r="Z78" s="3" t="str">
        <f t="shared" si="34"/>
        <v/>
      </c>
      <c r="AA78" s="3" t="str">
        <f>IF($L78&lt;&gt;"",IF($N78&gt;Z$11,IF($N78&lt;AA$11,$N78-Z$11,30),0)*ROUND(($O78+$X77+SUM($Z78:Z78))*$V$5/3000,2),"")</f>
        <v/>
      </c>
      <c r="AB78" s="3"/>
      <c r="AC78" s="3"/>
    </row>
    <row r="79" spans="5:29" x14ac:dyDescent="0.3">
      <c r="E79" s="5"/>
      <c r="F79" t="str">
        <f t="shared" si="24"/>
        <v/>
      </c>
      <c r="G79" s="5" t="str">
        <f t="shared" si="25"/>
        <v/>
      </c>
      <c r="H79" t="str">
        <f t="shared" si="26"/>
        <v/>
      </c>
      <c r="I79" t="str">
        <f t="shared" si="27"/>
        <v/>
      </c>
      <c r="J79" t="str">
        <f t="shared" si="35"/>
        <v/>
      </c>
      <c r="K79" t="str">
        <f t="shared" si="36"/>
        <v/>
      </c>
      <c r="L79" t="str">
        <f t="shared" si="21"/>
        <v/>
      </c>
      <c r="M79" s="5" t="str">
        <f t="shared" si="37"/>
        <v/>
      </c>
      <c r="N79" s="7" t="str">
        <f t="shared" si="22"/>
        <v/>
      </c>
      <c r="O79" s="3" t="str">
        <f t="shared" si="28"/>
        <v/>
      </c>
      <c r="P79" s="3" t="str">
        <f t="shared" si="29"/>
        <v/>
      </c>
      <c r="Q79" s="3" t="str">
        <f t="shared" si="30"/>
        <v/>
      </c>
      <c r="R79" s="3" t="str">
        <f t="shared" si="31"/>
        <v/>
      </c>
      <c r="S79" s="3" t="str">
        <f>IF($L79&lt;&gt;"",IF($A79="Prepago",0,IF(ROUND($H79*$U$5,2)&gt;ROUND(SUM($S$11:$S78)+$U$5,2),$U$5*2,$U$5)),"")</f>
        <v/>
      </c>
      <c r="T79" s="3" t="str">
        <f>IF($L79&lt;&gt;"",IF($A79="Prepago",0,IF(ROUND($H79*$U$6,2)&gt;ROUND(SUM($T$11:$T78)+$U$6,2),$U$6*2,$U$6)),"")</f>
        <v/>
      </c>
      <c r="U79" s="3" t="str">
        <f>IF($L79&lt;&gt;"",IF($A79="Prepago",0,IF(ROUND($H79*$U$7,2)&gt;ROUND(SUM($U$11:$U78)+$U$7,2),$U$7*2,$U$7)),"")</f>
        <v/>
      </c>
      <c r="V79" s="3" t="str">
        <f>IF($L79&lt;&gt;"",IF($A79="Prepago",0,IF(ROUND($H79*$U$8,2)&gt;ROUND(SUM($V$11:$V78)+$U$8,2),$U$8*2,$U$8)),"")</f>
        <v/>
      </c>
      <c r="W79" s="3" t="str">
        <f t="shared" si="23"/>
        <v/>
      </c>
      <c r="X79" s="3" t="str">
        <f t="shared" si="32"/>
        <v/>
      </c>
      <c r="Y79" s="3" t="str">
        <f t="shared" si="33"/>
        <v/>
      </c>
      <c r="Z79" s="3" t="str">
        <f t="shared" si="34"/>
        <v/>
      </c>
      <c r="AA79" s="3" t="str">
        <f>IF($L79&lt;&gt;"",IF($N79&gt;Z$11,IF($N79&lt;AA$11,$N79-Z$11,30),0)*ROUND(($O79+$X78+SUM($Z79:Z79))*$V$5/3000,2),"")</f>
        <v/>
      </c>
      <c r="AB79" s="3"/>
      <c r="AC79" s="3"/>
    </row>
    <row r="80" spans="5:29" x14ac:dyDescent="0.3">
      <c r="E80" s="5"/>
      <c r="F80" t="str">
        <f t="shared" si="24"/>
        <v/>
      </c>
      <c r="G80" s="5" t="str">
        <f t="shared" si="25"/>
        <v/>
      </c>
      <c r="H80" t="str">
        <f t="shared" si="26"/>
        <v/>
      </c>
      <c r="I80" t="str">
        <f t="shared" si="27"/>
        <v/>
      </c>
      <c r="J80" t="str">
        <f t="shared" si="35"/>
        <v/>
      </c>
      <c r="K80" t="str">
        <f t="shared" si="36"/>
        <v/>
      </c>
      <c r="L80" t="str">
        <f t="shared" si="21"/>
        <v/>
      </c>
      <c r="M80" s="5" t="str">
        <f t="shared" si="37"/>
        <v/>
      </c>
      <c r="N80" s="7" t="str">
        <f t="shared" si="22"/>
        <v/>
      </c>
      <c r="O80" s="3" t="str">
        <f t="shared" si="28"/>
        <v/>
      </c>
      <c r="P80" s="3" t="str">
        <f t="shared" si="29"/>
        <v/>
      </c>
      <c r="Q80" s="3" t="str">
        <f t="shared" si="30"/>
        <v/>
      </c>
      <c r="R80" s="3" t="str">
        <f t="shared" si="31"/>
        <v/>
      </c>
      <c r="S80" s="3" t="str">
        <f>IF($L80&lt;&gt;"",IF($A80="Prepago",0,IF(ROUND($H80*$U$5,2)&gt;ROUND(SUM($S$11:$S79)+$U$5,2),$U$5*2,$U$5)),"")</f>
        <v/>
      </c>
      <c r="T80" s="3" t="str">
        <f>IF($L80&lt;&gt;"",IF($A80="Prepago",0,IF(ROUND($H80*$U$6,2)&gt;ROUND(SUM($T$11:$T79)+$U$6,2),$U$6*2,$U$6)),"")</f>
        <v/>
      </c>
      <c r="U80" s="3" t="str">
        <f>IF($L80&lt;&gt;"",IF($A80="Prepago",0,IF(ROUND($H80*$U$7,2)&gt;ROUND(SUM($U$11:$U79)+$U$7,2),$U$7*2,$U$7)),"")</f>
        <v/>
      </c>
      <c r="V80" s="3" t="str">
        <f>IF($L80&lt;&gt;"",IF($A80="Prepago",0,IF(ROUND($H80*$U$8,2)&gt;ROUND(SUM($V$11:$V79)+$U$8,2),$U$8*2,$U$8)),"")</f>
        <v/>
      </c>
      <c r="W80" s="3" t="str">
        <f t="shared" si="23"/>
        <v/>
      </c>
      <c r="X80" s="3" t="str">
        <f t="shared" si="32"/>
        <v/>
      </c>
      <c r="Y80" s="3" t="str">
        <f t="shared" si="33"/>
        <v/>
      </c>
      <c r="Z80" s="3" t="str">
        <f t="shared" si="34"/>
        <v/>
      </c>
      <c r="AA80" s="3" t="str">
        <f>IF($L80&lt;&gt;"",IF($N80&gt;Z$11,IF($N80&lt;AA$11,$N80-Z$11,30),0)*ROUND(($O80+$X79+SUM($Z80:Z80))*$V$5/3000,2),"")</f>
        <v/>
      </c>
      <c r="AB80" s="3"/>
      <c r="AC80" s="3"/>
    </row>
    <row r="81" spans="5:29" x14ac:dyDescent="0.3">
      <c r="E81" s="5"/>
      <c r="F81" t="str">
        <f t="shared" si="24"/>
        <v/>
      </c>
      <c r="G81" s="5" t="str">
        <f t="shared" si="25"/>
        <v/>
      </c>
      <c r="H81" t="str">
        <f t="shared" si="26"/>
        <v/>
      </c>
      <c r="I81" t="str">
        <f t="shared" si="27"/>
        <v/>
      </c>
      <c r="J81" t="str">
        <f t="shared" si="35"/>
        <v/>
      </c>
      <c r="K81" t="str">
        <f t="shared" si="36"/>
        <v/>
      </c>
      <c r="L81" t="str">
        <f t="shared" si="21"/>
        <v/>
      </c>
      <c r="M81" s="5" t="str">
        <f t="shared" si="37"/>
        <v/>
      </c>
      <c r="N81" s="7" t="str">
        <f t="shared" si="22"/>
        <v/>
      </c>
      <c r="O81" s="3" t="str">
        <f t="shared" si="28"/>
        <v/>
      </c>
      <c r="P81" s="3" t="str">
        <f t="shared" si="29"/>
        <v/>
      </c>
      <c r="Q81" s="3" t="str">
        <f t="shared" si="30"/>
        <v/>
      </c>
      <c r="R81" s="3" t="str">
        <f t="shared" si="31"/>
        <v/>
      </c>
      <c r="S81" s="3" t="str">
        <f>IF($L81&lt;&gt;"",IF($A81="Prepago",0,IF(ROUND($H81*$U$5,2)&gt;ROUND(SUM($S$11:$S80)+$U$5,2),$U$5*2,$U$5)),"")</f>
        <v/>
      </c>
      <c r="T81" s="3" t="str">
        <f>IF($L81&lt;&gt;"",IF($A81="Prepago",0,IF(ROUND($H81*$U$6,2)&gt;ROUND(SUM($T$11:$T80)+$U$6,2),$U$6*2,$U$6)),"")</f>
        <v/>
      </c>
      <c r="U81" s="3" t="str">
        <f>IF($L81&lt;&gt;"",IF($A81="Prepago",0,IF(ROUND($H81*$U$7,2)&gt;ROUND(SUM($U$11:$U80)+$U$7,2),$U$7*2,$U$7)),"")</f>
        <v/>
      </c>
      <c r="V81" s="3" t="str">
        <f>IF($L81&lt;&gt;"",IF($A81="Prepago",0,IF(ROUND($H81*$U$8,2)&gt;ROUND(SUM($V$11:$V80)+$U$8,2),$U$8*2,$U$8)),"")</f>
        <v/>
      </c>
      <c r="W81" s="3" t="str">
        <f t="shared" si="23"/>
        <v/>
      </c>
      <c r="X81" s="3" t="str">
        <f t="shared" si="32"/>
        <v/>
      </c>
      <c r="Y81" s="3" t="str">
        <f t="shared" si="33"/>
        <v/>
      </c>
      <c r="Z81" s="3" t="str">
        <f t="shared" si="34"/>
        <v/>
      </c>
      <c r="AA81" s="3" t="str">
        <f>IF($L81&lt;&gt;"",IF($N81&gt;Z$11,IF($N81&lt;AA$11,$N81-Z$11,30),0)*ROUND(($O81+$X80+SUM($Z81:Z81))*$V$5/3000,2),"")</f>
        <v/>
      </c>
      <c r="AB81" s="3"/>
      <c r="AC81" s="3"/>
    </row>
    <row r="82" spans="5:29" x14ac:dyDescent="0.3">
      <c r="E82" s="5"/>
      <c r="F82" t="str">
        <f t="shared" si="24"/>
        <v/>
      </c>
      <c r="G82" s="5" t="str">
        <f t="shared" si="25"/>
        <v/>
      </c>
      <c r="H82" t="str">
        <f t="shared" si="26"/>
        <v/>
      </c>
      <c r="I82" t="str">
        <f t="shared" si="27"/>
        <v/>
      </c>
      <c r="J82" t="str">
        <f t="shared" si="35"/>
        <v/>
      </c>
      <c r="K82" t="str">
        <f t="shared" si="36"/>
        <v/>
      </c>
      <c r="L82" t="str">
        <f t="shared" si="21"/>
        <v/>
      </c>
      <c r="M82" s="5" t="str">
        <f t="shared" si="37"/>
        <v/>
      </c>
      <c r="N82" s="7" t="str">
        <f t="shared" si="22"/>
        <v/>
      </c>
      <c r="O82" s="3" t="str">
        <f t="shared" si="28"/>
        <v/>
      </c>
      <c r="P82" s="3" t="str">
        <f t="shared" si="29"/>
        <v/>
      </c>
      <c r="Q82" s="3" t="str">
        <f t="shared" si="30"/>
        <v/>
      </c>
      <c r="R82" s="3" t="str">
        <f t="shared" si="31"/>
        <v/>
      </c>
      <c r="S82" s="3" t="str">
        <f>IF($L82&lt;&gt;"",IF($A82="Prepago",0,IF(ROUND($H82*$U$5,2)&gt;ROUND(SUM($S$11:$S81)+$U$5,2),$U$5*2,$U$5)),"")</f>
        <v/>
      </c>
      <c r="T82" s="3" t="str">
        <f>IF($L82&lt;&gt;"",IF($A82="Prepago",0,IF(ROUND($H82*$U$6,2)&gt;ROUND(SUM($T$11:$T81)+$U$6,2),$U$6*2,$U$6)),"")</f>
        <v/>
      </c>
      <c r="U82" s="3" t="str">
        <f>IF($L82&lt;&gt;"",IF($A82="Prepago",0,IF(ROUND($H82*$U$7,2)&gt;ROUND(SUM($U$11:$U81)+$U$7,2),$U$7*2,$U$7)),"")</f>
        <v/>
      </c>
      <c r="V82" s="3" t="str">
        <f>IF($L82&lt;&gt;"",IF($A82="Prepago",0,IF(ROUND($H82*$U$8,2)&gt;ROUND(SUM($V$11:$V81)+$U$8,2),$U$8*2,$U$8)),"")</f>
        <v/>
      </c>
      <c r="W82" s="3" t="str">
        <f t="shared" si="23"/>
        <v/>
      </c>
      <c r="X82" s="3" t="str">
        <f t="shared" si="32"/>
        <v/>
      </c>
      <c r="Y82" s="3" t="str">
        <f t="shared" si="33"/>
        <v/>
      </c>
      <c r="Z82" s="3" t="str">
        <f t="shared" si="34"/>
        <v/>
      </c>
      <c r="AA82" s="3" t="str">
        <f>IF($L82&lt;&gt;"",IF($N82&gt;Z$11,IF($N82&lt;AA$11,$N82-Z$11,30),0)*ROUND(($O82+$X81+SUM($Z82:Z82))*$V$5/3000,2),"")</f>
        <v/>
      </c>
      <c r="AB82" s="3"/>
      <c r="AC82" s="3"/>
    </row>
    <row r="83" spans="5:29" x14ac:dyDescent="0.3">
      <c r="E83" s="5"/>
      <c r="F83" t="str">
        <f t="shared" si="24"/>
        <v/>
      </c>
      <c r="G83" s="5" t="str">
        <f t="shared" si="25"/>
        <v/>
      </c>
      <c r="H83" t="str">
        <f t="shared" si="26"/>
        <v/>
      </c>
      <c r="I83" t="str">
        <f t="shared" si="27"/>
        <v/>
      </c>
      <c r="J83" t="str">
        <f t="shared" si="35"/>
        <v/>
      </c>
      <c r="K83" t="str">
        <f t="shared" si="36"/>
        <v/>
      </c>
      <c r="L83" t="str">
        <f t="shared" si="21"/>
        <v/>
      </c>
      <c r="M83" s="5" t="str">
        <f t="shared" si="37"/>
        <v/>
      </c>
      <c r="N83" s="7" t="str">
        <f t="shared" si="22"/>
        <v/>
      </c>
      <c r="O83" s="3" t="str">
        <f t="shared" si="28"/>
        <v/>
      </c>
      <c r="P83" s="3" t="str">
        <f t="shared" si="29"/>
        <v/>
      </c>
      <c r="Q83" s="3" t="str">
        <f t="shared" si="30"/>
        <v/>
      </c>
      <c r="R83" s="3" t="str">
        <f t="shared" si="31"/>
        <v/>
      </c>
      <c r="S83" s="3" t="str">
        <f>IF($L83&lt;&gt;"",IF($A83="Prepago",0,IF(ROUND($H83*$U$5,2)&gt;ROUND(SUM($S$11:$S82)+$U$5,2),$U$5*2,$U$5)),"")</f>
        <v/>
      </c>
      <c r="T83" s="3" t="str">
        <f>IF($L83&lt;&gt;"",IF($A83="Prepago",0,IF(ROUND($H83*$U$6,2)&gt;ROUND(SUM($T$11:$T82)+$U$6,2),$U$6*2,$U$6)),"")</f>
        <v/>
      </c>
      <c r="U83" s="3" t="str">
        <f>IF($L83&lt;&gt;"",IF($A83="Prepago",0,IF(ROUND($H83*$U$7,2)&gt;ROUND(SUM($U$11:$U82)+$U$7,2),$U$7*2,$U$7)),"")</f>
        <v/>
      </c>
      <c r="V83" s="3" t="str">
        <f>IF($L83&lt;&gt;"",IF($A83="Prepago",0,IF(ROUND($H83*$U$8,2)&gt;ROUND(SUM($V$11:$V82)+$U$8,2),$U$8*2,$U$8)),"")</f>
        <v/>
      </c>
      <c r="W83" s="3" t="str">
        <f t="shared" si="23"/>
        <v/>
      </c>
      <c r="X83" s="3" t="str">
        <f t="shared" si="32"/>
        <v/>
      </c>
      <c r="Y83" s="3" t="str">
        <f t="shared" si="33"/>
        <v/>
      </c>
      <c r="Z83" s="3" t="str">
        <f t="shared" si="34"/>
        <v/>
      </c>
      <c r="AA83" s="3" t="str">
        <f>IF($L83&lt;&gt;"",IF($N83&gt;Z$11,IF($N83&lt;AA$11,$N83-Z$11,30),0)*ROUND(($O83+$X82+SUM($Z83:Z83))*$V$5/3000,2),"")</f>
        <v/>
      </c>
      <c r="AB83" s="3"/>
      <c r="AC83" s="3"/>
    </row>
    <row r="84" spans="5:29" x14ac:dyDescent="0.3">
      <c r="E84" s="5"/>
      <c r="F84" t="str">
        <f t="shared" si="24"/>
        <v/>
      </c>
      <c r="G84" s="5" t="str">
        <f t="shared" si="25"/>
        <v/>
      </c>
      <c r="H84" t="str">
        <f t="shared" si="26"/>
        <v/>
      </c>
      <c r="I84" t="str">
        <f t="shared" si="27"/>
        <v/>
      </c>
      <c r="J84" t="str">
        <f t="shared" si="35"/>
        <v/>
      </c>
      <c r="K84" t="str">
        <f t="shared" si="36"/>
        <v/>
      </c>
      <c r="L84" t="str">
        <f t="shared" si="21"/>
        <v/>
      </c>
      <c r="M84" s="5" t="str">
        <f t="shared" si="37"/>
        <v/>
      </c>
      <c r="N84" s="7" t="str">
        <f t="shared" si="22"/>
        <v/>
      </c>
      <c r="O84" s="3" t="str">
        <f t="shared" si="28"/>
        <v/>
      </c>
      <c r="P84" s="3" t="str">
        <f t="shared" si="29"/>
        <v/>
      </c>
      <c r="Q84" s="3" t="str">
        <f t="shared" si="30"/>
        <v/>
      </c>
      <c r="R84" s="3" t="str">
        <f t="shared" si="31"/>
        <v/>
      </c>
      <c r="S84" s="3" t="str">
        <f>IF($L84&lt;&gt;"",IF($A84="Prepago",0,IF(ROUND($H84*$U$5,2)&gt;ROUND(SUM($S$11:$S83)+$U$5,2),$U$5*2,$U$5)),"")</f>
        <v/>
      </c>
      <c r="T84" s="3" t="str">
        <f>IF($L84&lt;&gt;"",IF($A84="Prepago",0,IF(ROUND($H84*$U$6,2)&gt;ROUND(SUM($T$11:$T83)+$U$6,2),$U$6*2,$U$6)),"")</f>
        <v/>
      </c>
      <c r="U84" s="3" t="str">
        <f>IF($L84&lt;&gt;"",IF($A84="Prepago",0,IF(ROUND($H84*$U$7,2)&gt;ROUND(SUM($U$11:$U83)+$U$7,2),$U$7*2,$U$7)),"")</f>
        <v/>
      </c>
      <c r="V84" s="3" t="str">
        <f>IF($L84&lt;&gt;"",IF($A84="Prepago",0,IF(ROUND($H84*$U$8,2)&gt;ROUND(SUM($V$11:$V83)+$U$8,2),$U$8*2,$U$8)),"")</f>
        <v/>
      </c>
      <c r="W84" s="3" t="str">
        <f t="shared" si="23"/>
        <v/>
      </c>
      <c r="X84" s="3" t="str">
        <f t="shared" si="32"/>
        <v/>
      </c>
      <c r="Y84" s="3" t="str">
        <f t="shared" si="33"/>
        <v/>
      </c>
      <c r="Z84" s="3" t="str">
        <f t="shared" si="34"/>
        <v/>
      </c>
      <c r="AA84" s="3" t="str">
        <f>IF($L84&lt;&gt;"",IF($N84&gt;Z$11,IF($N84&lt;AA$11,$N84-Z$11,30),0)*ROUND(($O84+$X83+SUM($Z84:Z84))*$V$5/3000,2),"")</f>
        <v/>
      </c>
      <c r="AB84" s="3"/>
      <c r="AC84" s="3"/>
    </row>
    <row r="85" spans="5:29" x14ac:dyDescent="0.3">
      <c r="E85" s="5"/>
      <c r="F85" t="str">
        <f t="shared" si="24"/>
        <v/>
      </c>
      <c r="G85" s="5" t="str">
        <f t="shared" si="25"/>
        <v/>
      </c>
      <c r="H85" t="str">
        <f t="shared" si="26"/>
        <v/>
      </c>
      <c r="I85" t="str">
        <f t="shared" si="27"/>
        <v/>
      </c>
      <c r="J85" t="str">
        <f t="shared" si="35"/>
        <v/>
      </c>
      <c r="K85" t="str">
        <f t="shared" si="36"/>
        <v/>
      </c>
      <c r="L85" t="str">
        <f t="shared" si="21"/>
        <v/>
      </c>
      <c r="M85" s="5" t="str">
        <f t="shared" si="37"/>
        <v/>
      </c>
      <c r="N85" s="7" t="str">
        <f t="shared" si="22"/>
        <v/>
      </c>
      <c r="O85" s="3" t="str">
        <f t="shared" si="28"/>
        <v/>
      </c>
      <c r="P85" s="3" t="str">
        <f t="shared" si="29"/>
        <v/>
      </c>
      <c r="Q85" s="3" t="str">
        <f t="shared" si="30"/>
        <v/>
      </c>
      <c r="R85" s="3" t="str">
        <f t="shared" si="31"/>
        <v/>
      </c>
      <c r="S85" s="3" t="str">
        <f>IF($L85&lt;&gt;"",IF($A85="Prepago",0,IF(ROUND($H85*$U$5,2)&gt;ROUND(SUM($S$11:$S84)+$U$5,2),$U$5*2,$U$5)),"")</f>
        <v/>
      </c>
      <c r="T85" s="3" t="str">
        <f>IF($L85&lt;&gt;"",IF($A85="Prepago",0,IF(ROUND($H85*$U$6,2)&gt;ROUND(SUM($T$11:$T84)+$U$6,2),$U$6*2,$U$6)),"")</f>
        <v/>
      </c>
      <c r="U85" s="3" t="str">
        <f>IF($L85&lt;&gt;"",IF($A85="Prepago",0,IF(ROUND($H85*$U$7,2)&gt;ROUND(SUM($U$11:$U84)+$U$7,2),$U$7*2,$U$7)),"")</f>
        <v/>
      </c>
      <c r="V85" s="3" t="str">
        <f>IF($L85&lt;&gt;"",IF($A85="Prepago",0,IF(ROUND($H85*$U$8,2)&gt;ROUND(SUM($V$11:$V84)+$U$8,2),$U$8*2,$U$8)),"")</f>
        <v/>
      </c>
      <c r="W85" s="3" t="str">
        <f t="shared" si="23"/>
        <v/>
      </c>
      <c r="X85" s="3" t="str">
        <f t="shared" si="32"/>
        <v/>
      </c>
      <c r="Y85" s="3" t="str">
        <f t="shared" si="33"/>
        <v/>
      </c>
      <c r="Z85" s="3" t="str">
        <f t="shared" si="34"/>
        <v/>
      </c>
      <c r="AA85" s="3" t="str">
        <f>IF($L85&lt;&gt;"",IF($N85&gt;Z$11,IF($N85&lt;AA$11,$N85-Z$11,30),0)*ROUND(($O85+$X84+SUM($Z85:Z85))*$V$5/3000,2),"")</f>
        <v/>
      </c>
      <c r="AB85" s="3"/>
      <c r="AC85" s="3"/>
    </row>
    <row r="86" spans="5:29" x14ac:dyDescent="0.3">
      <c r="E86" s="5"/>
      <c r="F86" t="str">
        <f t="shared" si="24"/>
        <v/>
      </c>
      <c r="G86" s="5" t="str">
        <f t="shared" si="25"/>
        <v/>
      </c>
      <c r="H86" t="str">
        <f t="shared" si="26"/>
        <v/>
      </c>
      <c r="I86" t="str">
        <f t="shared" si="27"/>
        <v/>
      </c>
      <c r="J86" t="str">
        <f t="shared" si="35"/>
        <v/>
      </c>
      <c r="K86" t="str">
        <f t="shared" si="36"/>
        <v/>
      </c>
      <c r="L86" t="str">
        <f t="shared" si="21"/>
        <v/>
      </c>
      <c r="M86" s="5" t="str">
        <f t="shared" si="37"/>
        <v/>
      </c>
      <c r="N86" s="7" t="str">
        <f t="shared" si="22"/>
        <v/>
      </c>
      <c r="O86" s="3" t="str">
        <f t="shared" si="28"/>
        <v/>
      </c>
      <c r="P86" s="3" t="str">
        <f t="shared" si="29"/>
        <v/>
      </c>
      <c r="Q86" s="3" t="str">
        <f t="shared" si="30"/>
        <v/>
      </c>
      <c r="R86" s="3" t="str">
        <f t="shared" si="31"/>
        <v/>
      </c>
      <c r="S86" s="3" t="str">
        <f>IF($L86&lt;&gt;"",IF($A86="Prepago",0,IF(ROUND($H86*$U$5,2)&gt;ROUND(SUM($S$11:$S85)+$U$5,2),$U$5*2,$U$5)),"")</f>
        <v/>
      </c>
      <c r="T86" s="3" t="str">
        <f>IF($L86&lt;&gt;"",IF($A86="Prepago",0,IF(ROUND($H86*$U$6,2)&gt;ROUND(SUM($T$11:$T85)+$U$6,2),$U$6*2,$U$6)),"")</f>
        <v/>
      </c>
      <c r="U86" s="3" t="str">
        <f>IF($L86&lt;&gt;"",IF($A86="Prepago",0,IF(ROUND($H86*$U$7,2)&gt;ROUND(SUM($U$11:$U85)+$U$7,2),$U$7*2,$U$7)),"")</f>
        <v/>
      </c>
      <c r="V86" s="3" t="str">
        <f>IF($L86&lt;&gt;"",IF($A86="Prepago",0,IF(ROUND($H86*$U$8,2)&gt;ROUND(SUM($V$11:$V85)+$U$8,2),$U$8*2,$U$8)),"")</f>
        <v/>
      </c>
      <c r="W86" s="3" t="str">
        <f t="shared" si="23"/>
        <v/>
      </c>
      <c r="X86" s="3" t="str">
        <f t="shared" si="32"/>
        <v/>
      </c>
      <c r="Y86" s="3" t="str">
        <f t="shared" si="33"/>
        <v/>
      </c>
      <c r="Z86" s="3" t="str">
        <f t="shared" si="34"/>
        <v/>
      </c>
      <c r="AA86" s="3" t="str">
        <f>IF($L86&lt;&gt;"",IF($N86&gt;Z$11,IF($N86&lt;AA$11,$N86-Z$11,30),0)*ROUND(($O86+$X85+SUM($Z86:Z86))*$V$5/3000,2),"")</f>
        <v/>
      </c>
      <c r="AB86" s="3"/>
      <c r="AC86" s="3"/>
    </row>
    <row r="87" spans="5:29" x14ac:dyDescent="0.3">
      <c r="E87" s="5"/>
      <c r="F87" t="str">
        <f t="shared" si="24"/>
        <v/>
      </c>
      <c r="G87" s="5" t="str">
        <f t="shared" si="25"/>
        <v/>
      </c>
      <c r="H87" t="str">
        <f t="shared" si="26"/>
        <v/>
      </c>
      <c r="I87" t="str">
        <f t="shared" si="27"/>
        <v/>
      </c>
      <c r="J87" t="str">
        <f t="shared" si="35"/>
        <v/>
      </c>
      <c r="K87" t="str">
        <f t="shared" si="36"/>
        <v/>
      </c>
      <c r="L87" t="str">
        <f t="shared" si="21"/>
        <v/>
      </c>
      <c r="M87" s="5" t="str">
        <f t="shared" si="37"/>
        <v/>
      </c>
      <c r="N87" s="7" t="str">
        <f t="shared" si="22"/>
        <v/>
      </c>
      <c r="O87" s="3" t="str">
        <f t="shared" si="28"/>
        <v/>
      </c>
      <c r="P87" s="3" t="str">
        <f t="shared" si="29"/>
        <v/>
      </c>
      <c r="Q87" s="3" t="str">
        <f t="shared" si="30"/>
        <v/>
      </c>
      <c r="R87" s="3" t="str">
        <f t="shared" si="31"/>
        <v/>
      </c>
      <c r="S87" s="3" t="str">
        <f>IF($L87&lt;&gt;"",IF($A87="Prepago",0,IF(ROUND($H87*$U$5,2)&gt;ROUND(SUM($S$11:$S86)+$U$5,2),$U$5*2,$U$5)),"")</f>
        <v/>
      </c>
      <c r="T87" s="3" t="str">
        <f>IF($L87&lt;&gt;"",IF($A87="Prepago",0,IF(ROUND($H87*$U$6,2)&gt;ROUND(SUM($T$11:$T86)+$U$6,2),$U$6*2,$U$6)),"")</f>
        <v/>
      </c>
      <c r="U87" s="3" t="str">
        <f>IF($L87&lt;&gt;"",IF($A87="Prepago",0,IF(ROUND($H87*$U$7,2)&gt;ROUND(SUM($U$11:$U86)+$U$7,2),$U$7*2,$U$7)),"")</f>
        <v/>
      </c>
      <c r="V87" s="3" t="str">
        <f>IF($L87&lt;&gt;"",IF($A87="Prepago",0,IF(ROUND($H87*$U$8,2)&gt;ROUND(SUM($V$11:$V86)+$U$8,2),$U$8*2,$U$8)),"")</f>
        <v/>
      </c>
      <c r="W87" s="3" t="str">
        <f t="shared" si="23"/>
        <v/>
      </c>
      <c r="X87" s="3" t="str">
        <f t="shared" si="32"/>
        <v/>
      </c>
      <c r="Y87" s="3" t="str">
        <f t="shared" si="33"/>
        <v/>
      </c>
      <c r="Z87" s="3" t="str">
        <f t="shared" si="34"/>
        <v/>
      </c>
      <c r="AA87" s="3" t="str">
        <f>IF($L87&lt;&gt;"",IF($N87&gt;Z$11,IF($N87&lt;AA$11,$N87-Z$11,30),0)*ROUND(($O87+$X86+SUM($Z87:Z87))*$V$5/3000,2),"")</f>
        <v/>
      </c>
      <c r="AB87" s="3"/>
      <c r="AC87" s="3"/>
    </row>
    <row r="88" spans="5:29" x14ac:dyDescent="0.3">
      <c r="E88" s="5"/>
      <c r="F88" t="str">
        <f t="shared" si="24"/>
        <v/>
      </c>
      <c r="G88" s="5" t="str">
        <f t="shared" si="25"/>
        <v/>
      </c>
      <c r="H88" t="str">
        <f t="shared" si="26"/>
        <v/>
      </c>
      <c r="I88" t="str">
        <f t="shared" si="27"/>
        <v/>
      </c>
      <c r="J88" t="str">
        <f t="shared" si="35"/>
        <v/>
      </c>
      <c r="K88" t="str">
        <f t="shared" si="36"/>
        <v/>
      </c>
      <c r="L88" t="str">
        <f t="shared" si="21"/>
        <v/>
      </c>
      <c r="M88" s="5" t="str">
        <f t="shared" si="37"/>
        <v/>
      </c>
      <c r="N88" s="7" t="str">
        <f t="shared" si="22"/>
        <v/>
      </c>
      <c r="O88" s="3" t="str">
        <f t="shared" si="28"/>
        <v/>
      </c>
      <c r="P88" s="3" t="str">
        <f t="shared" si="29"/>
        <v/>
      </c>
      <c r="Q88" s="3" t="str">
        <f t="shared" si="30"/>
        <v/>
      </c>
      <c r="R88" s="3" t="str">
        <f t="shared" si="31"/>
        <v/>
      </c>
      <c r="S88" s="3" t="str">
        <f>IF($L88&lt;&gt;"",IF($A88="Prepago",0,IF(ROUND($H88*$U$5,2)&gt;ROUND(SUM($S$11:$S87)+$U$5,2),$U$5*2,$U$5)),"")</f>
        <v/>
      </c>
      <c r="T88" s="3" t="str">
        <f>IF($L88&lt;&gt;"",IF($A88="Prepago",0,IF(ROUND($H88*$U$6,2)&gt;ROUND(SUM($T$11:$T87)+$U$6,2),$U$6*2,$U$6)),"")</f>
        <v/>
      </c>
      <c r="U88" s="3" t="str">
        <f>IF($L88&lt;&gt;"",IF($A88="Prepago",0,IF(ROUND($H88*$U$7,2)&gt;ROUND(SUM($U$11:$U87)+$U$7,2),$U$7*2,$U$7)),"")</f>
        <v/>
      </c>
      <c r="V88" s="3" t="str">
        <f>IF($L88&lt;&gt;"",IF($A88="Prepago",0,IF(ROUND($H88*$U$8,2)&gt;ROUND(SUM($V$11:$V87)+$U$8,2),$U$8*2,$U$8)),"")</f>
        <v/>
      </c>
      <c r="W88" s="3" t="str">
        <f t="shared" si="23"/>
        <v/>
      </c>
      <c r="X88" s="3" t="str">
        <f t="shared" si="32"/>
        <v/>
      </c>
      <c r="Y88" s="3" t="str">
        <f t="shared" si="33"/>
        <v/>
      </c>
      <c r="Z88" s="3" t="str">
        <f t="shared" si="34"/>
        <v/>
      </c>
      <c r="AA88" s="3" t="str">
        <f>IF($L88&lt;&gt;"",IF($N88&gt;Z$11,IF($N88&lt;AA$11,$N88-Z$11,30),0)*ROUND(($O88+$X87+SUM($Z88:Z88))*$V$5/3000,2),"")</f>
        <v/>
      </c>
      <c r="AB88" s="3"/>
      <c r="AC88" s="3"/>
    </row>
    <row r="89" spans="5:29" x14ac:dyDescent="0.3">
      <c r="E89" s="5"/>
      <c r="F89" t="str">
        <f t="shared" si="24"/>
        <v/>
      </c>
      <c r="G89" s="5" t="str">
        <f t="shared" si="25"/>
        <v/>
      </c>
      <c r="H89" t="str">
        <f t="shared" si="26"/>
        <v/>
      </c>
      <c r="I89" t="str">
        <f t="shared" si="27"/>
        <v/>
      </c>
      <c r="J89" t="str">
        <f t="shared" si="35"/>
        <v/>
      </c>
      <c r="K89" t="str">
        <f t="shared" si="36"/>
        <v/>
      </c>
      <c r="L89" t="str">
        <f t="shared" si="21"/>
        <v/>
      </c>
      <c r="M89" s="5" t="str">
        <f t="shared" si="37"/>
        <v/>
      </c>
      <c r="N89" s="7" t="str">
        <f t="shared" si="22"/>
        <v/>
      </c>
      <c r="O89" s="3" t="str">
        <f t="shared" si="28"/>
        <v/>
      </c>
      <c r="P89" s="3" t="str">
        <f t="shared" si="29"/>
        <v/>
      </c>
      <c r="Q89" s="3" t="str">
        <f t="shared" si="30"/>
        <v/>
      </c>
      <c r="R89" s="3" t="str">
        <f t="shared" si="31"/>
        <v/>
      </c>
      <c r="S89" s="3" t="str">
        <f>IF($L89&lt;&gt;"",IF($A89="Prepago",0,IF(ROUND($H89*$U$5,2)&gt;ROUND(SUM($S$11:$S88)+$U$5,2),$U$5*2,$U$5)),"")</f>
        <v/>
      </c>
      <c r="T89" s="3" t="str">
        <f>IF($L89&lt;&gt;"",IF($A89="Prepago",0,IF(ROUND($H89*$U$6,2)&gt;ROUND(SUM($T$11:$T88)+$U$6,2),$U$6*2,$U$6)),"")</f>
        <v/>
      </c>
      <c r="U89" s="3" t="str">
        <f>IF($L89&lt;&gt;"",IF($A89="Prepago",0,IF(ROUND($H89*$U$7,2)&gt;ROUND(SUM($U$11:$U88)+$U$7,2),$U$7*2,$U$7)),"")</f>
        <v/>
      </c>
      <c r="V89" s="3" t="str">
        <f>IF($L89&lt;&gt;"",IF($A89="Prepago",0,IF(ROUND($H89*$U$8,2)&gt;ROUND(SUM($V$11:$V88)+$U$8,2),$U$8*2,$U$8)),"")</f>
        <v/>
      </c>
      <c r="W89" s="3" t="str">
        <f t="shared" si="23"/>
        <v/>
      </c>
      <c r="X89" s="3" t="str">
        <f t="shared" si="32"/>
        <v/>
      </c>
      <c r="Y89" s="3" t="str">
        <f t="shared" si="33"/>
        <v/>
      </c>
      <c r="Z89" s="3" t="str">
        <f t="shared" si="34"/>
        <v/>
      </c>
      <c r="AA89" s="3" t="str">
        <f>IF($L89&lt;&gt;"",IF($N89&gt;Z$11,IF($N89&lt;AA$11,$N89-Z$11,30),0)*ROUND(($O89+$X88+SUM($Z89:Z89))*$V$5/3000,2),"")</f>
        <v/>
      </c>
      <c r="AB89" s="3"/>
      <c r="AC89" s="3"/>
    </row>
    <row r="90" spans="5:29" x14ac:dyDescent="0.3">
      <c r="E90" s="5"/>
      <c r="F90" t="str">
        <f t="shared" si="24"/>
        <v/>
      </c>
      <c r="G90" s="5" t="str">
        <f t="shared" si="25"/>
        <v/>
      </c>
      <c r="H90" t="str">
        <f t="shared" si="26"/>
        <v/>
      </c>
      <c r="I90" t="str">
        <f t="shared" si="27"/>
        <v/>
      </c>
      <c r="J90" t="str">
        <f t="shared" si="35"/>
        <v/>
      </c>
      <c r="K90" t="str">
        <f t="shared" si="36"/>
        <v/>
      </c>
      <c r="L90" t="str">
        <f t="shared" si="21"/>
        <v/>
      </c>
      <c r="M90" s="5" t="str">
        <f t="shared" si="37"/>
        <v/>
      </c>
      <c r="N90" s="7" t="str">
        <f t="shared" si="22"/>
        <v/>
      </c>
      <c r="O90" s="3" t="str">
        <f t="shared" si="28"/>
        <v/>
      </c>
      <c r="P90" s="3" t="str">
        <f t="shared" si="29"/>
        <v/>
      </c>
      <c r="Q90" s="3" t="str">
        <f t="shared" si="30"/>
        <v/>
      </c>
      <c r="R90" s="3" t="str">
        <f t="shared" si="31"/>
        <v/>
      </c>
      <c r="S90" s="3" t="str">
        <f>IF($L90&lt;&gt;"",IF($A90="Prepago",0,IF(ROUND($H90*$U$5,2)&gt;ROUND(SUM($S$11:$S89)+$U$5,2),$U$5*2,$U$5)),"")</f>
        <v/>
      </c>
      <c r="T90" s="3" t="str">
        <f>IF($L90&lt;&gt;"",IF($A90="Prepago",0,IF(ROUND($H90*$U$6,2)&gt;ROUND(SUM($T$11:$T89)+$U$6,2),$U$6*2,$U$6)),"")</f>
        <v/>
      </c>
      <c r="U90" s="3" t="str">
        <f>IF($L90&lt;&gt;"",IF($A90="Prepago",0,IF(ROUND($H90*$U$7,2)&gt;ROUND(SUM($U$11:$U89)+$U$7,2),$U$7*2,$U$7)),"")</f>
        <v/>
      </c>
      <c r="V90" s="3" t="str">
        <f>IF($L90&lt;&gt;"",IF($A90="Prepago",0,IF(ROUND($H90*$U$8,2)&gt;ROUND(SUM($V$11:$V89)+$U$8,2),$U$8*2,$U$8)),"")</f>
        <v/>
      </c>
      <c r="W90" s="3" t="str">
        <f t="shared" si="23"/>
        <v/>
      </c>
      <c r="X90" s="3" t="str">
        <f t="shared" si="32"/>
        <v/>
      </c>
      <c r="Y90" s="3" t="str">
        <f t="shared" si="33"/>
        <v/>
      </c>
      <c r="Z90" s="3" t="str">
        <f t="shared" si="34"/>
        <v/>
      </c>
      <c r="AA90" s="3" t="str">
        <f>IF($L90&lt;&gt;"",IF($N90&gt;Z$11,IF($N90&lt;AA$11,$N90-Z$11,30),0)*ROUND(($O90+$X89+SUM($Z90:Z90))*$V$5/3000,2),"")</f>
        <v/>
      </c>
      <c r="AB90" s="3"/>
      <c r="AC90" s="3"/>
    </row>
    <row r="91" spans="5:29" x14ac:dyDescent="0.3">
      <c r="E91" s="5"/>
      <c r="F91" t="str">
        <f t="shared" si="24"/>
        <v/>
      </c>
      <c r="G91" s="5" t="str">
        <f t="shared" si="25"/>
        <v/>
      </c>
      <c r="H91" t="str">
        <f t="shared" si="26"/>
        <v/>
      </c>
      <c r="I91" t="str">
        <f t="shared" si="27"/>
        <v/>
      </c>
      <c r="J91" t="str">
        <f t="shared" si="35"/>
        <v/>
      </c>
      <c r="K91" t="str">
        <f t="shared" si="36"/>
        <v/>
      </c>
      <c r="L91" t="str">
        <f t="shared" si="21"/>
        <v/>
      </c>
      <c r="M91" s="5" t="str">
        <f t="shared" si="37"/>
        <v/>
      </c>
      <c r="N91" s="7" t="str">
        <f t="shared" si="22"/>
        <v/>
      </c>
      <c r="O91" s="3" t="str">
        <f t="shared" si="28"/>
        <v/>
      </c>
      <c r="P91" s="3" t="str">
        <f t="shared" si="29"/>
        <v/>
      </c>
      <c r="Q91" s="3" t="str">
        <f t="shared" si="30"/>
        <v/>
      </c>
      <c r="R91" s="3" t="str">
        <f t="shared" si="31"/>
        <v/>
      </c>
      <c r="S91" s="3" t="str">
        <f>IF($L91&lt;&gt;"",IF($A91="Prepago",0,IF(ROUND($H91*$U$5,2)&gt;ROUND(SUM($S$11:$S90)+$U$5,2),$U$5*2,$U$5)),"")</f>
        <v/>
      </c>
      <c r="T91" s="3" t="str">
        <f>IF($L91&lt;&gt;"",IF($A91="Prepago",0,IF(ROUND($H91*$U$6,2)&gt;ROUND(SUM($T$11:$T90)+$U$6,2),$U$6*2,$U$6)),"")</f>
        <v/>
      </c>
      <c r="U91" s="3" t="str">
        <f>IF($L91&lt;&gt;"",IF($A91="Prepago",0,IF(ROUND($H91*$U$7,2)&gt;ROUND(SUM($U$11:$U90)+$U$7,2),$U$7*2,$U$7)),"")</f>
        <v/>
      </c>
      <c r="V91" s="3" t="str">
        <f>IF($L91&lt;&gt;"",IF($A91="Prepago",0,IF(ROUND($H91*$U$8,2)&gt;ROUND(SUM($V$11:$V90)+$U$8,2),$U$8*2,$U$8)),"")</f>
        <v/>
      </c>
      <c r="W91" s="3" t="str">
        <f t="shared" si="23"/>
        <v/>
      </c>
      <c r="X91" s="3" t="str">
        <f t="shared" si="32"/>
        <v/>
      </c>
      <c r="Y91" s="3" t="str">
        <f t="shared" si="33"/>
        <v/>
      </c>
      <c r="Z91" s="3" t="str">
        <f t="shared" si="34"/>
        <v/>
      </c>
      <c r="AA91" s="3" t="str">
        <f>IF($L91&lt;&gt;"",IF($N91&gt;Z$11,IF($N91&lt;AA$11,$N91-Z$11,30),0)*ROUND(($O91+$X90+SUM($Z91:Z91))*$V$5/3000,2),"")</f>
        <v/>
      </c>
      <c r="AB91" s="3"/>
      <c r="AC91" s="3"/>
    </row>
    <row r="92" spans="5:29" x14ac:dyDescent="0.3">
      <c r="E92" s="5"/>
      <c r="F92" t="str">
        <f t="shared" si="24"/>
        <v/>
      </c>
      <c r="G92" s="5" t="str">
        <f t="shared" si="25"/>
        <v/>
      </c>
      <c r="H92" t="str">
        <f t="shared" si="26"/>
        <v/>
      </c>
      <c r="I92" t="str">
        <f t="shared" si="27"/>
        <v/>
      </c>
      <c r="J92" t="str">
        <f t="shared" si="35"/>
        <v/>
      </c>
      <c r="K92" t="str">
        <f t="shared" si="36"/>
        <v/>
      </c>
      <c r="L92" t="str">
        <f t="shared" si="21"/>
        <v/>
      </c>
      <c r="M92" s="5" t="str">
        <f t="shared" si="37"/>
        <v/>
      </c>
      <c r="N92" s="7" t="str">
        <f t="shared" si="22"/>
        <v/>
      </c>
      <c r="O92" s="3" t="str">
        <f t="shared" si="28"/>
        <v/>
      </c>
      <c r="P92" s="3" t="str">
        <f t="shared" si="29"/>
        <v/>
      </c>
      <c r="Q92" s="3" t="str">
        <f t="shared" si="30"/>
        <v/>
      </c>
      <c r="R92" s="3" t="str">
        <f t="shared" si="31"/>
        <v/>
      </c>
      <c r="S92" s="3" t="str">
        <f>IF($L92&lt;&gt;"",IF($A92="Prepago",0,IF(ROUND($H92*$U$5,2)&gt;ROUND(SUM($S$11:$S91)+$U$5,2),$U$5*2,$U$5)),"")</f>
        <v/>
      </c>
      <c r="T92" s="3" t="str">
        <f>IF($L92&lt;&gt;"",IF($A92="Prepago",0,IF(ROUND($H92*$U$6,2)&gt;ROUND(SUM($T$11:$T91)+$U$6,2),$U$6*2,$U$6)),"")</f>
        <v/>
      </c>
      <c r="U92" s="3" t="str">
        <f>IF($L92&lt;&gt;"",IF($A92="Prepago",0,IF(ROUND($H92*$U$7,2)&gt;ROUND(SUM($U$11:$U91)+$U$7,2),$U$7*2,$U$7)),"")</f>
        <v/>
      </c>
      <c r="V92" s="3" t="str">
        <f>IF($L92&lt;&gt;"",IF($A92="Prepago",0,IF(ROUND($H92*$U$8,2)&gt;ROUND(SUM($V$11:$V91)+$U$8,2),$U$8*2,$U$8)),"")</f>
        <v/>
      </c>
      <c r="W92" s="3" t="str">
        <f t="shared" si="23"/>
        <v/>
      </c>
      <c r="X92" s="3" t="str">
        <f t="shared" si="32"/>
        <v/>
      </c>
      <c r="Y92" s="3" t="str">
        <f t="shared" si="33"/>
        <v/>
      </c>
      <c r="Z92" s="3" t="str">
        <f t="shared" si="34"/>
        <v/>
      </c>
      <c r="AA92" s="3" t="str">
        <f>IF($L92&lt;&gt;"",IF($N92&gt;Z$11,IF($N92&lt;AA$11,$N92-Z$11,30),0)*ROUND(($O92+$X91+SUM($Z92:Z92))*$V$5/3000,2),"")</f>
        <v/>
      </c>
      <c r="AB92" s="3"/>
      <c r="AC92" s="3"/>
    </row>
    <row r="93" spans="5:29" x14ac:dyDescent="0.3">
      <c r="E93" s="5"/>
      <c r="F93" t="str">
        <f t="shared" si="24"/>
        <v/>
      </c>
      <c r="G93" s="5" t="str">
        <f t="shared" si="25"/>
        <v/>
      </c>
      <c r="H93" t="str">
        <f t="shared" si="26"/>
        <v/>
      </c>
      <c r="I93" t="str">
        <f t="shared" si="27"/>
        <v/>
      </c>
      <c r="J93" t="str">
        <f t="shared" si="35"/>
        <v/>
      </c>
      <c r="K93" t="str">
        <f t="shared" si="36"/>
        <v/>
      </c>
      <c r="L93" t="str">
        <f t="shared" si="21"/>
        <v/>
      </c>
      <c r="M93" s="5" t="str">
        <f t="shared" si="37"/>
        <v/>
      </c>
      <c r="N93" s="7" t="str">
        <f t="shared" si="22"/>
        <v/>
      </c>
      <c r="O93" s="3" t="str">
        <f t="shared" si="28"/>
        <v/>
      </c>
      <c r="P93" s="3" t="str">
        <f t="shared" si="29"/>
        <v/>
      </c>
      <c r="Q93" s="3" t="str">
        <f t="shared" si="30"/>
        <v/>
      </c>
      <c r="R93" s="3" t="str">
        <f t="shared" si="31"/>
        <v/>
      </c>
      <c r="S93" s="3" t="str">
        <f>IF($L93&lt;&gt;"",IF($A93="Prepago",0,IF(ROUND($H93*$U$5,2)&gt;ROUND(SUM($S$11:$S92)+$U$5,2),$U$5*2,$U$5)),"")</f>
        <v/>
      </c>
      <c r="T93" s="3" t="str">
        <f>IF($L93&lt;&gt;"",IF($A93="Prepago",0,IF(ROUND($H93*$U$6,2)&gt;ROUND(SUM($T$11:$T92)+$U$6,2),$U$6*2,$U$6)),"")</f>
        <v/>
      </c>
      <c r="U93" s="3" t="str">
        <f>IF($L93&lt;&gt;"",IF($A93="Prepago",0,IF(ROUND($H93*$U$7,2)&gt;ROUND(SUM($U$11:$U92)+$U$7,2),$U$7*2,$U$7)),"")</f>
        <v/>
      </c>
      <c r="V93" s="3" t="str">
        <f>IF($L93&lt;&gt;"",IF($A93="Prepago",0,IF(ROUND($H93*$U$8,2)&gt;ROUND(SUM($V$11:$V92)+$U$8,2),$U$8*2,$U$8)),"")</f>
        <v/>
      </c>
      <c r="W93" s="3" t="str">
        <f t="shared" si="23"/>
        <v/>
      </c>
      <c r="X93" s="3" t="str">
        <f t="shared" si="32"/>
        <v/>
      </c>
      <c r="Y93" s="3" t="str">
        <f t="shared" si="33"/>
        <v/>
      </c>
      <c r="Z93" s="3" t="str">
        <f t="shared" si="34"/>
        <v/>
      </c>
      <c r="AA93" s="3" t="str">
        <f>IF($L93&lt;&gt;"",IF($N93&gt;Z$11,IF($N93&lt;AA$11,$N93-Z$11,30),0)*ROUND(($O93+$X92+SUM($Z93:Z93))*$V$5/3000,2),"")</f>
        <v/>
      </c>
      <c r="AB93" s="3"/>
      <c r="AC93" s="3"/>
    </row>
    <row r="94" spans="5:29" x14ac:dyDescent="0.3">
      <c r="E94" s="5"/>
      <c r="F94" t="str">
        <f t="shared" si="24"/>
        <v/>
      </c>
      <c r="G94" s="5" t="str">
        <f t="shared" si="25"/>
        <v/>
      </c>
      <c r="H94" t="str">
        <f t="shared" si="26"/>
        <v/>
      </c>
      <c r="I94" t="str">
        <f t="shared" si="27"/>
        <v/>
      </c>
      <c r="J94" t="str">
        <f t="shared" si="35"/>
        <v/>
      </c>
      <c r="K94" t="str">
        <f t="shared" si="36"/>
        <v/>
      </c>
      <c r="L94" t="str">
        <f t="shared" si="21"/>
        <v/>
      </c>
      <c r="M94" s="5" t="str">
        <f t="shared" si="37"/>
        <v/>
      </c>
      <c r="N94" s="7" t="str">
        <f t="shared" si="22"/>
        <v/>
      </c>
      <c r="O94" s="3" t="str">
        <f t="shared" si="28"/>
        <v/>
      </c>
      <c r="P94" s="3" t="str">
        <f t="shared" si="29"/>
        <v/>
      </c>
      <c r="Q94" s="3" t="str">
        <f t="shared" si="30"/>
        <v/>
      </c>
      <c r="R94" s="3" t="str">
        <f t="shared" si="31"/>
        <v/>
      </c>
      <c r="S94" s="3" t="str">
        <f>IF($L94&lt;&gt;"",IF($A94="Prepago",0,IF(ROUND($H94*$U$5,2)&gt;ROUND(SUM($S$11:$S93)+$U$5,2),$U$5*2,$U$5)),"")</f>
        <v/>
      </c>
      <c r="T94" s="3" t="str">
        <f>IF($L94&lt;&gt;"",IF($A94="Prepago",0,IF(ROUND($H94*$U$6,2)&gt;ROUND(SUM($T$11:$T93)+$U$6,2),$U$6*2,$U$6)),"")</f>
        <v/>
      </c>
      <c r="U94" s="3" t="str">
        <f>IF($L94&lt;&gt;"",IF($A94="Prepago",0,IF(ROUND($H94*$U$7,2)&gt;ROUND(SUM($U$11:$U93)+$U$7,2),$U$7*2,$U$7)),"")</f>
        <v/>
      </c>
      <c r="V94" s="3" t="str">
        <f>IF($L94&lt;&gt;"",IF($A94="Prepago",0,IF(ROUND($H94*$U$8,2)&gt;ROUND(SUM($V$11:$V93)+$U$8,2),$U$8*2,$U$8)),"")</f>
        <v/>
      </c>
      <c r="W94" s="3" t="str">
        <f t="shared" si="23"/>
        <v/>
      </c>
      <c r="X94" s="3" t="str">
        <f t="shared" si="32"/>
        <v/>
      </c>
      <c r="Y94" s="3" t="str">
        <f t="shared" si="33"/>
        <v/>
      </c>
      <c r="Z94" s="3" t="str">
        <f t="shared" si="34"/>
        <v/>
      </c>
      <c r="AA94" s="3" t="str">
        <f>IF($L94&lt;&gt;"",IF($N94&gt;Z$11,IF($N94&lt;AA$11,$N94-Z$11,30),0)*ROUND(($O94+$X93+SUM($Z94:Z94))*$V$5/3000,2),"")</f>
        <v/>
      </c>
      <c r="AB94" s="3"/>
      <c r="AC94" s="3"/>
    </row>
    <row r="95" spans="5:29" x14ac:dyDescent="0.3">
      <c r="E95" s="5"/>
      <c r="F95" t="str">
        <f t="shared" si="24"/>
        <v/>
      </c>
      <c r="G95" s="5" t="str">
        <f t="shared" si="25"/>
        <v/>
      </c>
      <c r="H95" t="str">
        <f t="shared" si="26"/>
        <v/>
      </c>
      <c r="I95" t="str">
        <f t="shared" si="27"/>
        <v/>
      </c>
      <c r="J95" t="str">
        <f t="shared" si="35"/>
        <v/>
      </c>
      <c r="K95" t="str">
        <f t="shared" si="36"/>
        <v/>
      </c>
      <c r="L95" t="str">
        <f t="shared" si="21"/>
        <v/>
      </c>
      <c r="M95" s="5" t="str">
        <f t="shared" si="37"/>
        <v/>
      </c>
      <c r="N95" s="7" t="str">
        <f t="shared" si="22"/>
        <v/>
      </c>
      <c r="O95" s="3" t="str">
        <f t="shared" si="28"/>
        <v/>
      </c>
      <c r="P95" s="3" t="str">
        <f t="shared" si="29"/>
        <v/>
      </c>
      <c r="Q95" s="3" t="str">
        <f t="shared" si="30"/>
        <v/>
      </c>
      <c r="R95" s="3" t="str">
        <f t="shared" si="31"/>
        <v/>
      </c>
      <c r="S95" s="3" t="str">
        <f>IF($L95&lt;&gt;"",IF($A95="Prepago",0,IF(ROUND($H95*$U$5,2)&gt;ROUND(SUM($S$11:$S94)+$U$5,2),$U$5*2,$U$5)),"")</f>
        <v/>
      </c>
      <c r="T95" s="3" t="str">
        <f>IF($L95&lt;&gt;"",IF($A95="Prepago",0,IF(ROUND($H95*$U$6,2)&gt;ROUND(SUM($T$11:$T94)+$U$6,2),$U$6*2,$U$6)),"")</f>
        <v/>
      </c>
      <c r="U95" s="3" t="str">
        <f>IF($L95&lt;&gt;"",IF($A95="Prepago",0,IF(ROUND($H95*$U$7,2)&gt;ROUND(SUM($U$11:$U94)+$U$7,2),$U$7*2,$U$7)),"")</f>
        <v/>
      </c>
      <c r="V95" s="3" t="str">
        <f>IF($L95&lt;&gt;"",IF($A95="Prepago",0,IF(ROUND($H95*$U$8,2)&gt;ROUND(SUM($V$11:$V94)+$U$8,2),$U$8*2,$U$8)),"")</f>
        <v/>
      </c>
      <c r="W95" s="3" t="str">
        <f t="shared" si="23"/>
        <v/>
      </c>
      <c r="X95" s="3" t="str">
        <f t="shared" si="32"/>
        <v/>
      </c>
      <c r="Y95" s="3" t="str">
        <f t="shared" si="33"/>
        <v/>
      </c>
      <c r="Z95" s="3" t="str">
        <f t="shared" si="34"/>
        <v/>
      </c>
      <c r="AA95" s="3" t="str">
        <f>IF($L95&lt;&gt;"",IF($N95&gt;Z$11,IF($N95&lt;AA$11,$N95-Z$11,30),0)*ROUND(($O95+$X94+SUM($Z95:Z95))*$V$5/3000,2),"")</f>
        <v/>
      </c>
      <c r="AB95" s="3"/>
      <c r="AC95" s="3"/>
    </row>
    <row r="96" spans="5:29" x14ac:dyDescent="0.3">
      <c r="E96" s="5"/>
      <c r="F96" t="str">
        <f t="shared" ref="F96:F159" si="38">IF($L96&lt;&gt;"",TEXT(M96,"DDD"),"")</f>
        <v/>
      </c>
      <c r="G96" s="5" t="str">
        <f t="shared" si="25"/>
        <v/>
      </c>
      <c r="H96" t="str">
        <f t="shared" ref="H96:H159" si="39">IF($L96&lt;&gt;"",IF($A96="Prepago",$H95,$H95+1)+B96,"")</f>
        <v/>
      </c>
      <c r="I96" t="str">
        <f t="shared" si="27"/>
        <v/>
      </c>
      <c r="J96" t="str">
        <f t="shared" ref="J96:J159" si="40">IF($L96&lt;&gt;"",IF(OR(A96&lt;&gt;"",C96&lt;&gt;""),1,0),"")</f>
        <v/>
      </c>
      <c r="K96" t="str">
        <f t="shared" ref="K96:K159" si="41">IF($L96&lt;&gt;"",IF(J96=1,Q96,0),"")</f>
        <v/>
      </c>
      <c r="L96" t="str">
        <f t="shared" si="21"/>
        <v/>
      </c>
      <c r="M96" s="5" t="str">
        <f t="shared" si="37"/>
        <v/>
      </c>
      <c r="N96" s="7" t="str">
        <f t="shared" si="22"/>
        <v/>
      </c>
      <c r="O96" s="3" t="str">
        <f t="shared" si="28"/>
        <v/>
      </c>
      <c r="P96" s="3" t="str">
        <f t="shared" si="29"/>
        <v/>
      </c>
      <c r="Q96" s="3" t="str">
        <f t="shared" si="30"/>
        <v/>
      </c>
      <c r="R96" s="3" t="str">
        <f t="shared" si="31"/>
        <v/>
      </c>
      <c r="S96" s="3" t="str">
        <f>IF($L96&lt;&gt;"",IF($A96="Prepago",0,IF(ROUND($H96*$U$5,2)&gt;ROUND(SUM($S$11:$S95)+$U$5,2),$U$5*2,$U$5)),"")</f>
        <v/>
      </c>
      <c r="T96" s="3" t="str">
        <f>IF($L96&lt;&gt;"",IF($A96="Prepago",0,IF(ROUND($H96*$U$6,2)&gt;ROUND(SUM($T$11:$T95)+$U$6,2),$U$6*2,$U$6)),"")</f>
        <v/>
      </c>
      <c r="U96" s="3" t="str">
        <f>IF($L96&lt;&gt;"",IF($A96="Prepago",0,IF(ROUND($H96*$U$7,2)&gt;ROUND(SUM($U$11:$U95)+$U$7,2),$U$7*2,$U$7)),"")</f>
        <v/>
      </c>
      <c r="V96" s="3" t="str">
        <f>IF($L96&lt;&gt;"",IF($A96="Prepago",0,IF(ROUND($H96*$U$8,2)&gt;ROUND(SUM($V$11:$V95)+$U$8,2),$U$8*2,$U$8)),"")</f>
        <v/>
      </c>
      <c r="W96" s="3" t="str">
        <f t="shared" si="23"/>
        <v/>
      </c>
      <c r="X96" s="3" t="str">
        <f t="shared" si="32"/>
        <v/>
      </c>
      <c r="Y96" s="3" t="str">
        <f t="shared" si="33"/>
        <v/>
      </c>
      <c r="Z96" s="3" t="str">
        <f t="shared" si="34"/>
        <v/>
      </c>
      <c r="AA96" s="3" t="str">
        <f>IF($L96&lt;&gt;"",IF($N96&gt;Z$11,IF($N96&lt;AA$11,$N96-Z$11,30),0)*ROUND(($O96+$X95+SUM($Z96:Z96))*$V$5/3000,2),"")</f>
        <v/>
      </c>
      <c r="AB96" s="3"/>
      <c r="AC96" s="3"/>
    </row>
    <row r="97" spans="5:29" x14ac:dyDescent="0.3">
      <c r="E97" s="5"/>
      <c r="F97" t="str">
        <f t="shared" si="38"/>
        <v/>
      </c>
      <c r="G97" s="5" t="str">
        <f t="shared" si="25"/>
        <v/>
      </c>
      <c r="H97" t="str">
        <f t="shared" si="39"/>
        <v/>
      </c>
      <c r="I97" t="str">
        <f t="shared" si="27"/>
        <v/>
      </c>
      <c r="J97" t="str">
        <f t="shared" si="40"/>
        <v/>
      </c>
      <c r="K97" t="str">
        <f t="shared" si="41"/>
        <v/>
      </c>
      <c r="L97" t="str">
        <f t="shared" si="21"/>
        <v/>
      </c>
      <c r="M97" s="5" t="str">
        <f t="shared" si="37"/>
        <v/>
      </c>
      <c r="N97" s="7" t="str">
        <f t="shared" si="22"/>
        <v/>
      </c>
      <c r="O97" s="3" t="str">
        <f t="shared" si="28"/>
        <v/>
      </c>
      <c r="P97" s="3" t="str">
        <f t="shared" si="29"/>
        <v/>
      </c>
      <c r="Q97" s="3" t="str">
        <f t="shared" si="30"/>
        <v/>
      </c>
      <c r="R97" s="3" t="str">
        <f t="shared" si="31"/>
        <v/>
      </c>
      <c r="S97" s="3" t="str">
        <f>IF($L97&lt;&gt;"",IF($A97="Prepago",0,IF(ROUND($H97*$U$5,2)&gt;ROUND(SUM($S$11:$S96)+$U$5,2),$U$5*2,$U$5)),"")</f>
        <v/>
      </c>
      <c r="T97" s="3" t="str">
        <f>IF($L97&lt;&gt;"",IF($A97="Prepago",0,IF(ROUND($H97*$U$6,2)&gt;ROUND(SUM($T$11:$T96)+$U$6,2),$U$6*2,$U$6)),"")</f>
        <v/>
      </c>
      <c r="U97" s="3" t="str">
        <f>IF($L97&lt;&gt;"",IF($A97="Prepago",0,IF(ROUND($H97*$U$7,2)&gt;ROUND(SUM($U$11:$U96)+$U$7,2),$U$7*2,$U$7)),"")</f>
        <v/>
      </c>
      <c r="V97" s="3" t="str">
        <f>IF($L97&lt;&gt;"",IF($A97="Prepago",0,IF(ROUND($H97*$U$8,2)&gt;ROUND(SUM($V$11:$V96)+$U$8,2),$U$8*2,$U$8)),"")</f>
        <v/>
      </c>
      <c r="W97" s="3" t="str">
        <f t="shared" si="23"/>
        <v/>
      </c>
      <c r="X97" s="3" t="str">
        <f t="shared" si="32"/>
        <v/>
      </c>
      <c r="Y97" s="3" t="str">
        <f t="shared" si="33"/>
        <v/>
      </c>
      <c r="Z97" s="3" t="str">
        <f t="shared" si="34"/>
        <v/>
      </c>
      <c r="AA97" s="3" t="str">
        <f>IF($L97&lt;&gt;"",IF($N97&gt;Z$11,IF($N97&lt;AA$11,$N97-Z$11,30),0)*ROUND(($O97+$X96+SUM($Z97:Z97))*$V$5/3000,2),"")</f>
        <v/>
      </c>
      <c r="AB97" s="3"/>
      <c r="AC97" s="3"/>
    </row>
    <row r="98" spans="5:29" x14ac:dyDescent="0.3">
      <c r="E98" s="5"/>
      <c r="F98" t="str">
        <f t="shared" si="38"/>
        <v/>
      </c>
      <c r="G98" s="5" t="str">
        <f t="shared" si="25"/>
        <v/>
      </c>
      <c r="H98" t="str">
        <f t="shared" si="39"/>
        <v/>
      </c>
      <c r="I98" t="str">
        <f t="shared" si="27"/>
        <v/>
      </c>
      <c r="J98" t="str">
        <f t="shared" si="40"/>
        <v/>
      </c>
      <c r="K98" t="str">
        <f t="shared" si="41"/>
        <v/>
      </c>
      <c r="L98" t="str">
        <f t="shared" si="21"/>
        <v/>
      </c>
      <c r="M98" s="5" t="str">
        <f t="shared" si="37"/>
        <v/>
      </c>
      <c r="N98" s="7" t="str">
        <f t="shared" si="22"/>
        <v/>
      </c>
      <c r="O98" s="3" t="str">
        <f t="shared" si="28"/>
        <v/>
      </c>
      <c r="P98" s="3" t="str">
        <f t="shared" si="29"/>
        <v/>
      </c>
      <c r="Q98" s="3" t="str">
        <f t="shared" si="30"/>
        <v/>
      </c>
      <c r="R98" s="3" t="str">
        <f t="shared" si="31"/>
        <v/>
      </c>
      <c r="S98" s="3" t="str">
        <f>IF($L98&lt;&gt;"",IF($A98="Prepago",0,IF(ROUND($H98*$U$5,2)&gt;ROUND(SUM($S$11:$S97)+$U$5,2),$U$5*2,$U$5)),"")</f>
        <v/>
      </c>
      <c r="T98" s="3" t="str">
        <f>IF($L98&lt;&gt;"",IF($A98="Prepago",0,IF(ROUND($H98*$U$6,2)&gt;ROUND(SUM($T$11:$T97)+$U$6,2),$U$6*2,$U$6)),"")</f>
        <v/>
      </c>
      <c r="U98" s="3" t="str">
        <f>IF($L98&lt;&gt;"",IF($A98="Prepago",0,IF(ROUND($H98*$U$7,2)&gt;ROUND(SUM($U$11:$U97)+$U$7,2),$U$7*2,$U$7)),"")</f>
        <v/>
      </c>
      <c r="V98" s="3" t="str">
        <f>IF($L98&lt;&gt;"",IF($A98="Prepago",0,IF(ROUND($H98*$U$8,2)&gt;ROUND(SUM($V$11:$V97)+$U$8,2),$U$8*2,$U$8)),"")</f>
        <v/>
      </c>
      <c r="W98" s="3" t="str">
        <f t="shared" si="23"/>
        <v/>
      </c>
      <c r="X98" s="3" t="str">
        <f t="shared" si="32"/>
        <v/>
      </c>
      <c r="Y98" s="3" t="str">
        <f t="shared" si="33"/>
        <v/>
      </c>
      <c r="Z98" s="3" t="str">
        <f t="shared" si="34"/>
        <v/>
      </c>
      <c r="AA98" s="3" t="str">
        <f>IF($L98&lt;&gt;"",IF($N98&gt;Z$11,IF($N98&lt;AA$11,$N98-Z$11,30),0)*ROUND(($O98+$X97+SUM($Z98:Z98))*$V$5/3000,2),"")</f>
        <v/>
      </c>
      <c r="AB98" s="3"/>
      <c r="AC98" s="3"/>
    </row>
    <row r="99" spans="5:29" x14ac:dyDescent="0.3">
      <c r="E99" s="5"/>
      <c r="F99" t="str">
        <f t="shared" si="38"/>
        <v/>
      </c>
      <c r="G99" s="5" t="str">
        <f t="shared" si="25"/>
        <v/>
      </c>
      <c r="H99" t="str">
        <f t="shared" si="39"/>
        <v/>
      </c>
      <c r="I99" t="str">
        <f t="shared" si="27"/>
        <v/>
      </c>
      <c r="J99" t="str">
        <f t="shared" si="40"/>
        <v/>
      </c>
      <c r="K99" t="str">
        <f t="shared" si="41"/>
        <v/>
      </c>
      <c r="L99" t="str">
        <f t="shared" si="21"/>
        <v/>
      </c>
      <c r="M99" s="5" t="str">
        <f t="shared" si="37"/>
        <v/>
      </c>
      <c r="N99" s="7" t="str">
        <f t="shared" si="22"/>
        <v/>
      </c>
      <c r="O99" s="3" t="str">
        <f t="shared" si="28"/>
        <v/>
      </c>
      <c r="P99" s="3" t="str">
        <f t="shared" si="29"/>
        <v/>
      </c>
      <c r="Q99" s="3" t="str">
        <f t="shared" si="30"/>
        <v/>
      </c>
      <c r="R99" s="3" t="str">
        <f t="shared" si="31"/>
        <v/>
      </c>
      <c r="S99" s="3" t="str">
        <f>IF($L99&lt;&gt;"",IF($A99="Prepago",0,IF(ROUND($H99*$U$5,2)&gt;ROUND(SUM($S$11:$S98)+$U$5,2),$U$5*2,$U$5)),"")</f>
        <v/>
      </c>
      <c r="T99" s="3" t="str">
        <f>IF($L99&lt;&gt;"",IF($A99="Prepago",0,IF(ROUND($H99*$U$6,2)&gt;ROUND(SUM($T$11:$T98)+$U$6,2),$U$6*2,$U$6)),"")</f>
        <v/>
      </c>
      <c r="U99" s="3" t="str">
        <f>IF($L99&lt;&gt;"",IF($A99="Prepago",0,IF(ROUND($H99*$U$7,2)&gt;ROUND(SUM($U$11:$U98)+$U$7,2),$U$7*2,$U$7)),"")</f>
        <v/>
      </c>
      <c r="V99" s="3" t="str">
        <f>IF($L99&lt;&gt;"",IF($A99="Prepago",0,IF(ROUND($H99*$U$8,2)&gt;ROUND(SUM($V$11:$V98)+$U$8,2),$U$8*2,$U$8)),"")</f>
        <v/>
      </c>
      <c r="W99" s="3" t="str">
        <f t="shared" si="23"/>
        <v/>
      </c>
      <c r="X99" s="3" t="str">
        <f t="shared" si="32"/>
        <v/>
      </c>
      <c r="Y99" s="3" t="str">
        <f t="shared" si="33"/>
        <v/>
      </c>
      <c r="Z99" s="3" t="str">
        <f t="shared" si="34"/>
        <v/>
      </c>
      <c r="AA99" s="3" t="str">
        <f>IF($L99&lt;&gt;"",IF($N99&gt;Z$11,IF($N99&lt;AA$11,$N99-Z$11,30),0)*ROUND(($O99+$X98+SUM($Z99:Z99))*$V$5/3000,2),"")</f>
        <v/>
      </c>
      <c r="AB99" s="3"/>
      <c r="AC99" s="3"/>
    </row>
    <row r="100" spans="5:29" x14ac:dyDescent="0.3">
      <c r="E100" s="5"/>
      <c r="F100" t="str">
        <f t="shared" si="38"/>
        <v/>
      </c>
      <c r="G100" s="5" t="str">
        <f t="shared" si="25"/>
        <v/>
      </c>
      <c r="H100" t="str">
        <f t="shared" si="39"/>
        <v/>
      </c>
      <c r="I100" t="str">
        <f t="shared" si="27"/>
        <v/>
      </c>
      <c r="J100" t="str">
        <f t="shared" si="40"/>
        <v/>
      </c>
      <c r="K100" t="str">
        <f t="shared" si="41"/>
        <v/>
      </c>
      <c r="L100" t="str">
        <f t="shared" si="21"/>
        <v/>
      </c>
      <c r="M100" s="5" t="str">
        <f t="shared" si="37"/>
        <v/>
      </c>
      <c r="N100" s="7" t="str">
        <f t="shared" si="22"/>
        <v/>
      </c>
      <c r="O100" s="3" t="str">
        <f t="shared" si="28"/>
        <v/>
      </c>
      <c r="P100" s="3" t="str">
        <f t="shared" si="29"/>
        <v/>
      </c>
      <c r="Q100" s="3" t="str">
        <f t="shared" si="30"/>
        <v/>
      </c>
      <c r="R100" s="3" t="str">
        <f t="shared" si="31"/>
        <v/>
      </c>
      <c r="S100" s="3" t="str">
        <f>IF($L100&lt;&gt;"",IF($A100="Prepago",0,IF(ROUND($H100*$U$5,2)&gt;ROUND(SUM($S$11:$S99)+$U$5,2),$U$5*2,$U$5)),"")</f>
        <v/>
      </c>
      <c r="T100" s="3" t="str">
        <f>IF($L100&lt;&gt;"",IF($A100="Prepago",0,IF(ROUND($H100*$U$6,2)&gt;ROUND(SUM($T$11:$T99)+$U$6,2),$U$6*2,$U$6)),"")</f>
        <v/>
      </c>
      <c r="U100" s="3" t="str">
        <f>IF($L100&lt;&gt;"",IF($A100="Prepago",0,IF(ROUND($H100*$U$7,2)&gt;ROUND(SUM($U$11:$U99)+$U$7,2),$U$7*2,$U$7)),"")</f>
        <v/>
      </c>
      <c r="V100" s="3" t="str">
        <f>IF($L100&lt;&gt;"",IF($A100="Prepago",0,IF(ROUND($H100*$U$8,2)&gt;ROUND(SUM($V$11:$V99)+$U$8,2),$U$8*2,$U$8)),"")</f>
        <v/>
      </c>
      <c r="W100" s="3" t="str">
        <f t="shared" si="23"/>
        <v/>
      </c>
      <c r="X100" s="3" t="str">
        <f t="shared" si="32"/>
        <v/>
      </c>
      <c r="Y100" s="3" t="str">
        <f t="shared" si="33"/>
        <v/>
      </c>
      <c r="Z100" s="3" t="str">
        <f t="shared" si="34"/>
        <v/>
      </c>
      <c r="AA100" s="3" t="str">
        <f>IF($L100&lt;&gt;"",IF($N100&gt;Z$11,IF($N100&lt;AA$11,$N100-Z$11,30),0)*ROUND(($O100+$X99+SUM($Z100:Z100))*$V$5/3000,2),"")</f>
        <v/>
      </c>
      <c r="AB100" s="3"/>
      <c r="AC100" s="3"/>
    </row>
    <row r="101" spans="5:29" x14ac:dyDescent="0.3">
      <c r="E101" s="5"/>
      <c r="F101" t="str">
        <f t="shared" si="38"/>
        <v/>
      </c>
      <c r="G101" s="5" t="str">
        <f t="shared" si="25"/>
        <v/>
      </c>
      <c r="H101" t="str">
        <f t="shared" si="39"/>
        <v/>
      </c>
      <c r="I101" t="str">
        <f t="shared" si="27"/>
        <v/>
      </c>
      <c r="J101" t="str">
        <f t="shared" si="40"/>
        <v/>
      </c>
      <c r="K101" t="str">
        <f t="shared" si="41"/>
        <v/>
      </c>
      <c r="L101" t="str">
        <f t="shared" si="21"/>
        <v/>
      </c>
      <c r="M101" s="5" t="str">
        <f t="shared" si="37"/>
        <v/>
      </c>
      <c r="N101" s="7" t="str">
        <f t="shared" si="22"/>
        <v/>
      </c>
      <c r="O101" s="3" t="str">
        <f t="shared" si="28"/>
        <v/>
      </c>
      <c r="P101" s="3" t="str">
        <f t="shared" si="29"/>
        <v/>
      </c>
      <c r="Q101" s="3" t="str">
        <f t="shared" si="30"/>
        <v/>
      </c>
      <c r="R101" s="3" t="str">
        <f t="shared" si="31"/>
        <v/>
      </c>
      <c r="S101" s="3" t="str">
        <f>IF($L101&lt;&gt;"",IF($A101="Prepago",0,IF(ROUND($H101*$U$5,2)&gt;ROUND(SUM($S$11:$S100)+$U$5,2),$U$5*2,$U$5)),"")</f>
        <v/>
      </c>
      <c r="T101" s="3" t="str">
        <f>IF($L101&lt;&gt;"",IF($A101="Prepago",0,IF(ROUND($H101*$U$6,2)&gt;ROUND(SUM($T$11:$T100)+$U$6,2),$U$6*2,$U$6)),"")</f>
        <v/>
      </c>
      <c r="U101" s="3" t="str">
        <f>IF($L101&lt;&gt;"",IF($A101="Prepago",0,IF(ROUND($H101*$U$7,2)&gt;ROUND(SUM($U$11:$U100)+$U$7,2),$U$7*2,$U$7)),"")</f>
        <v/>
      </c>
      <c r="V101" s="3" t="str">
        <f>IF($L101&lt;&gt;"",IF($A101="Prepago",0,IF(ROUND($H101*$U$8,2)&gt;ROUND(SUM($V$11:$V100)+$U$8,2),$U$8*2,$U$8)),"")</f>
        <v/>
      </c>
      <c r="W101" s="3" t="str">
        <f t="shared" si="23"/>
        <v/>
      </c>
      <c r="X101" s="3" t="str">
        <f t="shared" si="32"/>
        <v/>
      </c>
      <c r="Y101" s="3" t="str">
        <f t="shared" si="33"/>
        <v/>
      </c>
      <c r="Z101" s="3" t="str">
        <f t="shared" si="34"/>
        <v/>
      </c>
      <c r="AA101" s="3" t="str">
        <f>IF($L101&lt;&gt;"",IF($N101&gt;Z$11,IF($N101&lt;AA$11,$N101-Z$11,30),0)*ROUND(($O101+$X100+SUM($Z101:Z101))*$V$5/3000,2),"")</f>
        <v/>
      </c>
      <c r="AB101" s="3"/>
      <c r="AC101" s="3"/>
    </row>
    <row r="102" spans="5:29" x14ac:dyDescent="0.3">
      <c r="E102" s="5"/>
      <c r="F102" t="str">
        <f t="shared" si="38"/>
        <v/>
      </c>
      <c r="G102" s="5" t="str">
        <f t="shared" si="25"/>
        <v/>
      </c>
      <c r="H102" t="str">
        <f t="shared" si="39"/>
        <v/>
      </c>
      <c r="I102" t="str">
        <f t="shared" si="27"/>
        <v/>
      </c>
      <c r="J102" t="str">
        <f t="shared" si="40"/>
        <v/>
      </c>
      <c r="K102" t="str">
        <f t="shared" si="41"/>
        <v/>
      </c>
      <c r="L102" t="str">
        <f t="shared" si="21"/>
        <v/>
      </c>
      <c r="M102" s="5" t="str">
        <f t="shared" si="37"/>
        <v/>
      </c>
      <c r="N102" s="7" t="str">
        <f t="shared" si="22"/>
        <v/>
      </c>
      <c r="O102" s="3" t="str">
        <f t="shared" si="28"/>
        <v/>
      </c>
      <c r="P102" s="3" t="str">
        <f t="shared" si="29"/>
        <v/>
      </c>
      <c r="Q102" s="3" t="str">
        <f t="shared" si="30"/>
        <v/>
      </c>
      <c r="R102" s="3" t="str">
        <f t="shared" si="31"/>
        <v/>
      </c>
      <c r="S102" s="3" t="str">
        <f>IF($L102&lt;&gt;"",IF($A102="Prepago",0,IF(ROUND($H102*$U$5,2)&gt;ROUND(SUM($S$11:$S101)+$U$5,2),$U$5*2,$U$5)),"")</f>
        <v/>
      </c>
      <c r="T102" s="3" t="str">
        <f>IF($L102&lt;&gt;"",IF($A102="Prepago",0,IF(ROUND($H102*$U$6,2)&gt;ROUND(SUM($T$11:$T101)+$U$6,2),$U$6*2,$U$6)),"")</f>
        <v/>
      </c>
      <c r="U102" s="3" t="str">
        <f>IF($L102&lt;&gt;"",IF($A102="Prepago",0,IF(ROUND($H102*$U$7,2)&gt;ROUND(SUM($U$11:$U101)+$U$7,2),$U$7*2,$U$7)),"")</f>
        <v/>
      </c>
      <c r="V102" s="3" t="str">
        <f>IF($L102&lt;&gt;"",IF($A102="Prepago",0,IF(ROUND($H102*$U$8,2)&gt;ROUND(SUM($V$11:$V101)+$U$8,2),$U$8*2,$U$8)),"")</f>
        <v/>
      </c>
      <c r="W102" s="3" t="str">
        <f t="shared" si="23"/>
        <v/>
      </c>
      <c r="X102" s="3" t="str">
        <f t="shared" si="32"/>
        <v/>
      </c>
      <c r="Y102" s="3" t="str">
        <f t="shared" si="33"/>
        <v/>
      </c>
      <c r="Z102" s="3" t="str">
        <f t="shared" si="34"/>
        <v/>
      </c>
      <c r="AA102" s="3" t="str">
        <f>IF($L102&lt;&gt;"",IF($N102&gt;Z$11,IF($N102&lt;AA$11,$N102-Z$11,30),0)*ROUND(($O102+$X101+SUM($Z102:Z102))*$V$5/3000,2),"")</f>
        <v/>
      </c>
      <c r="AB102" s="3"/>
      <c r="AC102" s="3"/>
    </row>
    <row r="103" spans="5:29" x14ac:dyDescent="0.3">
      <c r="E103" s="5"/>
      <c r="F103" t="str">
        <f t="shared" si="38"/>
        <v/>
      </c>
      <c r="G103" s="5" t="str">
        <f t="shared" si="25"/>
        <v/>
      </c>
      <c r="H103" t="str">
        <f t="shared" si="39"/>
        <v/>
      </c>
      <c r="I103" t="str">
        <f t="shared" si="27"/>
        <v/>
      </c>
      <c r="J103" t="str">
        <f t="shared" si="40"/>
        <v/>
      </c>
      <c r="K103" t="str">
        <f t="shared" si="41"/>
        <v/>
      </c>
      <c r="L103" t="str">
        <f t="shared" si="21"/>
        <v/>
      </c>
      <c r="M103" s="5" t="str">
        <f t="shared" si="37"/>
        <v/>
      </c>
      <c r="N103" s="7" t="str">
        <f t="shared" si="22"/>
        <v/>
      </c>
      <c r="O103" s="3" t="str">
        <f t="shared" si="28"/>
        <v/>
      </c>
      <c r="P103" s="3" t="str">
        <f t="shared" si="29"/>
        <v/>
      </c>
      <c r="Q103" s="3" t="str">
        <f t="shared" si="30"/>
        <v/>
      </c>
      <c r="R103" s="3" t="str">
        <f t="shared" si="31"/>
        <v/>
      </c>
      <c r="S103" s="3" t="str">
        <f>IF($L103&lt;&gt;"",IF($A103="Prepago",0,IF(ROUND($H103*$U$5,2)&gt;ROUND(SUM($S$11:$S102)+$U$5,2),$U$5*2,$U$5)),"")</f>
        <v/>
      </c>
      <c r="T103" s="3" t="str">
        <f>IF($L103&lt;&gt;"",IF($A103="Prepago",0,IF(ROUND($H103*$U$6,2)&gt;ROUND(SUM($T$11:$T102)+$U$6,2),$U$6*2,$U$6)),"")</f>
        <v/>
      </c>
      <c r="U103" s="3" t="str">
        <f>IF($L103&lt;&gt;"",IF($A103="Prepago",0,IF(ROUND($H103*$U$7,2)&gt;ROUND(SUM($U$11:$U102)+$U$7,2),$U$7*2,$U$7)),"")</f>
        <v/>
      </c>
      <c r="V103" s="3" t="str">
        <f>IF($L103&lt;&gt;"",IF($A103="Prepago",0,IF(ROUND($H103*$U$8,2)&gt;ROUND(SUM($V$11:$V102)+$U$8,2),$U$8*2,$U$8)),"")</f>
        <v/>
      </c>
      <c r="W103" s="3" t="str">
        <f t="shared" si="23"/>
        <v/>
      </c>
      <c r="X103" s="3" t="str">
        <f t="shared" si="32"/>
        <v/>
      </c>
      <c r="Y103" s="3" t="str">
        <f t="shared" si="33"/>
        <v/>
      </c>
      <c r="Z103" s="3" t="str">
        <f t="shared" si="34"/>
        <v/>
      </c>
      <c r="AA103" s="3" t="str">
        <f>IF($L103&lt;&gt;"",IF($N103&gt;Z$11,IF($N103&lt;AA$11,$N103-Z$11,30),0)*ROUND(($O103+$X102+SUM($Z103:Z103))*$V$5/3000,2),"")</f>
        <v/>
      </c>
      <c r="AB103" s="3"/>
      <c r="AC103" s="3"/>
    </row>
    <row r="104" spans="5:29" x14ac:dyDescent="0.3">
      <c r="E104" s="5"/>
      <c r="F104" t="str">
        <f t="shared" si="38"/>
        <v/>
      </c>
      <c r="G104" s="5" t="str">
        <f t="shared" si="25"/>
        <v/>
      </c>
      <c r="H104" t="str">
        <f t="shared" si="39"/>
        <v/>
      </c>
      <c r="I104" t="str">
        <f t="shared" si="27"/>
        <v/>
      </c>
      <c r="J104" t="str">
        <f t="shared" si="40"/>
        <v/>
      </c>
      <c r="K104" t="str">
        <f t="shared" si="41"/>
        <v/>
      </c>
      <c r="L104" t="str">
        <f t="shared" si="21"/>
        <v/>
      </c>
      <c r="M104" s="5" t="str">
        <f t="shared" si="37"/>
        <v/>
      </c>
      <c r="N104" s="7" t="str">
        <f t="shared" si="22"/>
        <v/>
      </c>
      <c r="O104" s="3" t="str">
        <f t="shared" si="28"/>
        <v/>
      </c>
      <c r="P104" s="3" t="str">
        <f t="shared" si="29"/>
        <v/>
      </c>
      <c r="Q104" s="3" t="str">
        <f t="shared" si="30"/>
        <v/>
      </c>
      <c r="R104" s="3" t="str">
        <f t="shared" si="31"/>
        <v/>
      </c>
      <c r="S104" s="3" t="str">
        <f>IF($L104&lt;&gt;"",IF($A104="Prepago",0,IF(ROUND($H104*$U$5,2)&gt;ROUND(SUM($S$11:$S103)+$U$5,2),$U$5*2,$U$5)),"")</f>
        <v/>
      </c>
      <c r="T104" s="3" t="str">
        <f>IF($L104&lt;&gt;"",IF($A104="Prepago",0,IF(ROUND($H104*$U$6,2)&gt;ROUND(SUM($T$11:$T103)+$U$6,2),$U$6*2,$U$6)),"")</f>
        <v/>
      </c>
      <c r="U104" s="3" t="str">
        <f>IF($L104&lt;&gt;"",IF($A104="Prepago",0,IF(ROUND($H104*$U$7,2)&gt;ROUND(SUM($U$11:$U103)+$U$7,2),$U$7*2,$U$7)),"")</f>
        <v/>
      </c>
      <c r="V104" s="3" t="str">
        <f>IF($L104&lt;&gt;"",IF($A104="Prepago",0,IF(ROUND($H104*$U$8,2)&gt;ROUND(SUM($V$11:$V103)+$U$8,2),$U$8*2,$U$8)),"")</f>
        <v/>
      </c>
      <c r="W104" s="3" t="str">
        <f t="shared" si="23"/>
        <v/>
      </c>
      <c r="X104" s="3" t="str">
        <f t="shared" si="32"/>
        <v/>
      </c>
      <c r="Y104" s="3" t="str">
        <f t="shared" si="33"/>
        <v/>
      </c>
      <c r="Z104" s="3" t="str">
        <f t="shared" si="34"/>
        <v/>
      </c>
      <c r="AA104" s="3" t="str">
        <f>IF($L104&lt;&gt;"",IF($N104&gt;Z$11,IF($N104&lt;AA$11,$N104-Z$11,30),0)*ROUND(($O104+$X103+SUM($Z104:Z104))*$V$5/3000,2),"")</f>
        <v/>
      </c>
      <c r="AB104" s="3"/>
      <c r="AC104" s="3"/>
    </row>
    <row r="105" spans="5:29" x14ac:dyDescent="0.3">
      <c r="E105" s="5"/>
      <c r="F105" t="str">
        <f t="shared" si="38"/>
        <v/>
      </c>
      <c r="G105" s="5" t="str">
        <f t="shared" si="25"/>
        <v/>
      </c>
      <c r="H105" t="str">
        <f t="shared" si="39"/>
        <v/>
      </c>
      <c r="I105" t="str">
        <f t="shared" si="27"/>
        <v/>
      </c>
      <c r="J105" t="str">
        <f t="shared" si="40"/>
        <v/>
      </c>
      <c r="K105" t="str">
        <f t="shared" si="41"/>
        <v/>
      </c>
      <c r="L105" t="str">
        <f t="shared" si="21"/>
        <v/>
      </c>
      <c r="M105" s="5" t="str">
        <f t="shared" si="37"/>
        <v/>
      </c>
      <c r="N105" s="7" t="str">
        <f t="shared" si="22"/>
        <v/>
      </c>
      <c r="O105" s="3" t="str">
        <f t="shared" si="28"/>
        <v/>
      </c>
      <c r="P105" s="3" t="str">
        <f t="shared" si="29"/>
        <v/>
      </c>
      <c r="Q105" s="3" t="str">
        <f t="shared" si="30"/>
        <v/>
      </c>
      <c r="R105" s="3" t="str">
        <f t="shared" si="31"/>
        <v/>
      </c>
      <c r="S105" s="3" t="str">
        <f>IF($L105&lt;&gt;"",IF($A105="Prepago",0,IF(ROUND($H105*$U$5,2)&gt;ROUND(SUM($S$11:$S104)+$U$5,2),$U$5*2,$U$5)),"")</f>
        <v/>
      </c>
      <c r="T105" s="3" t="str">
        <f>IF($L105&lt;&gt;"",IF($A105="Prepago",0,IF(ROUND($H105*$U$6,2)&gt;ROUND(SUM($T$11:$T104)+$U$6,2),$U$6*2,$U$6)),"")</f>
        <v/>
      </c>
      <c r="U105" s="3" t="str">
        <f>IF($L105&lt;&gt;"",IF($A105="Prepago",0,IF(ROUND($H105*$U$7,2)&gt;ROUND(SUM($U$11:$U104)+$U$7,2),$U$7*2,$U$7)),"")</f>
        <v/>
      </c>
      <c r="V105" s="3" t="str">
        <f>IF($L105&lt;&gt;"",IF($A105="Prepago",0,IF(ROUND($H105*$U$8,2)&gt;ROUND(SUM($V$11:$V104)+$U$8,2),$U$8*2,$U$8)),"")</f>
        <v/>
      </c>
      <c r="W105" s="3" t="str">
        <f t="shared" si="23"/>
        <v/>
      </c>
      <c r="X105" s="3" t="str">
        <f t="shared" si="32"/>
        <v/>
      </c>
      <c r="Y105" s="3" t="str">
        <f t="shared" si="33"/>
        <v/>
      </c>
      <c r="Z105" s="3" t="str">
        <f t="shared" si="34"/>
        <v/>
      </c>
      <c r="AA105" s="3" t="str">
        <f>IF($L105&lt;&gt;"",IF($N105&gt;Z$11,IF($N105&lt;AA$11,$N105-Z$11,30),0)*ROUND(($O105+$X104+SUM($Z105:Z105))*$V$5/3000,2),"")</f>
        <v/>
      </c>
      <c r="AB105" s="3"/>
      <c r="AC105" s="3"/>
    </row>
    <row r="106" spans="5:29" x14ac:dyDescent="0.3">
      <c r="E106" s="5"/>
      <c r="F106" t="str">
        <f t="shared" si="38"/>
        <v/>
      </c>
      <c r="G106" s="5" t="str">
        <f t="shared" si="25"/>
        <v/>
      </c>
      <c r="H106" t="str">
        <f t="shared" si="39"/>
        <v/>
      </c>
      <c r="I106" t="str">
        <f t="shared" si="27"/>
        <v/>
      </c>
      <c r="J106" t="str">
        <f t="shared" si="40"/>
        <v/>
      </c>
      <c r="K106" t="str">
        <f t="shared" si="41"/>
        <v/>
      </c>
      <c r="L106" t="str">
        <f t="shared" si="21"/>
        <v/>
      </c>
      <c r="M106" s="5" t="str">
        <f t="shared" si="37"/>
        <v/>
      </c>
      <c r="N106" s="7" t="str">
        <f t="shared" si="22"/>
        <v/>
      </c>
      <c r="O106" s="3" t="str">
        <f t="shared" si="28"/>
        <v/>
      </c>
      <c r="P106" s="3" t="str">
        <f t="shared" si="29"/>
        <v/>
      </c>
      <c r="Q106" s="3" t="str">
        <f t="shared" si="30"/>
        <v/>
      </c>
      <c r="R106" s="3" t="str">
        <f t="shared" si="31"/>
        <v/>
      </c>
      <c r="S106" s="3" t="str">
        <f>IF($L106&lt;&gt;"",IF($A106="Prepago",0,IF(ROUND($H106*$U$5,2)&gt;ROUND(SUM($S$11:$S105)+$U$5,2),$U$5*2,$U$5)),"")</f>
        <v/>
      </c>
      <c r="T106" s="3" t="str">
        <f>IF($L106&lt;&gt;"",IF($A106="Prepago",0,IF(ROUND($H106*$U$6,2)&gt;ROUND(SUM($T$11:$T105)+$U$6,2),$U$6*2,$U$6)),"")</f>
        <v/>
      </c>
      <c r="U106" s="3" t="str">
        <f>IF($L106&lt;&gt;"",IF($A106="Prepago",0,IF(ROUND($H106*$U$7,2)&gt;ROUND(SUM($U$11:$U105)+$U$7,2),$U$7*2,$U$7)),"")</f>
        <v/>
      </c>
      <c r="V106" s="3" t="str">
        <f>IF($L106&lt;&gt;"",IF($A106="Prepago",0,IF(ROUND($H106*$U$8,2)&gt;ROUND(SUM($V$11:$V105)+$U$8,2),$U$8*2,$U$8)),"")</f>
        <v/>
      </c>
      <c r="W106" s="3" t="str">
        <f t="shared" si="23"/>
        <v/>
      </c>
      <c r="X106" s="3" t="str">
        <f t="shared" si="32"/>
        <v/>
      </c>
      <c r="Y106" s="3" t="str">
        <f t="shared" si="33"/>
        <v/>
      </c>
      <c r="Z106" s="3" t="str">
        <f t="shared" si="34"/>
        <v/>
      </c>
      <c r="AA106" s="3" t="str">
        <f>IF($L106&lt;&gt;"",IF($N106&gt;Z$11,IF($N106&lt;AA$11,$N106-Z$11,30),0)*ROUND(($O106+$X105+SUM($Z106:Z106))*$V$5/3000,2),"")</f>
        <v/>
      </c>
      <c r="AB106" s="3"/>
      <c r="AC106" s="3"/>
    </row>
    <row r="107" spans="5:29" x14ac:dyDescent="0.3">
      <c r="E107" s="5"/>
      <c r="F107" t="str">
        <f t="shared" si="38"/>
        <v/>
      </c>
      <c r="G107" s="5" t="str">
        <f t="shared" si="25"/>
        <v/>
      </c>
      <c r="H107" t="str">
        <f t="shared" si="39"/>
        <v/>
      </c>
      <c r="I107" t="str">
        <f t="shared" si="27"/>
        <v/>
      </c>
      <c r="J107" t="str">
        <f t="shared" si="40"/>
        <v/>
      </c>
      <c r="K107" t="str">
        <f t="shared" si="41"/>
        <v/>
      </c>
      <c r="L107" t="str">
        <f t="shared" si="21"/>
        <v/>
      </c>
      <c r="M107" s="5" t="str">
        <f t="shared" si="37"/>
        <v/>
      </c>
      <c r="N107" s="7" t="str">
        <f t="shared" si="22"/>
        <v/>
      </c>
      <c r="O107" s="3" t="str">
        <f t="shared" si="28"/>
        <v/>
      </c>
      <c r="P107" s="3" t="str">
        <f t="shared" si="29"/>
        <v/>
      </c>
      <c r="Q107" s="3" t="str">
        <f t="shared" si="30"/>
        <v/>
      </c>
      <c r="R107" s="3" t="str">
        <f t="shared" si="31"/>
        <v/>
      </c>
      <c r="S107" s="3" t="str">
        <f>IF($L107&lt;&gt;"",IF($A107="Prepago",0,IF(ROUND($H107*$U$5,2)&gt;ROUND(SUM($S$11:$S106)+$U$5,2),$U$5*2,$U$5)),"")</f>
        <v/>
      </c>
      <c r="T107" s="3" t="str">
        <f>IF($L107&lt;&gt;"",IF($A107="Prepago",0,IF(ROUND($H107*$U$6,2)&gt;ROUND(SUM($T$11:$T106)+$U$6,2),$U$6*2,$U$6)),"")</f>
        <v/>
      </c>
      <c r="U107" s="3" t="str">
        <f>IF($L107&lt;&gt;"",IF($A107="Prepago",0,IF(ROUND($H107*$U$7,2)&gt;ROUND(SUM($U$11:$U106)+$U$7,2),$U$7*2,$U$7)),"")</f>
        <v/>
      </c>
      <c r="V107" s="3" t="str">
        <f>IF($L107&lt;&gt;"",IF($A107="Prepago",0,IF(ROUND($H107*$U$8,2)&gt;ROUND(SUM($V$11:$V106)+$U$8,2),$U$8*2,$U$8)),"")</f>
        <v/>
      </c>
      <c r="W107" s="3" t="str">
        <f t="shared" si="23"/>
        <v/>
      </c>
      <c r="X107" s="3" t="str">
        <f t="shared" si="32"/>
        <v/>
      </c>
      <c r="Y107" s="3" t="str">
        <f t="shared" si="33"/>
        <v/>
      </c>
      <c r="Z107" s="3" t="str">
        <f t="shared" si="34"/>
        <v/>
      </c>
      <c r="AA107" s="3" t="str">
        <f>IF($L107&lt;&gt;"",IF($N107&gt;Z$11,IF($N107&lt;AA$11,$N107-Z$11,30),0)*ROUND(($O107+$X106+SUM($Z107:Z107))*$V$5/3000,2),"")</f>
        <v/>
      </c>
      <c r="AB107" s="3"/>
      <c r="AC107" s="3"/>
    </row>
    <row r="108" spans="5:29" x14ac:dyDescent="0.3">
      <c r="E108" s="5"/>
      <c r="F108" t="str">
        <f t="shared" si="38"/>
        <v/>
      </c>
      <c r="G108" s="5" t="str">
        <f t="shared" si="25"/>
        <v/>
      </c>
      <c r="H108" t="str">
        <f t="shared" si="39"/>
        <v/>
      </c>
      <c r="I108" t="str">
        <f t="shared" si="27"/>
        <v/>
      </c>
      <c r="J108" t="str">
        <f t="shared" si="40"/>
        <v/>
      </c>
      <c r="K108" t="str">
        <f t="shared" si="41"/>
        <v/>
      </c>
      <c r="L108" t="str">
        <f t="shared" ref="L108:L171" si="42">IF($L107&lt;NCUOTAS+CUOTAADICIONAL+NPREPAGO,$L107+1,"")</f>
        <v/>
      </c>
      <c r="M108" s="5" t="str">
        <f t="shared" si="37"/>
        <v/>
      </c>
      <c r="N108" s="7" t="str">
        <f t="shared" ref="N108:N171" si="43">IF($L108&lt;&gt;"",$M108-$M107,"")</f>
        <v/>
      </c>
      <c r="O108" s="3" t="str">
        <f t="shared" si="28"/>
        <v/>
      </c>
      <c r="P108" s="3" t="str">
        <f t="shared" si="29"/>
        <v/>
      </c>
      <c r="Q108" s="3" t="str">
        <f t="shared" si="30"/>
        <v/>
      </c>
      <c r="R108" s="3" t="str">
        <f t="shared" si="31"/>
        <v/>
      </c>
      <c r="S108" s="3" t="str">
        <f>IF($L108&lt;&gt;"",IF($A108="Prepago",0,IF(ROUND($H108*$U$5,2)&gt;ROUND(SUM($S$11:$S107)+$U$5,2),$U$5*2,$U$5)),"")</f>
        <v/>
      </c>
      <c r="T108" s="3" t="str">
        <f>IF($L108&lt;&gt;"",IF($A108="Prepago",0,IF(ROUND($H108*$U$6,2)&gt;ROUND(SUM($T$11:$T107)+$U$6,2),$U$6*2,$U$6)),"")</f>
        <v/>
      </c>
      <c r="U108" s="3" t="str">
        <f>IF($L108&lt;&gt;"",IF($A108="Prepago",0,IF(ROUND($H108*$U$7,2)&gt;ROUND(SUM($U$11:$U107)+$U$7,2),$U$7*2,$U$7)),"")</f>
        <v/>
      </c>
      <c r="V108" s="3" t="str">
        <f>IF($L108&lt;&gt;"",IF($A108="Prepago",0,IF(ROUND($H108*$U$8,2)&gt;ROUND(SUM($V$11:$V107)+$U$8,2),$U$8*2,$U$8)),"")</f>
        <v/>
      </c>
      <c r="W108" s="3" t="str">
        <f t="shared" ref="W108:W171" si="44">IF($L108&lt;&gt;"",$O108-$Q108,"")</f>
        <v/>
      </c>
      <c r="X108" s="3" t="str">
        <f t="shared" si="32"/>
        <v/>
      </c>
      <c r="Y108" s="3" t="str">
        <f t="shared" si="33"/>
        <v/>
      </c>
      <c r="Z108" s="3" t="str">
        <f t="shared" si="34"/>
        <v/>
      </c>
      <c r="AA108" s="3" t="str">
        <f>IF($L108&lt;&gt;"",IF($N108&gt;Z$11,IF($N108&lt;AA$11,$N108-Z$11,30),0)*ROUND(($O108+$X107+SUM($Z108:Z108))*$V$5/3000,2),"")</f>
        <v/>
      </c>
      <c r="AB108" s="3"/>
      <c r="AC108" s="3"/>
    </row>
    <row r="109" spans="5:29" x14ac:dyDescent="0.3">
      <c r="E109" s="5"/>
      <c r="F109" t="str">
        <f t="shared" si="38"/>
        <v/>
      </c>
      <c r="G109" s="5" t="str">
        <f t="shared" si="25"/>
        <v/>
      </c>
      <c r="H109" t="str">
        <f t="shared" si="39"/>
        <v/>
      </c>
      <c r="I109" t="str">
        <f t="shared" si="27"/>
        <v/>
      </c>
      <c r="J109" t="str">
        <f t="shared" si="40"/>
        <v/>
      </c>
      <c r="K109" t="str">
        <f t="shared" si="41"/>
        <v/>
      </c>
      <c r="L109" t="str">
        <f t="shared" si="42"/>
        <v/>
      </c>
      <c r="M109" s="5" t="str">
        <f t="shared" si="37"/>
        <v/>
      </c>
      <c r="N109" s="7" t="str">
        <f t="shared" si="43"/>
        <v/>
      </c>
      <c r="O109" s="3" t="str">
        <f t="shared" si="28"/>
        <v/>
      </c>
      <c r="P109" s="3" t="str">
        <f t="shared" si="29"/>
        <v/>
      </c>
      <c r="Q109" s="3" t="str">
        <f t="shared" si="30"/>
        <v/>
      </c>
      <c r="R109" s="3" t="str">
        <f t="shared" si="31"/>
        <v/>
      </c>
      <c r="S109" s="3" t="str">
        <f>IF($L109&lt;&gt;"",IF($A109="Prepago",0,IF(ROUND($H109*$U$5,2)&gt;ROUND(SUM($S$11:$S108)+$U$5,2),$U$5*2,$U$5)),"")</f>
        <v/>
      </c>
      <c r="T109" s="3" t="str">
        <f>IF($L109&lt;&gt;"",IF($A109="Prepago",0,IF(ROUND($H109*$U$6,2)&gt;ROUND(SUM($T$11:$T108)+$U$6,2),$U$6*2,$U$6)),"")</f>
        <v/>
      </c>
      <c r="U109" s="3" t="str">
        <f>IF($L109&lt;&gt;"",IF($A109="Prepago",0,IF(ROUND($H109*$U$7,2)&gt;ROUND(SUM($U$11:$U108)+$U$7,2),$U$7*2,$U$7)),"")</f>
        <v/>
      </c>
      <c r="V109" s="3" t="str">
        <f>IF($L109&lt;&gt;"",IF($A109="Prepago",0,IF(ROUND($H109*$U$8,2)&gt;ROUND(SUM($V$11:$V108)+$U$8,2),$U$8*2,$U$8)),"")</f>
        <v/>
      </c>
      <c r="W109" s="3" t="str">
        <f t="shared" si="44"/>
        <v/>
      </c>
      <c r="X109" s="3" t="str">
        <f t="shared" si="32"/>
        <v/>
      </c>
      <c r="Y109" s="3" t="str">
        <f t="shared" si="33"/>
        <v/>
      </c>
      <c r="Z109" s="3" t="str">
        <f t="shared" si="34"/>
        <v/>
      </c>
      <c r="AA109" s="3" t="str">
        <f>IF($L109&lt;&gt;"",IF($N109&gt;Z$11,IF($N109&lt;AA$11,$N109-Z$11,30),0)*ROUND(($O109+$X108+SUM($Z109:Z109))*$V$5/3000,2),"")</f>
        <v/>
      </c>
      <c r="AB109" s="3"/>
      <c r="AC109" s="3"/>
    </row>
    <row r="110" spans="5:29" x14ac:dyDescent="0.3">
      <c r="E110" s="5"/>
      <c r="F110" t="str">
        <f t="shared" si="38"/>
        <v/>
      </c>
      <c r="G110" s="5" t="str">
        <f t="shared" si="25"/>
        <v/>
      </c>
      <c r="H110" t="str">
        <f t="shared" si="39"/>
        <v/>
      </c>
      <c r="I110" t="str">
        <f t="shared" si="27"/>
        <v/>
      </c>
      <c r="J110" t="str">
        <f t="shared" si="40"/>
        <v/>
      </c>
      <c r="K110" t="str">
        <f t="shared" si="41"/>
        <v/>
      </c>
      <c r="L110" t="str">
        <f t="shared" si="42"/>
        <v/>
      </c>
      <c r="M110" s="5" t="str">
        <f t="shared" si="37"/>
        <v/>
      </c>
      <c r="N110" s="7" t="str">
        <f t="shared" si="43"/>
        <v/>
      </c>
      <c r="O110" s="3" t="str">
        <f t="shared" si="28"/>
        <v/>
      </c>
      <c r="P110" s="3" t="str">
        <f t="shared" si="29"/>
        <v/>
      </c>
      <c r="Q110" s="3" t="str">
        <f t="shared" si="30"/>
        <v/>
      </c>
      <c r="R110" s="3" t="str">
        <f t="shared" si="31"/>
        <v/>
      </c>
      <c r="S110" s="3" t="str">
        <f>IF($L110&lt;&gt;"",IF($A110="Prepago",0,IF(ROUND($H110*$U$5,2)&gt;ROUND(SUM($S$11:$S109)+$U$5,2),$U$5*2,$U$5)),"")</f>
        <v/>
      </c>
      <c r="T110" s="3" t="str">
        <f>IF($L110&lt;&gt;"",IF($A110="Prepago",0,IF(ROUND($H110*$U$6,2)&gt;ROUND(SUM($T$11:$T109)+$U$6,2),$U$6*2,$U$6)),"")</f>
        <v/>
      </c>
      <c r="U110" s="3" t="str">
        <f>IF($L110&lt;&gt;"",IF($A110="Prepago",0,IF(ROUND($H110*$U$7,2)&gt;ROUND(SUM($U$11:$U109)+$U$7,2),$U$7*2,$U$7)),"")</f>
        <v/>
      </c>
      <c r="V110" s="3" t="str">
        <f>IF($L110&lt;&gt;"",IF($A110="Prepago",0,IF(ROUND($H110*$U$8,2)&gt;ROUND(SUM($V$11:$V109)+$U$8,2),$U$8*2,$U$8)),"")</f>
        <v/>
      </c>
      <c r="W110" s="3" t="str">
        <f t="shared" si="44"/>
        <v/>
      </c>
      <c r="X110" s="3" t="str">
        <f t="shared" si="32"/>
        <v/>
      </c>
      <c r="Y110" s="3" t="str">
        <f t="shared" si="33"/>
        <v/>
      </c>
      <c r="Z110" s="3" t="str">
        <f t="shared" si="34"/>
        <v/>
      </c>
      <c r="AA110" s="3" t="str">
        <f>IF($L110&lt;&gt;"",IF($N110&gt;Z$11,IF($N110&lt;AA$11,$N110-Z$11,30),0)*ROUND(($O110+$X109+SUM($Z110:Z110))*$V$5/3000,2),"")</f>
        <v/>
      </c>
      <c r="AB110" s="3"/>
      <c r="AC110" s="3"/>
    </row>
    <row r="111" spans="5:29" x14ac:dyDescent="0.3">
      <c r="E111" s="5"/>
      <c r="F111" t="str">
        <f t="shared" si="38"/>
        <v/>
      </c>
      <c r="G111" s="5" t="str">
        <f t="shared" si="25"/>
        <v/>
      </c>
      <c r="H111" t="str">
        <f t="shared" si="39"/>
        <v/>
      </c>
      <c r="I111" t="str">
        <f t="shared" si="27"/>
        <v/>
      </c>
      <c r="J111" t="str">
        <f t="shared" si="40"/>
        <v/>
      </c>
      <c r="K111" t="str">
        <f t="shared" si="41"/>
        <v/>
      </c>
      <c r="L111" t="str">
        <f t="shared" si="42"/>
        <v/>
      </c>
      <c r="M111" s="5" t="str">
        <f t="shared" si="37"/>
        <v/>
      </c>
      <c r="N111" s="7" t="str">
        <f t="shared" si="43"/>
        <v/>
      </c>
      <c r="O111" s="3" t="str">
        <f t="shared" si="28"/>
        <v/>
      </c>
      <c r="P111" s="3" t="str">
        <f t="shared" si="29"/>
        <v/>
      </c>
      <c r="Q111" s="3" t="str">
        <f t="shared" si="30"/>
        <v/>
      </c>
      <c r="R111" s="3" t="str">
        <f t="shared" si="31"/>
        <v/>
      </c>
      <c r="S111" s="3" t="str">
        <f>IF($L111&lt;&gt;"",IF($A111="Prepago",0,IF(ROUND($H111*$U$5,2)&gt;ROUND(SUM($S$11:$S110)+$U$5,2),$U$5*2,$U$5)),"")</f>
        <v/>
      </c>
      <c r="T111" s="3" t="str">
        <f>IF($L111&lt;&gt;"",IF($A111="Prepago",0,IF(ROUND($H111*$U$6,2)&gt;ROUND(SUM($T$11:$T110)+$U$6,2),$U$6*2,$U$6)),"")</f>
        <v/>
      </c>
      <c r="U111" s="3" t="str">
        <f>IF($L111&lt;&gt;"",IF($A111="Prepago",0,IF(ROUND($H111*$U$7,2)&gt;ROUND(SUM($U$11:$U110)+$U$7,2),$U$7*2,$U$7)),"")</f>
        <v/>
      </c>
      <c r="V111" s="3" t="str">
        <f>IF($L111&lt;&gt;"",IF($A111="Prepago",0,IF(ROUND($H111*$U$8,2)&gt;ROUND(SUM($V$11:$V110)+$U$8,2),$U$8*2,$U$8)),"")</f>
        <v/>
      </c>
      <c r="W111" s="3" t="str">
        <f t="shared" si="44"/>
        <v/>
      </c>
      <c r="X111" s="3" t="str">
        <f t="shared" si="32"/>
        <v/>
      </c>
      <c r="Y111" s="3" t="str">
        <f t="shared" si="33"/>
        <v/>
      </c>
      <c r="Z111" s="3" t="str">
        <f t="shared" si="34"/>
        <v/>
      </c>
      <c r="AA111" s="3" t="str">
        <f>IF($L111&lt;&gt;"",IF($N111&gt;Z$11,IF($N111&lt;AA$11,$N111-Z$11,30),0)*ROUND(($O111+$X110+SUM($Z111:Z111))*$V$5/3000,2),"")</f>
        <v/>
      </c>
      <c r="AB111" s="3"/>
      <c r="AC111" s="3"/>
    </row>
    <row r="112" spans="5:29" x14ac:dyDescent="0.3">
      <c r="E112" s="5"/>
      <c r="F112" t="str">
        <f t="shared" si="38"/>
        <v/>
      </c>
      <c r="G112" s="5" t="str">
        <f t="shared" si="25"/>
        <v/>
      </c>
      <c r="H112" t="str">
        <f t="shared" si="39"/>
        <v/>
      </c>
      <c r="I112" t="str">
        <f t="shared" si="27"/>
        <v/>
      </c>
      <c r="J112" t="str">
        <f t="shared" si="40"/>
        <v/>
      </c>
      <c r="K112" t="str">
        <f t="shared" si="41"/>
        <v/>
      </c>
      <c r="L112" t="str">
        <f t="shared" si="42"/>
        <v/>
      </c>
      <c r="M112" s="5" t="str">
        <f t="shared" si="37"/>
        <v/>
      </c>
      <c r="N112" s="7" t="str">
        <f t="shared" si="43"/>
        <v/>
      </c>
      <c r="O112" s="3" t="str">
        <f t="shared" si="28"/>
        <v/>
      </c>
      <c r="P112" s="3" t="str">
        <f t="shared" si="29"/>
        <v/>
      </c>
      <c r="Q112" s="3" t="str">
        <f t="shared" si="30"/>
        <v/>
      </c>
      <c r="R112" s="3" t="str">
        <f t="shared" si="31"/>
        <v/>
      </c>
      <c r="S112" s="3" t="str">
        <f>IF($L112&lt;&gt;"",IF($A112="Prepago",0,IF(ROUND($H112*$U$5,2)&gt;ROUND(SUM($S$11:$S111)+$U$5,2),$U$5*2,$U$5)),"")</f>
        <v/>
      </c>
      <c r="T112" s="3" t="str">
        <f>IF($L112&lt;&gt;"",IF($A112="Prepago",0,IF(ROUND($H112*$U$6,2)&gt;ROUND(SUM($T$11:$T111)+$U$6,2),$U$6*2,$U$6)),"")</f>
        <v/>
      </c>
      <c r="U112" s="3" t="str">
        <f>IF($L112&lt;&gt;"",IF($A112="Prepago",0,IF(ROUND($H112*$U$7,2)&gt;ROUND(SUM($U$11:$U111)+$U$7,2),$U$7*2,$U$7)),"")</f>
        <v/>
      </c>
      <c r="V112" s="3" t="str">
        <f>IF($L112&lt;&gt;"",IF($A112="Prepago",0,IF(ROUND($H112*$U$8,2)&gt;ROUND(SUM($V$11:$V111)+$U$8,2),$U$8*2,$U$8)),"")</f>
        <v/>
      </c>
      <c r="W112" s="3" t="str">
        <f t="shared" si="44"/>
        <v/>
      </c>
      <c r="X112" s="3" t="str">
        <f t="shared" si="32"/>
        <v/>
      </c>
      <c r="Y112" s="3" t="str">
        <f t="shared" si="33"/>
        <v/>
      </c>
      <c r="Z112" s="3" t="str">
        <f t="shared" si="34"/>
        <v/>
      </c>
      <c r="AA112" s="3" t="str">
        <f>IF($L112&lt;&gt;"",IF($N112&gt;Z$11,IF($N112&lt;AA$11,$N112-Z$11,30),0)*ROUND(($O112+$X111+SUM($Z112:Z112))*$V$5/3000,2),"")</f>
        <v/>
      </c>
      <c r="AB112" s="3"/>
      <c r="AC112" s="3"/>
    </row>
    <row r="113" spans="5:29" x14ac:dyDescent="0.3">
      <c r="E113" s="5"/>
      <c r="F113" t="str">
        <f t="shared" si="38"/>
        <v/>
      </c>
      <c r="G113" s="5" t="str">
        <f t="shared" si="25"/>
        <v/>
      </c>
      <c r="H113" t="str">
        <f t="shared" si="39"/>
        <v/>
      </c>
      <c r="I113" t="str">
        <f t="shared" si="27"/>
        <v/>
      </c>
      <c r="J113" t="str">
        <f t="shared" si="40"/>
        <v/>
      </c>
      <c r="K113" t="str">
        <f t="shared" si="41"/>
        <v/>
      </c>
      <c r="L113" t="str">
        <f t="shared" si="42"/>
        <v/>
      </c>
      <c r="M113" s="5" t="str">
        <f t="shared" si="37"/>
        <v/>
      </c>
      <c r="N113" s="7" t="str">
        <f t="shared" si="43"/>
        <v/>
      </c>
      <c r="O113" s="3" t="str">
        <f t="shared" si="28"/>
        <v/>
      </c>
      <c r="P113" s="3" t="str">
        <f t="shared" si="29"/>
        <v/>
      </c>
      <c r="Q113" s="3" t="str">
        <f t="shared" si="30"/>
        <v/>
      </c>
      <c r="R113" s="3" t="str">
        <f t="shared" si="31"/>
        <v/>
      </c>
      <c r="S113" s="3" t="str">
        <f>IF($L113&lt;&gt;"",IF($A113="Prepago",0,IF(ROUND($H113*$U$5,2)&gt;ROUND(SUM($S$11:$S112)+$U$5,2),$U$5*2,$U$5)),"")</f>
        <v/>
      </c>
      <c r="T113" s="3" t="str">
        <f>IF($L113&lt;&gt;"",IF($A113="Prepago",0,IF(ROUND($H113*$U$6,2)&gt;ROUND(SUM($T$11:$T112)+$U$6,2),$U$6*2,$U$6)),"")</f>
        <v/>
      </c>
      <c r="U113" s="3" t="str">
        <f>IF($L113&lt;&gt;"",IF($A113="Prepago",0,IF(ROUND($H113*$U$7,2)&gt;ROUND(SUM($U$11:$U112)+$U$7,2),$U$7*2,$U$7)),"")</f>
        <v/>
      </c>
      <c r="V113" s="3" t="str">
        <f>IF($L113&lt;&gt;"",IF($A113="Prepago",0,IF(ROUND($H113*$U$8,2)&gt;ROUND(SUM($V$11:$V112)+$U$8,2),$U$8*2,$U$8)),"")</f>
        <v/>
      </c>
      <c r="W113" s="3" t="str">
        <f t="shared" si="44"/>
        <v/>
      </c>
      <c r="X113" s="3" t="str">
        <f t="shared" si="32"/>
        <v/>
      </c>
      <c r="Y113" s="3" t="str">
        <f t="shared" si="33"/>
        <v/>
      </c>
      <c r="Z113" s="3" t="str">
        <f t="shared" si="34"/>
        <v/>
      </c>
      <c r="AA113" s="3" t="str">
        <f>IF($L113&lt;&gt;"",IF($N113&gt;Z$11,IF($N113&lt;AA$11,$N113-Z$11,30),0)*ROUND(($O113+$X112+SUM($Z113:Z113))*$V$5/3000,2),"")</f>
        <v/>
      </c>
      <c r="AB113" s="3"/>
      <c r="AC113" s="3"/>
    </row>
    <row r="114" spans="5:29" x14ac:dyDescent="0.3">
      <c r="E114" s="5"/>
      <c r="F114" t="str">
        <f t="shared" si="38"/>
        <v/>
      </c>
      <c r="G114" s="5" t="str">
        <f t="shared" si="25"/>
        <v/>
      </c>
      <c r="H114" t="str">
        <f t="shared" si="39"/>
        <v/>
      </c>
      <c r="I114" t="str">
        <f t="shared" si="27"/>
        <v/>
      </c>
      <c r="J114" t="str">
        <f t="shared" si="40"/>
        <v/>
      </c>
      <c r="K114" t="str">
        <f t="shared" si="41"/>
        <v/>
      </c>
      <c r="L114" t="str">
        <f t="shared" si="42"/>
        <v/>
      </c>
      <c r="M114" s="5" t="str">
        <f t="shared" si="37"/>
        <v/>
      </c>
      <c r="N114" s="7" t="str">
        <f t="shared" si="43"/>
        <v/>
      </c>
      <c r="O114" s="3" t="str">
        <f t="shared" si="28"/>
        <v/>
      </c>
      <c r="P114" s="3" t="str">
        <f t="shared" si="29"/>
        <v/>
      </c>
      <c r="Q114" s="3" t="str">
        <f t="shared" si="30"/>
        <v/>
      </c>
      <c r="R114" s="3" t="str">
        <f t="shared" si="31"/>
        <v/>
      </c>
      <c r="S114" s="3" t="str">
        <f>IF($L114&lt;&gt;"",IF($A114="Prepago",0,IF(ROUND($H114*$U$5,2)&gt;ROUND(SUM($S$11:$S113)+$U$5,2),$U$5*2,$U$5)),"")</f>
        <v/>
      </c>
      <c r="T114" s="3" t="str">
        <f>IF($L114&lt;&gt;"",IF($A114="Prepago",0,IF(ROUND($H114*$U$6,2)&gt;ROUND(SUM($T$11:$T113)+$U$6,2),$U$6*2,$U$6)),"")</f>
        <v/>
      </c>
      <c r="U114" s="3" t="str">
        <f>IF($L114&lt;&gt;"",IF($A114="Prepago",0,IF(ROUND($H114*$U$7,2)&gt;ROUND(SUM($U$11:$U113)+$U$7,2),$U$7*2,$U$7)),"")</f>
        <v/>
      </c>
      <c r="V114" s="3" t="str">
        <f>IF($L114&lt;&gt;"",IF($A114="Prepago",0,IF(ROUND($H114*$U$8,2)&gt;ROUND(SUM($V$11:$V113)+$U$8,2),$U$8*2,$U$8)),"")</f>
        <v/>
      </c>
      <c r="W114" s="3" t="str">
        <f t="shared" si="44"/>
        <v/>
      </c>
      <c r="X114" s="3" t="str">
        <f t="shared" si="32"/>
        <v/>
      </c>
      <c r="Y114" s="3" t="str">
        <f t="shared" si="33"/>
        <v/>
      </c>
      <c r="Z114" s="3" t="str">
        <f t="shared" si="34"/>
        <v/>
      </c>
      <c r="AA114" s="3" t="str">
        <f>IF($L114&lt;&gt;"",IF($N114&gt;Z$11,IF($N114&lt;AA$11,$N114-Z$11,30),0)*ROUND(($O114+$X113+SUM($Z114:Z114))*$V$5/3000,2),"")</f>
        <v/>
      </c>
      <c r="AB114" s="3"/>
      <c r="AC114" s="3"/>
    </row>
    <row r="115" spans="5:29" x14ac:dyDescent="0.3">
      <c r="E115" s="5"/>
      <c r="F115" t="str">
        <f t="shared" si="38"/>
        <v/>
      </c>
      <c r="G115" s="5" t="str">
        <f t="shared" si="25"/>
        <v/>
      </c>
      <c r="H115" t="str">
        <f t="shared" si="39"/>
        <v/>
      </c>
      <c r="I115" t="str">
        <f t="shared" si="27"/>
        <v/>
      </c>
      <c r="J115" t="str">
        <f t="shared" si="40"/>
        <v/>
      </c>
      <c r="K115" t="str">
        <f t="shared" si="41"/>
        <v/>
      </c>
      <c r="L115" t="str">
        <f t="shared" si="42"/>
        <v/>
      </c>
      <c r="M115" s="5" t="str">
        <f t="shared" si="37"/>
        <v/>
      </c>
      <c r="N115" s="7" t="str">
        <f t="shared" si="43"/>
        <v/>
      </c>
      <c r="O115" s="3" t="str">
        <f t="shared" si="28"/>
        <v/>
      </c>
      <c r="P115" s="3" t="str">
        <f t="shared" si="29"/>
        <v/>
      </c>
      <c r="Q115" s="3" t="str">
        <f t="shared" si="30"/>
        <v/>
      </c>
      <c r="R115" s="3" t="str">
        <f t="shared" si="31"/>
        <v/>
      </c>
      <c r="S115" s="3" t="str">
        <f>IF($L115&lt;&gt;"",IF($A115="Prepago",0,IF(ROUND($H115*$U$5,2)&gt;ROUND(SUM($S$11:$S114)+$U$5,2),$U$5*2,$U$5)),"")</f>
        <v/>
      </c>
      <c r="T115" s="3" t="str">
        <f>IF($L115&lt;&gt;"",IF($A115="Prepago",0,IF(ROUND($H115*$U$6,2)&gt;ROUND(SUM($T$11:$T114)+$U$6,2),$U$6*2,$U$6)),"")</f>
        <v/>
      </c>
      <c r="U115" s="3" t="str">
        <f>IF($L115&lt;&gt;"",IF($A115="Prepago",0,IF(ROUND($H115*$U$7,2)&gt;ROUND(SUM($U$11:$U114)+$U$7,2),$U$7*2,$U$7)),"")</f>
        <v/>
      </c>
      <c r="V115" s="3" t="str">
        <f>IF($L115&lt;&gt;"",IF($A115="Prepago",0,IF(ROUND($H115*$U$8,2)&gt;ROUND(SUM($V$11:$V114)+$U$8,2),$U$8*2,$U$8)),"")</f>
        <v/>
      </c>
      <c r="W115" s="3" t="str">
        <f t="shared" si="44"/>
        <v/>
      </c>
      <c r="X115" s="3" t="str">
        <f t="shared" si="32"/>
        <v/>
      </c>
      <c r="Y115" s="3" t="str">
        <f t="shared" si="33"/>
        <v/>
      </c>
      <c r="Z115" s="3" t="str">
        <f t="shared" si="34"/>
        <v/>
      </c>
      <c r="AA115" s="3" t="str">
        <f>IF($L115&lt;&gt;"",IF($N115&gt;Z$11,IF($N115&lt;AA$11,$N115-Z$11,30),0)*ROUND(($O115+$X114+SUM($Z115:Z115))*$V$5/3000,2),"")</f>
        <v/>
      </c>
      <c r="AB115" s="3"/>
      <c r="AC115" s="3"/>
    </row>
    <row r="116" spans="5:29" x14ac:dyDescent="0.3">
      <c r="E116" s="5"/>
      <c r="F116" t="str">
        <f t="shared" si="38"/>
        <v/>
      </c>
      <c r="G116" s="5" t="str">
        <f t="shared" si="25"/>
        <v/>
      </c>
      <c r="H116" t="str">
        <f t="shared" si="39"/>
        <v/>
      </c>
      <c r="I116" t="str">
        <f t="shared" si="27"/>
        <v/>
      </c>
      <c r="J116" t="str">
        <f t="shared" si="40"/>
        <v/>
      </c>
      <c r="K116" t="str">
        <f t="shared" si="41"/>
        <v/>
      </c>
      <c r="L116" t="str">
        <f t="shared" si="42"/>
        <v/>
      </c>
      <c r="M116" s="5" t="str">
        <f t="shared" si="37"/>
        <v/>
      </c>
      <c r="N116" s="7" t="str">
        <f t="shared" si="43"/>
        <v/>
      </c>
      <c r="O116" s="3" t="str">
        <f t="shared" si="28"/>
        <v/>
      </c>
      <c r="P116" s="3" t="str">
        <f t="shared" si="29"/>
        <v/>
      </c>
      <c r="Q116" s="3" t="str">
        <f t="shared" si="30"/>
        <v/>
      </c>
      <c r="R116" s="3" t="str">
        <f t="shared" si="31"/>
        <v/>
      </c>
      <c r="S116" s="3" t="str">
        <f>IF($L116&lt;&gt;"",IF($A116="Prepago",0,IF(ROUND($H116*$U$5,2)&gt;ROUND(SUM($S$11:$S115)+$U$5,2),$U$5*2,$U$5)),"")</f>
        <v/>
      </c>
      <c r="T116" s="3" t="str">
        <f>IF($L116&lt;&gt;"",IF($A116="Prepago",0,IF(ROUND($H116*$U$6,2)&gt;ROUND(SUM($T$11:$T115)+$U$6,2),$U$6*2,$U$6)),"")</f>
        <v/>
      </c>
      <c r="U116" s="3" t="str">
        <f>IF($L116&lt;&gt;"",IF($A116="Prepago",0,IF(ROUND($H116*$U$7,2)&gt;ROUND(SUM($U$11:$U115)+$U$7,2),$U$7*2,$U$7)),"")</f>
        <v/>
      </c>
      <c r="V116" s="3" t="str">
        <f>IF($L116&lt;&gt;"",IF($A116="Prepago",0,IF(ROUND($H116*$U$8,2)&gt;ROUND(SUM($V$11:$V115)+$U$8,2),$U$8*2,$U$8)),"")</f>
        <v/>
      </c>
      <c r="W116" s="3" t="str">
        <f t="shared" si="44"/>
        <v/>
      </c>
      <c r="X116" s="3" t="str">
        <f t="shared" si="32"/>
        <v/>
      </c>
      <c r="Y116" s="3" t="str">
        <f t="shared" si="33"/>
        <v/>
      </c>
      <c r="Z116" s="3" t="str">
        <f t="shared" si="34"/>
        <v/>
      </c>
      <c r="AA116" s="3" t="str">
        <f>IF($L116&lt;&gt;"",IF($N116&gt;Z$11,IF($N116&lt;AA$11,$N116-Z$11,30),0)*ROUND(($O116+$X115+SUM($Z116:Z116))*$V$5/3000,2),"")</f>
        <v/>
      </c>
      <c r="AB116" s="3"/>
      <c r="AC116" s="3"/>
    </row>
    <row r="117" spans="5:29" x14ac:dyDescent="0.3">
      <c r="E117" s="5"/>
      <c r="F117" t="str">
        <f t="shared" si="38"/>
        <v/>
      </c>
      <c r="G117" s="5" t="str">
        <f t="shared" si="25"/>
        <v/>
      </c>
      <c r="H117" t="str">
        <f t="shared" si="39"/>
        <v/>
      </c>
      <c r="I117" t="str">
        <f t="shared" si="27"/>
        <v/>
      </c>
      <c r="J117" t="str">
        <f t="shared" si="40"/>
        <v/>
      </c>
      <c r="K117" t="str">
        <f t="shared" si="41"/>
        <v/>
      </c>
      <c r="L117" t="str">
        <f t="shared" si="42"/>
        <v/>
      </c>
      <c r="M117" s="5" t="str">
        <f t="shared" si="37"/>
        <v/>
      </c>
      <c r="N117" s="7" t="str">
        <f t="shared" si="43"/>
        <v/>
      </c>
      <c r="O117" s="3" t="str">
        <f t="shared" si="28"/>
        <v/>
      </c>
      <c r="P117" s="3" t="str">
        <f t="shared" si="29"/>
        <v/>
      </c>
      <c r="Q117" s="3" t="str">
        <f t="shared" si="30"/>
        <v/>
      </c>
      <c r="R117" s="3" t="str">
        <f t="shared" si="31"/>
        <v/>
      </c>
      <c r="S117" s="3" t="str">
        <f>IF($L117&lt;&gt;"",IF($A117="Prepago",0,IF(ROUND($H117*$U$5,2)&gt;ROUND(SUM($S$11:$S116)+$U$5,2),$U$5*2,$U$5)),"")</f>
        <v/>
      </c>
      <c r="T117" s="3" t="str">
        <f>IF($L117&lt;&gt;"",IF($A117="Prepago",0,IF(ROUND($H117*$U$6,2)&gt;ROUND(SUM($T$11:$T116)+$U$6,2),$U$6*2,$U$6)),"")</f>
        <v/>
      </c>
      <c r="U117" s="3" t="str">
        <f>IF($L117&lt;&gt;"",IF($A117="Prepago",0,IF(ROUND($H117*$U$7,2)&gt;ROUND(SUM($U$11:$U116)+$U$7,2),$U$7*2,$U$7)),"")</f>
        <v/>
      </c>
      <c r="V117" s="3" t="str">
        <f>IF($L117&lt;&gt;"",IF($A117="Prepago",0,IF(ROUND($H117*$U$8,2)&gt;ROUND(SUM($V$11:$V116)+$U$8,2),$U$8*2,$U$8)),"")</f>
        <v/>
      </c>
      <c r="W117" s="3" t="str">
        <f t="shared" si="44"/>
        <v/>
      </c>
      <c r="X117" s="3" t="str">
        <f t="shared" si="32"/>
        <v/>
      </c>
      <c r="Y117" s="3" t="str">
        <f t="shared" si="33"/>
        <v/>
      </c>
      <c r="Z117" s="3" t="str">
        <f t="shared" si="34"/>
        <v/>
      </c>
      <c r="AA117" s="3" t="str">
        <f>IF($L117&lt;&gt;"",IF($N117&gt;Z$11,IF($N117&lt;AA$11,$N117-Z$11,30),0)*ROUND(($O117+$X116+SUM($Z117:Z117))*$V$5/3000,2),"")</f>
        <v/>
      </c>
      <c r="AB117" s="3"/>
      <c r="AC117" s="3"/>
    </row>
    <row r="118" spans="5:29" x14ac:dyDescent="0.3">
      <c r="E118" s="5"/>
      <c r="F118" t="str">
        <f t="shared" si="38"/>
        <v/>
      </c>
      <c r="G118" s="5" t="str">
        <f t="shared" si="25"/>
        <v/>
      </c>
      <c r="H118" t="str">
        <f t="shared" si="39"/>
        <v/>
      </c>
      <c r="I118" t="str">
        <f t="shared" si="27"/>
        <v/>
      </c>
      <c r="J118" t="str">
        <f t="shared" si="40"/>
        <v/>
      </c>
      <c r="K118" t="str">
        <f t="shared" si="41"/>
        <v/>
      </c>
      <c r="L118" t="str">
        <f t="shared" si="42"/>
        <v/>
      </c>
      <c r="M118" s="5" t="str">
        <f t="shared" si="37"/>
        <v/>
      </c>
      <c r="N118" s="7" t="str">
        <f t="shared" si="43"/>
        <v/>
      </c>
      <c r="O118" s="3" t="str">
        <f t="shared" si="28"/>
        <v/>
      </c>
      <c r="P118" s="3" t="str">
        <f t="shared" si="29"/>
        <v/>
      </c>
      <c r="Q118" s="3" t="str">
        <f t="shared" si="30"/>
        <v/>
      </c>
      <c r="R118" s="3" t="str">
        <f t="shared" si="31"/>
        <v/>
      </c>
      <c r="S118" s="3" t="str">
        <f>IF($L118&lt;&gt;"",IF($A118="Prepago",0,IF(ROUND($H118*$U$5,2)&gt;ROUND(SUM($S$11:$S117)+$U$5,2),$U$5*2,$U$5)),"")</f>
        <v/>
      </c>
      <c r="T118" s="3" t="str">
        <f>IF($L118&lt;&gt;"",IF($A118="Prepago",0,IF(ROUND($H118*$U$6,2)&gt;ROUND(SUM($T$11:$T117)+$U$6,2),$U$6*2,$U$6)),"")</f>
        <v/>
      </c>
      <c r="U118" s="3" t="str">
        <f>IF($L118&lt;&gt;"",IF($A118="Prepago",0,IF(ROUND($H118*$U$7,2)&gt;ROUND(SUM($U$11:$U117)+$U$7,2),$U$7*2,$U$7)),"")</f>
        <v/>
      </c>
      <c r="V118" s="3" t="str">
        <f>IF($L118&lt;&gt;"",IF($A118="Prepago",0,IF(ROUND($H118*$U$8,2)&gt;ROUND(SUM($V$11:$V117)+$U$8,2),$U$8*2,$U$8)),"")</f>
        <v/>
      </c>
      <c r="W118" s="3" t="str">
        <f t="shared" si="44"/>
        <v/>
      </c>
      <c r="X118" s="3" t="str">
        <f t="shared" si="32"/>
        <v/>
      </c>
      <c r="Y118" s="3" t="str">
        <f t="shared" si="33"/>
        <v/>
      </c>
      <c r="Z118" s="3" t="str">
        <f t="shared" si="34"/>
        <v/>
      </c>
      <c r="AA118" s="3" t="str">
        <f>IF($L118&lt;&gt;"",IF($N118&gt;Z$11,IF($N118&lt;AA$11,$N118-Z$11,30),0)*ROUND(($O118+$X117+SUM($Z118:Z118))*$V$5/3000,2),"")</f>
        <v/>
      </c>
      <c r="AB118" s="3"/>
      <c r="AC118" s="3"/>
    </row>
    <row r="119" spans="5:29" x14ac:dyDescent="0.3">
      <c r="E119" s="5"/>
      <c r="F119" t="str">
        <f t="shared" si="38"/>
        <v/>
      </c>
      <c r="G119" s="5" t="str">
        <f t="shared" si="25"/>
        <v/>
      </c>
      <c r="H119" t="str">
        <f t="shared" si="39"/>
        <v/>
      </c>
      <c r="I119" t="str">
        <f t="shared" si="27"/>
        <v/>
      </c>
      <c r="J119" t="str">
        <f t="shared" si="40"/>
        <v/>
      </c>
      <c r="K119" t="str">
        <f t="shared" si="41"/>
        <v/>
      </c>
      <c r="L119" t="str">
        <f t="shared" si="42"/>
        <v/>
      </c>
      <c r="M119" s="5" t="str">
        <f t="shared" si="37"/>
        <v/>
      </c>
      <c r="N119" s="7" t="str">
        <f t="shared" si="43"/>
        <v/>
      </c>
      <c r="O119" s="3" t="str">
        <f t="shared" si="28"/>
        <v/>
      </c>
      <c r="P119" s="3" t="str">
        <f t="shared" si="29"/>
        <v/>
      </c>
      <c r="Q119" s="3" t="str">
        <f t="shared" si="30"/>
        <v/>
      </c>
      <c r="R119" s="3" t="str">
        <f t="shared" si="31"/>
        <v/>
      </c>
      <c r="S119" s="3" t="str">
        <f>IF($L119&lt;&gt;"",IF($A119="Prepago",0,IF(ROUND($H119*$U$5,2)&gt;ROUND(SUM($S$11:$S118)+$U$5,2),$U$5*2,$U$5)),"")</f>
        <v/>
      </c>
      <c r="T119" s="3" t="str">
        <f>IF($L119&lt;&gt;"",IF($A119="Prepago",0,IF(ROUND($H119*$U$6,2)&gt;ROUND(SUM($T$11:$T118)+$U$6,2),$U$6*2,$U$6)),"")</f>
        <v/>
      </c>
      <c r="U119" s="3" t="str">
        <f>IF($L119&lt;&gt;"",IF($A119="Prepago",0,IF(ROUND($H119*$U$7,2)&gt;ROUND(SUM($U$11:$U118)+$U$7,2),$U$7*2,$U$7)),"")</f>
        <v/>
      </c>
      <c r="V119" s="3" t="str">
        <f>IF($L119&lt;&gt;"",IF($A119="Prepago",0,IF(ROUND($H119*$U$8,2)&gt;ROUND(SUM($V$11:$V118)+$U$8,2),$U$8*2,$U$8)),"")</f>
        <v/>
      </c>
      <c r="W119" s="3" t="str">
        <f t="shared" si="44"/>
        <v/>
      </c>
      <c r="X119" s="3" t="str">
        <f t="shared" si="32"/>
        <v/>
      </c>
      <c r="Y119" s="3" t="str">
        <f t="shared" si="33"/>
        <v/>
      </c>
      <c r="Z119" s="3" t="str">
        <f t="shared" si="34"/>
        <v/>
      </c>
      <c r="AA119" s="3" t="str">
        <f>IF($L119&lt;&gt;"",IF($N119&gt;Z$11,IF($N119&lt;AA$11,$N119-Z$11,30),0)*ROUND(($O119+$X118+SUM($Z119:Z119))*$V$5/3000,2),"")</f>
        <v/>
      </c>
      <c r="AB119" s="3"/>
      <c r="AC119" s="3"/>
    </row>
    <row r="120" spans="5:29" x14ac:dyDescent="0.3">
      <c r="E120" s="5"/>
      <c r="F120" t="str">
        <f t="shared" si="38"/>
        <v/>
      </c>
      <c r="G120" s="5" t="str">
        <f t="shared" si="25"/>
        <v/>
      </c>
      <c r="H120" t="str">
        <f t="shared" si="39"/>
        <v/>
      </c>
      <c r="I120" t="str">
        <f t="shared" si="27"/>
        <v/>
      </c>
      <c r="J120" t="str">
        <f t="shared" si="40"/>
        <v/>
      </c>
      <c r="K120" t="str">
        <f t="shared" si="41"/>
        <v/>
      </c>
      <c r="L120" t="str">
        <f t="shared" si="42"/>
        <v/>
      </c>
      <c r="M120" s="5" t="str">
        <f t="shared" si="37"/>
        <v/>
      </c>
      <c r="N120" s="7" t="str">
        <f t="shared" si="43"/>
        <v/>
      </c>
      <c r="O120" s="3" t="str">
        <f t="shared" si="28"/>
        <v/>
      </c>
      <c r="P120" s="3" t="str">
        <f t="shared" si="29"/>
        <v/>
      </c>
      <c r="Q120" s="3" t="str">
        <f t="shared" si="30"/>
        <v/>
      </c>
      <c r="R120" s="3" t="str">
        <f t="shared" si="31"/>
        <v/>
      </c>
      <c r="S120" s="3" t="str">
        <f>IF($L120&lt;&gt;"",IF($A120="Prepago",0,IF(ROUND($H120*$U$5,2)&gt;ROUND(SUM($S$11:$S119)+$U$5,2),$U$5*2,$U$5)),"")</f>
        <v/>
      </c>
      <c r="T120" s="3" t="str">
        <f>IF($L120&lt;&gt;"",IF($A120="Prepago",0,IF(ROUND($H120*$U$6,2)&gt;ROUND(SUM($T$11:$T119)+$U$6,2),$U$6*2,$U$6)),"")</f>
        <v/>
      </c>
      <c r="U120" s="3" t="str">
        <f>IF($L120&lt;&gt;"",IF($A120="Prepago",0,IF(ROUND($H120*$U$7,2)&gt;ROUND(SUM($U$11:$U119)+$U$7,2),$U$7*2,$U$7)),"")</f>
        <v/>
      </c>
      <c r="V120" s="3" t="str">
        <f>IF($L120&lt;&gt;"",IF($A120="Prepago",0,IF(ROUND($H120*$U$8,2)&gt;ROUND(SUM($V$11:$V119)+$U$8,2),$U$8*2,$U$8)),"")</f>
        <v/>
      </c>
      <c r="W120" s="3" t="str">
        <f t="shared" si="44"/>
        <v/>
      </c>
      <c r="X120" s="3" t="str">
        <f t="shared" si="32"/>
        <v/>
      </c>
      <c r="Y120" s="3" t="str">
        <f t="shared" si="33"/>
        <v/>
      </c>
      <c r="Z120" s="3" t="str">
        <f t="shared" si="34"/>
        <v/>
      </c>
      <c r="AA120" s="3" t="str">
        <f>IF($L120&lt;&gt;"",IF($N120&gt;Z$11,IF($N120&lt;AA$11,$N120-Z$11,30),0)*ROUND(($O120+$X119+SUM($Z120:Z120))*$V$5/3000,2),"")</f>
        <v/>
      </c>
      <c r="AB120" s="3"/>
      <c r="AC120" s="3"/>
    </row>
    <row r="121" spans="5:29" x14ac:dyDescent="0.3">
      <c r="E121" s="5"/>
      <c r="F121" t="str">
        <f t="shared" si="38"/>
        <v/>
      </c>
      <c r="G121" s="5" t="str">
        <f t="shared" si="25"/>
        <v/>
      </c>
      <c r="H121" t="str">
        <f t="shared" si="39"/>
        <v/>
      </c>
      <c r="I121" t="str">
        <f t="shared" si="27"/>
        <v/>
      </c>
      <c r="J121" t="str">
        <f t="shared" si="40"/>
        <v/>
      </c>
      <c r="K121" t="str">
        <f t="shared" si="41"/>
        <v/>
      </c>
      <c r="L121" t="str">
        <f t="shared" si="42"/>
        <v/>
      </c>
      <c r="M121" s="5" t="str">
        <f t="shared" si="37"/>
        <v/>
      </c>
      <c r="N121" s="7" t="str">
        <f t="shared" si="43"/>
        <v/>
      </c>
      <c r="O121" s="3" t="str">
        <f t="shared" si="28"/>
        <v/>
      </c>
      <c r="P121" s="3" t="str">
        <f t="shared" si="29"/>
        <v/>
      </c>
      <c r="Q121" s="3" t="str">
        <f t="shared" si="30"/>
        <v/>
      </c>
      <c r="R121" s="3" t="str">
        <f t="shared" si="31"/>
        <v/>
      </c>
      <c r="S121" s="3" t="str">
        <f>IF($L121&lt;&gt;"",IF($A121="Prepago",0,IF(ROUND($H121*$U$5,2)&gt;ROUND(SUM($S$11:$S120)+$U$5,2),$U$5*2,$U$5)),"")</f>
        <v/>
      </c>
      <c r="T121" s="3" t="str">
        <f>IF($L121&lt;&gt;"",IF($A121="Prepago",0,IF(ROUND($H121*$U$6,2)&gt;ROUND(SUM($T$11:$T120)+$U$6,2),$U$6*2,$U$6)),"")</f>
        <v/>
      </c>
      <c r="U121" s="3" t="str">
        <f>IF($L121&lt;&gt;"",IF($A121="Prepago",0,IF(ROUND($H121*$U$7,2)&gt;ROUND(SUM($U$11:$U120)+$U$7,2),$U$7*2,$U$7)),"")</f>
        <v/>
      </c>
      <c r="V121" s="3" t="str">
        <f>IF($L121&lt;&gt;"",IF($A121="Prepago",0,IF(ROUND($H121*$U$8,2)&gt;ROUND(SUM($V$11:$V120)+$U$8,2),$U$8*2,$U$8)),"")</f>
        <v/>
      </c>
      <c r="W121" s="3" t="str">
        <f t="shared" si="44"/>
        <v/>
      </c>
      <c r="X121" s="3" t="str">
        <f t="shared" si="32"/>
        <v/>
      </c>
      <c r="Y121" s="3" t="str">
        <f t="shared" si="33"/>
        <v/>
      </c>
      <c r="Z121" s="3" t="str">
        <f t="shared" si="34"/>
        <v/>
      </c>
      <c r="AA121" s="3" t="str">
        <f>IF($L121&lt;&gt;"",IF($N121&gt;Z$11,IF($N121&lt;AA$11,$N121-Z$11,30),0)*ROUND(($O121+$X120+SUM($Z121:Z121))*$V$5/3000,2),"")</f>
        <v/>
      </c>
      <c r="AB121" s="3"/>
      <c r="AC121" s="3"/>
    </row>
    <row r="122" spans="5:29" x14ac:dyDescent="0.3">
      <c r="E122" s="5"/>
      <c r="F122" t="str">
        <f t="shared" si="38"/>
        <v/>
      </c>
      <c r="G122" s="5" t="str">
        <f t="shared" si="25"/>
        <v/>
      </c>
      <c r="H122" t="str">
        <f t="shared" si="39"/>
        <v/>
      </c>
      <c r="I122" t="str">
        <f t="shared" si="27"/>
        <v/>
      </c>
      <c r="J122" t="str">
        <f t="shared" si="40"/>
        <v/>
      </c>
      <c r="K122" t="str">
        <f t="shared" si="41"/>
        <v/>
      </c>
      <c r="L122" t="str">
        <f t="shared" si="42"/>
        <v/>
      </c>
      <c r="M122" s="5" t="str">
        <f t="shared" si="37"/>
        <v/>
      </c>
      <c r="N122" s="7" t="str">
        <f t="shared" si="43"/>
        <v/>
      </c>
      <c r="O122" s="3" t="str">
        <f t="shared" si="28"/>
        <v/>
      </c>
      <c r="P122" s="3" t="str">
        <f t="shared" si="29"/>
        <v/>
      </c>
      <c r="Q122" s="3" t="str">
        <f t="shared" si="30"/>
        <v/>
      </c>
      <c r="R122" s="3" t="str">
        <f t="shared" si="31"/>
        <v/>
      </c>
      <c r="S122" s="3" t="str">
        <f>IF($L122&lt;&gt;"",IF($A122="Prepago",0,IF(ROUND($H122*$U$5,2)&gt;ROUND(SUM($S$11:$S121)+$U$5,2),$U$5*2,$U$5)),"")</f>
        <v/>
      </c>
      <c r="T122" s="3" t="str">
        <f>IF($L122&lt;&gt;"",IF($A122="Prepago",0,IF(ROUND($H122*$U$6,2)&gt;ROUND(SUM($T$11:$T121)+$U$6,2),$U$6*2,$U$6)),"")</f>
        <v/>
      </c>
      <c r="U122" s="3" t="str">
        <f>IF($L122&lt;&gt;"",IF($A122="Prepago",0,IF(ROUND($H122*$U$7,2)&gt;ROUND(SUM($U$11:$U121)+$U$7,2),$U$7*2,$U$7)),"")</f>
        <v/>
      </c>
      <c r="V122" s="3" t="str">
        <f>IF($L122&lt;&gt;"",IF($A122="Prepago",0,IF(ROUND($H122*$U$8,2)&gt;ROUND(SUM($V$11:$V121)+$U$8,2),$U$8*2,$U$8)),"")</f>
        <v/>
      </c>
      <c r="W122" s="3" t="str">
        <f t="shared" si="44"/>
        <v/>
      </c>
      <c r="X122" s="3" t="str">
        <f t="shared" si="32"/>
        <v/>
      </c>
      <c r="Y122" s="3" t="str">
        <f t="shared" si="33"/>
        <v/>
      </c>
      <c r="Z122" s="3" t="str">
        <f t="shared" si="34"/>
        <v/>
      </c>
      <c r="AA122" s="3" t="str">
        <f>IF($L122&lt;&gt;"",IF($N122&gt;Z$11,IF($N122&lt;AA$11,$N122-Z$11,30),0)*ROUND(($O122+$X121+SUM($Z122:Z122))*$V$5/3000,2),"")</f>
        <v/>
      </c>
      <c r="AB122" s="3"/>
      <c r="AC122" s="3"/>
    </row>
    <row r="123" spans="5:29" x14ac:dyDescent="0.3">
      <c r="E123" s="5"/>
      <c r="F123" t="str">
        <f t="shared" si="38"/>
        <v/>
      </c>
      <c r="G123" s="5" t="str">
        <f t="shared" si="25"/>
        <v/>
      </c>
      <c r="H123" t="str">
        <f t="shared" si="39"/>
        <v/>
      </c>
      <c r="I123" t="str">
        <f t="shared" si="27"/>
        <v/>
      </c>
      <c r="J123" t="str">
        <f t="shared" si="40"/>
        <v/>
      </c>
      <c r="K123" t="str">
        <f t="shared" si="41"/>
        <v/>
      </c>
      <c r="L123" t="str">
        <f t="shared" si="42"/>
        <v/>
      </c>
      <c r="M123" s="5" t="str">
        <f t="shared" si="37"/>
        <v/>
      </c>
      <c r="N123" s="7" t="str">
        <f t="shared" si="43"/>
        <v/>
      </c>
      <c r="O123" s="3" t="str">
        <f t="shared" si="28"/>
        <v/>
      </c>
      <c r="P123" s="3" t="str">
        <f t="shared" si="29"/>
        <v/>
      </c>
      <c r="Q123" s="3" t="str">
        <f t="shared" si="30"/>
        <v/>
      </c>
      <c r="R123" s="3" t="str">
        <f t="shared" si="31"/>
        <v/>
      </c>
      <c r="S123" s="3" t="str">
        <f>IF($L123&lt;&gt;"",IF($A123="Prepago",0,IF(ROUND($H123*$U$5,2)&gt;ROUND(SUM($S$11:$S122)+$U$5,2),$U$5*2,$U$5)),"")</f>
        <v/>
      </c>
      <c r="T123" s="3" t="str">
        <f>IF($L123&lt;&gt;"",IF($A123="Prepago",0,IF(ROUND($H123*$U$6,2)&gt;ROUND(SUM($T$11:$T122)+$U$6,2),$U$6*2,$U$6)),"")</f>
        <v/>
      </c>
      <c r="U123" s="3" t="str">
        <f>IF($L123&lt;&gt;"",IF($A123="Prepago",0,IF(ROUND($H123*$U$7,2)&gt;ROUND(SUM($U$11:$U122)+$U$7,2),$U$7*2,$U$7)),"")</f>
        <v/>
      </c>
      <c r="V123" s="3" t="str">
        <f>IF($L123&lt;&gt;"",IF($A123="Prepago",0,IF(ROUND($H123*$U$8,2)&gt;ROUND(SUM($V$11:$V122)+$U$8,2),$U$8*2,$U$8)),"")</f>
        <v/>
      </c>
      <c r="W123" s="3" t="str">
        <f t="shared" si="44"/>
        <v/>
      </c>
      <c r="X123" s="3" t="str">
        <f t="shared" si="32"/>
        <v/>
      </c>
      <c r="Y123" s="3" t="str">
        <f t="shared" si="33"/>
        <v/>
      </c>
      <c r="Z123" s="3" t="str">
        <f t="shared" si="34"/>
        <v/>
      </c>
      <c r="AA123" s="3" t="str">
        <f>IF($L123&lt;&gt;"",IF($N123&gt;Z$11,IF($N123&lt;AA$11,$N123-Z$11,30),0)*ROUND(($O123+$X122+SUM($Z123:Z123))*$V$5/3000,2),"")</f>
        <v/>
      </c>
      <c r="AB123" s="3"/>
      <c r="AC123" s="3"/>
    </row>
    <row r="124" spans="5:29" x14ac:dyDescent="0.3">
      <c r="E124" s="5"/>
      <c r="F124" t="str">
        <f t="shared" si="38"/>
        <v/>
      </c>
      <c r="G124" s="5" t="str">
        <f t="shared" si="25"/>
        <v/>
      </c>
      <c r="H124" t="str">
        <f t="shared" si="39"/>
        <v/>
      </c>
      <c r="I124" t="str">
        <f t="shared" si="27"/>
        <v/>
      </c>
      <c r="J124" t="str">
        <f t="shared" si="40"/>
        <v/>
      </c>
      <c r="K124" t="str">
        <f t="shared" si="41"/>
        <v/>
      </c>
      <c r="L124" t="str">
        <f t="shared" si="42"/>
        <v/>
      </c>
      <c r="M124" s="5" t="str">
        <f t="shared" si="37"/>
        <v/>
      </c>
      <c r="N124" s="7" t="str">
        <f t="shared" si="43"/>
        <v/>
      </c>
      <c r="O124" s="3" t="str">
        <f t="shared" si="28"/>
        <v/>
      </c>
      <c r="P124" s="3" t="str">
        <f t="shared" si="29"/>
        <v/>
      </c>
      <c r="Q124" s="3" t="str">
        <f t="shared" si="30"/>
        <v/>
      </c>
      <c r="R124" s="3" t="str">
        <f t="shared" si="31"/>
        <v/>
      </c>
      <c r="S124" s="3" t="str">
        <f>IF($L124&lt;&gt;"",IF($A124="Prepago",0,IF(ROUND($H124*$U$5,2)&gt;ROUND(SUM($S$11:$S123)+$U$5,2),$U$5*2,$U$5)),"")</f>
        <v/>
      </c>
      <c r="T124" s="3" t="str">
        <f>IF($L124&lt;&gt;"",IF($A124="Prepago",0,IF(ROUND($H124*$U$6,2)&gt;ROUND(SUM($T$11:$T123)+$U$6,2),$U$6*2,$U$6)),"")</f>
        <v/>
      </c>
      <c r="U124" s="3" t="str">
        <f>IF($L124&lt;&gt;"",IF($A124="Prepago",0,IF(ROUND($H124*$U$7,2)&gt;ROUND(SUM($U$11:$U123)+$U$7,2),$U$7*2,$U$7)),"")</f>
        <v/>
      </c>
      <c r="V124" s="3" t="str">
        <f>IF($L124&lt;&gt;"",IF($A124="Prepago",0,IF(ROUND($H124*$U$8,2)&gt;ROUND(SUM($V$11:$V123)+$U$8,2),$U$8*2,$U$8)),"")</f>
        <v/>
      </c>
      <c r="W124" s="3" t="str">
        <f t="shared" si="44"/>
        <v/>
      </c>
      <c r="X124" s="3" t="str">
        <f t="shared" si="32"/>
        <v/>
      </c>
      <c r="Y124" s="3" t="str">
        <f t="shared" si="33"/>
        <v/>
      </c>
      <c r="Z124" s="3" t="str">
        <f t="shared" si="34"/>
        <v/>
      </c>
      <c r="AA124" s="3" t="str">
        <f>IF($L124&lt;&gt;"",IF($N124&gt;Z$11,IF($N124&lt;AA$11,$N124-Z$11,30),0)*ROUND(($O124+$X123+SUM($Z124:Z124))*$V$5/3000,2),"")</f>
        <v/>
      </c>
      <c r="AB124" s="3"/>
      <c r="AC124" s="3"/>
    </row>
    <row r="125" spans="5:29" x14ac:dyDescent="0.3">
      <c r="E125" s="5"/>
      <c r="F125" t="str">
        <f t="shared" si="38"/>
        <v/>
      </c>
      <c r="G125" s="5" t="str">
        <f t="shared" si="25"/>
        <v/>
      </c>
      <c r="H125" t="str">
        <f t="shared" si="39"/>
        <v/>
      </c>
      <c r="I125" t="str">
        <f t="shared" si="27"/>
        <v/>
      </c>
      <c r="J125" t="str">
        <f t="shared" si="40"/>
        <v/>
      </c>
      <c r="K125" t="str">
        <f t="shared" si="41"/>
        <v/>
      </c>
      <c r="L125" t="str">
        <f t="shared" si="42"/>
        <v/>
      </c>
      <c r="M125" s="5" t="str">
        <f t="shared" si="37"/>
        <v/>
      </c>
      <c r="N125" s="7" t="str">
        <f t="shared" si="43"/>
        <v/>
      </c>
      <c r="O125" s="3" t="str">
        <f t="shared" si="28"/>
        <v/>
      </c>
      <c r="P125" s="3" t="str">
        <f t="shared" si="29"/>
        <v/>
      </c>
      <c r="Q125" s="3" t="str">
        <f t="shared" si="30"/>
        <v/>
      </c>
      <c r="R125" s="3" t="str">
        <f t="shared" si="31"/>
        <v/>
      </c>
      <c r="S125" s="3" t="str">
        <f>IF($L125&lt;&gt;"",IF($A125="Prepago",0,IF(ROUND($H125*$U$5,2)&gt;ROUND(SUM($S$11:$S124)+$U$5,2),$U$5*2,$U$5)),"")</f>
        <v/>
      </c>
      <c r="T125" s="3" t="str">
        <f>IF($L125&lt;&gt;"",IF($A125="Prepago",0,IF(ROUND($H125*$U$6,2)&gt;ROUND(SUM($T$11:$T124)+$U$6,2),$U$6*2,$U$6)),"")</f>
        <v/>
      </c>
      <c r="U125" s="3" t="str">
        <f>IF($L125&lt;&gt;"",IF($A125="Prepago",0,IF(ROUND($H125*$U$7,2)&gt;ROUND(SUM($U$11:$U124)+$U$7,2),$U$7*2,$U$7)),"")</f>
        <v/>
      </c>
      <c r="V125" s="3" t="str">
        <f>IF($L125&lt;&gt;"",IF($A125="Prepago",0,IF(ROUND($H125*$U$8,2)&gt;ROUND(SUM($V$11:$V124)+$U$8,2),$U$8*2,$U$8)),"")</f>
        <v/>
      </c>
      <c r="W125" s="3" t="str">
        <f t="shared" si="44"/>
        <v/>
      </c>
      <c r="X125" s="3" t="str">
        <f t="shared" si="32"/>
        <v/>
      </c>
      <c r="Y125" s="3" t="str">
        <f t="shared" si="33"/>
        <v/>
      </c>
      <c r="Z125" s="3" t="str">
        <f t="shared" si="34"/>
        <v/>
      </c>
      <c r="AA125" s="3" t="str">
        <f>IF($L125&lt;&gt;"",IF($N125&gt;Z$11,IF($N125&lt;AA$11,$N125-Z$11,30),0)*ROUND(($O125+$X124+SUM($Z125:Z125))*$V$5/3000,2),"")</f>
        <v/>
      </c>
      <c r="AB125" s="3"/>
      <c r="AC125" s="3"/>
    </row>
    <row r="126" spans="5:29" x14ac:dyDescent="0.3">
      <c r="E126" s="5"/>
      <c r="F126" t="str">
        <f t="shared" si="38"/>
        <v/>
      </c>
      <c r="G126" s="5" t="str">
        <f t="shared" si="25"/>
        <v/>
      </c>
      <c r="H126" t="str">
        <f t="shared" si="39"/>
        <v/>
      </c>
      <c r="I126" t="str">
        <f t="shared" si="27"/>
        <v/>
      </c>
      <c r="J126" t="str">
        <f t="shared" si="40"/>
        <v/>
      </c>
      <c r="K126" t="str">
        <f t="shared" si="41"/>
        <v/>
      </c>
      <c r="L126" t="str">
        <f t="shared" si="42"/>
        <v/>
      </c>
      <c r="M126" s="5" t="str">
        <f t="shared" si="37"/>
        <v/>
      </c>
      <c r="N126" s="7" t="str">
        <f t="shared" si="43"/>
        <v/>
      </c>
      <c r="O126" s="3" t="str">
        <f t="shared" si="28"/>
        <v/>
      </c>
      <c r="P126" s="3" t="str">
        <f t="shared" si="29"/>
        <v/>
      </c>
      <c r="Q126" s="3" t="str">
        <f t="shared" si="30"/>
        <v/>
      </c>
      <c r="R126" s="3" t="str">
        <f t="shared" si="31"/>
        <v/>
      </c>
      <c r="S126" s="3" t="str">
        <f>IF($L126&lt;&gt;"",IF($A126="Prepago",0,IF(ROUND($H126*$U$5,2)&gt;ROUND(SUM($S$11:$S125)+$U$5,2),$U$5*2,$U$5)),"")</f>
        <v/>
      </c>
      <c r="T126" s="3" t="str">
        <f>IF($L126&lt;&gt;"",IF($A126="Prepago",0,IF(ROUND($H126*$U$6,2)&gt;ROUND(SUM($T$11:$T125)+$U$6,2),$U$6*2,$U$6)),"")</f>
        <v/>
      </c>
      <c r="U126" s="3" t="str">
        <f>IF($L126&lt;&gt;"",IF($A126="Prepago",0,IF(ROUND($H126*$U$7,2)&gt;ROUND(SUM($U$11:$U125)+$U$7,2),$U$7*2,$U$7)),"")</f>
        <v/>
      </c>
      <c r="V126" s="3" t="str">
        <f>IF($L126&lt;&gt;"",IF($A126="Prepago",0,IF(ROUND($H126*$U$8,2)&gt;ROUND(SUM($V$11:$V125)+$U$8,2),$U$8*2,$U$8)),"")</f>
        <v/>
      </c>
      <c r="W126" s="3" t="str">
        <f t="shared" si="44"/>
        <v/>
      </c>
      <c r="X126" s="3" t="str">
        <f t="shared" si="32"/>
        <v/>
      </c>
      <c r="Y126" s="3" t="str">
        <f t="shared" si="33"/>
        <v/>
      </c>
      <c r="Z126" s="3" t="str">
        <f t="shared" si="34"/>
        <v/>
      </c>
      <c r="AA126" s="3" t="str">
        <f>IF($L126&lt;&gt;"",IF($N126&gt;Z$11,IF($N126&lt;AA$11,$N126-Z$11,30),0)*ROUND(($O126+$X125+SUM($Z126:Z126))*$V$5/3000,2),"")</f>
        <v/>
      </c>
      <c r="AB126" s="3"/>
      <c r="AC126" s="3"/>
    </row>
    <row r="127" spans="5:29" x14ac:dyDescent="0.3">
      <c r="E127" s="5"/>
      <c r="F127" t="str">
        <f t="shared" si="38"/>
        <v/>
      </c>
      <c r="G127" s="5" t="str">
        <f t="shared" si="25"/>
        <v/>
      </c>
      <c r="H127" t="str">
        <f t="shared" si="39"/>
        <v/>
      </c>
      <c r="I127" t="str">
        <f t="shared" si="27"/>
        <v/>
      </c>
      <c r="J127" t="str">
        <f t="shared" si="40"/>
        <v/>
      </c>
      <c r="K127" t="str">
        <f t="shared" si="41"/>
        <v/>
      </c>
      <c r="L127" t="str">
        <f t="shared" si="42"/>
        <v/>
      </c>
      <c r="M127" s="5" t="str">
        <f t="shared" si="37"/>
        <v/>
      </c>
      <c r="N127" s="7" t="str">
        <f t="shared" si="43"/>
        <v/>
      </c>
      <c r="O127" s="3" t="str">
        <f t="shared" si="28"/>
        <v/>
      </c>
      <c r="P127" s="3" t="str">
        <f t="shared" si="29"/>
        <v/>
      </c>
      <c r="Q127" s="3" t="str">
        <f t="shared" si="30"/>
        <v/>
      </c>
      <c r="R127" s="3" t="str">
        <f t="shared" si="31"/>
        <v/>
      </c>
      <c r="S127" s="3" t="str">
        <f>IF($L127&lt;&gt;"",IF($A127="Prepago",0,IF(ROUND($H127*$U$5,2)&gt;ROUND(SUM($S$11:$S126)+$U$5,2),$U$5*2,$U$5)),"")</f>
        <v/>
      </c>
      <c r="T127" s="3" t="str">
        <f>IF($L127&lt;&gt;"",IF($A127="Prepago",0,IF(ROUND($H127*$U$6,2)&gt;ROUND(SUM($T$11:$T126)+$U$6,2),$U$6*2,$U$6)),"")</f>
        <v/>
      </c>
      <c r="U127" s="3" t="str">
        <f>IF($L127&lt;&gt;"",IF($A127="Prepago",0,IF(ROUND($H127*$U$7,2)&gt;ROUND(SUM($U$11:$U126)+$U$7,2),$U$7*2,$U$7)),"")</f>
        <v/>
      </c>
      <c r="V127" s="3" t="str">
        <f>IF($L127&lt;&gt;"",IF($A127="Prepago",0,IF(ROUND($H127*$U$8,2)&gt;ROUND(SUM($V$11:$V126)+$U$8,2),$U$8*2,$U$8)),"")</f>
        <v/>
      </c>
      <c r="W127" s="3" t="str">
        <f t="shared" si="44"/>
        <v/>
      </c>
      <c r="X127" s="3" t="str">
        <f t="shared" si="32"/>
        <v/>
      </c>
      <c r="Y127" s="3" t="str">
        <f t="shared" si="33"/>
        <v/>
      </c>
      <c r="Z127" s="3" t="str">
        <f t="shared" si="34"/>
        <v/>
      </c>
      <c r="AA127" s="3" t="str">
        <f>IF($L127&lt;&gt;"",IF($N127&gt;Z$11,IF($N127&lt;AA$11,$N127-Z$11,30),0)*ROUND(($O127+$X126+SUM($Z127:Z127))*$V$5/3000,2),"")</f>
        <v/>
      </c>
      <c r="AB127" s="3"/>
      <c r="AC127" s="3"/>
    </row>
    <row r="128" spans="5:29" x14ac:dyDescent="0.3">
      <c r="E128" s="5"/>
      <c r="F128" t="str">
        <f t="shared" si="38"/>
        <v/>
      </c>
      <c r="G128" s="5" t="str">
        <f t="shared" si="25"/>
        <v/>
      </c>
      <c r="H128" t="str">
        <f t="shared" si="39"/>
        <v/>
      </c>
      <c r="I128" t="str">
        <f t="shared" si="27"/>
        <v/>
      </c>
      <c r="J128" t="str">
        <f t="shared" si="40"/>
        <v/>
      </c>
      <c r="K128" t="str">
        <f t="shared" si="41"/>
        <v/>
      </c>
      <c r="L128" t="str">
        <f t="shared" si="42"/>
        <v/>
      </c>
      <c r="M128" s="5" t="str">
        <f t="shared" si="37"/>
        <v/>
      </c>
      <c r="N128" s="7" t="str">
        <f t="shared" si="43"/>
        <v/>
      </c>
      <c r="O128" s="3" t="str">
        <f t="shared" si="28"/>
        <v/>
      </c>
      <c r="P128" s="3" t="str">
        <f t="shared" si="29"/>
        <v/>
      </c>
      <c r="Q128" s="3" t="str">
        <f t="shared" si="30"/>
        <v/>
      </c>
      <c r="R128" s="3" t="str">
        <f t="shared" si="31"/>
        <v/>
      </c>
      <c r="S128" s="3" t="str">
        <f>IF($L128&lt;&gt;"",IF($A128="Prepago",0,IF(ROUND($H128*$U$5,2)&gt;ROUND(SUM($S$11:$S127)+$U$5,2),$U$5*2,$U$5)),"")</f>
        <v/>
      </c>
      <c r="T128" s="3" t="str">
        <f>IF($L128&lt;&gt;"",IF($A128="Prepago",0,IF(ROUND($H128*$U$6,2)&gt;ROUND(SUM($T$11:$T127)+$U$6,2),$U$6*2,$U$6)),"")</f>
        <v/>
      </c>
      <c r="U128" s="3" t="str">
        <f>IF($L128&lt;&gt;"",IF($A128="Prepago",0,IF(ROUND($H128*$U$7,2)&gt;ROUND(SUM($U$11:$U127)+$U$7,2),$U$7*2,$U$7)),"")</f>
        <v/>
      </c>
      <c r="V128" s="3" t="str">
        <f>IF($L128&lt;&gt;"",IF($A128="Prepago",0,IF(ROUND($H128*$U$8,2)&gt;ROUND(SUM($V$11:$V127)+$U$8,2),$U$8*2,$U$8)),"")</f>
        <v/>
      </c>
      <c r="W128" s="3" t="str">
        <f t="shared" si="44"/>
        <v/>
      </c>
      <c r="X128" s="3" t="str">
        <f t="shared" si="32"/>
        <v/>
      </c>
      <c r="Y128" s="3" t="str">
        <f t="shared" si="33"/>
        <v/>
      </c>
      <c r="Z128" s="3" t="str">
        <f t="shared" si="34"/>
        <v/>
      </c>
      <c r="AA128" s="3" t="str">
        <f>IF($L128&lt;&gt;"",IF($N128&gt;Z$11,IF($N128&lt;AA$11,$N128-Z$11,30),0)*ROUND(($O128+$X127+SUM($Z128:Z128))*$V$5/3000,2),"")</f>
        <v/>
      </c>
      <c r="AB128" s="3"/>
      <c r="AC128" s="3"/>
    </row>
    <row r="129" spans="5:29" x14ac:dyDescent="0.3">
      <c r="E129" s="5"/>
      <c r="F129" t="str">
        <f t="shared" si="38"/>
        <v/>
      </c>
      <c r="G129" s="5" t="str">
        <f t="shared" si="25"/>
        <v/>
      </c>
      <c r="H129" t="str">
        <f t="shared" si="39"/>
        <v/>
      </c>
      <c r="I129" t="str">
        <f t="shared" si="27"/>
        <v/>
      </c>
      <c r="J129" t="str">
        <f t="shared" si="40"/>
        <v/>
      </c>
      <c r="K129" t="str">
        <f t="shared" si="41"/>
        <v/>
      </c>
      <c r="L129" t="str">
        <f t="shared" si="42"/>
        <v/>
      </c>
      <c r="M129" s="5" t="str">
        <f t="shared" si="37"/>
        <v/>
      </c>
      <c r="N129" s="7" t="str">
        <f t="shared" si="43"/>
        <v/>
      </c>
      <c r="O129" s="3" t="str">
        <f t="shared" si="28"/>
        <v/>
      </c>
      <c r="P129" s="3" t="str">
        <f t="shared" si="29"/>
        <v/>
      </c>
      <c r="Q129" s="3" t="str">
        <f t="shared" si="30"/>
        <v/>
      </c>
      <c r="R129" s="3" t="str">
        <f t="shared" si="31"/>
        <v/>
      </c>
      <c r="S129" s="3" t="str">
        <f>IF($L129&lt;&gt;"",IF($A129="Prepago",0,IF(ROUND($H129*$U$5,2)&gt;ROUND(SUM($S$11:$S128)+$U$5,2),$U$5*2,$U$5)),"")</f>
        <v/>
      </c>
      <c r="T129" s="3" t="str">
        <f>IF($L129&lt;&gt;"",IF($A129="Prepago",0,IF(ROUND($H129*$U$6,2)&gt;ROUND(SUM($T$11:$T128)+$U$6,2),$U$6*2,$U$6)),"")</f>
        <v/>
      </c>
      <c r="U129" s="3" t="str">
        <f>IF($L129&lt;&gt;"",IF($A129="Prepago",0,IF(ROUND($H129*$U$7,2)&gt;ROUND(SUM($U$11:$U128)+$U$7,2),$U$7*2,$U$7)),"")</f>
        <v/>
      </c>
      <c r="V129" s="3" t="str">
        <f>IF($L129&lt;&gt;"",IF($A129="Prepago",0,IF(ROUND($H129*$U$8,2)&gt;ROUND(SUM($V$11:$V128)+$U$8,2),$U$8*2,$U$8)),"")</f>
        <v/>
      </c>
      <c r="W129" s="3" t="str">
        <f t="shared" si="44"/>
        <v/>
      </c>
      <c r="X129" s="3" t="str">
        <f t="shared" si="32"/>
        <v/>
      </c>
      <c r="Y129" s="3" t="str">
        <f t="shared" si="33"/>
        <v/>
      </c>
      <c r="Z129" s="3" t="str">
        <f t="shared" si="34"/>
        <v/>
      </c>
      <c r="AA129" s="3" t="str">
        <f>IF($L129&lt;&gt;"",IF($N129&gt;Z$11,IF($N129&lt;AA$11,$N129-Z$11,30),0)*ROUND(($O129+$X128+SUM($Z129:Z129))*$V$5/3000,2),"")</f>
        <v/>
      </c>
      <c r="AB129" s="3"/>
      <c r="AC129" s="3"/>
    </row>
    <row r="130" spans="5:29" x14ac:dyDescent="0.3">
      <c r="E130" s="5"/>
      <c r="F130" t="str">
        <f t="shared" si="38"/>
        <v/>
      </c>
      <c r="G130" s="5" t="str">
        <f t="shared" si="25"/>
        <v/>
      </c>
      <c r="H130" t="str">
        <f t="shared" si="39"/>
        <v/>
      </c>
      <c r="I130" t="str">
        <f t="shared" si="27"/>
        <v/>
      </c>
      <c r="J130" t="str">
        <f t="shared" si="40"/>
        <v/>
      </c>
      <c r="K130" t="str">
        <f t="shared" si="41"/>
        <v/>
      </c>
      <c r="L130" t="str">
        <f t="shared" si="42"/>
        <v/>
      </c>
      <c r="M130" s="5" t="str">
        <f t="shared" si="37"/>
        <v/>
      </c>
      <c r="N130" s="7" t="str">
        <f t="shared" si="43"/>
        <v/>
      </c>
      <c r="O130" s="3" t="str">
        <f t="shared" si="28"/>
        <v/>
      </c>
      <c r="P130" s="3" t="str">
        <f t="shared" si="29"/>
        <v/>
      </c>
      <c r="Q130" s="3" t="str">
        <f t="shared" si="30"/>
        <v/>
      </c>
      <c r="R130" s="3" t="str">
        <f t="shared" si="31"/>
        <v/>
      </c>
      <c r="S130" s="3" t="str">
        <f>IF($L130&lt;&gt;"",IF($A130="Prepago",0,IF(ROUND($H130*$U$5,2)&gt;ROUND(SUM($S$11:$S129)+$U$5,2),$U$5*2,$U$5)),"")</f>
        <v/>
      </c>
      <c r="T130" s="3" t="str">
        <f>IF($L130&lt;&gt;"",IF($A130="Prepago",0,IF(ROUND($H130*$U$6,2)&gt;ROUND(SUM($T$11:$T129)+$U$6,2),$U$6*2,$U$6)),"")</f>
        <v/>
      </c>
      <c r="U130" s="3" t="str">
        <f>IF($L130&lt;&gt;"",IF($A130="Prepago",0,IF(ROUND($H130*$U$7,2)&gt;ROUND(SUM($U$11:$U129)+$U$7,2),$U$7*2,$U$7)),"")</f>
        <v/>
      </c>
      <c r="V130" s="3" t="str">
        <f>IF($L130&lt;&gt;"",IF($A130="Prepago",0,IF(ROUND($H130*$U$8,2)&gt;ROUND(SUM($V$11:$V129)+$U$8,2),$U$8*2,$U$8)),"")</f>
        <v/>
      </c>
      <c r="W130" s="3" t="str">
        <f t="shared" si="44"/>
        <v/>
      </c>
      <c r="X130" s="3" t="str">
        <f t="shared" si="32"/>
        <v/>
      </c>
      <c r="Y130" s="3" t="str">
        <f t="shared" si="33"/>
        <v/>
      </c>
      <c r="Z130" s="3" t="str">
        <f t="shared" si="34"/>
        <v/>
      </c>
      <c r="AA130" s="3" t="str">
        <f>IF($L130&lt;&gt;"",IF($N130&gt;Z$11,IF($N130&lt;AA$11,$N130-Z$11,30),0)*ROUND(($O130+$X129+SUM($Z130:Z130))*$V$5/3000,2),"")</f>
        <v/>
      </c>
      <c r="AB130" s="3"/>
      <c r="AC130" s="3"/>
    </row>
    <row r="131" spans="5:29" x14ac:dyDescent="0.3">
      <c r="E131" s="5"/>
      <c r="F131" t="str">
        <f t="shared" si="38"/>
        <v/>
      </c>
      <c r="G131" s="5" t="str">
        <f t="shared" si="25"/>
        <v/>
      </c>
      <c r="H131" t="str">
        <f t="shared" si="39"/>
        <v/>
      </c>
      <c r="I131" t="str">
        <f t="shared" si="27"/>
        <v/>
      </c>
      <c r="J131" t="str">
        <f t="shared" si="40"/>
        <v/>
      </c>
      <c r="K131" t="str">
        <f t="shared" si="41"/>
        <v/>
      </c>
      <c r="L131" t="str">
        <f t="shared" si="42"/>
        <v/>
      </c>
      <c r="M131" s="5" t="str">
        <f t="shared" si="37"/>
        <v/>
      </c>
      <c r="N131" s="7" t="str">
        <f t="shared" si="43"/>
        <v/>
      </c>
      <c r="O131" s="3" t="str">
        <f t="shared" si="28"/>
        <v/>
      </c>
      <c r="P131" s="3" t="str">
        <f t="shared" si="29"/>
        <v/>
      </c>
      <c r="Q131" s="3" t="str">
        <f t="shared" si="30"/>
        <v/>
      </c>
      <c r="R131" s="3" t="str">
        <f t="shared" si="31"/>
        <v/>
      </c>
      <c r="S131" s="3" t="str">
        <f>IF($L131&lt;&gt;"",IF($A131="Prepago",0,IF(ROUND($H131*$U$5,2)&gt;ROUND(SUM($S$11:$S130)+$U$5,2),$U$5*2,$U$5)),"")</f>
        <v/>
      </c>
      <c r="T131" s="3" t="str">
        <f>IF($L131&lt;&gt;"",IF($A131="Prepago",0,IF(ROUND($H131*$U$6,2)&gt;ROUND(SUM($T$11:$T130)+$U$6,2),$U$6*2,$U$6)),"")</f>
        <v/>
      </c>
      <c r="U131" s="3" t="str">
        <f>IF($L131&lt;&gt;"",IF($A131="Prepago",0,IF(ROUND($H131*$U$7,2)&gt;ROUND(SUM($U$11:$U130)+$U$7,2),$U$7*2,$U$7)),"")</f>
        <v/>
      </c>
      <c r="V131" s="3" t="str">
        <f>IF($L131&lt;&gt;"",IF($A131="Prepago",0,IF(ROUND($H131*$U$8,2)&gt;ROUND(SUM($V$11:$V130)+$U$8,2),$U$8*2,$U$8)),"")</f>
        <v/>
      </c>
      <c r="W131" s="3" t="str">
        <f t="shared" si="44"/>
        <v/>
      </c>
      <c r="X131" s="3" t="str">
        <f t="shared" si="32"/>
        <v/>
      </c>
      <c r="Y131" s="3" t="str">
        <f t="shared" si="33"/>
        <v/>
      </c>
      <c r="Z131" s="3" t="str">
        <f t="shared" si="34"/>
        <v/>
      </c>
      <c r="AA131" s="3" t="str">
        <f>IF($L131&lt;&gt;"",IF($N131&gt;Z$11,IF($N131&lt;AA$11,$N131-Z$11,30),0)*ROUND(($O131+$X130+SUM($Z131:Z131))*$V$5/3000,2),"")</f>
        <v/>
      </c>
      <c r="AB131" s="3"/>
      <c r="AC131" s="3"/>
    </row>
    <row r="132" spans="5:29" x14ac:dyDescent="0.3">
      <c r="E132" s="5"/>
      <c r="F132" t="str">
        <f t="shared" si="38"/>
        <v/>
      </c>
      <c r="G132" s="5" t="str">
        <f t="shared" si="25"/>
        <v/>
      </c>
      <c r="H132" t="str">
        <f t="shared" si="39"/>
        <v/>
      </c>
      <c r="I132" t="str">
        <f t="shared" si="27"/>
        <v/>
      </c>
      <c r="J132" t="str">
        <f t="shared" si="40"/>
        <v/>
      </c>
      <c r="K132" t="str">
        <f t="shared" si="41"/>
        <v/>
      </c>
      <c r="L132" t="str">
        <f t="shared" si="42"/>
        <v/>
      </c>
      <c r="M132" s="5" t="str">
        <f t="shared" si="37"/>
        <v/>
      </c>
      <c r="N132" s="7" t="str">
        <f t="shared" si="43"/>
        <v/>
      </c>
      <c r="O132" s="3" t="str">
        <f t="shared" si="28"/>
        <v/>
      </c>
      <c r="P132" s="3" t="str">
        <f t="shared" si="29"/>
        <v/>
      </c>
      <c r="Q132" s="3" t="str">
        <f t="shared" si="30"/>
        <v/>
      </c>
      <c r="R132" s="3" t="str">
        <f t="shared" si="31"/>
        <v/>
      </c>
      <c r="S132" s="3" t="str">
        <f>IF($L132&lt;&gt;"",IF($A132="Prepago",0,IF(ROUND($H132*$U$5,2)&gt;ROUND(SUM($S$11:$S131)+$U$5,2),$U$5*2,$U$5)),"")</f>
        <v/>
      </c>
      <c r="T132" s="3" t="str">
        <f>IF($L132&lt;&gt;"",IF($A132="Prepago",0,IF(ROUND($H132*$U$6,2)&gt;ROUND(SUM($T$11:$T131)+$U$6,2),$U$6*2,$U$6)),"")</f>
        <v/>
      </c>
      <c r="U132" s="3" t="str">
        <f>IF($L132&lt;&gt;"",IF($A132="Prepago",0,IF(ROUND($H132*$U$7,2)&gt;ROUND(SUM($U$11:$U131)+$U$7,2),$U$7*2,$U$7)),"")</f>
        <v/>
      </c>
      <c r="V132" s="3" t="str">
        <f>IF($L132&lt;&gt;"",IF($A132="Prepago",0,IF(ROUND($H132*$U$8,2)&gt;ROUND(SUM($V$11:$V131)+$U$8,2),$U$8*2,$U$8)),"")</f>
        <v/>
      </c>
      <c r="W132" s="3" t="str">
        <f t="shared" si="44"/>
        <v/>
      </c>
      <c r="X132" s="3" t="str">
        <f t="shared" si="32"/>
        <v/>
      </c>
      <c r="Y132" s="3" t="str">
        <f t="shared" si="33"/>
        <v/>
      </c>
      <c r="Z132" s="3" t="str">
        <f t="shared" si="34"/>
        <v/>
      </c>
      <c r="AA132" s="3" t="str">
        <f>IF($L132&lt;&gt;"",IF($N132&gt;Z$11,IF($N132&lt;AA$11,$N132-Z$11,30),0)*ROUND(($O132+$X131+SUM($Z132:Z132))*$V$5/3000,2),"")</f>
        <v/>
      </c>
      <c r="AB132" s="3"/>
      <c r="AC132" s="3"/>
    </row>
    <row r="133" spans="5:29" x14ac:dyDescent="0.3">
      <c r="E133" s="5"/>
      <c r="F133" t="str">
        <f t="shared" si="38"/>
        <v/>
      </c>
      <c r="G133" s="5" t="str">
        <f t="shared" si="25"/>
        <v/>
      </c>
      <c r="H133" t="str">
        <f t="shared" si="39"/>
        <v/>
      </c>
      <c r="I133" t="str">
        <f t="shared" si="27"/>
        <v/>
      </c>
      <c r="J133" t="str">
        <f t="shared" si="40"/>
        <v/>
      </c>
      <c r="K133" t="str">
        <f t="shared" si="41"/>
        <v/>
      </c>
      <c r="L133" t="str">
        <f t="shared" si="42"/>
        <v/>
      </c>
      <c r="M133" s="5" t="str">
        <f t="shared" si="37"/>
        <v/>
      </c>
      <c r="N133" s="7" t="str">
        <f t="shared" si="43"/>
        <v/>
      </c>
      <c r="O133" s="3" t="str">
        <f t="shared" si="28"/>
        <v/>
      </c>
      <c r="P133" s="3" t="str">
        <f t="shared" si="29"/>
        <v/>
      </c>
      <c r="Q133" s="3" t="str">
        <f t="shared" si="30"/>
        <v/>
      </c>
      <c r="R133" s="3" t="str">
        <f t="shared" si="31"/>
        <v/>
      </c>
      <c r="S133" s="3" t="str">
        <f>IF($L133&lt;&gt;"",IF($A133="Prepago",0,IF(ROUND($H133*$U$5,2)&gt;ROUND(SUM($S$11:$S132)+$U$5,2),$U$5*2,$U$5)),"")</f>
        <v/>
      </c>
      <c r="T133" s="3" t="str">
        <f>IF($L133&lt;&gt;"",IF($A133="Prepago",0,IF(ROUND($H133*$U$6,2)&gt;ROUND(SUM($T$11:$T132)+$U$6,2),$U$6*2,$U$6)),"")</f>
        <v/>
      </c>
      <c r="U133" s="3" t="str">
        <f>IF($L133&lt;&gt;"",IF($A133="Prepago",0,IF(ROUND($H133*$U$7,2)&gt;ROUND(SUM($U$11:$U132)+$U$7,2),$U$7*2,$U$7)),"")</f>
        <v/>
      </c>
      <c r="V133" s="3" t="str">
        <f>IF($L133&lt;&gt;"",IF($A133="Prepago",0,IF(ROUND($H133*$U$8,2)&gt;ROUND(SUM($V$11:$V132)+$U$8,2),$U$8*2,$U$8)),"")</f>
        <v/>
      </c>
      <c r="W133" s="3" t="str">
        <f t="shared" si="44"/>
        <v/>
      </c>
      <c r="X133" s="3" t="str">
        <f t="shared" si="32"/>
        <v/>
      </c>
      <c r="Y133" s="3" t="str">
        <f t="shared" si="33"/>
        <v/>
      </c>
      <c r="Z133" s="3" t="str">
        <f t="shared" si="34"/>
        <v/>
      </c>
      <c r="AA133" s="3" t="str">
        <f>IF($L133&lt;&gt;"",IF($N133&gt;Z$11,IF($N133&lt;AA$11,$N133-Z$11,30),0)*ROUND(($O133+$X132+SUM($Z133:Z133))*$V$5/3000,2),"")</f>
        <v/>
      </c>
      <c r="AB133" s="3"/>
      <c r="AC133" s="3"/>
    </row>
    <row r="134" spans="5:29" x14ac:dyDescent="0.3">
      <c r="E134" s="5"/>
      <c r="F134" t="str">
        <f t="shared" si="38"/>
        <v/>
      </c>
      <c r="G134" s="5" t="str">
        <f t="shared" si="25"/>
        <v/>
      </c>
      <c r="H134" t="str">
        <f t="shared" si="39"/>
        <v/>
      </c>
      <c r="I134" t="str">
        <f t="shared" si="27"/>
        <v/>
      </c>
      <c r="J134" t="str">
        <f t="shared" si="40"/>
        <v/>
      </c>
      <c r="K134" t="str">
        <f t="shared" si="41"/>
        <v/>
      </c>
      <c r="L134" t="str">
        <f t="shared" si="42"/>
        <v/>
      </c>
      <c r="M134" s="5" t="str">
        <f t="shared" si="37"/>
        <v/>
      </c>
      <c r="N134" s="7" t="str">
        <f t="shared" si="43"/>
        <v/>
      </c>
      <c r="O134" s="3" t="str">
        <f t="shared" si="28"/>
        <v/>
      </c>
      <c r="P134" s="3" t="str">
        <f t="shared" si="29"/>
        <v/>
      </c>
      <c r="Q134" s="3" t="str">
        <f t="shared" si="30"/>
        <v/>
      </c>
      <c r="R134" s="3" t="str">
        <f t="shared" si="31"/>
        <v/>
      </c>
      <c r="S134" s="3" t="str">
        <f>IF($L134&lt;&gt;"",IF($A134="Prepago",0,IF(ROUND($H134*$U$5,2)&gt;ROUND(SUM($S$11:$S133)+$U$5,2),$U$5*2,$U$5)),"")</f>
        <v/>
      </c>
      <c r="T134" s="3" t="str">
        <f>IF($L134&lt;&gt;"",IF($A134="Prepago",0,IF(ROUND($H134*$U$6,2)&gt;ROUND(SUM($T$11:$T133)+$U$6,2),$U$6*2,$U$6)),"")</f>
        <v/>
      </c>
      <c r="U134" s="3" t="str">
        <f>IF($L134&lt;&gt;"",IF($A134="Prepago",0,IF(ROUND($H134*$U$7,2)&gt;ROUND(SUM($U$11:$U133)+$U$7,2),$U$7*2,$U$7)),"")</f>
        <v/>
      </c>
      <c r="V134" s="3" t="str">
        <f>IF($L134&lt;&gt;"",IF($A134="Prepago",0,IF(ROUND($H134*$U$8,2)&gt;ROUND(SUM($V$11:$V133)+$U$8,2),$U$8*2,$U$8)),"")</f>
        <v/>
      </c>
      <c r="W134" s="3" t="str">
        <f t="shared" si="44"/>
        <v/>
      </c>
      <c r="X134" s="3" t="str">
        <f t="shared" si="32"/>
        <v/>
      </c>
      <c r="Y134" s="3" t="str">
        <f t="shared" si="33"/>
        <v/>
      </c>
      <c r="Z134" s="3" t="str">
        <f t="shared" si="34"/>
        <v/>
      </c>
      <c r="AA134" s="3" t="str">
        <f>IF($L134&lt;&gt;"",IF($N134&gt;Z$11,IF($N134&lt;AA$11,$N134-Z$11,30),0)*ROUND(($O134+$X133+SUM($Z134:Z134))*$V$5/3000,2),"")</f>
        <v/>
      </c>
      <c r="AB134" s="3"/>
      <c r="AC134" s="3"/>
    </row>
    <row r="135" spans="5:29" x14ac:dyDescent="0.3">
      <c r="E135" s="5"/>
      <c r="F135" t="str">
        <f t="shared" si="38"/>
        <v/>
      </c>
      <c r="G135" s="5" t="str">
        <f t="shared" si="25"/>
        <v/>
      </c>
      <c r="H135" t="str">
        <f t="shared" si="39"/>
        <v/>
      </c>
      <c r="I135" t="str">
        <f t="shared" si="27"/>
        <v/>
      </c>
      <c r="J135" t="str">
        <f t="shared" si="40"/>
        <v/>
      </c>
      <c r="K135" t="str">
        <f t="shared" si="41"/>
        <v/>
      </c>
      <c r="L135" t="str">
        <f t="shared" si="42"/>
        <v/>
      </c>
      <c r="M135" s="5" t="str">
        <f t="shared" si="37"/>
        <v/>
      </c>
      <c r="N135" s="7" t="str">
        <f t="shared" si="43"/>
        <v/>
      </c>
      <c r="O135" s="3" t="str">
        <f t="shared" si="28"/>
        <v/>
      </c>
      <c r="P135" s="3" t="str">
        <f t="shared" si="29"/>
        <v/>
      </c>
      <c r="Q135" s="3" t="str">
        <f t="shared" si="30"/>
        <v/>
      </c>
      <c r="R135" s="3" t="str">
        <f t="shared" si="31"/>
        <v/>
      </c>
      <c r="S135" s="3" t="str">
        <f>IF($L135&lt;&gt;"",IF($A135="Prepago",0,IF(ROUND($H135*$U$5,2)&gt;ROUND(SUM($S$11:$S134)+$U$5,2),$U$5*2,$U$5)),"")</f>
        <v/>
      </c>
      <c r="T135" s="3" t="str">
        <f>IF($L135&lt;&gt;"",IF($A135="Prepago",0,IF(ROUND($H135*$U$6,2)&gt;ROUND(SUM($T$11:$T134)+$U$6,2),$U$6*2,$U$6)),"")</f>
        <v/>
      </c>
      <c r="U135" s="3" t="str">
        <f>IF($L135&lt;&gt;"",IF($A135="Prepago",0,IF(ROUND($H135*$U$7,2)&gt;ROUND(SUM($U$11:$U134)+$U$7,2),$U$7*2,$U$7)),"")</f>
        <v/>
      </c>
      <c r="V135" s="3" t="str">
        <f>IF($L135&lt;&gt;"",IF($A135="Prepago",0,IF(ROUND($H135*$U$8,2)&gt;ROUND(SUM($V$11:$V134)+$U$8,2),$U$8*2,$U$8)),"")</f>
        <v/>
      </c>
      <c r="W135" s="3" t="str">
        <f t="shared" si="44"/>
        <v/>
      </c>
      <c r="X135" s="3" t="str">
        <f t="shared" si="32"/>
        <v/>
      </c>
      <c r="Y135" s="3" t="str">
        <f t="shared" si="33"/>
        <v/>
      </c>
      <c r="Z135" s="3" t="str">
        <f t="shared" si="34"/>
        <v/>
      </c>
      <c r="AA135" s="3" t="str">
        <f>IF($L135&lt;&gt;"",IF($N135&gt;Z$11,IF($N135&lt;AA$11,$N135-Z$11,30),0)*ROUND(($O135+$X134+SUM($Z135:Z135))*$V$5/3000,2),"")</f>
        <v/>
      </c>
      <c r="AB135" s="3"/>
      <c r="AC135" s="3"/>
    </row>
    <row r="136" spans="5:29" x14ac:dyDescent="0.3">
      <c r="E136" s="5"/>
      <c r="F136" t="str">
        <f t="shared" si="38"/>
        <v/>
      </c>
      <c r="G136" s="5" t="str">
        <f t="shared" si="25"/>
        <v/>
      </c>
      <c r="H136" t="str">
        <f t="shared" si="39"/>
        <v/>
      </c>
      <c r="I136" t="str">
        <f t="shared" si="27"/>
        <v/>
      </c>
      <c r="J136" t="str">
        <f t="shared" si="40"/>
        <v/>
      </c>
      <c r="K136" t="str">
        <f t="shared" si="41"/>
        <v/>
      </c>
      <c r="L136" t="str">
        <f t="shared" si="42"/>
        <v/>
      </c>
      <c r="M136" s="5" t="str">
        <f t="shared" si="37"/>
        <v/>
      </c>
      <c r="N136" s="7" t="str">
        <f t="shared" si="43"/>
        <v/>
      </c>
      <c r="O136" s="3" t="str">
        <f t="shared" si="28"/>
        <v/>
      </c>
      <c r="P136" s="3" t="str">
        <f t="shared" si="29"/>
        <v/>
      </c>
      <c r="Q136" s="3" t="str">
        <f t="shared" si="30"/>
        <v/>
      </c>
      <c r="R136" s="3" t="str">
        <f t="shared" si="31"/>
        <v/>
      </c>
      <c r="S136" s="3" t="str">
        <f>IF($L136&lt;&gt;"",IF($A136="Prepago",0,IF(ROUND($H136*$U$5,2)&gt;ROUND(SUM($S$11:$S135)+$U$5,2),$U$5*2,$U$5)),"")</f>
        <v/>
      </c>
      <c r="T136" s="3" t="str">
        <f>IF($L136&lt;&gt;"",IF($A136="Prepago",0,IF(ROUND($H136*$U$6,2)&gt;ROUND(SUM($T$11:$T135)+$U$6,2),$U$6*2,$U$6)),"")</f>
        <v/>
      </c>
      <c r="U136" s="3" t="str">
        <f>IF($L136&lt;&gt;"",IF($A136="Prepago",0,IF(ROUND($H136*$U$7,2)&gt;ROUND(SUM($U$11:$U135)+$U$7,2),$U$7*2,$U$7)),"")</f>
        <v/>
      </c>
      <c r="V136" s="3" t="str">
        <f>IF($L136&lt;&gt;"",IF($A136="Prepago",0,IF(ROUND($H136*$U$8,2)&gt;ROUND(SUM($V$11:$V135)+$U$8,2),$U$8*2,$U$8)),"")</f>
        <v/>
      </c>
      <c r="W136" s="3" t="str">
        <f t="shared" si="44"/>
        <v/>
      </c>
      <c r="X136" s="3" t="str">
        <f t="shared" si="32"/>
        <v/>
      </c>
      <c r="Y136" s="3" t="str">
        <f t="shared" si="33"/>
        <v/>
      </c>
      <c r="Z136" s="3" t="str">
        <f t="shared" si="34"/>
        <v/>
      </c>
      <c r="AA136" s="3" t="str">
        <f>IF($L136&lt;&gt;"",IF($N136&gt;Z$11,IF($N136&lt;AA$11,$N136-Z$11,30),0)*ROUND(($O136+$X135+SUM($Z136:Z136))*$V$5/3000,2),"")</f>
        <v/>
      </c>
      <c r="AB136" s="3"/>
      <c r="AC136" s="3"/>
    </row>
    <row r="137" spans="5:29" x14ac:dyDescent="0.3">
      <c r="E137" s="5"/>
      <c r="F137" t="str">
        <f t="shared" si="38"/>
        <v/>
      </c>
      <c r="G137" s="5" t="str">
        <f t="shared" si="25"/>
        <v/>
      </c>
      <c r="H137" t="str">
        <f t="shared" si="39"/>
        <v/>
      </c>
      <c r="I137" t="str">
        <f t="shared" si="27"/>
        <v/>
      </c>
      <c r="J137" t="str">
        <f t="shared" si="40"/>
        <v/>
      </c>
      <c r="K137" t="str">
        <f t="shared" si="41"/>
        <v/>
      </c>
      <c r="L137" t="str">
        <f t="shared" si="42"/>
        <v/>
      </c>
      <c r="M137" s="5" t="str">
        <f t="shared" si="37"/>
        <v/>
      </c>
      <c r="N137" s="7" t="str">
        <f t="shared" si="43"/>
        <v/>
      </c>
      <c r="O137" s="3" t="str">
        <f t="shared" si="28"/>
        <v/>
      </c>
      <c r="P137" s="3" t="str">
        <f t="shared" si="29"/>
        <v/>
      </c>
      <c r="Q137" s="3" t="str">
        <f t="shared" si="30"/>
        <v/>
      </c>
      <c r="R137" s="3" t="str">
        <f t="shared" si="31"/>
        <v/>
      </c>
      <c r="S137" s="3" t="str">
        <f>IF($L137&lt;&gt;"",IF($A137="Prepago",0,IF(ROUND($H137*$U$5,2)&gt;ROUND(SUM($S$11:$S136)+$U$5,2),$U$5*2,$U$5)),"")</f>
        <v/>
      </c>
      <c r="T137" s="3" t="str">
        <f>IF($L137&lt;&gt;"",IF($A137="Prepago",0,IF(ROUND($H137*$U$6,2)&gt;ROUND(SUM($T$11:$T136)+$U$6,2),$U$6*2,$U$6)),"")</f>
        <v/>
      </c>
      <c r="U137" s="3" t="str">
        <f>IF($L137&lt;&gt;"",IF($A137="Prepago",0,IF(ROUND($H137*$U$7,2)&gt;ROUND(SUM($U$11:$U136)+$U$7,2),$U$7*2,$U$7)),"")</f>
        <v/>
      </c>
      <c r="V137" s="3" t="str">
        <f>IF($L137&lt;&gt;"",IF($A137="Prepago",0,IF(ROUND($H137*$U$8,2)&gt;ROUND(SUM($V$11:$V136)+$U$8,2),$U$8*2,$U$8)),"")</f>
        <v/>
      </c>
      <c r="W137" s="3" t="str">
        <f t="shared" si="44"/>
        <v/>
      </c>
      <c r="X137" s="3" t="str">
        <f t="shared" si="32"/>
        <v/>
      </c>
      <c r="Y137" s="3" t="str">
        <f t="shared" si="33"/>
        <v/>
      </c>
      <c r="Z137" s="3" t="str">
        <f t="shared" si="34"/>
        <v/>
      </c>
      <c r="AA137" s="3" t="str">
        <f>IF($L137&lt;&gt;"",IF($N137&gt;Z$11,IF($N137&lt;AA$11,$N137-Z$11,30),0)*ROUND(($O137+$X136+SUM($Z137:Z137))*$V$5/3000,2),"")</f>
        <v/>
      </c>
      <c r="AB137" s="3"/>
      <c r="AC137" s="3"/>
    </row>
    <row r="138" spans="5:29" x14ac:dyDescent="0.3">
      <c r="E138" s="5"/>
      <c r="F138" t="str">
        <f t="shared" si="38"/>
        <v/>
      </c>
      <c r="G138" s="5" t="str">
        <f t="shared" si="25"/>
        <v/>
      </c>
      <c r="H138" t="str">
        <f t="shared" si="39"/>
        <v/>
      </c>
      <c r="I138" t="str">
        <f t="shared" si="27"/>
        <v/>
      </c>
      <c r="J138" t="str">
        <f t="shared" si="40"/>
        <v/>
      </c>
      <c r="K138" t="str">
        <f t="shared" si="41"/>
        <v/>
      </c>
      <c r="L138" t="str">
        <f t="shared" si="42"/>
        <v/>
      </c>
      <c r="M138" s="5" t="str">
        <f t="shared" si="37"/>
        <v/>
      </c>
      <c r="N138" s="7" t="str">
        <f t="shared" si="43"/>
        <v/>
      </c>
      <c r="O138" s="3" t="str">
        <f t="shared" si="28"/>
        <v/>
      </c>
      <c r="P138" s="3" t="str">
        <f t="shared" si="29"/>
        <v/>
      </c>
      <c r="Q138" s="3" t="str">
        <f t="shared" si="30"/>
        <v/>
      </c>
      <c r="R138" s="3" t="str">
        <f t="shared" si="31"/>
        <v/>
      </c>
      <c r="S138" s="3" t="str">
        <f>IF($L138&lt;&gt;"",IF($A138="Prepago",0,IF(ROUND($H138*$U$5,2)&gt;ROUND(SUM($S$11:$S137)+$U$5,2),$U$5*2,$U$5)),"")</f>
        <v/>
      </c>
      <c r="T138" s="3" t="str">
        <f>IF($L138&lt;&gt;"",IF($A138="Prepago",0,IF(ROUND($H138*$U$6,2)&gt;ROUND(SUM($T$11:$T137)+$U$6,2),$U$6*2,$U$6)),"")</f>
        <v/>
      </c>
      <c r="U138" s="3" t="str">
        <f>IF($L138&lt;&gt;"",IF($A138="Prepago",0,IF(ROUND($H138*$U$7,2)&gt;ROUND(SUM($U$11:$U137)+$U$7,2),$U$7*2,$U$7)),"")</f>
        <v/>
      </c>
      <c r="V138" s="3" t="str">
        <f>IF($L138&lt;&gt;"",IF($A138="Prepago",0,IF(ROUND($H138*$U$8,2)&gt;ROUND(SUM($V$11:$V137)+$U$8,2),$U$8*2,$U$8)),"")</f>
        <v/>
      </c>
      <c r="W138" s="3" t="str">
        <f t="shared" si="44"/>
        <v/>
      </c>
      <c r="X138" s="3" t="str">
        <f t="shared" si="32"/>
        <v/>
      </c>
      <c r="Y138" s="3" t="str">
        <f t="shared" si="33"/>
        <v/>
      </c>
      <c r="Z138" s="3" t="str">
        <f t="shared" si="34"/>
        <v/>
      </c>
      <c r="AA138" s="3" t="str">
        <f>IF($L138&lt;&gt;"",IF($N138&gt;Z$11,IF($N138&lt;AA$11,$N138-Z$11,30),0)*ROUND(($O138+$X137+SUM($Z138:Z138))*$V$5/3000,2),"")</f>
        <v/>
      </c>
      <c r="AB138" s="3"/>
      <c r="AC138" s="3"/>
    </row>
    <row r="139" spans="5:29" x14ac:dyDescent="0.3">
      <c r="E139" s="5"/>
      <c r="F139" t="str">
        <f t="shared" si="38"/>
        <v/>
      </c>
      <c r="G139" s="5" t="str">
        <f t="shared" si="25"/>
        <v/>
      </c>
      <c r="H139" t="str">
        <f t="shared" si="39"/>
        <v/>
      </c>
      <c r="I139" t="str">
        <f t="shared" si="27"/>
        <v/>
      </c>
      <c r="J139" t="str">
        <f t="shared" si="40"/>
        <v/>
      </c>
      <c r="K139" t="str">
        <f t="shared" si="41"/>
        <v/>
      </c>
      <c r="L139" t="str">
        <f t="shared" si="42"/>
        <v/>
      </c>
      <c r="M139" s="5" t="str">
        <f t="shared" si="37"/>
        <v/>
      </c>
      <c r="N139" s="7" t="str">
        <f t="shared" si="43"/>
        <v/>
      </c>
      <c r="O139" s="3" t="str">
        <f t="shared" si="28"/>
        <v/>
      </c>
      <c r="P139" s="3" t="str">
        <f t="shared" si="29"/>
        <v/>
      </c>
      <c r="Q139" s="3" t="str">
        <f t="shared" si="30"/>
        <v/>
      </c>
      <c r="R139" s="3" t="str">
        <f t="shared" si="31"/>
        <v/>
      </c>
      <c r="S139" s="3" t="str">
        <f>IF($L139&lt;&gt;"",IF($A139="Prepago",0,IF(ROUND($H139*$U$5,2)&gt;ROUND(SUM($S$11:$S138)+$U$5,2),$U$5*2,$U$5)),"")</f>
        <v/>
      </c>
      <c r="T139" s="3" t="str">
        <f>IF($L139&lt;&gt;"",IF($A139="Prepago",0,IF(ROUND($H139*$U$6,2)&gt;ROUND(SUM($T$11:$T138)+$U$6,2),$U$6*2,$U$6)),"")</f>
        <v/>
      </c>
      <c r="U139" s="3" t="str">
        <f>IF($L139&lt;&gt;"",IF($A139="Prepago",0,IF(ROUND($H139*$U$7,2)&gt;ROUND(SUM($U$11:$U138)+$U$7,2),$U$7*2,$U$7)),"")</f>
        <v/>
      </c>
      <c r="V139" s="3" t="str">
        <f>IF($L139&lt;&gt;"",IF($A139="Prepago",0,IF(ROUND($H139*$U$8,2)&gt;ROUND(SUM($V$11:$V138)+$U$8,2),$U$8*2,$U$8)),"")</f>
        <v/>
      </c>
      <c r="W139" s="3" t="str">
        <f t="shared" si="44"/>
        <v/>
      </c>
      <c r="X139" s="3" t="str">
        <f t="shared" si="32"/>
        <v/>
      </c>
      <c r="Y139" s="3" t="str">
        <f t="shared" si="33"/>
        <v/>
      </c>
      <c r="Z139" s="3" t="str">
        <f t="shared" si="34"/>
        <v/>
      </c>
      <c r="AA139" s="3" t="str">
        <f>IF($L139&lt;&gt;"",IF($N139&gt;Z$11,IF($N139&lt;AA$11,$N139-Z$11,30),0)*ROUND(($O139+$X138+SUM($Z139:Z139))*$V$5/3000,2),"")</f>
        <v/>
      </c>
      <c r="AB139" s="3"/>
      <c r="AC139" s="3"/>
    </row>
    <row r="140" spans="5:29" x14ac:dyDescent="0.3">
      <c r="E140" s="5"/>
      <c r="F140" t="str">
        <f t="shared" si="38"/>
        <v/>
      </c>
      <c r="G140" s="5" t="str">
        <f t="shared" ref="G140:G203" si="45">IF($L140&lt;&gt;"",EOMONTH(DATE(YEAR($M$11),MONTH($M$11)-IF(DAY($N$6)&lt;$N$7,1,0),DAY($M$11)),($H140*$A$1)+IF(MESADICIONAL=TRUE,1,0)),"")</f>
        <v/>
      </c>
      <c r="H140" t="str">
        <f t="shared" si="39"/>
        <v/>
      </c>
      <c r="I140" t="str">
        <f t="shared" ref="I140:I203" si="46">IF(L140&lt;&gt;"",IF(COUNTA($Z140:$XFD140)*30&lt;$N140,1,0),"")</f>
        <v/>
      </c>
      <c r="J140" t="str">
        <f t="shared" si="40"/>
        <v/>
      </c>
      <c r="K140" t="str">
        <f t="shared" si="41"/>
        <v/>
      </c>
      <c r="L140" t="str">
        <f t="shared" si="42"/>
        <v/>
      </c>
      <c r="M140" s="5" t="str">
        <f t="shared" si="37"/>
        <v/>
      </c>
      <c r="N140" s="7" t="str">
        <f t="shared" si="43"/>
        <v/>
      </c>
      <c r="O140" s="3" t="str">
        <f t="shared" ref="O140:O203" si="47">IF($L140&lt;&gt;"",$W139,"")</f>
        <v/>
      </c>
      <c r="P140" s="3" t="str">
        <f t="shared" ref="P140:P203" si="48">IF($L140&lt;&gt;"",IF($A140="Gracia Parcial",IF(AND($C140&lt;$Y140+$S140+$T140+$V140+$X139,$C140&gt;0),$C140,$Y140+$S140+$T140+$V140+$X139),IF($A140="Gracia Total",0,IF($A140="Prepago",$C140,IF(ISNUMBER($C140),$C140*VALUE(MID($C$1,MONTH($M140),1)),$Q$5*VALUE(MID($C$1,MONTH($M140),1))))))-IF($L141="",ARREGLO,0),"")</f>
        <v/>
      </c>
      <c r="Q140" s="3" t="str">
        <f t="shared" ref="Q140:Q203" si="49">IF($L140&lt;&gt;"",IF($P140-$R140&gt;0,IF($P140&gt;=$R140+$S140+$T140+$V140,$P140-$R140-$S140-$T140-$V140,P140),0),"")</f>
        <v/>
      </c>
      <c r="R140" s="3" t="str">
        <f t="shared" ref="R140:R203" si="50">IF($L140&lt;&gt;"",IF($P140&gt;IF($D140="",$Y140,$D140)+$X139+$S140+$T140+$V140,IF($D140="",$Y140,$D140)+$X139,IF($P140&gt;=$S140+$T140+$V140,$P140-$S140-$T140-$V140,IF($D140="",$Y140,$D140)+$X139)),"")</f>
        <v/>
      </c>
      <c r="S140" s="3" t="str">
        <f>IF($L140&lt;&gt;"",IF($A140="Prepago",0,IF(ROUND($H140*$U$5,2)&gt;ROUND(SUM($S$11:$S139)+$U$5,2),$U$5*2,$U$5)),"")</f>
        <v/>
      </c>
      <c r="T140" s="3" t="str">
        <f>IF($L140&lt;&gt;"",IF($A140="Prepago",0,IF(ROUND($H140*$U$6,2)&gt;ROUND(SUM($T$11:$T139)+$U$6,2),$U$6*2,$U$6)),"")</f>
        <v/>
      </c>
      <c r="U140" s="3" t="str">
        <f>IF($L140&lt;&gt;"",IF($A140="Prepago",0,IF(ROUND($H140*$U$7,2)&gt;ROUND(SUM($U$11:$U139)+$U$7,2),$U$7*2,$U$7)),"")</f>
        <v/>
      </c>
      <c r="V140" s="3" t="str">
        <f>IF($L140&lt;&gt;"",IF($A140="Prepago",0,IF(ROUND($H140*$U$8,2)&gt;ROUND(SUM($V$11:$V139)+$U$8,2),$U$8*2,$U$8)),"")</f>
        <v/>
      </c>
      <c r="W140" s="3" t="str">
        <f t="shared" si="44"/>
        <v/>
      </c>
      <c r="X140" s="3" t="str">
        <f t="shared" ref="X140:X203" si="51">IF($L140&lt;&gt;"",+$X139+IF($D140="",$Y140,$D140)-$R140,"")</f>
        <v/>
      </c>
      <c r="Y140" s="3" t="str">
        <f t="shared" ref="Y140:Y203" si="52">IF($L140&lt;&gt;"",SUM($Z140:$XFD140),"")</f>
        <v/>
      </c>
      <c r="Z140" s="3" t="str">
        <f t="shared" ref="Z140:Z203" si="53">IF($L140&lt;&gt;"",IF($N140&gt;Z$11,30,$N140)*ROUND(($O140+$X139)*$V$5/3000,2),"")</f>
        <v/>
      </c>
      <c r="AA140" s="3" t="str">
        <f>IF($L140&lt;&gt;"",IF($N140&gt;Z$11,IF($N140&lt;AA$11,$N140-Z$11,30),0)*ROUND(($O140+$X139+SUM($Z140:Z140))*$V$5/3000,2),"")</f>
        <v/>
      </c>
      <c r="AB140" s="3"/>
      <c r="AC140" s="3"/>
    </row>
    <row r="141" spans="5:29" x14ac:dyDescent="0.3">
      <c r="E141" s="5"/>
      <c r="F141" t="str">
        <f t="shared" si="38"/>
        <v/>
      </c>
      <c r="G141" s="5" t="str">
        <f t="shared" si="45"/>
        <v/>
      </c>
      <c r="H141" t="str">
        <f t="shared" si="39"/>
        <v/>
      </c>
      <c r="I141" t="str">
        <f t="shared" si="46"/>
        <v/>
      </c>
      <c r="J141" t="str">
        <f t="shared" si="40"/>
        <v/>
      </c>
      <c r="K141" t="str">
        <f t="shared" si="41"/>
        <v/>
      </c>
      <c r="L141" t="str">
        <f t="shared" si="42"/>
        <v/>
      </c>
      <c r="M141" s="5" t="str">
        <f t="shared" ref="M141:M204" si="54">IF($L141&lt;&gt;"",IF($E141="",IF(DAY($G141)&lt;$N$7,$G141,DATE(YEAR($G141),MONTH($G141),$N$7)),$E141),"")</f>
        <v/>
      </c>
      <c r="N141" s="7" t="str">
        <f t="shared" si="43"/>
        <v/>
      </c>
      <c r="O141" s="3" t="str">
        <f t="shared" si="47"/>
        <v/>
      </c>
      <c r="P141" s="3" t="str">
        <f t="shared" si="48"/>
        <v/>
      </c>
      <c r="Q141" s="3" t="str">
        <f t="shared" si="49"/>
        <v/>
      </c>
      <c r="R141" s="3" t="str">
        <f t="shared" si="50"/>
        <v/>
      </c>
      <c r="S141" s="3" t="str">
        <f>IF($L141&lt;&gt;"",IF($A141="Prepago",0,IF(ROUND($H141*$U$5,2)&gt;ROUND(SUM($S$11:$S140)+$U$5,2),$U$5*2,$U$5)),"")</f>
        <v/>
      </c>
      <c r="T141" s="3" t="str">
        <f>IF($L141&lt;&gt;"",IF($A141="Prepago",0,IF(ROUND($H141*$U$6,2)&gt;ROUND(SUM($T$11:$T140)+$U$6,2),$U$6*2,$U$6)),"")</f>
        <v/>
      </c>
      <c r="U141" s="3" t="str">
        <f>IF($L141&lt;&gt;"",IF($A141="Prepago",0,IF(ROUND($H141*$U$7,2)&gt;ROUND(SUM($U$11:$U140)+$U$7,2),$U$7*2,$U$7)),"")</f>
        <v/>
      </c>
      <c r="V141" s="3" t="str">
        <f>IF($L141&lt;&gt;"",IF($A141="Prepago",0,IF(ROUND($H141*$U$8,2)&gt;ROUND(SUM($V$11:$V140)+$U$8,2),$U$8*2,$U$8)),"")</f>
        <v/>
      </c>
      <c r="W141" s="3" t="str">
        <f t="shared" si="44"/>
        <v/>
      </c>
      <c r="X141" s="3" t="str">
        <f t="shared" si="51"/>
        <v/>
      </c>
      <c r="Y141" s="3" t="str">
        <f t="shared" si="52"/>
        <v/>
      </c>
      <c r="Z141" s="3" t="str">
        <f t="shared" si="53"/>
        <v/>
      </c>
      <c r="AA141" s="3" t="str">
        <f>IF($L141&lt;&gt;"",IF($N141&gt;Z$11,IF($N141&lt;AA$11,$N141-Z$11,30),0)*ROUND(($O141+$X140+SUM($Z141:Z141))*$V$5/3000,2),"")</f>
        <v/>
      </c>
      <c r="AB141" s="3"/>
      <c r="AC141" s="3"/>
    </row>
    <row r="142" spans="5:29" x14ac:dyDescent="0.3">
      <c r="E142" s="5"/>
      <c r="F142" t="str">
        <f t="shared" si="38"/>
        <v/>
      </c>
      <c r="G142" s="5" t="str">
        <f t="shared" si="45"/>
        <v/>
      </c>
      <c r="H142" t="str">
        <f t="shared" si="39"/>
        <v/>
      </c>
      <c r="I142" t="str">
        <f t="shared" si="46"/>
        <v/>
      </c>
      <c r="J142" t="str">
        <f t="shared" si="40"/>
        <v/>
      </c>
      <c r="K142" t="str">
        <f t="shared" si="41"/>
        <v/>
      </c>
      <c r="L142" t="str">
        <f t="shared" si="42"/>
        <v/>
      </c>
      <c r="M142" s="5" t="str">
        <f t="shared" si="54"/>
        <v/>
      </c>
      <c r="N142" s="7" t="str">
        <f t="shared" si="43"/>
        <v/>
      </c>
      <c r="O142" s="3" t="str">
        <f t="shared" si="47"/>
        <v/>
      </c>
      <c r="P142" s="3" t="str">
        <f t="shared" si="48"/>
        <v/>
      </c>
      <c r="Q142" s="3" t="str">
        <f t="shared" si="49"/>
        <v/>
      </c>
      <c r="R142" s="3" t="str">
        <f t="shared" si="50"/>
        <v/>
      </c>
      <c r="S142" s="3" t="str">
        <f>IF($L142&lt;&gt;"",IF($A142="Prepago",0,IF(ROUND($H142*$U$5,2)&gt;ROUND(SUM($S$11:$S141)+$U$5,2),$U$5*2,$U$5)),"")</f>
        <v/>
      </c>
      <c r="T142" s="3" t="str">
        <f>IF($L142&lt;&gt;"",IF($A142="Prepago",0,IF(ROUND($H142*$U$6,2)&gt;ROUND(SUM($T$11:$T141)+$U$6,2),$U$6*2,$U$6)),"")</f>
        <v/>
      </c>
      <c r="U142" s="3" t="str">
        <f>IF($L142&lt;&gt;"",IF($A142="Prepago",0,IF(ROUND($H142*$U$7,2)&gt;ROUND(SUM($U$11:$U141)+$U$7,2),$U$7*2,$U$7)),"")</f>
        <v/>
      </c>
      <c r="V142" s="3" t="str">
        <f>IF($L142&lt;&gt;"",IF($A142="Prepago",0,IF(ROUND($H142*$U$8,2)&gt;ROUND(SUM($V$11:$V141)+$U$8,2),$U$8*2,$U$8)),"")</f>
        <v/>
      </c>
      <c r="W142" s="3" t="str">
        <f t="shared" si="44"/>
        <v/>
      </c>
      <c r="X142" s="3" t="str">
        <f t="shared" si="51"/>
        <v/>
      </c>
      <c r="Y142" s="3" t="str">
        <f t="shared" si="52"/>
        <v/>
      </c>
      <c r="Z142" s="3" t="str">
        <f t="shared" si="53"/>
        <v/>
      </c>
      <c r="AA142" s="3" t="str">
        <f>IF($L142&lt;&gt;"",IF($N142&gt;Z$11,IF($N142&lt;AA$11,$N142-Z$11,30),0)*ROUND(($O142+$X141+SUM($Z142:Z142))*$V$5/3000,2),"")</f>
        <v/>
      </c>
      <c r="AB142" s="3"/>
      <c r="AC142" s="3"/>
    </row>
    <row r="143" spans="5:29" x14ac:dyDescent="0.3">
      <c r="E143" s="5"/>
      <c r="F143" t="str">
        <f t="shared" si="38"/>
        <v/>
      </c>
      <c r="G143" s="5" t="str">
        <f t="shared" si="45"/>
        <v/>
      </c>
      <c r="H143" t="str">
        <f t="shared" si="39"/>
        <v/>
      </c>
      <c r="I143" t="str">
        <f t="shared" si="46"/>
        <v/>
      </c>
      <c r="J143" t="str">
        <f t="shared" si="40"/>
        <v/>
      </c>
      <c r="K143" t="str">
        <f t="shared" si="41"/>
        <v/>
      </c>
      <c r="L143" t="str">
        <f t="shared" si="42"/>
        <v/>
      </c>
      <c r="M143" s="5" t="str">
        <f t="shared" si="54"/>
        <v/>
      </c>
      <c r="N143" s="7" t="str">
        <f t="shared" si="43"/>
        <v/>
      </c>
      <c r="O143" s="3" t="str">
        <f t="shared" si="47"/>
        <v/>
      </c>
      <c r="P143" s="3" t="str">
        <f t="shared" si="48"/>
        <v/>
      </c>
      <c r="Q143" s="3" t="str">
        <f t="shared" si="49"/>
        <v/>
      </c>
      <c r="R143" s="3" t="str">
        <f t="shared" si="50"/>
        <v/>
      </c>
      <c r="S143" s="3" t="str">
        <f>IF($L143&lt;&gt;"",IF($A143="Prepago",0,IF(ROUND($H143*$U$5,2)&gt;ROUND(SUM($S$11:$S142)+$U$5,2),$U$5*2,$U$5)),"")</f>
        <v/>
      </c>
      <c r="T143" s="3" t="str">
        <f>IF($L143&lt;&gt;"",IF($A143="Prepago",0,IF(ROUND($H143*$U$6,2)&gt;ROUND(SUM($T$11:$T142)+$U$6,2),$U$6*2,$U$6)),"")</f>
        <v/>
      </c>
      <c r="U143" s="3" t="str">
        <f>IF($L143&lt;&gt;"",IF($A143="Prepago",0,IF(ROUND($H143*$U$7,2)&gt;ROUND(SUM($U$11:$U142)+$U$7,2),$U$7*2,$U$7)),"")</f>
        <v/>
      </c>
      <c r="V143" s="3" t="str">
        <f>IF($L143&lt;&gt;"",IF($A143="Prepago",0,IF(ROUND($H143*$U$8,2)&gt;ROUND(SUM($V$11:$V142)+$U$8,2),$U$8*2,$U$8)),"")</f>
        <v/>
      </c>
      <c r="W143" s="3" t="str">
        <f t="shared" si="44"/>
        <v/>
      </c>
      <c r="X143" s="3" t="str">
        <f t="shared" si="51"/>
        <v/>
      </c>
      <c r="Y143" s="3" t="str">
        <f t="shared" si="52"/>
        <v/>
      </c>
      <c r="Z143" s="3" t="str">
        <f t="shared" si="53"/>
        <v/>
      </c>
      <c r="AA143" s="3" t="str">
        <f>IF($L143&lt;&gt;"",IF($N143&gt;Z$11,IF($N143&lt;AA$11,$N143-Z$11,30),0)*ROUND(($O143+$X142+SUM($Z143:Z143))*$V$5/3000,2),"")</f>
        <v/>
      </c>
      <c r="AB143" s="3"/>
      <c r="AC143" s="3"/>
    </row>
    <row r="144" spans="5:29" x14ac:dyDescent="0.3">
      <c r="E144" s="5"/>
      <c r="F144" t="str">
        <f t="shared" si="38"/>
        <v/>
      </c>
      <c r="G144" s="5" t="str">
        <f t="shared" si="45"/>
        <v/>
      </c>
      <c r="H144" t="str">
        <f t="shared" si="39"/>
        <v/>
      </c>
      <c r="I144" t="str">
        <f t="shared" si="46"/>
        <v/>
      </c>
      <c r="J144" t="str">
        <f t="shared" si="40"/>
        <v/>
      </c>
      <c r="K144" t="str">
        <f t="shared" si="41"/>
        <v/>
      </c>
      <c r="L144" t="str">
        <f t="shared" si="42"/>
        <v/>
      </c>
      <c r="M144" s="5" t="str">
        <f t="shared" si="54"/>
        <v/>
      </c>
      <c r="N144" s="7" t="str">
        <f t="shared" si="43"/>
        <v/>
      </c>
      <c r="O144" s="3" t="str">
        <f t="shared" si="47"/>
        <v/>
      </c>
      <c r="P144" s="3" t="str">
        <f t="shared" si="48"/>
        <v/>
      </c>
      <c r="Q144" s="3" t="str">
        <f t="shared" si="49"/>
        <v/>
      </c>
      <c r="R144" s="3" t="str">
        <f t="shared" si="50"/>
        <v/>
      </c>
      <c r="S144" s="3" t="str">
        <f>IF($L144&lt;&gt;"",IF($A144="Prepago",0,IF(ROUND($H144*$U$5,2)&gt;ROUND(SUM($S$11:$S143)+$U$5,2),$U$5*2,$U$5)),"")</f>
        <v/>
      </c>
      <c r="T144" s="3" t="str">
        <f>IF($L144&lt;&gt;"",IF($A144="Prepago",0,IF(ROUND($H144*$U$6,2)&gt;ROUND(SUM($T$11:$T143)+$U$6,2),$U$6*2,$U$6)),"")</f>
        <v/>
      </c>
      <c r="U144" s="3" t="str">
        <f>IF($L144&lt;&gt;"",IF($A144="Prepago",0,IF(ROUND($H144*$U$7,2)&gt;ROUND(SUM($U$11:$U143)+$U$7,2),$U$7*2,$U$7)),"")</f>
        <v/>
      </c>
      <c r="V144" s="3" t="str">
        <f>IF($L144&lt;&gt;"",IF($A144="Prepago",0,IF(ROUND($H144*$U$8,2)&gt;ROUND(SUM($V$11:$V143)+$U$8,2),$U$8*2,$U$8)),"")</f>
        <v/>
      </c>
      <c r="W144" s="3" t="str">
        <f t="shared" si="44"/>
        <v/>
      </c>
      <c r="X144" s="3" t="str">
        <f t="shared" si="51"/>
        <v/>
      </c>
      <c r="Y144" s="3" t="str">
        <f t="shared" si="52"/>
        <v/>
      </c>
      <c r="Z144" s="3" t="str">
        <f t="shared" si="53"/>
        <v/>
      </c>
      <c r="AA144" s="3" t="str">
        <f>IF($L144&lt;&gt;"",IF($N144&gt;Z$11,IF($N144&lt;AA$11,$N144-Z$11,30),0)*ROUND(($O144+$X143+SUM($Z144:Z144))*$V$5/3000,2),"")</f>
        <v/>
      </c>
      <c r="AB144" s="3"/>
      <c r="AC144" s="3"/>
    </row>
    <row r="145" spans="5:29" x14ac:dyDescent="0.3">
      <c r="E145" s="5"/>
      <c r="F145" t="str">
        <f t="shared" si="38"/>
        <v/>
      </c>
      <c r="G145" s="5" t="str">
        <f t="shared" si="45"/>
        <v/>
      </c>
      <c r="H145" t="str">
        <f t="shared" si="39"/>
        <v/>
      </c>
      <c r="I145" t="str">
        <f t="shared" si="46"/>
        <v/>
      </c>
      <c r="J145" t="str">
        <f t="shared" si="40"/>
        <v/>
      </c>
      <c r="K145" t="str">
        <f t="shared" si="41"/>
        <v/>
      </c>
      <c r="L145" t="str">
        <f t="shared" si="42"/>
        <v/>
      </c>
      <c r="M145" s="5" t="str">
        <f t="shared" si="54"/>
        <v/>
      </c>
      <c r="N145" s="7" t="str">
        <f t="shared" si="43"/>
        <v/>
      </c>
      <c r="O145" s="3" t="str">
        <f t="shared" si="47"/>
        <v/>
      </c>
      <c r="P145" s="3" t="str">
        <f t="shared" si="48"/>
        <v/>
      </c>
      <c r="Q145" s="3" t="str">
        <f t="shared" si="49"/>
        <v/>
      </c>
      <c r="R145" s="3" t="str">
        <f t="shared" si="50"/>
        <v/>
      </c>
      <c r="S145" s="3" t="str">
        <f>IF($L145&lt;&gt;"",IF($A145="Prepago",0,IF(ROUND($H145*$U$5,2)&gt;ROUND(SUM($S$11:$S144)+$U$5,2),$U$5*2,$U$5)),"")</f>
        <v/>
      </c>
      <c r="T145" s="3" t="str">
        <f>IF($L145&lt;&gt;"",IF($A145="Prepago",0,IF(ROUND($H145*$U$6,2)&gt;ROUND(SUM($T$11:$T144)+$U$6,2),$U$6*2,$U$6)),"")</f>
        <v/>
      </c>
      <c r="U145" s="3" t="str">
        <f>IF($L145&lt;&gt;"",IF($A145="Prepago",0,IF(ROUND($H145*$U$7,2)&gt;ROUND(SUM($U$11:$U144)+$U$7,2),$U$7*2,$U$7)),"")</f>
        <v/>
      </c>
      <c r="V145" s="3" t="str">
        <f>IF($L145&lt;&gt;"",IF($A145="Prepago",0,IF(ROUND($H145*$U$8,2)&gt;ROUND(SUM($V$11:$V144)+$U$8,2),$U$8*2,$U$8)),"")</f>
        <v/>
      </c>
      <c r="W145" s="3" t="str">
        <f t="shared" si="44"/>
        <v/>
      </c>
      <c r="X145" s="3" t="str">
        <f t="shared" si="51"/>
        <v/>
      </c>
      <c r="Y145" s="3" t="str">
        <f t="shared" si="52"/>
        <v/>
      </c>
      <c r="Z145" s="3" t="str">
        <f t="shared" si="53"/>
        <v/>
      </c>
      <c r="AA145" s="3" t="str">
        <f>IF($L145&lt;&gt;"",IF($N145&gt;Z$11,IF($N145&lt;AA$11,$N145-Z$11,30),0)*ROUND(($O145+$X144+SUM($Z145:Z145))*$V$5/3000,2),"")</f>
        <v/>
      </c>
      <c r="AB145" s="3"/>
      <c r="AC145" s="3"/>
    </row>
    <row r="146" spans="5:29" x14ac:dyDescent="0.3">
      <c r="E146" s="5"/>
      <c r="F146" t="str">
        <f t="shared" si="38"/>
        <v/>
      </c>
      <c r="G146" s="5" t="str">
        <f t="shared" si="45"/>
        <v/>
      </c>
      <c r="H146" t="str">
        <f t="shared" si="39"/>
        <v/>
      </c>
      <c r="I146" t="str">
        <f t="shared" si="46"/>
        <v/>
      </c>
      <c r="J146" t="str">
        <f t="shared" si="40"/>
        <v/>
      </c>
      <c r="K146" t="str">
        <f t="shared" si="41"/>
        <v/>
      </c>
      <c r="L146" t="str">
        <f t="shared" si="42"/>
        <v/>
      </c>
      <c r="M146" s="5" t="str">
        <f t="shared" si="54"/>
        <v/>
      </c>
      <c r="N146" s="7" t="str">
        <f t="shared" si="43"/>
        <v/>
      </c>
      <c r="O146" s="3" t="str">
        <f t="shared" si="47"/>
        <v/>
      </c>
      <c r="P146" s="3" t="str">
        <f t="shared" si="48"/>
        <v/>
      </c>
      <c r="Q146" s="3" t="str">
        <f t="shared" si="49"/>
        <v/>
      </c>
      <c r="R146" s="3" t="str">
        <f t="shared" si="50"/>
        <v/>
      </c>
      <c r="S146" s="3" t="str">
        <f>IF($L146&lt;&gt;"",IF($A146="Prepago",0,IF(ROUND($H146*$U$5,2)&gt;ROUND(SUM($S$11:$S145)+$U$5,2),$U$5*2,$U$5)),"")</f>
        <v/>
      </c>
      <c r="T146" s="3" t="str">
        <f>IF($L146&lt;&gt;"",IF($A146="Prepago",0,IF(ROUND($H146*$U$6,2)&gt;ROUND(SUM($T$11:$T145)+$U$6,2),$U$6*2,$U$6)),"")</f>
        <v/>
      </c>
      <c r="U146" s="3" t="str">
        <f>IF($L146&lt;&gt;"",IF($A146="Prepago",0,IF(ROUND($H146*$U$7,2)&gt;ROUND(SUM($U$11:$U145)+$U$7,2),$U$7*2,$U$7)),"")</f>
        <v/>
      </c>
      <c r="V146" s="3" t="str">
        <f>IF($L146&lt;&gt;"",IF($A146="Prepago",0,IF(ROUND($H146*$U$8,2)&gt;ROUND(SUM($V$11:$V145)+$U$8,2),$U$8*2,$U$8)),"")</f>
        <v/>
      </c>
      <c r="W146" s="3" t="str">
        <f t="shared" si="44"/>
        <v/>
      </c>
      <c r="X146" s="3" t="str">
        <f t="shared" si="51"/>
        <v/>
      </c>
      <c r="Y146" s="3" t="str">
        <f t="shared" si="52"/>
        <v/>
      </c>
      <c r="Z146" s="3" t="str">
        <f t="shared" si="53"/>
        <v/>
      </c>
      <c r="AA146" s="3" t="str">
        <f>IF($L146&lt;&gt;"",IF($N146&gt;Z$11,IF($N146&lt;AA$11,$N146-Z$11,30),0)*ROUND(($O146+$X145+SUM($Z146:Z146))*$V$5/3000,2),"")</f>
        <v/>
      </c>
      <c r="AB146" s="3"/>
      <c r="AC146" s="3"/>
    </row>
    <row r="147" spans="5:29" x14ac:dyDescent="0.3">
      <c r="E147" s="5"/>
      <c r="F147" t="str">
        <f t="shared" si="38"/>
        <v/>
      </c>
      <c r="G147" s="5" t="str">
        <f t="shared" si="45"/>
        <v/>
      </c>
      <c r="H147" t="str">
        <f t="shared" si="39"/>
        <v/>
      </c>
      <c r="I147" t="str">
        <f t="shared" si="46"/>
        <v/>
      </c>
      <c r="J147" t="str">
        <f t="shared" si="40"/>
        <v/>
      </c>
      <c r="K147" t="str">
        <f t="shared" si="41"/>
        <v/>
      </c>
      <c r="L147" t="str">
        <f t="shared" si="42"/>
        <v/>
      </c>
      <c r="M147" s="5" t="str">
        <f t="shared" si="54"/>
        <v/>
      </c>
      <c r="N147" s="7" t="str">
        <f t="shared" si="43"/>
        <v/>
      </c>
      <c r="O147" s="3" t="str">
        <f t="shared" si="47"/>
        <v/>
      </c>
      <c r="P147" s="3" t="str">
        <f t="shared" si="48"/>
        <v/>
      </c>
      <c r="Q147" s="3" t="str">
        <f t="shared" si="49"/>
        <v/>
      </c>
      <c r="R147" s="3" t="str">
        <f t="shared" si="50"/>
        <v/>
      </c>
      <c r="S147" s="3" t="str">
        <f>IF($L147&lt;&gt;"",IF($A147="Prepago",0,IF(ROUND($H147*$U$5,2)&gt;ROUND(SUM($S$11:$S146)+$U$5,2),$U$5*2,$U$5)),"")</f>
        <v/>
      </c>
      <c r="T147" s="3" t="str">
        <f>IF($L147&lt;&gt;"",IF($A147="Prepago",0,IF(ROUND($H147*$U$6,2)&gt;ROUND(SUM($T$11:$T146)+$U$6,2),$U$6*2,$U$6)),"")</f>
        <v/>
      </c>
      <c r="U147" s="3" t="str">
        <f>IF($L147&lt;&gt;"",IF($A147="Prepago",0,IF(ROUND($H147*$U$7,2)&gt;ROUND(SUM($U$11:$U146)+$U$7,2),$U$7*2,$U$7)),"")</f>
        <v/>
      </c>
      <c r="V147" s="3" t="str">
        <f>IF($L147&lt;&gt;"",IF($A147="Prepago",0,IF(ROUND($H147*$U$8,2)&gt;ROUND(SUM($V$11:$V146)+$U$8,2),$U$8*2,$U$8)),"")</f>
        <v/>
      </c>
      <c r="W147" s="3" t="str">
        <f t="shared" si="44"/>
        <v/>
      </c>
      <c r="X147" s="3" t="str">
        <f t="shared" si="51"/>
        <v/>
      </c>
      <c r="Y147" s="3" t="str">
        <f t="shared" si="52"/>
        <v/>
      </c>
      <c r="Z147" s="3" t="str">
        <f t="shared" si="53"/>
        <v/>
      </c>
      <c r="AA147" s="3" t="str">
        <f>IF($L147&lt;&gt;"",IF($N147&gt;Z$11,IF($N147&lt;AA$11,$N147-Z$11,30),0)*ROUND(($O147+$X146+SUM($Z147:Z147))*$V$5/3000,2),"")</f>
        <v/>
      </c>
      <c r="AB147" s="3"/>
      <c r="AC147" s="3"/>
    </row>
    <row r="148" spans="5:29" x14ac:dyDescent="0.3">
      <c r="E148" s="5"/>
      <c r="F148" t="str">
        <f t="shared" si="38"/>
        <v/>
      </c>
      <c r="G148" s="5" t="str">
        <f t="shared" si="45"/>
        <v/>
      </c>
      <c r="H148" t="str">
        <f t="shared" si="39"/>
        <v/>
      </c>
      <c r="I148" t="str">
        <f t="shared" si="46"/>
        <v/>
      </c>
      <c r="J148" t="str">
        <f t="shared" si="40"/>
        <v/>
      </c>
      <c r="K148" t="str">
        <f t="shared" si="41"/>
        <v/>
      </c>
      <c r="L148" t="str">
        <f t="shared" si="42"/>
        <v/>
      </c>
      <c r="M148" s="5" t="str">
        <f t="shared" si="54"/>
        <v/>
      </c>
      <c r="N148" s="7" t="str">
        <f t="shared" si="43"/>
        <v/>
      </c>
      <c r="O148" s="3" t="str">
        <f t="shared" si="47"/>
        <v/>
      </c>
      <c r="P148" s="3" t="str">
        <f t="shared" si="48"/>
        <v/>
      </c>
      <c r="Q148" s="3" t="str">
        <f t="shared" si="49"/>
        <v/>
      </c>
      <c r="R148" s="3" t="str">
        <f t="shared" si="50"/>
        <v/>
      </c>
      <c r="S148" s="3" t="str">
        <f>IF($L148&lt;&gt;"",IF($A148="Prepago",0,IF(ROUND($H148*$U$5,2)&gt;ROUND(SUM($S$11:$S147)+$U$5,2),$U$5*2,$U$5)),"")</f>
        <v/>
      </c>
      <c r="T148" s="3" t="str">
        <f>IF($L148&lt;&gt;"",IF($A148="Prepago",0,IF(ROUND($H148*$U$6,2)&gt;ROUND(SUM($T$11:$T147)+$U$6,2),$U$6*2,$U$6)),"")</f>
        <v/>
      </c>
      <c r="U148" s="3" t="str">
        <f>IF($L148&lt;&gt;"",IF($A148="Prepago",0,IF(ROUND($H148*$U$7,2)&gt;ROUND(SUM($U$11:$U147)+$U$7,2),$U$7*2,$U$7)),"")</f>
        <v/>
      </c>
      <c r="V148" s="3" t="str">
        <f>IF($L148&lt;&gt;"",IF($A148="Prepago",0,IF(ROUND($H148*$U$8,2)&gt;ROUND(SUM($V$11:$V147)+$U$8,2),$U$8*2,$U$8)),"")</f>
        <v/>
      </c>
      <c r="W148" s="3" t="str">
        <f t="shared" si="44"/>
        <v/>
      </c>
      <c r="X148" s="3" t="str">
        <f t="shared" si="51"/>
        <v/>
      </c>
      <c r="Y148" s="3" t="str">
        <f t="shared" si="52"/>
        <v/>
      </c>
      <c r="Z148" s="3" t="str">
        <f t="shared" si="53"/>
        <v/>
      </c>
      <c r="AA148" s="3" t="str">
        <f>IF($L148&lt;&gt;"",IF($N148&gt;Z$11,IF($N148&lt;AA$11,$N148-Z$11,30),0)*ROUND(($O148+$X147+SUM($Z148:Z148))*$V$5/3000,2),"")</f>
        <v/>
      </c>
      <c r="AB148" s="3"/>
      <c r="AC148" s="3"/>
    </row>
    <row r="149" spans="5:29" x14ac:dyDescent="0.3">
      <c r="E149" s="5"/>
      <c r="F149" t="str">
        <f t="shared" si="38"/>
        <v/>
      </c>
      <c r="G149" s="5" t="str">
        <f t="shared" si="45"/>
        <v/>
      </c>
      <c r="H149" t="str">
        <f t="shared" si="39"/>
        <v/>
      </c>
      <c r="I149" t="str">
        <f t="shared" si="46"/>
        <v/>
      </c>
      <c r="J149" t="str">
        <f t="shared" si="40"/>
        <v/>
      </c>
      <c r="K149" t="str">
        <f t="shared" si="41"/>
        <v/>
      </c>
      <c r="L149" t="str">
        <f t="shared" si="42"/>
        <v/>
      </c>
      <c r="M149" s="5" t="str">
        <f t="shared" si="54"/>
        <v/>
      </c>
      <c r="N149" s="7" t="str">
        <f t="shared" si="43"/>
        <v/>
      </c>
      <c r="O149" s="3" t="str">
        <f t="shared" si="47"/>
        <v/>
      </c>
      <c r="P149" s="3" t="str">
        <f t="shared" si="48"/>
        <v/>
      </c>
      <c r="Q149" s="3" t="str">
        <f t="shared" si="49"/>
        <v/>
      </c>
      <c r="R149" s="3" t="str">
        <f t="shared" si="50"/>
        <v/>
      </c>
      <c r="S149" s="3" t="str">
        <f>IF($L149&lt;&gt;"",IF($A149="Prepago",0,IF(ROUND($H149*$U$5,2)&gt;ROUND(SUM($S$11:$S148)+$U$5,2),$U$5*2,$U$5)),"")</f>
        <v/>
      </c>
      <c r="T149" s="3" t="str">
        <f>IF($L149&lt;&gt;"",IF($A149="Prepago",0,IF(ROUND($H149*$U$6,2)&gt;ROUND(SUM($T$11:$T148)+$U$6,2),$U$6*2,$U$6)),"")</f>
        <v/>
      </c>
      <c r="U149" s="3" t="str">
        <f>IF($L149&lt;&gt;"",IF($A149="Prepago",0,IF(ROUND($H149*$U$7,2)&gt;ROUND(SUM($U$11:$U148)+$U$7,2),$U$7*2,$U$7)),"")</f>
        <v/>
      </c>
      <c r="V149" s="3" t="str">
        <f>IF($L149&lt;&gt;"",IF($A149="Prepago",0,IF(ROUND($H149*$U$8,2)&gt;ROUND(SUM($V$11:$V148)+$U$8,2),$U$8*2,$U$8)),"")</f>
        <v/>
      </c>
      <c r="W149" s="3" t="str">
        <f t="shared" si="44"/>
        <v/>
      </c>
      <c r="X149" s="3" t="str">
        <f t="shared" si="51"/>
        <v/>
      </c>
      <c r="Y149" s="3" t="str">
        <f t="shared" si="52"/>
        <v/>
      </c>
      <c r="Z149" s="3" t="str">
        <f t="shared" si="53"/>
        <v/>
      </c>
      <c r="AA149" s="3" t="str">
        <f>IF($L149&lt;&gt;"",IF($N149&gt;Z$11,IF($N149&lt;AA$11,$N149-Z$11,30),0)*ROUND(($O149+$X148+SUM($Z149:Z149))*$V$5/3000,2),"")</f>
        <v/>
      </c>
      <c r="AB149" s="3"/>
      <c r="AC149" s="3"/>
    </row>
    <row r="150" spans="5:29" x14ac:dyDescent="0.3">
      <c r="E150" s="5"/>
      <c r="F150" t="str">
        <f t="shared" si="38"/>
        <v/>
      </c>
      <c r="G150" s="5" t="str">
        <f t="shared" si="45"/>
        <v/>
      </c>
      <c r="H150" t="str">
        <f t="shared" si="39"/>
        <v/>
      </c>
      <c r="I150" t="str">
        <f t="shared" si="46"/>
        <v/>
      </c>
      <c r="J150" t="str">
        <f t="shared" si="40"/>
        <v/>
      </c>
      <c r="K150" t="str">
        <f t="shared" si="41"/>
        <v/>
      </c>
      <c r="L150" t="str">
        <f t="shared" si="42"/>
        <v/>
      </c>
      <c r="M150" s="5" t="str">
        <f t="shared" si="54"/>
        <v/>
      </c>
      <c r="N150" s="7" t="str">
        <f t="shared" si="43"/>
        <v/>
      </c>
      <c r="O150" s="3" t="str">
        <f t="shared" si="47"/>
        <v/>
      </c>
      <c r="P150" s="3" t="str">
        <f t="shared" si="48"/>
        <v/>
      </c>
      <c r="Q150" s="3" t="str">
        <f t="shared" si="49"/>
        <v/>
      </c>
      <c r="R150" s="3" t="str">
        <f t="shared" si="50"/>
        <v/>
      </c>
      <c r="S150" s="3" t="str">
        <f>IF($L150&lt;&gt;"",IF($A150="Prepago",0,IF(ROUND($H150*$U$5,2)&gt;ROUND(SUM($S$11:$S149)+$U$5,2),$U$5*2,$U$5)),"")</f>
        <v/>
      </c>
      <c r="T150" s="3" t="str">
        <f>IF($L150&lt;&gt;"",IF($A150="Prepago",0,IF(ROUND($H150*$U$6,2)&gt;ROUND(SUM($T$11:$T149)+$U$6,2),$U$6*2,$U$6)),"")</f>
        <v/>
      </c>
      <c r="U150" s="3" t="str">
        <f>IF($L150&lt;&gt;"",IF($A150="Prepago",0,IF(ROUND($H150*$U$7,2)&gt;ROUND(SUM($U$11:$U149)+$U$7,2),$U$7*2,$U$7)),"")</f>
        <v/>
      </c>
      <c r="V150" s="3" t="str">
        <f>IF($L150&lt;&gt;"",IF($A150="Prepago",0,IF(ROUND($H150*$U$8,2)&gt;ROUND(SUM($V$11:$V149)+$U$8,2),$U$8*2,$U$8)),"")</f>
        <v/>
      </c>
      <c r="W150" s="3" t="str">
        <f t="shared" si="44"/>
        <v/>
      </c>
      <c r="X150" s="3" t="str">
        <f t="shared" si="51"/>
        <v/>
      </c>
      <c r="Y150" s="3" t="str">
        <f t="shared" si="52"/>
        <v/>
      </c>
      <c r="Z150" s="3" t="str">
        <f t="shared" si="53"/>
        <v/>
      </c>
      <c r="AA150" s="3" t="str">
        <f>IF($L150&lt;&gt;"",IF($N150&gt;Z$11,IF($N150&lt;AA$11,$N150-Z$11,30),0)*ROUND(($O150+$X149+SUM($Z150:Z150))*$V$5/3000,2),"")</f>
        <v/>
      </c>
      <c r="AB150" s="3"/>
      <c r="AC150" s="3"/>
    </row>
    <row r="151" spans="5:29" x14ac:dyDescent="0.3">
      <c r="E151" s="5"/>
      <c r="F151" t="str">
        <f t="shared" si="38"/>
        <v/>
      </c>
      <c r="G151" s="5" t="str">
        <f t="shared" si="45"/>
        <v/>
      </c>
      <c r="H151" t="str">
        <f t="shared" si="39"/>
        <v/>
      </c>
      <c r="I151" t="str">
        <f t="shared" si="46"/>
        <v/>
      </c>
      <c r="J151" t="str">
        <f t="shared" si="40"/>
        <v/>
      </c>
      <c r="K151" t="str">
        <f t="shared" si="41"/>
        <v/>
      </c>
      <c r="L151" t="str">
        <f t="shared" si="42"/>
        <v/>
      </c>
      <c r="M151" s="5" t="str">
        <f t="shared" si="54"/>
        <v/>
      </c>
      <c r="N151" s="7" t="str">
        <f t="shared" si="43"/>
        <v/>
      </c>
      <c r="O151" s="3" t="str">
        <f t="shared" si="47"/>
        <v/>
      </c>
      <c r="P151" s="3" t="str">
        <f t="shared" si="48"/>
        <v/>
      </c>
      <c r="Q151" s="3" t="str">
        <f t="shared" si="49"/>
        <v/>
      </c>
      <c r="R151" s="3" t="str">
        <f t="shared" si="50"/>
        <v/>
      </c>
      <c r="S151" s="3" t="str">
        <f>IF($L151&lt;&gt;"",IF($A151="Prepago",0,IF(ROUND($H151*$U$5,2)&gt;ROUND(SUM($S$11:$S150)+$U$5,2),$U$5*2,$U$5)),"")</f>
        <v/>
      </c>
      <c r="T151" s="3" t="str">
        <f>IF($L151&lt;&gt;"",IF($A151="Prepago",0,IF(ROUND($H151*$U$6,2)&gt;ROUND(SUM($T$11:$T150)+$U$6,2),$U$6*2,$U$6)),"")</f>
        <v/>
      </c>
      <c r="U151" s="3" t="str">
        <f>IF($L151&lt;&gt;"",IF($A151="Prepago",0,IF(ROUND($H151*$U$7,2)&gt;ROUND(SUM($U$11:$U150)+$U$7,2),$U$7*2,$U$7)),"")</f>
        <v/>
      </c>
      <c r="V151" s="3" t="str">
        <f>IF($L151&lt;&gt;"",IF($A151="Prepago",0,IF(ROUND($H151*$U$8,2)&gt;ROUND(SUM($V$11:$V150)+$U$8,2),$U$8*2,$U$8)),"")</f>
        <v/>
      </c>
      <c r="W151" s="3" t="str">
        <f t="shared" si="44"/>
        <v/>
      </c>
      <c r="X151" s="3" t="str">
        <f t="shared" si="51"/>
        <v/>
      </c>
      <c r="Y151" s="3" t="str">
        <f t="shared" si="52"/>
        <v/>
      </c>
      <c r="Z151" s="3" t="str">
        <f t="shared" si="53"/>
        <v/>
      </c>
      <c r="AA151" s="3" t="str">
        <f>IF($L151&lt;&gt;"",IF($N151&gt;Z$11,IF($N151&lt;AA$11,$N151-Z$11,30),0)*ROUND(($O151+$X150+SUM($Z151:Z151))*$V$5/3000,2),"")</f>
        <v/>
      </c>
      <c r="AB151" s="3"/>
      <c r="AC151" s="3"/>
    </row>
    <row r="152" spans="5:29" x14ac:dyDescent="0.3">
      <c r="E152" s="5"/>
      <c r="F152" t="str">
        <f t="shared" si="38"/>
        <v/>
      </c>
      <c r="G152" s="5" t="str">
        <f t="shared" si="45"/>
        <v/>
      </c>
      <c r="H152" t="str">
        <f t="shared" si="39"/>
        <v/>
      </c>
      <c r="I152" t="str">
        <f t="shared" si="46"/>
        <v/>
      </c>
      <c r="J152" t="str">
        <f t="shared" si="40"/>
        <v/>
      </c>
      <c r="K152" t="str">
        <f t="shared" si="41"/>
        <v/>
      </c>
      <c r="L152" t="str">
        <f t="shared" si="42"/>
        <v/>
      </c>
      <c r="M152" s="5" t="str">
        <f t="shared" si="54"/>
        <v/>
      </c>
      <c r="N152" s="7" t="str">
        <f t="shared" si="43"/>
        <v/>
      </c>
      <c r="O152" s="3" t="str">
        <f t="shared" si="47"/>
        <v/>
      </c>
      <c r="P152" s="3" t="str">
        <f t="shared" si="48"/>
        <v/>
      </c>
      <c r="Q152" s="3" t="str">
        <f t="shared" si="49"/>
        <v/>
      </c>
      <c r="R152" s="3" t="str">
        <f t="shared" si="50"/>
        <v/>
      </c>
      <c r="S152" s="3" t="str">
        <f>IF($L152&lt;&gt;"",IF($A152="Prepago",0,IF(ROUND($H152*$U$5,2)&gt;ROUND(SUM($S$11:$S151)+$U$5,2),$U$5*2,$U$5)),"")</f>
        <v/>
      </c>
      <c r="T152" s="3" t="str">
        <f>IF($L152&lt;&gt;"",IF($A152="Prepago",0,IF(ROUND($H152*$U$6,2)&gt;ROUND(SUM($T$11:$T151)+$U$6,2),$U$6*2,$U$6)),"")</f>
        <v/>
      </c>
      <c r="U152" s="3" t="str">
        <f>IF($L152&lt;&gt;"",IF($A152="Prepago",0,IF(ROUND($H152*$U$7,2)&gt;ROUND(SUM($U$11:$U151)+$U$7,2),$U$7*2,$U$7)),"")</f>
        <v/>
      </c>
      <c r="V152" s="3" t="str">
        <f>IF($L152&lt;&gt;"",IF($A152="Prepago",0,IF(ROUND($H152*$U$8,2)&gt;ROUND(SUM($V$11:$V151)+$U$8,2),$U$8*2,$U$8)),"")</f>
        <v/>
      </c>
      <c r="W152" s="3" t="str">
        <f t="shared" si="44"/>
        <v/>
      </c>
      <c r="X152" s="3" t="str">
        <f t="shared" si="51"/>
        <v/>
      </c>
      <c r="Y152" s="3" t="str">
        <f t="shared" si="52"/>
        <v/>
      </c>
      <c r="Z152" s="3" t="str">
        <f t="shared" si="53"/>
        <v/>
      </c>
      <c r="AA152" s="3" t="str">
        <f>IF($L152&lt;&gt;"",IF($N152&gt;Z$11,IF($N152&lt;AA$11,$N152-Z$11,30),0)*ROUND(($O152+$X151+SUM($Z152:Z152))*$V$5/3000,2),"")</f>
        <v/>
      </c>
      <c r="AB152" s="3"/>
      <c r="AC152" s="3"/>
    </row>
    <row r="153" spans="5:29" x14ac:dyDescent="0.3">
      <c r="E153" s="5"/>
      <c r="F153" t="str">
        <f t="shared" si="38"/>
        <v/>
      </c>
      <c r="G153" s="5" t="str">
        <f t="shared" si="45"/>
        <v/>
      </c>
      <c r="H153" t="str">
        <f t="shared" si="39"/>
        <v/>
      </c>
      <c r="I153" t="str">
        <f t="shared" si="46"/>
        <v/>
      </c>
      <c r="J153" t="str">
        <f t="shared" si="40"/>
        <v/>
      </c>
      <c r="K153" t="str">
        <f t="shared" si="41"/>
        <v/>
      </c>
      <c r="L153" t="str">
        <f t="shared" si="42"/>
        <v/>
      </c>
      <c r="M153" s="5" t="str">
        <f t="shared" si="54"/>
        <v/>
      </c>
      <c r="N153" s="7" t="str">
        <f t="shared" si="43"/>
        <v/>
      </c>
      <c r="O153" s="3" t="str">
        <f t="shared" si="47"/>
        <v/>
      </c>
      <c r="P153" s="3" t="str">
        <f t="shared" si="48"/>
        <v/>
      </c>
      <c r="Q153" s="3" t="str">
        <f t="shared" si="49"/>
        <v/>
      </c>
      <c r="R153" s="3" t="str">
        <f t="shared" si="50"/>
        <v/>
      </c>
      <c r="S153" s="3" t="str">
        <f>IF($L153&lt;&gt;"",IF($A153="Prepago",0,IF(ROUND($H153*$U$5,2)&gt;ROUND(SUM($S$11:$S152)+$U$5,2),$U$5*2,$U$5)),"")</f>
        <v/>
      </c>
      <c r="T153" s="3" t="str">
        <f>IF($L153&lt;&gt;"",IF($A153="Prepago",0,IF(ROUND($H153*$U$6,2)&gt;ROUND(SUM($T$11:$T152)+$U$6,2),$U$6*2,$U$6)),"")</f>
        <v/>
      </c>
      <c r="U153" s="3" t="str">
        <f>IF($L153&lt;&gt;"",IF($A153="Prepago",0,IF(ROUND($H153*$U$7,2)&gt;ROUND(SUM($U$11:$U152)+$U$7,2),$U$7*2,$U$7)),"")</f>
        <v/>
      </c>
      <c r="V153" s="3" t="str">
        <f>IF($L153&lt;&gt;"",IF($A153="Prepago",0,IF(ROUND($H153*$U$8,2)&gt;ROUND(SUM($V$11:$V152)+$U$8,2),$U$8*2,$U$8)),"")</f>
        <v/>
      </c>
      <c r="W153" s="3" t="str">
        <f t="shared" si="44"/>
        <v/>
      </c>
      <c r="X153" s="3" t="str">
        <f t="shared" si="51"/>
        <v/>
      </c>
      <c r="Y153" s="3" t="str">
        <f t="shared" si="52"/>
        <v/>
      </c>
      <c r="Z153" s="3" t="str">
        <f t="shared" si="53"/>
        <v/>
      </c>
      <c r="AA153" s="3" t="str">
        <f>IF($L153&lt;&gt;"",IF($N153&gt;Z$11,IF($N153&lt;AA$11,$N153-Z$11,30),0)*ROUND(($O153+$X152+SUM($Z153:Z153))*$V$5/3000,2),"")</f>
        <v/>
      </c>
      <c r="AB153" s="3"/>
      <c r="AC153" s="3"/>
    </row>
    <row r="154" spans="5:29" x14ac:dyDescent="0.3">
      <c r="E154" s="5"/>
      <c r="F154" t="str">
        <f t="shared" si="38"/>
        <v/>
      </c>
      <c r="G154" s="5" t="str">
        <f t="shared" si="45"/>
        <v/>
      </c>
      <c r="H154" t="str">
        <f t="shared" si="39"/>
        <v/>
      </c>
      <c r="I154" t="str">
        <f t="shared" si="46"/>
        <v/>
      </c>
      <c r="J154" t="str">
        <f t="shared" si="40"/>
        <v/>
      </c>
      <c r="K154" t="str">
        <f t="shared" si="41"/>
        <v/>
      </c>
      <c r="L154" t="str">
        <f t="shared" si="42"/>
        <v/>
      </c>
      <c r="M154" s="5" t="str">
        <f t="shared" si="54"/>
        <v/>
      </c>
      <c r="N154" s="7" t="str">
        <f t="shared" si="43"/>
        <v/>
      </c>
      <c r="O154" s="3" t="str">
        <f t="shared" si="47"/>
        <v/>
      </c>
      <c r="P154" s="3" t="str">
        <f t="shared" si="48"/>
        <v/>
      </c>
      <c r="Q154" s="3" t="str">
        <f t="shared" si="49"/>
        <v/>
      </c>
      <c r="R154" s="3" t="str">
        <f t="shared" si="50"/>
        <v/>
      </c>
      <c r="S154" s="3" t="str">
        <f>IF($L154&lt;&gt;"",IF($A154="Prepago",0,IF(ROUND($H154*$U$5,2)&gt;ROUND(SUM($S$11:$S153)+$U$5,2),$U$5*2,$U$5)),"")</f>
        <v/>
      </c>
      <c r="T154" s="3" t="str">
        <f>IF($L154&lt;&gt;"",IF($A154="Prepago",0,IF(ROUND($H154*$U$6,2)&gt;ROUND(SUM($T$11:$T153)+$U$6,2),$U$6*2,$U$6)),"")</f>
        <v/>
      </c>
      <c r="U154" s="3" t="str">
        <f>IF($L154&lt;&gt;"",IF($A154="Prepago",0,IF(ROUND($H154*$U$7,2)&gt;ROUND(SUM($U$11:$U153)+$U$7,2),$U$7*2,$U$7)),"")</f>
        <v/>
      </c>
      <c r="V154" s="3" t="str">
        <f>IF($L154&lt;&gt;"",IF($A154="Prepago",0,IF(ROUND($H154*$U$8,2)&gt;ROUND(SUM($V$11:$V153)+$U$8,2),$U$8*2,$U$8)),"")</f>
        <v/>
      </c>
      <c r="W154" s="3" t="str">
        <f t="shared" si="44"/>
        <v/>
      </c>
      <c r="X154" s="3" t="str">
        <f t="shared" si="51"/>
        <v/>
      </c>
      <c r="Y154" s="3" t="str">
        <f t="shared" si="52"/>
        <v/>
      </c>
      <c r="Z154" s="3" t="str">
        <f t="shared" si="53"/>
        <v/>
      </c>
      <c r="AA154" s="3" t="str">
        <f>IF($L154&lt;&gt;"",IF($N154&gt;Z$11,IF($N154&lt;AA$11,$N154-Z$11,30),0)*ROUND(($O154+$X153+SUM($Z154:Z154))*$V$5/3000,2),"")</f>
        <v/>
      </c>
      <c r="AB154" s="3"/>
      <c r="AC154" s="3"/>
    </row>
    <row r="155" spans="5:29" x14ac:dyDescent="0.3">
      <c r="E155" s="5"/>
      <c r="F155" t="str">
        <f t="shared" si="38"/>
        <v/>
      </c>
      <c r="G155" s="5" t="str">
        <f t="shared" si="45"/>
        <v/>
      </c>
      <c r="H155" t="str">
        <f t="shared" si="39"/>
        <v/>
      </c>
      <c r="I155" t="str">
        <f t="shared" si="46"/>
        <v/>
      </c>
      <c r="J155" t="str">
        <f t="shared" si="40"/>
        <v/>
      </c>
      <c r="K155" t="str">
        <f t="shared" si="41"/>
        <v/>
      </c>
      <c r="L155" t="str">
        <f t="shared" si="42"/>
        <v/>
      </c>
      <c r="M155" s="5" t="str">
        <f t="shared" si="54"/>
        <v/>
      </c>
      <c r="N155" s="7" t="str">
        <f t="shared" si="43"/>
        <v/>
      </c>
      <c r="O155" s="3" t="str">
        <f t="shared" si="47"/>
        <v/>
      </c>
      <c r="P155" s="3" t="str">
        <f t="shared" si="48"/>
        <v/>
      </c>
      <c r="Q155" s="3" t="str">
        <f t="shared" si="49"/>
        <v/>
      </c>
      <c r="R155" s="3" t="str">
        <f t="shared" si="50"/>
        <v/>
      </c>
      <c r="S155" s="3" t="str">
        <f>IF($L155&lt;&gt;"",IF($A155="Prepago",0,IF(ROUND($H155*$U$5,2)&gt;ROUND(SUM($S$11:$S154)+$U$5,2),$U$5*2,$U$5)),"")</f>
        <v/>
      </c>
      <c r="T155" s="3" t="str">
        <f>IF($L155&lt;&gt;"",IF($A155="Prepago",0,IF(ROUND($H155*$U$6,2)&gt;ROUND(SUM($T$11:$T154)+$U$6,2),$U$6*2,$U$6)),"")</f>
        <v/>
      </c>
      <c r="U155" s="3" t="str">
        <f>IF($L155&lt;&gt;"",IF($A155="Prepago",0,IF(ROUND($H155*$U$7,2)&gt;ROUND(SUM($U$11:$U154)+$U$7,2),$U$7*2,$U$7)),"")</f>
        <v/>
      </c>
      <c r="V155" s="3" t="str">
        <f>IF($L155&lt;&gt;"",IF($A155="Prepago",0,IF(ROUND($H155*$U$8,2)&gt;ROUND(SUM($V$11:$V154)+$U$8,2),$U$8*2,$U$8)),"")</f>
        <v/>
      </c>
      <c r="W155" s="3" t="str">
        <f t="shared" si="44"/>
        <v/>
      </c>
      <c r="X155" s="3" t="str">
        <f t="shared" si="51"/>
        <v/>
      </c>
      <c r="Y155" s="3" t="str">
        <f t="shared" si="52"/>
        <v/>
      </c>
      <c r="Z155" s="3" t="str">
        <f t="shared" si="53"/>
        <v/>
      </c>
      <c r="AA155" s="3" t="str">
        <f>IF($L155&lt;&gt;"",IF($N155&gt;Z$11,IF($N155&lt;AA$11,$N155-Z$11,30),0)*ROUND(($O155+$X154+SUM($Z155:Z155))*$V$5/3000,2),"")</f>
        <v/>
      </c>
      <c r="AB155" s="3"/>
      <c r="AC155" s="3"/>
    </row>
    <row r="156" spans="5:29" x14ac:dyDescent="0.3">
      <c r="E156" s="5"/>
      <c r="F156" t="str">
        <f t="shared" si="38"/>
        <v/>
      </c>
      <c r="G156" s="5" t="str">
        <f t="shared" si="45"/>
        <v/>
      </c>
      <c r="H156" t="str">
        <f t="shared" si="39"/>
        <v/>
      </c>
      <c r="I156" t="str">
        <f t="shared" si="46"/>
        <v/>
      </c>
      <c r="J156" t="str">
        <f t="shared" si="40"/>
        <v/>
      </c>
      <c r="K156" t="str">
        <f t="shared" si="41"/>
        <v/>
      </c>
      <c r="L156" t="str">
        <f t="shared" si="42"/>
        <v/>
      </c>
      <c r="M156" s="5" t="str">
        <f t="shared" si="54"/>
        <v/>
      </c>
      <c r="N156" s="7" t="str">
        <f t="shared" si="43"/>
        <v/>
      </c>
      <c r="O156" s="3" t="str">
        <f t="shared" si="47"/>
        <v/>
      </c>
      <c r="P156" s="3" t="str">
        <f t="shared" si="48"/>
        <v/>
      </c>
      <c r="Q156" s="3" t="str">
        <f t="shared" si="49"/>
        <v/>
      </c>
      <c r="R156" s="3" t="str">
        <f t="shared" si="50"/>
        <v/>
      </c>
      <c r="S156" s="3" t="str">
        <f>IF($L156&lt;&gt;"",IF($A156="Prepago",0,IF(ROUND($H156*$U$5,2)&gt;ROUND(SUM($S$11:$S155)+$U$5,2),$U$5*2,$U$5)),"")</f>
        <v/>
      </c>
      <c r="T156" s="3" t="str">
        <f>IF($L156&lt;&gt;"",IF($A156="Prepago",0,IF(ROUND($H156*$U$6,2)&gt;ROUND(SUM($T$11:$T155)+$U$6,2),$U$6*2,$U$6)),"")</f>
        <v/>
      </c>
      <c r="U156" s="3" t="str">
        <f>IF($L156&lt;&gt;"",IF($A156="Prepago",0,IF(ROUND($H156*$U$7,2)&gt;ROUND(SUM($U$11:$U155)+$U$7,2),$U$7*2,$U$7)),"")</f>
        <v/>
      </c>
      <c r="V156" s="3" t="str">
        <f>IF($L156&lt;&gt;"",IF($A156="Prepago",0,IF(ROUND($H156*$U$8,2)&gt;ROUND(SUM($V$11:$V155)+$U$8,2),$U$8*2,$U$8)),"")</f>
        <v/>
      </c>
      <c r="W156" s="3" t="str">
        <f t="shared" si="44"/>
        <v/>
      </c>
      <c r="X156" s="3" t="str">
        <f t="shared" si="51"/>
        <v/>
      </c>
      <c r="Y156" s="3" t="str">
        <f t="shared" si="52"/>
        <v/>
      </c>
      <c r="Z156" s="3" t="str">
        <f t="shared" si="53"/>
        <v/>
      </c>
      <c r="AA156" s="3" t="str">
        <f>IF($L156&lt;&gt;"",IF($N156&gt;Z$11,IF($N156&lt;AA$11,$N156-Z$11,30),0)*ROUND(($O156+$X155+SUM($Z156:Z156))*$V$5/3000,2),"")</f>
        <v/>
      </c>
      <c r="AB156" s="3"/>
      <c r="AC156" s="3"/>
    </row>
    <row r="157" spans="5:29" x14ac:dyDescent="0.3">
      <c r="E157" s="5"/>
      <c r="F157" t="str">
        <f t="shared" si="38"/>
        <v/>
      </c>
      <c r="G157" s="5" t="str">
        <f t="shared" si="45"/>
        <v/>
      </c>
      <c r="H157" t="str">
        <f t="shared" si="39"/>
        <v/>
      </c>
      <c r="I157" t="str">
        <f t="shared" si="46"/>
        <v/>
      </c>
      <c r="J157" t="str">
        <f t="shared" si="40"/>
        <v/>
      </c>
      <c r="K157" t="str">
        <f t="shared" si="41"/>
        <v/>
      </c>
      <c r="L157" t="str">
        <f t="shared" si="42"/>
        <v/>
      </c>
      <c r="M157" s="5" t="str">
        <f t="shared" si="54"/>
        <v/>
      </c>
      <c r="N157" s="7" t="str">
        <f t="shared" si="43"/>
        <v/>
      </c>
      <c r="O157" s="3" t="str">
        <f t="shared" si="47"/>
        <v/>
      </c>
      <c r="P157" s="3" t="str">
        <f t="shared" si="48"/>
        <v/>
      </c>
      <c r="Q157" s="3" t="str">
        <f t="shared" si="49"/>
        <v/>
      </c>
      <c r="R157" s="3" t="str">
        <f t="shared" si="50"/>
        <v/>
      </c>
      <c r="S157" s="3" t="str">
        <f>IF($L157&lt;&gt;"",IF($A157="Prepago",0,IF(ROUND($H157*$U$5,2)&gt;ROUND(SUM($S$11:$S156)+$U$5,2),$U$5*2,$U$5)),"")</f>
        <v/>
      </c>
      <c r="T157" s="3" t="str">
        <f>IF($L157&lt;&gt;"",IF($A157="Prepago",0,IF(ROUND($H157*$U$6,2)&gt;ROUND(SUM($T$11:$T156)+$U$6,2),$U$6*2,$U$6)),"")</f>
        <v/>
      </c>
      <c r="U157" s="3" t="str">
        <f>IF($L157&lt;&gt;"",IF($A157="Prepago",0,IF(ROUND($H157*$U$7,2)&gt;ROUND(SUM($U$11:$U156)+$U$7,2),$U$7*2,$U$7)),"")</f>
        <v/>
      </c>
      <c r="V157" s="3" t="str">
        <f>IF($L157&lt;&gt;"",IF($A157="Prepago",0,IF(ROUND($H157*$U$8,2)&gt;ROUND(SUM($V$11:$V156)+$U$8,2),$U$8*2,$U$8)),"")</f>
        <v/>
      </c>
      <c r="W157" s="3" t="str">
        <f t="shared" si="44"/>
        <v/>
      </c>
      <c r="X157" s="3" t="str">
        <f t="shared" si="51"/>
        <v/>
      </c>
      <c r="Y157" s="3" t="str">
        <f t="shared" si="52"/>
        <v/>
      </c>
      <c r="Z157" s="3" t="str">
        <f t="shared" si="53"/>
        <v/>
      </c>
      <c r="AA157" s="3" t="str">
        <f>IF($L157&lt;&gt;"",IF($N157&gt;Z$11,IF($N157&lt;AA$11,$N157-Z$11,30),0)*ROUND(($O157+$X156+SUM($Z157:Z157))*$V$5/3000,2),"")</f>
        <v/>
      </c>
      <c r="AB157" s="3"/>
      <c r="AC157" s="3"/>
    </row>
    <row r="158" spans="5:29" x14ac:dyDescent="0.3">
      <c r="E158" s="5"/>
      <c r="F158" t="str">
        <f t="shared" si="38"/>
        <v/>
      </c>
      <c r="G158" s="5" t="str">
        <f t="shared" si="45"/>
        <v/>
      </c>
      <c r="H158" t="str">
        <f t="shared" si="39"/>
        <v/>
      </c>
      <c r="I158" t="str">
        <f t="shared" si="46"/>
        <v/>
      </c>
      <c r="J158" t="str">
        <f t="shared" si="40"/>
        <v/>
      </c>
      <c r="K158" t="str">
        <f t="shared" si="41"/>
        <v/>
      </c>
      <c r="L158" t="str">
        <f t="shared" si="42"/>
        <v/>
      </c>
      <c r="M158" s="5" t="str">
        <f t="shared" si="54"/>
        <v/>
      </c>
      <c r="N158" s="7" t="str">
        <f t="shared" si="43"/>
        <v/>
      </c>
      <c r="O158" s="3" t="str">
        <f t="shared" si="47"/>
        <v/>
      </c>
      <c r="P158" s="3" t="str">
        <f t="shared" si="48"/>
        <v/>
      </c>
      <c r="Q158" s="3" t="str">
        <f t="shared" si="49"/>
        <v/>
      </c>
      <c r="R158" s="3" t="str">
        <f t="shared" si="50"/>
        <v/>
      </c>
      <c r="S158" s="3" t="str">
        <f>IF($L158&lt;&gt;"",IF($A158="Prepago",0,IF(ROUND($H158*$U$5,2)&gt;ROUND(SUM($S$11:$S157)+$U$5,2),$U$5*2,$U$5)),"")</f>
        <v/>
      </c>
      <c r="T158" s="3" t="str">
        <f>IF($L158&lt;&gt;"",IF($A158="Prepago",0,IF(ROUND($H158*$U$6,2)&gt;ROUND(SUM($T$11:$T157)+$U$6,2),$U$6*2,$U$6)),"")</f>
        <v/>
      </c>
      <c r="U158" s="3" t="str">
        <f>IF($L158&lt;&gt;"",IF($A158="Prepago",0,IF(ROUND($H158*$U$7,2)&gt;ROUND(SUM($U$11:$U157)+$U$7,2),$U$7*2,$U$7)),"")</f>
        <v/>
      </c>
      <c r="V158" s="3" t="str">
        <f>IF($L158&lt;&gt;"",IF($A158="Prepago",0,IF(ROUND($H158*$U$8,2)&gt;ROUND(SUM($V$11:$V157)+$U$8,2),$U$8*2,$U$8)),"")</f>
        <v/>
      </c>
      <c r="W158" s="3" t="str">
        <f t="shared" si="44"/>
        <v/>
      </c>
      <c r="X158" s="3" t="str">
        <f t="shared" si="51"/>
        <v/>
      </c>
      <c r="Y158" s="3" t="str">
        <f t="shared" si="52"/>
        <v/>
      </c>
      <c r="Z158" s="3" t="str">
        <f t="shared" si="53"/>
        <v/>
      </c>
      <c r="AA158" s="3" t="str">
        <f>IF($L158&lt;&gt;"",IF($N158&gt;Z$11,IF($N158&lt;AA$11,$N158-Z$11,30),0)*ROUND(($O158+$X157+SUM($Z158:Z158))*$V$5/3000,2),"")</f>
        <v/>
      </c>
      <c r="AB158" s="3"/>
      <c r="AC158" s="3"/>
    </row>
    <row r="159" spans="5:29" x14ac:dyDescent="0.3">
      <c r="E159" s="5"/>
      <c r="F159" t="str">
        <f t="shared" si="38"/>
        <v/>
      </c>
      <c r="G159" s="5" t="str">
        <f t="shared" si="45"/>
        <v/>
      </c>
      <c r="H159" t="str">
        <f t="shared" si="39"/>
        <v/>
      </c>
      <c r="I159" t="str">
        <f t="shared" si="46"/>
        <v/>
      </c>
      <c r="J159" t="str">
        <f t="shared" si="40"/>
        <v/>
      </c>
      <c r="K159" t="str">
        <f t="shared" si="41"/>
        <v/>
      </c>
      <c r="L159" t="str">
        <f t="shared" si="42"/>
        <v/>
      </c>
      <c r="M159" s="5" t="str">
        <f t="shared" si="54"/>
        <v/>
      </c>
      <c r="N159" s="7" t="str">
        <f t="shared" si="43"/>
        <v/>
      </c>
      <c r="O159" s="3" t="str">
        <f t="shared" si="47"/>
        <v/>
      </c>
      <c r="P159" s="3" t="str">
        <f t="shared" si="48"/>
        <v/>
      </c>
      <c r="Q159" s="3" t="str">
        <f t="shared" si="49"/>
        <v/>
      </c>
      <c r="R159" s="3" t="str">
        <f t="shared" si="50"/>
        <v/>
      </c>
      <c r="S159" s="3" t="str">
        <f>IF($L159&lt;&gt;"",IF($A159="Prepago",0,IF(ROUND($H159*$U$5,2)&gt;ROUND(SUM($S$11:$S158)+$U$5,2),$U$5*2,$U$5)),"")</f>
        <v/>
      </c>
      <c r="T159" s="3" t="str">
        <f>IF($L159&lt;&gt;"",IF($A159="Prepago",0,IF(ROUND($H159*$U$6,2)&gt;ROUND(SUM($T$11:$T158)+$U$6,2),$U$6*2,$U$6)),"")</f>
        <v/>
      </c>
      <c r="U159" s="3" t="str">
        <f>IF($L159&lt;&gt;"",IF($A159="Prepago",0,IF(ROUND($H159*$U$7,2)&gt;ROUND(SUM($U$11:$U158)+$U$7,2),$U$7*2,$U$7)),"")</f>
        <v/>
      </c>
      <c r="V159" s="3" t="str">
        <f>IF($L159&lt;&gt;"",IF($A159="Prepago",0,IF(ROUND($H159*$U$8,2)&gt;ROUND(SUM($V$11:$V158)+$U$8,2),$U$8*2,$U$8)),"")</f>
        <v/>
      </c>
      <c r="W159" s="3" t="str">
        <f t="shared" si="44"/>
        <v/>
      </c>
      <c r="X159" s="3" t="str">
        <f t="shared" si="51"/>
        <v/>
      </c>
      <c r="Y159" s="3" t="str">
        <f t="shared" si="52"/>
        <v/>
      </c>
      <c r="Z159" s="3" t="str">
        <f t="shared" si="53"/>
        <v/>
      </c>
      <c r="AA159" s="3" t="str">
        <f>IF($L159&lt;&gt;"",IF($N159&gt;Z$11,IF($N159&lt;AA$11,$N159-Z$11,30),0)*ROUND(($O159+$X158+SUM($Z159:Z159))*$V$5/3000,2),"")</f>
        <v/>
      </c>
      <c r="AB159" s="3"/>
      <c r="AC159" s="3"/>
    </row>
    <row r="160" spans="5:29" x14ac:dyDescent="0.3">
      <c r="E160" s="5"/>
      <c r="F160" t="str">
        <f t="shared" ref="F160:F206" si="55">IF($L160&lt;&gt;"",TEXT(M160,"DDD"),"")</f>
        <v/>
      </c>
      <c r="G160" s="5" t="str">
        <f t="shared" si="45"/>
        <v/>
      </c>
      <c r="H160" t="str">
        <f t="shared" ref="H160:H206" si="56">IF($L160&lt;&gt;"",IF($A160="Prepago",$H159,$H159+1)+B160,"")</f>
        <v/>
      </c>
      <c r="I160" t="str">
        <f t="shared" si="46"/>
        <v/>
      </c>
      <c r="J160" t="str">
        <f t="shared" ref="J160:J206" si="57">IF($L160&lt;&gt;"",IF(OR(A160&lt;&gt;"",C160&lt;&gt;""),1,0),"")</f>
        <v/>
      </c>
      <c r="K160" t="str">
        <f t="shared" ref="K160:K206" si="58">IF($L160&lt;&gt;"",IF(J160=1,Q160,0),"")</f>
        <v/>
      </c>
      <c r="L160" t="str">
        <f t="shared" si="42"/>
        <v/>
      </c>
      <c r="M160" s="5" t="str">
        <f t="shared" si="54"/>
        <v/>
      </c>
      <c r="N160" s="7" t="str">
        <f t="shared" si="43"/>
        <v/>
      </c>
      <c r="O160" s="3" t="str">
        <f t="shared" si="47"/>
        <v/>
      </c>
      <c r="P160" s="3" t="str">
        <f t="shared" si="48"/>
        <v/>
      </c>
      <c r="Q160" s="3" t="str">
        <f t="shared" si="49"/>
        <v/>
      </c>
      <c r="R160" s="3" t="str">
        <f t="shared" si="50"/>
        <v/>
      </c>
      <c r="S160" s="3" t="str">
        <f>IF($L160&lt;&gt;"",IF($A160="Prepago",0,IF(ROUND($H160*$U$5,2)&gt;ROUND(SUM($S$11:$S159)+$U$5,2),$U$5*2,$U$5)),"")</f>
        <v/>
      </c>
      <c r="T160" s="3" t="str">
        <f>IF($L160&lt;&gt;"",IF($A160="Prepago",0,IF(ROUND($H160*$U$6,2)&gt;ROUND(SUM($T$11:$T159)+$U$6,2),$U$6*2,$U$6)),"")</f>
        <v/>
      </c>
      <c r="U160" s="3" t="str">
        <f>IF($L160&lt;&gt;"",IF($A160="Prepago",0,IF(ROUND($H160*$U$7,2)&gt;ROUND(SUM($U$11:$U159)+$U$7,2),$U$7*2,$U$7)),"")</f>
        <v/>
      </c>
      <c r="V160" s="3" t="str">
        <f>IF($L160&lt;&gt;"",IF($A160="Prepago",0,IF(ROUND($H160*$U$8,2)&gt;ROUND(SUM($V$11:$V159)+$U$8,2),$U$8*2,$U$8)),"")</f>
        <v/>
      </c>
      <c r="W160" s="3" t="str">
        <f t="shared" si="44"/>
        <v/>
      </c>
      <c r="X160" s="3" t="str">
        <f t="shared" si="51"/>
        <v/>
      </c>
      <c r="Y160" s="3" t="str">
        <f t="shared" si="52"/>
        <v/>
      </c>
      <c r="Z160" s="3" t="str">
        <f t="shared" si="53"/>
        <v/>
      </c>
      <c r="AA160" s="3" t="str">
        <f>IF($L160&lt;&gt;"",IF($N160&gt;Z$11,IF($N160&lt;AA$11,$N160-Z$11,30),0)*ROUND(($O160+$X159+SUM($Z160:Z160))*$V$5/3000,2),"")</f>
        <v/>
      </c>
      <c r="AB160" s="3"/>
      <c r="AC160" s="3"/>
    </row>
    <row r="161" spans="5:29" x14ac:dyDescent="0.3">
      <c r="E161" s="5"/>
      <c r="F161" t="str">
        <f t="shared" si="55"/>
        <v/>
      </c>
      <c r="G161" s="5" t="str">
        <f t="shared" si="45"/>
        <v/>
      </c>
      <c r="H161" t="str">
        <f t="shared" si="56"/>
        <v/>
      </c>
      <c r="I161" t="str">
        <f t="shared" si="46"/>
        <v/>
      </c>
      <c r="J161" t="str">
        <f t="shared" si="57"/>
        <v/>
      </c>
      <c r="K161" t="str">
        <f t="shared" si="58"/>
        <v/>
      </c>
      <c r="L161" t="str">
        <f t="shared" si="42"/>
        <v/>
      </c>
      <c r="M161" s="5" t="str">
        <f t="shared" si="54"/>
        <v/>
      </c>
      <c r="N161" s="7" t="str">
        <f t="shared" si="43"/>
        <v/>
      </c>
      <c r="O161" s="3" t="str">
        <f t="shared" si="47"/>
        <v/>
      </c>
      <c r="P161" s="3" t="str">
        <f t="shared" si="48"/>
        <v/>
      </c>
      <c r="Q161" s="3" t="str">
        <f t="shared" si="49"/>
        <v/>
      </c>
      <c r="R161" s="3" t="str">
        <f t="shared" si="50"/>
        <v/>
      </c>
      <c r="S161" s="3" t="str">
        <f>IF($L161&lt;&gt;"",IF($A161="Prepago",0,IF(ROUND($H161*$U$5,2)&gt;ROUND(SUM($S$11:$S160)+$U$5,2),$U$5*2,$U$5)),"")</f>
        <v/>
      </c>
      <c r="T161" s="3" t="str">
        <f>IF($L161&lt;&gt;"",IF($A161="Prepago",0,IF(ROUND($H161*$U$6,2)&gt;ROUND(SUM($T$11:$T160)+$U$6,2),$U$6*2,$U$6)),"")</f>
        <v/>
      </c>
      <c r="U161" s="3" t="str">
        <f>IF($L161&lt;&gt;"",IF($A161="Prepago",0,IF(ROUND($H161*$U$7,2)&gt;ROUND(SUM($U$11:$U160)+$U$7,2),$U$7*2,$U$7)),"")</f>
        <v/>
      </c>
      <c r="V161" s="3" t="str">
        <f>IF($L161&lt;&gt;"",IF($A161="Prepago",0,IF(ROUND($H161*$U$8,2)&gt;ROUND(SUM($V$11:$V160)+$U$8,2),$U$8*2,$U$8)),"")</f>
        <v/>
      </c>
      <c r="W161" s="3" t="str">
        <f t="shared" si="44"/>
        <v/>
      </c>
      <c r="X161" s="3" t="str">
        <f t="shared" si="51"/>
        <v/>
      </c>
      <c r="Y161" s="3" t="str">
        <f t="shared" si="52"/>
        <v/>
      </c>
      <c r="Z161" s="3" t="str">
        <f t="shared" si="53"/>
        <v/>
      </c>
      <c r="AA161" s="3" t="str">
        <f>IF($L161&lt;&gt;"",IF($N161&gt;Z$11,IF($N161&lt;AA$11,$N161-Z$11,30),0)*ROUND(($O161+$X160+SUM($Z161:Z161))*$V$5/3000,2),"")</f>
        <v/>
      </c>
      <c r="AB161" s="3"/>
      <c r="AC161" s="3"/>
    </row>
    <row r="162" spans="5:29" x14ac:dyDescent="0.3">
      <c r="E162" s="5"/>
      <c r="F162" t="str">
        <f t="shared" si="55"/>
        <v/>
      </c>
      <c r="G162" s="5" t="str">
        <f t="shared" si="45"/>
        <v/>
      </c>
      <c r="H162" t="str">
        <f t="shared" si="56"/>
        <v/>
      </c>
      <c r="I162" t="str">
        <f t="shared" si="46"/>
        <v/>
      </c>
      <c r="J162" t="str">
        <f t="shared" si="57"/>
        <v/>
      </c>
      <c r="K162" t="str">
        <f t="shared" si="58"/>
        <v/>
      </c>
      <c r="L162" t="str">
        <f t="shared" si="42"/>
        <v/>
      </c>
      <c r="M162" s="5" t="str">
        <f t="shared" si="54"/>
        <v/>
      </c>
      <c r="N162" s="7" t="str">
        <f t="shared" si="43"/>
        <v/>
      </c>
      <c r="O162" s="3" t="str">
        <f t="shared" si="47"/>
        <v/>
      </c>
      <c r="P162" s="3" t="str">
        <f t="shared" si="48"/>
        <v/>
      </c>
      <c r="Q162" s="3" t="str">
        <f t="shared" si="49"/>
        <v/>
      </c>
      <c r="R162" s="3" t="str">
        <f t="shared" si="50"/>
        <v/>
      </c>
      <c r="S162" s="3" t="str">
        <f>IF($L162&lt;&gt;"",IF($A162="Prepago",0,IF(ROUND($H162*$U$5,2)&gt;ROUND(SUM($S$11:$S161)+$U$5,2),$U$5*2,$U$5)),"")</f>
        <v/>
      </c>
      <c r="T162" s="3" t="str">
        <f>IF($L162&lt;&gt;"",IF($A162="Prepago",0,IF(ROUND($H162*$U$6,2)&gt;ROUND(SUM($T$11:$T161)+$U$6,2),$U$6*2,$U$6)),"")</f>
        <v/>
      </c>
      <c r="U162" s="3" t="str">
        <f>IF($L162&lt;&gt;"",IF($A162="Prepago",0,IF(ROUND($H162*$U$7,2)&gt;ROUND(SUM($U$11:$U161)+$U$7,2),$U$7*2,$U$7)),"")</f>
        <v/>
      </c>
      <c r="V162" s="3" t="str">
        <f>IF($L162&lt;&gt;"",IF($A162="Prepago",0,IF(ROUND($H162*$U$8,2)&gt;ROUND(SUM($V$11:$V161)+$U$8,2),$U$8*2,$U$8)),"")</f>
        <v/>
      </c>
      <c r="W162" s="3" t="str">
        <f t="shared" si="44"/>
        <v/>
      </c>
      <c r="X162" s="3" t="str">
        <f t="shared" si="51"/>
        <v/>
      </c>
      <c r="Y162" s="3" t="str">
        <f t="shared" si="52"/>
        <v/>
      </c>
      <c r="Z162" s="3" t="str">
        <f t="shared" si="53"/>
        <v/>
      </c>
      <c r="AA162" s="3" t="str">
        <f>IF($L162&lt;&gt;"",IF($N162&gt;Z$11,IF($N162&lt;AA$11,$N162-Z$11,30),0)*ROUND(($O162+$X161+SUM($Z162:Z162))*$V$5/3000,2),"")</f>
        <v/>
      </c>
      <c r="AB162" s="3"/>
      <c r="AC162" s="3"/>
    </row>
    <row r="163" spans="5:29" x14ac:dyDescent="0.3">
      <c r="E163" s="5"/>
      <c r="F163" t="str">
        <f t="shared" si="55"/>
        <v/>
      </c>
      <c r="G163" s="5" t="str">
        <f t="shared" si="45"/>
        <v/>
      </c>
      <c r="H163" t="str">
        <f t="shared" si="56"/>
        <v/>
      </c>
      <c r="I163" t="str">
        <f t="shared" si="46"/>
        <v/>
      </c>
      <c r="J163" t="str">
        <f t="shared" si="57"/>
        <v/>
      </c>
      <c r="K163" t="str">
        <f t="shared" si="58"/>
        <v/>
      </c>
      <c r="L163" t="str">
        <f t="shared" si="42"/>
        <v/>
      </c>
      <c r="M163" s="5" t="str">
        <f t="shared" si="54"/>
        <v/>
      </c>
      <c r="N163" s="7" t="str">
        <f t="shared" si="43"/>
        <v/>
      </c>
      <c r="O163" s="3" t="str">
        <f t="shared" si="47"/>
        <v/>
      </c>
      <c r="P163" s="3" t="str">
        <f t="shared" si="48"/>
        <v/>
      </c>
      <c r="Q163" s="3" t="str">
        <f t="shared" si="49"/>
        <v/>
      </c>
      <c r="R163" s="3" t="str">
        <f t="shared" si="50"/>
        <v/>
      </c>
      <c r="S163" s="3" t="str">
        <f>IF($L163&lt;&gt;"",IF($A163="Prepago",0,IF(ROUND($H163*$U$5,2)&gt;ROUND(SUM($S$11:$S162)+$U$5,2),$U$5*2,$U$5)),"")</f>
        <v/>
      </c>
      <c r="T163" s="3" t="str">
        <f>IF($L163&lt;&gt;"",IF($A163="Prepago",0,IF(ROUND($H163*$U$6,2)&gt;ROUND(SUM($T$11:$T162)+$U$6,2),$U$6*2,$U$6)),"")</f>
        <v/>
      </c>
      <c r="U163" s="3" t="str">
        <f>IF($L163&lt;&gt;"",IF($A163="Prepago",0,IF(ROUND($H163*$U$7,2)&gt;ROUND(SUM($U$11:$U162)+$U$7,2),$U$7*2,$U$7)),"")</f>
        <v/>
      </c>
      <c r="V163" s="3" t="str">
        <f>IF($L163&lt;&gt;"",IF($A163="Prepago",0,IF(ROUND($H163*$U$8,2)&gt;ROUND(SUM($V$11:$V162)+$U$8,2),$U$8*2,$U$8)),"")</f>
        <v/>
      </c>
      <c r="W163" s="3" t="str">
        <f t="shared" si="44"/>
        <v/>
      </c>
      <c r="X163" s="3" t="str">
        <f t="shared" si="51"/>
        <v/>
      </c>
      <c r="Y163" s="3" t="str">
        <f t="shared" si="52"/>
        <v/>
      </c>
      <c r="Z163" s="3" t="str">
        <f t="shared" si="53"/>
        <v/>
      </c>
      <c r="AA163" s="3" t="str">
        <f>IF($L163&lt;&gt;"",IF($N163&gt;Z$11,IF($N163&lt;AA$11,$N163-Z$11,30),0)*ROUND(($O163+$X162+SUM($Z163:Z163))*$V$5/3000,2),"")</f>
        <v/>
      </c>
      <c r="AB163" s="3"/>
      <c r="AC163" s="3"/>
    </row>
    <row r="164" spans="5:29" x14ac:dyDescent="0.3">
      <c r="E164" s="5"/>
      <c r="F164" t="str">
        <f t="shared" si="55"/>
        <v/>
      </c>
      <c r="G164" s="5" t="str">
        <f t="shared" si="45"/>
        <v/>
      </c>
      <c r="H164" t="str">
        <f t="shared" si="56"/>
        <v/>
      </c>
      <c r="I164" t="str">
        <f t="shared" si="46"/>
        <v/>
      </c>
      <c r="J164" t="str">
        <f t="shared" si="57"/>
        <v/>
      </c>
      <c r="K164" t="str">
        <f t="shared" si="58"/>
        <v/>
      </c>
      <c r="L164" t="str">
        <f t="shared" si="42"/>
        <v/>
      </c>
      <c r="M164" s="5" t="str">
        <f t="shared" si="54"/>
        <v/>
      </c>
      <c r="N164" s="7" t="str">
        <f t="shared" si="43"/>
        <v/>
      </c>
      <c r="O164" s="3" t="str">
        <f t="shared" si="47"/>
        <v/>
      </c>
      <c r="P164" s="3" t="str">
        <f t="shared" si="48"/>
        <v/>
      </c>
      <c r="Q164" s="3" t="str">
        <f t="shared" si="49"/>
        <v/>
      </c>
      <c r="R164" s="3" t="str">
        <f t="shared" si="50"/>
        <v/>
      </c>
      <c r="S164" s="3" t="str">
        <f>IF($L164&lt;&gt;"",IF($A164="Prepago",0,IF(ROUND($H164*$U$5,2)&gt;ROUND(SUM($S$11:$S163)+$U$5,2),$U$5*2,$U$5)),"")</f>
        <v/>
      </c>
      <c r="T164" s="3" t="str">
        <f>IF($L164&lt;&gt;"",IF($A164="Prepago",0,IF(ROUND($H164*$U$6,2)&gt;ROUND(SUM($T$11:$T163)+$U$6,2),$U$6*2,$U$6)),"")</f>
        <v/>
      </c>
      <c r="U164" s="3" t="str">
        <f>IF($L164&lt;&gt;"",IF($A164="Prepago",0,IF(ROUND($H164*$U$7,2)&gt;ROUND(SUM($U$11:$U163)+$U$7,2),$U$7*2,$U$7)),"")</f>
        <v/>
      </c>
      <c r="V164" s="3" t="str">
        <f>IF($L164&lt;&gt;"",IF($A164="Prepago",0,IF(ROUND($H164*$U$8,2)&gt;ROUND(SUM($V$11:$V163)+$U$8,2),$U$8*2,$U$8)),"")</f>
        <v/>
      </c>
      <c r="W164" s="3" t="str">
        <f t="shared" si="44"/>
        <v/>
      </c>
      <c r="X164" s="3" t="str">
        <f t="shared" si="51"/>
        <v/>
      </c>
      <c r="Y164" s="3" t="str">
        <f t="shared" si="52"/>
        <v/>
      </c>
      <c r="Z164" s="3" t="str">
        <f t="shared" si="53"/>
        <v/>
      </c>
      <c r="AA164" s="3" t="str">
        <f>IF($L164&lt;&gt;"",IF($N164&gt;Z$11,IF($N164&lt;AA$11,$N164-Z$11,30),0)*ROUND(($O164+$X163+SUM($Z164:Z164))*$V$5/3000,2),"")</f>
        <v/>
      </c>
      <c r="AB164" s="3"/>
      <c r="AC164" s="3"/>
    </row>
    <row r="165" spans="5:29" x14ac:dyDescent="0.3">
      <c r="E165" s="5"/>
      <c r="F165" t="str">
        <f t="shared" si="55"/>
        <v/>
      </c>
      <c r="G165" s="5" t="str">
        <f t="shared" si="45"/>
        <v/>
      </c>
      <c r="H165" t="str">
        <f t="shared" si="56"/>
        <v/>
      </c>
      <c r="I165" t="str">
        <f t="shared" si="46"/>
        <v/>
      </c>
      <c r="J165" t="str">
        <f t="shared" si="57"/>
        <v/>
      </c>
      <c r="K165" t="str">
        <f t="shared" si="58"/>
        <v/>
      </c>
      <c r="L165" t="str">
        <f t="shared" si="42"/>
        <v/>
      </c>
      <c r="M165" s="5" t="str">
        <f t="shared" si="54"/>
        <v/>
      </c>
      <c r="N165" s="7" t="str">
        <f t="shared" si="43"/>
        <v/>
      </c>
      <c r="O165" s="3" t="str">
        <f t="shared" si="47"/>
        <v/>
      </c>
      <c r="P165" s="3" t="str">
        <f t="shared" si="48"/>
        <v/>
      </c>
      <c r="Q165" s="3" t="str">
        <f t="shared" si="49"/>
        <v/>
      </c>
      <c r="R165" s="3" t="str">
        <f t="shared" si="50"/>
        <v/>
      </c>
      <c r="S165" s="3" t="str">
        <f>IF($L165&lt;&gt;"",IF($A165="Prepago",0,IF(ROUND($H165*$U$5,2)&gt;ROUND(SUM($S$11:$S164)+$U$5,2),$U$5*2,$U$5)),"")</f>
        <v/>
      </c>
      <c r="T165" s="3" t="str">
        <f>IF($L165&lt;&gt;"",IF($A165="Prepago",0,IF(ROUND($H165*$U$6,2)&gt;ROUND(SUM($T$11:$T164)+$U$6,2),$U$6*2,$U$6)),"")</f>
        <v/>
      </c>
      <c r="U165" s="3" t="str">
        <f>IF($L165&lt;&gt;"",IF($A165="Prepago",0,IF(ROUND($H165*$U$7,2)&gt;ROUND(SUM($U$11:$U164)+$U$7,2),$U$7*2,$U$7)),"")</f>
        <v/>
      </c>
      <c r="V165" s="3" t="str">
        <f>IF($L165&lt;&gt;"",IF($A165="Prepago",0,IF(ROUND($H165*$U$8,2)&gt;ROUND(SUM($V$11:$V164)+$U$8,2),$U$8*2,$U$8)),"")</f>
        <v/>
      </c>
      <c r="W165" s="3" t="str">
        <f t="shared" si="44"/>
        <v/>
      </c>
      <c r="X165" s="3" t="str">
        <f t="shared" si="51"/>
        <v/>
      </c>
      <c r="Y165" s="3" t="str">
        <f t="shared" si="52"/>
        <v/>
      </c>
      <c r="Z165" s="3" t="str">
        <f t="shared" si="53"/>
        <v/>
      </c>
      <c r="AA165" s="3" t="str">
        <f>IF($L165&lt;&gt;"",IF($N165&gt;Z$11,IF($N165&lt;AA$11,$N165-Z$11,30),0)*ROUND(($O165+$X164+SUM($Z165:Z165))*$V$5/3000,2),"")</f>
        <v/>
      </c>
      <c r="AB165" s="3"/>
      <c r="AC165" s="3"/>
    </row>
    <row r="166" spans="5:29" x14ac:dyDescent="0.3">
      <c r="E166" s="5"/>
      <c r="F166" t="str">
        <f t="shared" si="55"/>
        <v/>
      </c>
      <c r="G166" s="5" t="str">
        <f t="shared" si="45"/>
        <v/>
      </c>
      <c r="H166" t="str">
        <f t="shared" si="56"/>
        <v/>
      </c>
      <c r="I166" t="str">
        <f t="shared" si="46"/>
        <v/>
      </c>
      <c r="J166" t="str">
        <f t="shared" si="57"/>
        <v/>
      </c>
      <c r="K166" t="str">
        <f t="shared" si="58"/>
        <v/>
      </c>
      <c r="L166" t="str">
        <f t="shared" si="42"/>
        <v/>
      </c>
      <c r="M166" s="5" t="str">
        <f t="shared" si="54"/>
        <v/>
      </c>
      <c r="N166" s="7" t="str">
        <f t="shared" si="43"/>
        <v/>
      </c>
      <c r="O166" s="3" t="str">
        <f t="shared" si="47"/>
        <v/>
      </c>
      <c r="P166" s="3" t="str">
        <f t="shared" si="48"/>
        <v/>
      </c>
      <c r="Q166" s="3" t="str">
        <f t="shared" si="49"/>
        <v/>
      </c>
      <c r="R166" s="3" t="str">
        <f t="shared" si="50"/>
        <v/>
      </c>
      <c r="S166" s="3" t="str">
        <f>IF($L166&lt;&gt;"",IF($A166="Prepago",0,IF(ROUND($H166*$U$5,2)&gt;ROUND(SUM($S$11:$S165)+$U$5,2),$U$5*2,$U$5)),"")</f>
        <v/>
      </c>
      <c r="T166" s="3" t="str">
        <f>IF($L166&lt;&gt;"",IF($A166="Prepago",0,IF(ROUND($H166*$U$6,2)&gt;ROUND(SUM($T$11:$T165)+$U$6,2),$U$6*2,$U$6)),"")</f>
        <v/>
      </c>
      <c r="U166" s="3" t="str">
        <f>IF($L166&lt;&gt;"",IF($A166="Prepago",0,IF(ROUND($H166*$U$7,2)&gt;ROUND(SUM($U$11:$U165)+$U$7,2),$U$7*2,$U$7)),"")</f>
        <v/>
      </c>
      <c r="V166" s="3" t="str">
        <f>IF($L166&lt;&gt;"",IF($A166="Prepago",0,IF(ROUND($H166*$U$8,2)&gt;ROUND(SUM($V$11:$V165)+$U$8,2),$U$8*2,$U$8)),"")</f>
        <v/>
      </c>
      <c r="W166" s="3" t="str">
        <f t="shared" si="44"/>
        <v/>
      </c>
      <c r="X166" s="3" t="str">
        <f t="shared" si="51"/>
        <v/>
      </c>
      <c r="Y166" s="3" t="str">
        <f t="shared" si="52"/>
        <v/>
      </c>
      <c r="Z166" s="3" t="str">
        <f t="shared" si="53"/>
        <v/>
      </c>
      <c r="AA166" s="3" t="str">
        <f>IF($L166&lt;&gt;"",IF($N166&gt;Z$11,IF($N166&lt;AA$11,$N166-Z$11,30),0)*ROUND(($O166+$X165+SUM($Z166:Z166))*$V$5/3000,2),"")</f>
        <v/>
      </c>
      <c r="AB166" s="3"/>
      <c r="AC166" s="3"/>
    </row>
    <row r="167" spans="5:29" x14ac:dyDescent="0.3">
      <c r="E167" s="5"/>
      <c r="F167" t="str">
        <f t="shared" si="55"/>
        <v/>
      </c>
      <c r="G167" s="5" t="str">
        <f t="shared" si="45"/>
        <v/>
      </c>
      <c r="H167" t="str">
        <f t="shared" si="56"/>
        <v/>
      </c>
      <c r="I167" t="str">
        <f t="shared" si="46"/>
        <v/>
      </c>
      <c r="J167" t="str">
        <f t="shared" si="57"/>
        <v/>
      </c>
      <c r="K167" t="str">
        <f t="shared" si="58"/>
        <v/>
      </c>
      <c r="L167" t="str">
        <f t="shared" si="42"/>
        <v/>
      </c>
      <c r="M167" s="5" t="str">
        <f t="shared" si="54"/>
        <v/>
      </c>
      <c r="N167" s="7" t="str">
        <f t="shared" si="43"/>
        <v/>
      </c>
      <c r="O167" s="3" t="str">
        <f t="shared" si="47"/>
        <v/>
      </c>
      <c r="P167" s="3" t="str">
        <f t="shared" si="48"/>
        <v/>
      </c>
      <c r="Q167" s="3" t="str">
        <f t="shared" si="49"/>
        <v/>
      </c>
      <c r="R167" s="3" t="str">
        <f t="shared" si="50"/>
        <v/>
      </c>
      <c r="S167" s="3" t="str">
        <f>IF($L167&lt;&gt;"",IF($A167="Prepago",0,IF(ROUND($H167*$U$5,2)&gt;ROUND(SUM($S$11:$S166)+$U$5,2),$U$5*2,$U$5)),"")</f>
        <v/>
      </c>
      <c r="T167" s="3" t="str">
        <f>IF($L167&lt;&gt;"",IF($A167="Prepago",0,IF(ROUND($H167*$U$6,2)&gt;ROUND(SUM($T$11:$T166)+$U$6,2),$U$6*2,$U$6)),"")</f>
        <v/>
      </c>
      <c r="U167" s="3" t="str">
        <f>IF($L167&lt;&gt;"",IF($A167="Prepago",0,IF(ROUND($H167*$U$7,2)&gt;ROUND(SUM($U$11:$U166)+$U$7,2),$U$7*2,$U$7)),"")</f>
        <v/>
      </c>
      <c r="V167" s="3" t="str">
        <f>IF($L167&lt;&gt;"",IF($A167="Prepago",0,IF(ROUND($H167*$U$8,2)&gt;ROUND(SUM($V$11:$V166)+$U$8,2),$U$8*2,$U$8)),"")</f>
        <v/>
      </c>
      <c r="W167" s="3" t="str">
        <f t="shared" si="44"/>
        <v/>
      </c>
      <c r="X167" s="3" t="str">
        <f t="shared" si="51"/>
        <v/>
      </c>
      <c r="Y167" s="3" t="str">
        <f t="shared" si="52"/>
        <v/>
      </c>
      <c r="Z167" s="3" t="str">
        <f t="shared" si="53"/>
        <v/>
      </c>
      <c r="AA167" s="3" t="str">
        <f>IF($L167&lt;&gt;"",IF($N167&gt;Z$11,IF($N167&lt;AA$11,$N167-Z$11,30),0)*ROUND(($O167+$X166+SUM($Z167:Z167))*$V$5/3000,2),"")</f>
        <v/>
      </c>
      <c r="AB167" s="3"/>
      <c r="AC167" s="3"/>
    </row>
    <row r="168" spans="5:29" x14ac:dyDescent="0.3">
      <c r="E168" s="5"/>
      <c r="F168" t="str">
        <f t="shared" si="55"/>
        <v/>
      </c>
      <c r="G168" s="5" t="str">
        <f t="shared" si="45"/>
        <v/>
      </c>
      <c r="H168" t="str">
        <f t="shared" si="56"/>
        <v/>
      </c>
      <c r="I168" t="str">
        <f t="shared" si="46"/>
        <v/>
      </c>
      <c r="J168" t="str">
        <f t="shared" si="57"/>
        <v/>
      </c>
      <c r="K168" t="str">
        <f t="shared" si="58"/>
        <v/>
      </c>
      <c r="L168" t="str">
        <f t="shared" si="42"/>
        <v/>
      </c>
      <c r="M168" s="5" t="str">
        <f t="shared" si="54"/>
        <v/>
      </c>
      <c r="N168" s="7" t="str">
        <f t="shared" si="43"/>
        <v/>
      </c>
      <c r="O168" s="3" t="str">
        <f t="shared" si="47"/>
        <v/>
      </c>
      <c r="P168" s="3" t="str">
        <f t="shared" si="48"/>
        <v/>
      </c>
      <c r="Q168" s="3" t="str">
        <f t="shared" si="49"/>
        <v/>
      </c>
      <c r="R168" s="3" t="str">
        <f t="shared" si="50"/>
        <v/>
      </c>
      <c r="S168" s="3" t="str">
        <f>IF($L168&lt;&gt;"",IF($A168="Prepago",0,IF(ROUND($H168*$U$5,2)&gt;ROUND(SUM($S$11:$S167)+$U$5,2),$U$5*2,$U$5)),"")</f>
        <v/>
      </c>
      <c r="T168" s="3" t="str">
        <f>IF($L168&lt;&gt;"",IF($A168="Prepago",0,IF(ROUND($H168*$U$6,2)&gt;ROUND(SUM($T$11:$T167)+$U$6,2),$U$6*2,$U$6)),"")</f>
        <v/>
      </c>
      <c r="U168" s="3" t="str">
        <f>IF($L168&lt;&gt;"",IF($A168="Prepago",0,IF(ROUND($H168*$U$7,2)&gt;ROUND(SUM($U$11:$U167)+$U$7,2),$U$7*2,$U$7)),"")</f>
        <v/>
      </c>
      <c r="V168" s="3" t="str">
        <f>IF($L168&lt;&gt;"",IF($A168="Prepago",0,IF(ROUND($H168*$U$8,2)&gt;ROUND(SUM($V$11:$V167)+$U$8,2),$U$8*2,$U$8)),"")</f>
        <v/>
      </c>
      <c r="W168" s="3" t="str">
        <f t="shared" si="44"/>
        <v/>
      </c>
      <c r="X168" s="3" t="str">
        <f t="shared" si="51"/>
        <v/>
      </c>
      <c r="Y168" s="3" t="str">
        <f t="shared" si="52"/>
        <v/>
      </c>
      <c r="Z168" s="3" t="str">
        <f t="shared" si="53"/>
        <v/>
      </c>
      <c r="AA168" s="3" t="str">
        <f>IF($L168&lt;&gt;"",IF($N168&gt;Z$11,IF($N168&lt;AA$11,$N168-Z$11,30),0)*ROUND(($O168+$X167+SUM($Z168:Z168))*$V$5/3000,2),"")</f>
        <v/>
      </c>
      <c r="AB168" s="3"/>
      <c r="AC168" s="3"/>
    </row>
    <row r="169" spans="5:29" x14ac:dyDescent="0.3">
      <c r="E169" s="5"/>
      <c r="F169" t="str">
        <f t="shared" si="55"/>
        <v/>
      </c>
      <c r="G169" s="5" t="str">
        <f t="shared" si="45"/>
        <v/>
      </c>
      <c r="H169" t="str">
        <f t="shared" si="56"/>
        <v/>
      </c>
      <c r="I169" t="str">
        <f t="shared" si="46"/>
        <v/>
      </c>
      <c r="J169" t="str">
        <f t="shared" si="57"/>
        <v/>
      </c>
      <c r="K169" t="str">
        <f t="shared" si="58"/>
        <v/>
      </c>
      <c r="L169" t="str">
        <f t="shared" si="42"/>
        <v/>
      </c>
      <c r="M169" s="5" t="str">
        <f t="shared" si="54"/>
        <v/>
      </c>
      <c r="N169" s="7" t="str">
        <f t="shared" si="43"/>
        <v/>
      </c>
      <c r="O169" s="3" t="str">
        <f t="shared" si="47"/>
        <v/>
      </c>
      <c r="P169" s="3" t="str">
        <f t="shared" si="48"/>
        <v/>
      </c>
      <c r="Q169" s="3" t="str">
        <f t="shared" si="49"/>
        <v/>
      </c>
      <c r="R169" s="3" t="str">
        <f t="shared" si="50"/>
        <v/>
      </c>
      <c r="S169" s="3" t="str">
        <f>IF($L169&lt;&gt;"",IF($A169="Prepago",0,IF(ROUND($H169*$U$5,2)&gt;ROUND(SUM($S$11:$S168)+$U$5,2),$U$5*2,$U$5)),"")</f>
        <v/>
      </c>
      <c r="T169" s="3" t="str">
        <f>IF($L169&lt;&gt;"",IF($A169="Prepago",0,IF(ROUND($H169*$U$6,2)&gt;ROUND(SUM($T$11:$T168)+$U$6,2),$U$6*2,$U$6)),"")</f>
        <v/>
      </c>
      <c r="U169" s="3" t="str">
        <f>IF($L169&lt;&gt;"",IF($A169="Prepago",0,IF(ROUND($H169*$U$7,2)&gt;ROUND(SUM($U$11:$U168)+$U$7,2),$U$7*2,$U$7)),"")</f>
        <v/>
      </c>
      <c r="V169" s="3" t="str">
        <f>IF($L169&lt;&gt;"",IF($A169="Prepago",0,IF(ROUND($H169*$U$8,2)&gt;ROUND(SUM($V$11:$V168)+$U$8,2),$U$8*2,$U$8)),"")</f>
        <v/>
      </c>
      <c r="W169" s="3" t="str">
        <f t="shared" si="44"/>
        <v/>
      </c>
      <c r="X169" s="3" t="str">
        <f t="shared" si="51"/>
        <v/>
      </c>
      <c r="Y169" s="3" t="str">
        <f t="shared" si="52"/>
        <v/>
      </c>
      <c r="Z169" s="3" t="str">
        <f t="shared" si="53"/>
        <v/>
      </c>
      <c r="AA169" s="3" t="str">
        <f>IF($L169&lt;&gt;"",IF($N169&gt;Z$11,IF($N169&lt;AA$11,$N169-Z$11,30),0)*ROUND(($O169+$X168+SUM($Z169:Z169))*$V$5/3000,2),"")</f>
        <v/>
      </c>
      <c r="AB169" s="3"/>
      <c r="AC169" s="3"/>
    </row>
    <row r="170" spans="5:29" x14ac:dyDescent="0.3">
      <c r="E170" s="5"/>
      <c r="F170" t="str">
        <f t="shared" si="55"/>
        <v/>
      </c>
      <c r="G170" s="5" t="str">
        <f t="shared" si="45"/>
        <v/>
      </c>
      <c r="H170" t="str">
        <f t="shared" si="56"/>
        <v/>
      </c>
      <c r="I170" t="str">
        <f t="shared" si="46"/>
        <v/>
      </c>
      <c r="J170" t="str">
        <f t="shared" si="57"/>
        <v/>
      </c>
      <c r="K170" t="str">
        <f t="shared" si="58"/>
        <v/>
      </c>
      <c r="L170" t="str">
        <f t="shared" si="42"/>
        <v/>
      </c>
      <c r="M170" s="5" t="str">
        <f t="shared" si="54"/>
        <v/>
      </c>
      <c r="N170" s="7" t="str">
        <f t="shared" si="43"/>
        <v/>
      </c>
      <c r="O170" s="3" t="str">
        <f t="shared" si="47"/>
        <v/>
      </c>
      <c r="P170" s="3" t="str">
        <f t="shared" si="48"/>
        <v/>
      </c>
      <c r="Q170" s="3" t="str">
        <f t="shared" si="49"/>
        <v/>
      </c>
      <c r="R170" s="3" t="str">
        <f t="shared" si="50"/>
        <v/>
      </c>
      <c r="S170" s="3" t="str">
        <f>IF($L170&lt;&gt;"",IF($A170="Prepago",0,IF(ROUND($H170*$U$5,2)&gt;ROUND(SUM($S$11:$S169)+$U$5,2),$U$5*2,$U$5)),"")</f>
        <v/>
      </c>
      <c r="T170" s="3" t="str">
        <f>IF($L170&lt;&gt;"",IF($A170="Prepago",0,IF(ROUND($H170*$U$6,2)&gt;ROUND(SUM($T$11:$T169)+$U$6,2),$U$6*2,$U$6)),"")</f>
        <v/>
      </c>
      <c r="U170" s="3" t="str">
        <f>IF($L170&lt;&gt;"",IF($A170="Prepago",0,IF(ROUND($H170*$U$7,2)&gt;ROUND(SUM($U$11:$U169)+$U$7,2),$U$7*2,$U$7)),"")</f>
        <v/>
      </c>
      <c r="V170" s="3" t="str">
        <f>IF($L170&lt;&gt;"",IF($A170="Prepago",0,IF(ROUND($H170*$U$8,2)&gt;ROUND(SUM($V$11:$V169)+$U$8,2),$U$8*2,$U$8)),"")</f>
        <v/>
      </c>
      <c r="W170" s="3" t="str">
        <f t="shared" si="44"/>
        <v/>
      </c>
      <c r="X170" s="3" t="str">
        <f t="shared" si="51"/>
        <v/>
      </c>
      <c r="Y170" s="3" t="str">
        <f t="shared" si="52"/>
        <v/>
      </c>
      <c r="Z170" s="3" t="str">
        <f t="shared" si="53"/>
        <v/>
      </c>
      <c r="AA170" s="3" t="str">
        <f>IF($L170&lt;&gt;"",IF($N170&gt;Z$11,IF($N170&lt;AA$11,$N170-Z$11,30),0)*ROUND(($O170+$X169+SUM($Z170:Z170))*$V$5/3000,2),"")</f>
        <v/>
      </c>
      <c r="AB170" s="3"/>
      <c r="AC170" s="3"/>
    </row>
    <row r="171" spans="5:29" x14ac:dyDescent="0.3">
      <c r="E171" s="5"/>
      <c r="F171" t="str">
        <f t="shared" si="55"/>
        <v/>
      </c>
      <c r="G171" s="5" t="str">
        <f t="shared" si="45"/>
        <v/>
      </c>
      <c r="H171" t="str">
        <f t="shared" si="56"/>
        <v/>
      </c>
      <c r="I171" t="str">
        <f t="shared" si="46"/>
        <v/>
      </c>
      <c r="J171" t="str">
        <f t="shared" si="57"/>
        <v/>
      </c>
      <c r="K171" t="str">
        <f t="shared" si="58"/>
        <v/>
      </c>
      <c r="L171" t="str">
        <f t="shared" si="42"/>
        <v/>
      </c>
      <c r="M171" s="5" t="str">
        <f t="shared" si="54"/>
        <v/>
      </c>
      <c r="N171" s="7" t="str">
        <f t="shared" si="43"/>
        <v/>
      </c>
      <c r="O171" s="3" t="str">
        <f t="shared" si="47"/>
        <v/>
      </c>
      <c r="P171" s="3" t="str">
        <f t="shared" si="48"/>
        <v/>
      </c>
      <c r="Q171" s="3" t="str">
        <f t="shared" si="49"/>
        <v/>
      </c>
      <c r="R171" s="3" t="str">
        <f t="shared" si="50"/>
        <v/>
      </c>
      <c r="S171" s="3" t="str">
        <f>IF($L171&lt;&gt;"",IF($A171="Prepago",0,IF(ROUND($H171*$U$5,2)&gt;ROUND(SUM($S$11:$S170)+$U$5,2),$U$5*2,$U$5)),"")</f>
        <v/>
      </c>
      <c r="T171" s="3" t="str">
        <f>IF($L171&lt;&gt;"",IF($A171="Prepago",0,IF(ROUND($H171*$U$6,2)&gt;ROUND(SUM($T$11:$T170)+$U$6,2),$U$6*2,$U$6)),"")</f>
        <v/>
      </c>
      <c r="U171" s="3" t="str">
        <f>IF($L171&lt;&gt;"",IF($A171="Prepago",0,IF(ROUND($H171*$U$7,2)&gt;ROUND(SUM($U$11:$U170)+$U$7,2),$U$7*2,$U$7)),"")</f>
        <v/>
      </c>
      <c r="V171" s="3" t="str">
        <f>IF($L171&lt;&gt;"",IF($A171="Prepago",0,IF(ROUND($H171*$U$8,2)&gt;ROUND(SUM($V$11:$V170)+$U$8,2),$U$8*2,$U$8)),"")</f>
        <v/>
      </c>
      <c r="W171" s="3" t="str">
        <f t="shared" si="44"/>
        <v/>
      </c>
      <c r="X171" s="3" t="str">
        <f t="shared" si="51"/>
        <v/>
      </c>
      <c r="Y171" s="3" t="str">
        <f t="shared" si="52"/>
        <v/>
      </c>
      <c r="Z171" s="3" t="str">
        <f t="shared" si="53"/>
        <v/>
      </c>
      <c r="AA171" s="3" t="str">
        <f>IF($L171&lt;&gt;"",IF($N171&gt;Z$11,IF($N171&lt;AA$11,$N171-Z$11,30),0)*ROUND(($O171+$X170+SUM($Z171:Z171))*$V$5/3000,2),"")</f>
        <v/>
      </c>
      <c r="AB171" s="3"/>
      <c r="AC171" s="3"/>
    </row>
    <row r="172" spans="5:29" x14ac:dyDescent="0.3">
      <c r="E172" s="5"/>
      <c r="F172" t="str">
        <f t="shared" si="55"/>
        <v/>
      </c>
      <c r="G172" s="5" t="str">
        <f t="shared" si="45"/>
        <v/>
      </c>
      <c r="H172" t="str">
        <f t="shared" si="56"/>
        <v/>
      </c>
      <c r="I172" t="str">
        <f t="shared" si="46"/>
        <v/>
      </c>
      <c r="J172" t="str">
        <f t="shared" si="57"/>
        <v/>
      </c>
      <c r="K172" t="str">
        <f t="shared" si="58"/>
        <v/>
      </c>
      <c r="L172" t="str">
        <f t="shared" ref="L172:L235" si="59">IF($L171&lt;NCUOTAS+CUOTAADICIONAL+NPREPAGO,$L171+1,"")</f>
        <v/>
      </c>
      <c r="M172" s="5" t="str">
        <f t="shared" si="54"/>
        <v/>
      </c>
      <c r="N172" s="7" t="str">
        <f t="shared" ref="N172:N235" si="60">IF($L172&lt;&gt;"",$M172-$M171,"")</f>
        <v/>
      </c>
      <c r="O172" s="3" t="str">
        <f t="shared" si="47"/>
        <v/>
      </c>
      <c r="P172" s="3" t="str">
        <f t="shared" si="48"/>
        <v/>
      </c>
      <c r="Q172" s="3" t="str">
        <f t="shared" si="49"/>
        <v/>
      </c>
      <c r="R172" s="3" t="str">
        <f t="shared" si="50"/>
        <v/>
      </c>
      <c r="S172" s="3" t="str">
        <f>IF($L172&lt;&gt;"",IF($A172="Prepago",0,IF(ROUND($H172*$U$5,2)&gt;ROUND(SUM($S$11:$S171)+$U$5,2),$U$5*2,$U$5)),"")</f>
        <v/>
      </c>
      <c r="T172" s="3" t="str">
        <f>IF($L172&lt;&gt;"",IF($A172="Prepago",0,IF(ROUND($H172*$U$6,2)&gt;ROUND(SUM($T$11:$T171)+$U$6,2),$U$6*2,$U$6)),"")</f>
        <v/>
      </c>
      <c r="U172" s="3" t="str">
        <f>IF($L172&lt;&gt;"",IF($A172="Prepago",0,IF(ROUND($H172*$U$7,2)&gt;ROUND(SUM($U$11:$U171)+$U$7,2),$U$7*2,$U$7)),"")</f>
        <v/>
      </c>
      <c r="V172" s="3" t="str">
        <f>IF($L172&lt;&gt;"",IF($A172="Prepago",0,IF(ROUND($H172*$U$8,2)&gt;ROUND(SUM($V$11:$V171)+$U$8,2),$U$8*2,$U$8)),"")</f>
        <v/>
      </c>
      <c r="W172" s="3" t="str">
        <f t="shared" ref="W172:W235" si="61">IF($L172&lt;&gt;"",$O172-$Q172,"")</f>
        <v/>
      </c>
      <c r="X172" s="3" t="str">
        <f t="shared" si="51"/>
        <v/>
      </c>
      <c r="Y172" s="3" t="str">
        <f t="shared" si="52"/>
        <v/>
      </c>
      <c r="Z172" s="3" t="str">
        <f t="shared" si="53"/>
        <v/>
      </c>
      <c r="AA172" s="3" t="str">
        <f>IF($L172&lt;&gt;"",IF($N172&gt;Z$11,IF($N172&lt;AA$11,$N172-Z$11,30),0)*ROUND(($O172+$X171+SUM($Z172:Z172))*$V$5/3000,2),"")</f>
        <v/>
      </c>
      <c r="AB172" s="3"/>
      <c r="AC172" s="3"/>
    </row>
    <row r="173" spans="5:29" x14ac:dyDescent="0.3">
      <c r="E173" s="5"/>
      <c r="F173" t="str">
        <f t="shared" si="55"/>
        <v/>
      </c>
      <c r="G173" s="5" t="str">
        <f t="shared" si="45"/>
        <v/>
      </c>
      <c r="H173" t="str">
        <f t="shared" si="56"/>
        <v/>
      </c>
      <c r="I173" t="str">
        <f t="shared" si="46"/>
        <v/>
      </c>
      <c r="J173" t="str">
        <f t="shared" si="57"/>
        <v/>
      </c>
      <c r="K173" t="str">
        <f t="shared" si="58"/>
        <v/>
      </c>
      <c r="L173" t="str">
        <f t="shared" si="59"/>
        <v/>
      </c>
      <c r="M173" s="5" t="str">
        <f t="shared" si="54"/>
        <v/>
      </c>
      <c r="N173" s="7" t="str">
        <f t="shared" si="60"/>
        <v/>
      </c>
      <c r="O173" s="3" t="str">
        <f t="shared" si="47"/>
        <v/>
      </c>
      <c r="P173" s="3" t="str">
        <f t="shared" si="48"/>
        <v/>
      </c>
      <c r="Q173" s="3" t="str">
        <f t="shared" si="49"/>
        <v/>
      </c>
      <c r="R173" s="3" t="str">
        <f t="shared" si="50"/>
        <v/>
      </c>
      <c r="S173" s="3" t="str">
        <f>IF($L173&lt;&gt;"",IF($A173="Prepago",0,IF(ROUND($H173*$U$5,2)&gt;ROUND(SUM($S$11:$S172)+$U$5,2),$U$5*2,$U$5)),"")</f>
        <v/>
      </c>
      <c r="T173" s="3" t="str">
        <f>IF($L173&lt;&gt;"",IF($A173="Prepago",0,IF(ROUND($H173*$U$6,2)&gt;ROUND(SUM($T$11:$T172)+$U$6,2),$U$6*2,$U$6)),"")</f>
        <v/>
      </c>
      <c r="U173" s="3" t="str">
        <f>IF($L173&lt;&gt;"",IF($A173="Prepago",0,IF(ROUND($H173*$U$7,2)&gt;ROUND(SUM($U$11:$U172)+$U$7,2),$U$7*2,$U$7)),"")</f>
        <v/>
      </c>
      <c r="V173" s="3" t="str">
        <f>IF($L173&lt;&gt;"",IF($A173="Prepago",0,IF(ROUND($H173*$U$8,2)&gt;ROUND(SUM($V$11:$V172)+$U$8,2),$U$8*2,$U$8)),"")</f>
        <v/>
      </c>
      <c r="W173" s="3" t="str">
        <f t="shared" si="61"/>
        <v/>
      </c>
      <c r="X173" s="3" t="str">
        <f t="shared" si="51"/>
        <v/>
      </c>
      <c r="Y173" s="3" t="str">
        <f t="shared" si="52"/>
        <v/>
      </c>
      <c r="Z173" s="3" t="str">
        <f t="shared" si="53"/>
        <v/>
      </c>
      <c r="AA173" s="3" t="str">
        <f>IF($L173&lt;&gt;"",IF($N173&gt;Z$11,IF($N173&lt;AA$11,$N173-Z$11,30),0)*ROUND(($O173+$X172+SUM($Z173:Z173))*$V$5/3000,2),"")</f>
        <v/>
      </c>
      <c r="AB173" s="3"/>
      <c r="AC173" s="3"/>
    </row>
    <row r="174" spans="5:29" x14ac:dyDescent="0.3">
      <c r="E174" s="5"/>
      <c r="F174" t="str">
        <f t="shared" si="55"/>
        <v/>
      </c>
      <c r="G174" s="5" t="str">
        <f t="shared" si="45"/>
        <v/>
      </c>
      <c r="H174" t="str">
        <f t="shared" si="56"/>
        <v/>
      </c>
      <c r="I174" t="str">
        <f t="shared" si="46"/>
        <v/>
      </c>
      <c r="J174" t="str">
        <f t="shared" si="57"/>
        <v/>
      </c>
      <c r="K174" t="str">
        <f t="shared" si="58"/>
        <v/>
      </c>
      <c r="L174" t="str">
        <f t="shared" si="59"/>
        <v/>
      </c>
      <c r="M174" s="5" t="str">
        <f t="shared" si="54"/>
        <v/>
      </c>
      <c r="N174" s="7" t="str">
        <f t="shared" si="60"/>
        <v/>
      </c>
      <c r="O174" s="3" t="str">
        <f t="shared" si="47"/>
        <v/>
      </c>
      <c r="P174" s="3" t="str">
        <f t="shared" si="48"/>
        <v/>
      </c>
      <c r="Q174" s="3" t="str">
        <f t="shared" si="49"/>
        <v/>
      </c>
      <c r="R174" s="3" t="str">
        <f t="shared" si="50"/>
        <v/>
      </c>
      <c r="S174" s="3" t="str">
        <f>IF($L174&lt;&gt;"",IF($A174="Prepago",0,IF(ROUND($H174*$U$5,2)&gt;ROUND(SUM($S$11:$S173)+$U$5,2),$U$5*2,$U$5)),"")</f>
        <v/>
      </c>
      <c r="T174" s="3" t="str">
        <f>IF($L174&lt;&gt;"",IF($A174="Prepago",0,IF(ROUND($H174*$U$6,2)&gt;ROUND(SUM($T$11:$T173)+$U$6,2),$U$6*2,$U$6)),"")</f>
        <v/>
      </c>
      <c r="U174" s="3" t="str">
        <f>IF($L174&lt;&gt;"",IF($A174="Prepago",0,IF(ROUND($H174*$U$7,2)&gt;ROUND(SUM($U$11:$U173)+$U$7,2),$U$7*2,$U$7)),"")</f>
        <v/>
      </c>
      <c r="V174" s="3" t="str">
        <f>IF($L174&lt;&gt;"",IF($A174="Prepago",0,IF(ROUND($H174*$U$8,2)&gt;ROUND(SUM($V$11:$V173)+$U$8,2),$U$8*2,$U$8)),"")</f>
        <v/>
      </c>
      <c r="W174" s="3" t="str">
        <f t="shared" si="61"/>
        <v/>
      </c>
      <c r="X174" s="3" t="str">
        <f t="shared" si="51"/>
        <v/>
      </c>
      <c r="Y174" s="3" t="str">
        <f t="shared" si="52"/>
        <v/>
      </c>
      <c r="Z174" s="3" t="str">
        <f t="shared" si="53"/>
        <v/>
      </c>
      <c r="AA174" s="3" t="str">
        <f>IF($L174&lt;&gt;"",IF($N174&gt;Z$11,IF($N174&lt;AA$11,$N174-Z$11,30),0)*ROUND(($O174+$X173+SUM($Z174:Z174))*$V$5/3000,2),"")</f>
        <v/>
      </c>
      <c r="AB174" s="3"/>
      <c r="AC174" s="3"/>
    </row>
    <row r="175" spans="5:29" x14ac:dyDescent="0.3">
      <c r="E175" s="5"/>
      <c r="F175" t="str">
        <f t="shared" si="55"/>
        <v/>
      </c>
      <c r="G175" s="5" t="str">
        <f t="shared" si="45"/>
        <v/>
      </c>
      <c r="H175" t="str">
        <f t="shared" si="56"/>
        <v/>
      </c>
      <c r="I175" t="str">
        <f t="shared" si="46"/>
        <v/>
      </c>
      <c r="J175" t="str">
        <f t="shared" si="57"/>
        <v/>
      </c>
      <c r="K175" t="str">
        <f t="shared" si="58"/>
        <v/>
      </c>
      <c r="L175" t="str">
        <f t="shared" si="59"/>
        <v/>
      </c>
      <c r="M175" s="5" t="str">
        <f t="shared" si="54"/>
        <v/>
      </c>
      <c r="N175" s="7" t="str">
        <f t="shared" si="60"/>
        <v/>
      </c>
      <c r="O175" s="3" t="str">
        <f t="shared" si="47"/>
        <v/>
      </c>
      <c r="P175" s="3" t="str">
        <f t="shared" si="48"/>
        <v/>
      </c>
      <c r="Q175" s="3" t="str">
        <f t="shared" si="49"/>
        <v/>
      </c>
      <c r="R175" s="3" t="str">
        <f t="shared" si="50"/>
        <v/>
      </c>
      <c r="S175" s="3" t="str">
        <f>IF($L175&lt;&gt;"",IF($A175="Prepago",0,IF(ROUND($H175*$U$5,2)&gt;ROUND(SUM($S$11:$S174)+$U$5,2),$U$5*2,$U$5)),"")</f>
        <v/>
      </c>
      <c r="T175" s="3" t="str">
        <f>IF($L175&lt;&gt;"",IF($A175="Prepago",0,IF(ROUND($H175*$U$6,2)&gt;ROUND(SUM($T$11:$T174)+$U$6,2),$U$6*2,$U$6)),"")</f>
        <v/>
      </c>
      <c r="U175" s="3" t="str">
        <f>IF($L175&lt;&gt;"",IF($A175="Prepago",0,IF(ROUND($H175*$U$7,2)&gt;ROUND(SUM($U$11:$U174)+$U$7,2),$U$7*2,$U$7)),"")</f>
        <v/>
      </c>
      <c r="V175" s="3" t="str">
        <f>IF($L175&lt;&gt;"",IF($A175="Prepago",0,IF(ROUND($H175*$U$8,2)&gt;ROUND(SUM($V$11:$V174)+$U$8,2),$U$8*2,$U$8)),"")</f>
        <v/>
      </c>
      <c r="W175" s="3" t="str">
        <f t="shared" si="61"/>
        <v/>
      </c>
      <c r="X175" s="3" t="str">
        <f t="shared" si="51"/>
        <v/>
      </c>
      <c r="Y175" s="3" t="str">
        <f t="shared" si="52"/>
        <v/>
      </c>
      <c r="Z175" s="3" t="str">
        <f t="shared" si="53"/>
        <v/>
      </c>
      <c r="AA175" s="3" t="str">
        <f>IF($L175&lt;&gt;"",IF($N175&gt;Z$11,IF($N175&lt;AA$11,$N175-Z$11,30),0)*ROUND(($O175+$X174+SUM($Z175:Z175))*$V$5/3000,2),"")</f>
        <v/>
      </c>
      <c r="AB175" s="3"/>
      <c r="AC175" s="3"/>
    </row>
    <row r="176" spans="5:29" x14ac:dyDescent="0.3">
      <c r="E176" s="5"/>
      <c r="F176" t="str">
        <f t="shared" si="55"/>
        <v/>
      </c>
      <c r="G176" s="5" t="str">
        <f t="shared" si="45"/>
        <v/>
      </c>
      <c r="H176" t="str">
        <f t="shared" si="56"/>
        <v/>
      </c>
      <c r="I176" t="str">
        <f t="shared" si="46"/>
        <v/>
      </c>
      <c r="J176" t="str">
        <f t="shared" si="57"/>
        <v/>
      </c>
      <c r="K176" t="str">
        <f t="shared" si="58"/>
        <v/>
      </c>
      <c r="L176" t="str">
        <f t="shared" si="59"/>
        <v/>
      </c>
      <c r="M176" s="5" t="str">
        <f t="shared" si="54"/>
        <v/>
      </c>
      <c r="N176" s="7" t="str">
        <f t="shared" si="60"/>
        <v/>
      </c>
      <c r="O176" s="3" t="str">
        <f t="shared" si="47"/>
        <v/>
      </c>
      <c r="P176" s="3" t="str">
        <f t="shared" si="48"/>
        <v/>
      </c>
      <c r="Q176" s="3" t="str">
        <f t="shared" si="49"/>
        <v/>
      </c>
      <c r="R176" s="3" t="str">
        <f t="shared" si="50"/>
        <v/>
      </c>
      <c r="S176" s="3" t="str">
        <f>IF($L176&lt;&gt;"",IF($A176="Prepago",0,IF(ROUND($H176*$U$5,2)&gt;ROUND(SUM($S$11:$S175)+$U$5,2),$U$5*2,$U$5)),"")</f>
        <v/>
      </c>
      <c r="T176" s="3" t="str">
        <f>IF($L176&lt;&gt;"",IF($A176="Prepago",0,IF(ROUND($H176*$U$6,2)&gt;ROUND(SUM($T$11:$T175)+$U$6,2),$U$6*2,$U$6)),"")</f>
        <v/>
      </c>
      <c r="U176" s="3" t="str">
        <f>IF($L176&lt;&gt;"",IF($A176="Prepago",0,IF(ROUND($H176*$U$7,2)&gt;ROUND(SUM($U$11:$U175)+$U$7,2),$U$7*2,$U$7)),"")</f>
        <v/>
      </c>
      <c r="V176" s="3" t="str">
        <f>IF($L176&lt;&gt;"",IF($A176="Prepago",0,IF(ROUND($H176*$U$8,2)&gt;ROUND(SUM($V$11:$V175)+$U$8,2),$U$8*2,$U$8)),"")</f>
        <v/>
      </c>
      <c r="W176" s="3" t="str">
        <f t="shared" si="61"/>
        <v/>
      </c>
      <c r="X176" s="3" t="str">
        <f t="shared" si="51"/>
        <v/>
      </c>
      <c r="Y176" s="3" t="str">
        <f t="shared" si="52"/>
        <v/>
      </c>
      <c r="Z176" s="3" t="str">
        <f t="shared" si="53"/>
        <v/>
      </c>
      <c r="AA176" s="3" t="str">
        <f>IF($L176&lt;&gt;"",IF($N176&gt;Z$11,IF($N176&lt;AA$11,$N176-Z$11,30),0)*ROUND(($O176+$X175+SUM($Z176:Z176))*$V$5/3000,2),"")</f>
        <v/>
      </c>
      <c r="AB176" s="3"/>
      <c r="AC176" s="3"/>
    </row>
    <row r="177" spans="5:29" x14ac:dyDescent="0.3">
      <c r="E177" s="5"/>
      <c r="F177" t="str">
        <f t="shared" si="55"/>
        <v/>
      </c>
      <c r="G177" s="5" t="str">
        <f t="shared" si="45"/>
        <v/>
      </c>
      <c r="H177" t="str">
        <f t="shared" si="56"/>
        <v/>
      </c>
      <c r="I177" t="str">
        <f t="shared" si="46"/>
        <v/>
      </c>
      <c r="J177" t="str">
        <f t="shared" si="57"/>
        <v/>
      </c>
      <c r="K177" t="str">
        <f t="shared" si="58"/>
        <v/>
      </c>
      <c r="L177" t="str">
        <f t="shared" si="59"/>
        <v/>
      </c>
      <c r="M177" s="5" t="str">
        <f t="shared" si="54"/>
        <v/>
      </c>
      <c r="N177" s="7" t="str">
        <f t="shared" si="60"/>
        <v/>
      </c>
      <c r="O177" s="3" t="str">
        <f t="shared" si="47"/>
        <v/>
      </c>
      <c r="P177" s="3" t="str">
        <f t="shared" si="48"/>
        <v/>
      </c>
      <c r="Q177" s="3" t="str">
        <f t="shared" si="49"/>
        <v/>
      </c>
      <c r="R177" s="3" t="str">
        <f t="shared" si="50"/>
        <v/>
      </c>
      <c r="S177" s="3" t="str">
        <f>IF($L177&lt;&gt;"",IF($A177="Prepago",0,IF(ROUND($H177*$U$5,2)&gt;ROUND(SUM($S$11:$S176)+$U$5,2),$U$5*2,$U$5)),"")</f>
        <v/>
      </c>
      <c r="T177" s="3" t="str">
        <f>IF($L177&lt;&gt;"",IF($A177="Prepago",0,IF(ROUND($H177*$U$6,2)&gt;ROUND(SUM($T$11:$T176)+$U$6,2),$U$6*2,$U$6)),"")</f>
        <v/>
      </c>
      <c r="U177" s="3" t="str">
        <f>IF($L177&lt;&gt;"",IF($A177="Prepago",0,IF(ROUND($H177*$U$7,2)&gt;ROUND(SUM($U$11:$U176)+$U$7,2),$U$7*2,$U$7)),"")</f>
        <v/>
      </c>
      <c r="V177" s="3" t="str">
        <f>IF($L177&lt;&gt;"",IF($A177="Prepago",0,IF(ROUND($H177*$U$8,2)&gt;ROUND(SUM($V$11:$V176)+$U$8,2),$U$8*2,$U$8)),"")</f>
        <v/>
      </c>
      <c r="W177" s="3" t="str">
        <f t="shared" si="61"/>
        <v/>
      </c>
      <c r="X177" s="3" t="str">
        <f t="shared" si="51"/>
        <v/>
      </c>
      <c r="Y177" s="3" t="str">
        <f t="shared" si="52"/>
        <v/>
      </c>
      <c r="Z177" s="3" t="str">
        <f t="shared" si="53"/>
        <v/>
      </c>
      <c r="AA177" s="3" t="str">
        <f>IF($L177&lt;&gt;"",IF($N177&gt;Z$11,IF($N177&lt;AA$11,$N177-Z$11,30),0)*ROUND(($O177+$X176+SUM($Z177:Z177))*$V$5/3000,2),"")</f>
        <v/>
      </c>
      <c r="AB177" s="3"/>
      <c r="AC177" s="3"/>
    </row>
    <row r="178" spans="5:29" x14ac:dyDescent="0.3">
      <c r="E178" s="5"/>
      <c r="F178" t="str">
        <f t="shared" si="55"/>
        <v/>
      </c>
      <c r="G178" s="5" t="str">
        <f t="shared" si="45"/>
        <v/>
      </c>
      <c r="H178" t="str">
        <f t="shared" si="56"/>
        <v/>
      </c>
      <c r="I178" t="str">
        <f t="shared" si="46"/>
        <v/>
      </c>
      <c r="J178" t="str">
        <f t="shared" si="57"/>
        <v/>
      </c>
      <c r="K178" t="str">
        <f t="shared" si="58"/>
        <v/>
      </c>
      <c r="L178" t="str">
        <f t="shared" si="59"/>
        <v/>
      </c>
      <c r="M178" s="5" t="str">
        <f t="shared" si="54"/>
        <v/>
      </c>
      <c r="N178" s="7" t="str">
        <f t="shared" si="60"/>
        <v/>
      </c>
      <c r="O178" s="3" t="str">
        <f t="shared" si="47"/>
        <v/>
      </c>
      <c r="P178" s="3" t="str">
        <f t="shared" si="48"/>
        <v/>
      </c>
      <c r="Q178" s="3" t="str">
        <f t="shared" si="49"/>
        <v/>
      </c>
      <c r="R178" s="3" t="str">
        <f t="shared" si="50"/>
        <v/>
      </c>
      <c r="S178" s="3" t="str">
        <f>IF($L178&lt;&gt;"",IF($A178="Prepago",0,IF(ROUND($H178*$U$5,2)&gt;ROUND(SUM($S$11:$S177)+$U$5,2),$U$5*2,$U$5)),"")</f>
        <v/>
      </c>
      <c r="T178" s="3" t="str">
        <f>IF($L178&lt;&gt;"",IF($A178="Prepago",0,IF(ROUND($H178*$U$6,2)&gt;ROUND(SUM($T$11:$T177)+$U$6,2),$U$6*2,$U$6)),"")</f>
        <v/>
      </c>
      <c r="U178" s="3" t="str">
        <f>IF($L178&lt;&gt;"",IF($A178="Prepago",0,IF(ROUND($H178*$U$7,2)&gt;ROUND(SUM($U$11:$U177)+$U$7,2),$U$7*2,$U$7)),"")</f>
        <v/>
      </c>
      <c r="V178" s="3" t="str">
        <f>IF($L178&lt;&gt;"",IF($A178="Prepago",0,IF(ROUND($H178*$U$8,2)&gt;ROUND(SUM($V$11:$V177)+$U$8,2),$U$8*2,$U$8)),"")</f>
        <v/>
      </c>
      <c r="W178" s="3" t="str">
        <f t="shared" si="61"/>
        <v/>
      </c>
      <c r="X178" s="3" t="str">
        <f t="shared" si="51"/>
        <v/>
      </c>
      <c r="Y178" s="3" t="str">
        <f t="shared" si="52"/>
        <v/>
      </c>
      <c r="Z178" s="3" t="str">
        <f t="shared" si="53"/>
        <v/>
      </c>
      <c r="AA178" s="3" t="str">
        <f>IF($L178&lt;&gt;"",IF($N178&gt;Z$11,IF($N178&lt;AA$11,$N178-Z$11,30),0)*ROUND(($O178+$X177+SUM($Z178:Z178))*$V$5/3000,2),"")</f>
        <v/>
      </c>
      <c r="AB178" s="3"/>
      <c r="AC178" s="3"/>
    </row>
    <row r="179" spans="5:29" x14ac:dyDescent="0.3">
      <c r="E179" s="5"/>
      <c r="F179" t="str">
        <f t="shared" si="55"/>
        <v/>
      </c>
      <c r="G179" s="5" t="str">
        <f t="shared" si="45"/>
        <v/>
      </c>
      <c r="H179" t="str">
        <f t="shared" si="56"/>
        <v/>
      </c>
      <c r="I179" t="str">
        <f t="shared" si="46"/>
        <v/>
      </c>
      <c r="J179" t="str">
        <f t="shared" si="57"/>
        <v/>
      </c>
      <c r="K179" t="str">
        <f t="shared" si="58"/>
        <v/>
      </c>
      <c r="L179" t="str">
        <f t="shared" si="59"/>
        <v/>
      </c>
      <c r="M179" s="5" t="str">
        <f t="shared" si="54"/>
        <v/>
      </c>
      <c r="N179" s="7" t="str">
        <f t="shared" si="60"/>
        <v/>
      </c>
      <c r="O179" s="3" t="str">
        <f t="shared" si="47"/>
        <v/>
      </c>
      <c r="P179" s="3" t="str">
        <f t="shared" si="48"/>
        <v/>
      </c>
      <c r="Q179" s="3" t="str">
        <f t="shared" si="49"/>
        <v/>
      </c>
      <c r="R179" s="3" t="str">
        <f t="shared" si="50"/>
        <v/>
      </c>
      <c r="S179" s="3" t="str">
        <f>IF($L179&lt;&gt;"",IF($A179="Prepago",0,IF(ROUND($H179*$U$5,2)&gt;ROUND(SUM($S$11:$S178)+$U$5,2),$U$5*2,$U$5)),"")</f>
        <v/>
      </c>
      <c r="T179" s="3" t="str">
        <f>IF($L179&lt;&gt;"",IF($A179="Prepago",0,IF(ROUND($H179*$U$6,2)&gt;ROUND(SUM($T$11:$T178)+$U$6,2),$U$6*2,$U$6)),"")</f>
        <v/>
      </c>
      <c r="U179" s="3" t="str">
        <f>IF($L179&lt;&gt;"",IF($A179="Prepago",0,IF(ROUND($H179*$U$7,2)&gt;ROUND(SUM($U$11:$U178)+$U$7,2),$U$7*2,$U$7)),"")</f>
        <v/>
      </c>
      <c r="V179" s="3" t="str">
        <f>IF($L179&lt;&gt;"",IF($A179="Prepago",0,IF(ROUND($H179*$U$8,2)&gt;ROUND(SUM($V$11:$V178)+$U$8,2),$U$8*2,$U$8)),"")</f>
        <v/>
      </c>
      <c r="W179" s="3" t="str">
        <f t="shared" si="61"/>
        <v/>
      </c>
      <c r="X179" s="3" t="str">
        <f t="shared" si="51"/>
        <v/>
      </c>
      <c r="Y179" s="3" t="str">
        <f t="shared" si="52"/>
        <v/>
      </c>
      <c r="Z179" s="3" t="str">
        <f t="shared" si="53"/>
        <v/>
      </c>
      <c r="AA179" s="3" t="str">
        <f>IF($L179&lt;&gt;"",IF($N179&gt;Z$11,IF($N179&lt;AA$11,$N179-Z$11,30),0)*ROUND(($O179+$X178+SUM($Z179:Z179))*$V$5/3000,2),"")</f>
        <v/>
      </c>
      <c r="AB179" s="3"/>
      <c r="AC179" s="3"/>
    </row>
    <row r="180" spans="5:29" x14ac:dyDescent="0.3">
      <c r="E180" s="5"/>
      <c r="F180" t="str">
        <f t="shared" si="55"/>
        <v/>
      </c>
      <c r="G180" s="5" t="str">
        <f t="shared" si="45"/>
        <v/>
      </c>
      <c r="H180" t="str">
        <f t="shared" si="56"/>
        <v/>
      </c>
      <c r="I180" t="str">
        <f t="shared" si="46"/>
        <v/>
      </c>
      <c r="J180" t="str">
        <f t="shared" si="57"/>
        <v/>
      </c>
      <c r="K180" t="str">
        <f t="shared" si="58"/>
        <v/>
      </c>
      <c r="L180" t="str">
        <f t="shared" si="59"/>
        <v/>
      </c>
      <c r="M180" s="5" t="str">
        <f t="shared" si="54"/>
        <v/>
      </c>
      <c r="N180" s="7" t="str">
        <f t="shared" si="60"/>
        <v/>
      </c>
      <c r="O180" s="3" t="str">
        <f t="shared" si="47"/>
        <v/>
      </c>
      <c r="P180" s="3" t="str">
        <f t="shared" si="48"/>
        <v/>
      </c>
      <c r="Q180" s="3" t="str">
        <f t="shared" si="49"/>
        <v/>
      </c>
      <c r="R180" s="3" t="str">
        <f t="shared" si="50"/>
        <v/>
      </c>
      <c r="S180" s="3" t="str">
        <f>IF($L180&lt;&gt;"",IF($A180="Prepago",0,IF(ROUND($H180*$U$5,2)&gt;ROUND(SUM($S$11:$S179)+$U$5,2),$U$5*2,$U$5)),"")</f>
        <v/>
      </c>
      <c r="T180" s="3" t="str">
        <f>IF($L180&lt;&gt;"",IF($A180="Prepago",0,IF(ROUND($H180*$U$6,2)&gt;ROUND(SUM($T$11:$T179)+$U$6,2),$U$6*2,$U$6)),"")</f>
        <v/>
      </c>
      <c r="U180" s="3" t="str">
        <f>IF($L180&lt;&gt;"",IF($A180="Prepago",0,IF(ROUND($H180*$U$7,2)&gt;ROUND(SUM($U$11:$U179)+$U$7,2),$U$7*2,$U$7)),"")</f>
        <v/>
      </c>
      <c r="V180" s="3" t="str">
        <f>IF($L180&lt;&gt;"",IF($A180="Prepago",0,IF(ROUND($H180*$U$8,2)&gt;ROUND(SUM($V$11:$V179)+$U$8,2),$U$8*2,$U$8)),"")</f>
        <v/>
      </c>
      <c r="W180" s="3" t="str">
        <f t="shared" si="61"/>
        <v/>
      </c>
      <c r="X180" s="3" t="str">
        <f t="shared" si="51"/>
        <v/>
      </c>
      <c r="Y180" s="3" t="str">
        <f t="shared" si="52"/>
        <v/>
      </c>
      <c r="Z180" s="3" t="str">
        <f t="shared" si="53"/>
        <v/>
      </c>
      <c r="AA180" s="3" t="str">
        <f>IF($L180&lt;&gt;"",IF($N180&gt;Z$11,IF($N180&lt;AA$11,$N180-Z$11,30),0)*ROUND(($O180+$X179+SUM($Z180:Z180))*$V$5/3000,2),"")</f>
        <v/>
      </c>
      <c r="AB180" s="3"/>
      <c r="AC180" s="3"/>
    </row>
    <row r="181" spans="5:29" x14ac:dyDescent="0.3">
      <c r="E181" s="5"/>
      <c r="F181" t="str">
        <f t="shared" si="55"/>
        <v/>
      </c>
      <c r="G181" s="5" t="str">
        <f t="shared" si="45"/>
        <v/>
      </c>
      <c r="H181" t="str">
        <f t="shared" si="56"/>
        <v/>
      </c>
      <c r="I181" t="str">
        <f t="shared" si="46"/>
        <v/>
      </c>
      <c r="J181" t="str">
        <f t="shared" si="57"/>
        <v/>
      </c>
      <c r="K181" t="str">
        <f t="shared" si="58"/>
        <v/>
      </c>
      <c r="L181" t="str">
        <f t="shared" si="59"/>
        <v/>
      </c>
      <c r="M181" s="5" t="str">
        <f t="shared" si="54"/>
        <v/>
      </c>
      <c r="N181" s="7" t="str">
        <f t="shared" si="60"/>
        <v/>
      </c>
      <c r="O181" s="3" t="str">
        <f t="shared" si="47"/>
        <v/>
      </c>
      <c r="P181" s="3" t="str">
        <f t="shared" si="48"/>
        <v/>
      </c>
      <c r="Q181" s="3" t="str">
        <f t="shared" si="49"/>
        <v/>
      </c>
      <c r="R181" s="3" t="str">
        <f t="shared" si="50"/>
        <v/>
      </c>
      <c r="S181" s="3" t="str">
        <f>IF($L181&lt;&gt;"",IF($A181="Prepago",0,IF(ROUND($H181*$U$5,2)&gt;ROUND(SUM($S$11:$S180)+$U$5,2),$U$5*2,$U$5)),"")</f>
        <v/>
      </c>
      <c r="T181" s="3" t="str">
        <f>IF($L181&lt;&gt;"",IF($A181="Prepago",0,IF(ROUND($H181*$U$6,2)&gt;ROUND(SUM($T$11:$T180)+$U$6,2),$U$6*2,$U$6)),"")</f>
        <v/>
      </c>
      <c r="U181" s="3" t="str">
        <f>IF($L181&lt;&gt;"",IF($A181="Prepago",0,IF(ROUND($H181*$U$7,2)&gt;ROUND(SUM($U$11:$U180)+$U$7,2),$U$7*2,$U$7)),"")</f>
        <v/>
      </c>
      <c r="V181" s="3" t="str">
        <f>IF($L181&lt;&gt;"",IF($A181="Prepago",0,IF(ROUND($H181*$U$8,2)&gt;ROUND(SUM($V$11:$V180)+$U$8,2),$U$8*2,$U$8)),"")</f>
        <v/>
      </c>
      <c r="W181" s="3" t="str">
        <f t="shared" si="61"/>
        <v/>
      </c>
      <c r="X181" s="3" t="str">
        <f t="shared" si="51"/>
        <v/>
      </c>
      <c r="Y181" s="3" t="str">
        <f t="shared" si="52"/>
        <v/>
      </c>
      <c r="Z181" s="3" t="str">
        <f t="shared" si="53"/>
        <v/>
      </c>
      <c r="AA181" s="3" t="str">
        <f>IF($L181&lt;&gt;"",IF($N181&gt;Z$11,IF($N181&lt;AA$11,$N181-Z$11,30),0)*ROUND(($O181+$X180+SUM($Z181:Z181))*$V$5/3000,2),"")</f>
        <v/>
      </c>
      <c r="AB181" s="3"/>
      <c r="AC181" s="3"/>
    </row>
    <row r="182" spans="5:29" x14ac:dyDescent="0.3">
      <c r="E182" s="5"/>
      <c r="F182" t="str">
        <f t="shared" si="55"/>
        <v/>
      </c>
      <c r="G182" s="5" t="str">
        <f t="shared" si="45"/>
        <v/>
      </c>
      <c r="H182" t="str">
        <f t="shared" si="56"/>
        <v/>
      </c>
      <c r="I182" t="str">
        <f t="shared" si="46"/>
        <v/>
      </c>
      <c r="J182" t="str">
        <f t="shared" si="57"/>
        <v/>
      </c>
      <c r="K182" t="str">
        <f t="shared" si="58"/>
        <v/>
      </c>
      <c r="L182" t="str">
        <f t="shared" si="59"/>
        <v/>
      </c>
      <c r="M182" s="5" t="str">
        <f t="shared" si="54"/>
        <v/>
      </c>
      <c r="N182" s="7" t="str">
        <f t="shared" si="60"/>
        <v/>
      </c>
      <c r="O182" s="3" t="str">
        <f t="shared" si="47"/>
        <v/>
      </c>
      <c r="P182" s="3" t="str">
        <f t="shared" si="48"/>
        <v/>
      </c>
      <c r="Q182" s="3" t="str">
        <f t="shared" si="49"/>
        <v/>
      </c>
      <c r="R182" s="3" t="str">
        <f t="shared" si="50"/>
        <v/>
      </c>
      <c r="S182" s="3" t="str">
        <f>IF($L182&lt;&gt;"",IF($A182="Prepago",0,IF(ROUND($H182*$U$5,2)&gt;ROUND(SUM($S$11:$S181)+$U$5,2),$U$5*2,$U$5)),"")</f>
        <v/>
      </c>
      <c r="T182" s="3" t="str">
        <f>IF($L182&lt;&gt;"",IF($A182="Prepago",0,IF(ROUND($H182*$U$6,2)&gt;ROUND(SUM($T$11:$T181)+$U$6,2),$U$6*2,$U$6)),"")</f>
        <v/>
      </c>
      <c r="U182" s="3" t="str">
        <f>IF($L182&lt;&gt;"",IF($A182="Prepago",0,IF(ROUND($H182*$U$7,2)&gt;ROUND(SUM($U$11:$U181)+$U$7,2),$U$7*2,$U$7)),"")</f>
        <v/>
      </c>
      <c r="V182" s="3" t="str">
        <f>IF($L182&lt;&gt;"",IF($A182="Prepago",0,IF(ROUND($H182*$U$8,2)&gt;ROUND(SUM($V$11:$V181)+$U$8,2),$U$8*2,$U$8)),"")</f>
        <v/>
      </c>
      <c r="W182" s="3" t="str">
        <f t="shared" si="61"/>
        <v/>
      </c>
      <c r="X182" s="3" t="str">
        <f t="shared" si="51"/>
        <v/>
      </c>
      <c r="Y182" s="3" t="str">
        <f t="shared" si="52"/>
        <v/>
      </c>
      <c r="Z182" s="3" t="str">
        <f t="shared" si="53"/>
        <v/>
      </c>
      <c r="AA182" s="3" t="str">
        <f>IF($L182&lt;&gt;"",IF($N182&gt;Z$11,IF($N182&lt;AA$11,$N182-Z$11,30),0)*ROUND(($O182+$X181+SUM($Z182:Z182))*$V$5/3000,2),"")</f>
        <v/>
      </c>
      <c r="AB182" s="3"/>
      <c r="AC182" s="3"/>
    </row>
    <row r="183" spans="5:29" x14ac:dyDescent="0.3">
      <c r="E183" s="5"/>
      <c r="F183" t="str">
        <f t="shared" si="55"/>
        <v/>
      </c>
      <c r="G183" s="5" t="str">
        <f t="shared" si="45"/>
        <v/>
      </c>
      <c r="H183" t="str">
        <f t="shared" si="56"/>
        <v/>
      </c>
      <c r="I183" t="str">
        <f t="shared" si="46"/>
        <v/>
      </c>
      <c r="J183" t="str">
        <f t="shared" si="57"/>
        <v/>
      </c>
      <c r="K183" t="str">
        <f t="shared" si="58"/>
        <v/>
      </c>
      <c r="L183" t="str">
        <f t="shared" si="59"/>
        <v/>
      </c>
      <c r="M183" s="5" t="str">
        <f t="shared" si="54"/>
        <v/>
      </c>
      <c r="N183" s="7" t="str">
        <f t="shared" si="60"/>
        <v/>
      </c>
      <c r="O183" s="3" t="str">
        <f t="shared" si="47"/>
        <v/>
      </c>
      <c r="P183" s="3" t="str">
        <f t="shared" si="48"/>
        <v/>
      </c>
      <c r="Q183" s="3" t="str">
        <f t="shared" si="49"/>
        <v/>
      </c>
      <c r="R183" s="3" t="str">
        <f t="shared" si="50"/>
        <v/>
      </c>
      <c r="S183" s="3" t="str">
        <f>IF($L183&lt;&gt;"",IF($A183="Prepago",0,IF(ROUND($H183*$U$5,2)&gt;ROUND(SUM($S$11:$S182)+$U$5,2),$U$5*2,$U$5)),"")</f>
        <v/>
      </c>
      <c r="T183" s="3" t="str">
        <f>IF($L183&lt;&gt;"",IF($A183="Prepago",0,IF(ROUND($H183*$U$6,2)&gt;ROUND(SUM($T$11:$T182)+$U$6,2),$U$6*2,$U$6)),"")</f>
        <v/>
      </c>
      <c r="U183" s="3" t="str">
        <f>IF($L183&lt;&gt;"",IF($A183="Prepago",0,IF(ROUND($H183*$U$7,2)&gt;ROUND(SUM($U$11:$U182)+$U$7,2),$U$7*2,$U$7)),"")</f>
        <v/>
      </c>
      <c r="V183" s="3" t="str">
        <f>IF($L183&lt;&gt;"",IF($A183="Prepago",0,IF(ROUND($H183*$U$8,2)&gt;ROUND(SUM($V$11:$V182)+$U$8,2),$U$8*2,$U$8)),"")</f>
        <v/>
      </c>
      <c r="W183" s="3" t="str">
        <f t="shared" si="61"/>
        <v/>
      </c>
      <c r="X183" s="3" t="str">
        <f t="shared" si="51"/>
        <v/>
      </c>
      <c r="Y183" s="3" t="str">
        <f t="shared" si="52"/>
        <v/>
      </c>
      <c r="Z183" s="3" t="str">
        <f t="shared" si="53"/>
        <v/>
      </c>
      <c r="AA183" s="3" t="str">
        <f>IF($L183&lt;&gt;"",IF($N183&gt;Z$11,IF($N183&lt;AA$11,$N183-Z$11,30),0)*ROUND(($O183+$X182+SUM($Z183:Z183))*$V$5/3000,2),"")</f>
        <v/>
      </c>
      <c r="AB183" s="3"/>
      <c r="AC183" s="3"/>
    </row>
    <row r="184" spans="5:29" x14ac:dyDescent="0.3">
      <c r="E184" s="5"/>
      <c r="F184" t="str">
        <f t="shared" si="55"/>
        <v/>
      </c>
      <c r="G184" s="5" t="str">
        <f t="shared" si="45"/>
        <v/>
      </c>
      <c r="H184" t="str">
        <f t="shared" si="56"/>
        <v/>
      </c>
      <c r="I184" t="str">
        <f t="shared" si="46"/>
        <v/>
      </c>
      <c r="J184" t="str">
        <f t="shared" si="57"/>
        <v/>
      </c>
      <c r="K184" t="str">
        <f t="shared" si="58"/>
        <v/>
      </c>
      <c r="L184" t="str">
        <f t="shared" si="59"/>
        <v/>
      </c>
      <c r="M184" s="5" t="str">
        <f t="shared" si="54"/>
        <v/>
      </c>
      <c r="N184" s="7" t="str">
        <f t="shared" si="60"/>
        <v/>
      </c>
      <c r="O184" s="3" t="str">
        <f t="shared" si="47"/>
        <v/>
      </c>
      <c r="P184" s="3" t="str">
        <f t="shared" si="48"/>
        <v/>
      </c>
      <c r="Q184" s="3" t="str">
        <f t="shared" si="49"/>
        <v/>
      </c>
      <c r="R184" s="3" t="str">
        <f t="shared" si="50"/>
        <v/>
      </c>
      <c r="S184" s="3" t="str">
        <f>IF($L184&lt;&gt;"",IF($A184="Prepago",0,IF(ROUND($H184*$U$5,2)&gt;ROUND(SUM($S$11:$S183)+$U$5,2),$U$5*2,$U$5)),"")</f>
        <v/>
      </c>
      <c r="T184" s="3" t="str">
        <f>IF($L184&lt;&gt;"",IF($A184="Prepago",0,IF(ROUND($H184*$U$6,2)&gt;ROUND(SUM($T$11:$T183)+$U$6,2),$U$6*2,$U$6)),"")</f>
        <v/>
      </c>
      <c r="U184" s="3" t="str">
        <f>IF($L184&lt;&gt;"",IF($A184="Prepago",0,IF(ROUND($H184*$U$7,2)&gt;ROUND(SUM($U$11:$U183)+$U$7,2),$U$7*2,$U$7)),"")</f>
        <v/>
      </c>
      <c r="V184" s="3" t="str">
        <f>IF($L184&lt;&gt;"",IF($A184="Prepago",0,IF(ROUND($H184*$U$8,2)&gt;ROUND(SUM($V$11:$V183)+$U$8,2),$U$8*2,$U$8)),"")</f>
        <v/>
      </c>
      <c r="W184" s="3" t="str">
        <f t="shared" si="61"/>
        <v/>
      </c>
      <c r="X184" s="3" t="str">
        <f t="shared" si="51"/>
        <v/>
      </c>
      <c r="Y184" s="3" t="str">
        <f t="shared" si="52"/>
        <v/>
      </c>
      <c r="Z184" s="3" t="str">
        <f t="shared" si="53"/>
        <v/>
      </c>
      <c r="AA184" s="3" t="str">
        <f>IF($L184&lt;&gt;"",IF($N184&gt;Z$11,IF($N184&lt;AA$11,$N184-Z$11,30),0)*ROUND(($O184+$X183+SUM($Z184:Z184))*$V$5/3000,2),"")</f>
        <v/>
      </c>
      <c r="AB184" s="3"/>
      <c r="AC184" s="3"/>
    </row>
    <row r="185" spans="5:29" x14ac:dyDescent="0.3">
      <c r="E185" s="5"/>
      <c r="F185" t="str">
        <f t="shared" si="55"/>
        <v/>
      </c>
      <c r="G185" s="5" t="str">
        <f t="shared" si="45"/>
        <v/>
      </c>
      <c r="H185" t="str">
        <f t="shared" si="56"/>
        <v/>
      </c>
      <c r="I185" t="str">
        <f t="shared" si="46"/>
        <v/>
      </c>
      <c r="J185" t="str">
        <f t="shared" si="57"/>
        <v/>
      </c>
      <c r="K185" t="str">
        <f t="shared" si="58"/>
        <v/>
      </c>
      <c r="L185" t="str">
        <f t="shared" si="59"/>
        <v/>
      </c>
      <c r="M185" s="5" t="str">
        <f t="shared" si="54"/>
        <v/>
      </c>
      <c r="N185" s="7" t="str">
        <f t="shared" si="60"/>
        <v/>
      </c>
      <c r="O185" s="3" t="str">
        <f t="shared" si="47"/>
        <v/>
      </c>
      <c r="P185" s="3" t="str">
        <f t="shared" si="48"/>
        <v/>
      </c>
      <c r="Q185" s="3" t="str">
        <f t="shared" si="49"/>
        <v/>
      </c>
      <c r="R185" s="3" t="str">
        <f t="shared" si="50"/>
        <v/>
      </c>
      <c r="S185" s="3" t="str">
        <f>IF($L185&lt;&gt;"",IF($A185="Prepago",0,IF(ROUND($H185*$U$5,2)&gt;ROUND(SUM($S$11:$S184)+$U$5,2),$U$5*2,$U$5)),"")</f>
        <v/>
      </c>
      <c r="T185" s="3" t="str">
        <f>IF($L185&lt;&gt;"",IF($A185="Prepago",0,IF(ROUND($H185*$U$6,2)&gt;ROUND(SUM($T$11:$T184)+$U$6,2),$U$6*2,$U$6)),"")</f>
        <v/>
      </c>
      <c r="U185" s="3" t="str">
        <f>IF($L185&lt;&gt;"",IF($A185="Prepago",0,IF(ROUND($H185*$U$7,2)&gt;ROUND(SUM($U$11:$U184)+$U$7,2),$U$7*2,$U$7)),"")</f>
        <v/>
      </c>
      <c r="V185" s="3" t="str">
        <f>IF($L185&lt;&gt;"",IF($A185="Prepago",0,IF(ROUND($H185*$U$8,2)&gt;ROUND(SUM($V$11:$V184)+$U$8,2),$U$8*2,$U$8)),"")</f>
        <v/>
      </c>
      <c r="W185" s="3" t="str">
        <f t="shared" si="61"/>
        <v/>
      </c>
      <c r="X185" s="3" t="str">
        <f t="shared" si="51"/>
        <v/>
      </c>
      <c r="Y185" s="3" t="str">
        <f t="shared" si="52"/>
        <v/>
      </c>
      <c r="Z185" s="3" t="str">
        <f t="shared" si="53"/>
        <v/>
      </c>
      <c r="AA185" s="3" t="str">
        <f>IF($L185&lt;&gt;"",IF($N185&gt;Z$11,IF($N185&lt;AA$11,$N185-Z$11,30),0)*ROUND(($O185+$X184+SUM($Z185:Z185))*$V$5/3000,2),"")</f>
        <v/>
      </c>
      <c r="AB185" s="3"/>
      <c r="AC185" s="3"/>
    </row>
    <row r="186" spans="5:29" x14ac:dyDescent="0.3">
      <c r="E186" s="5"/>
      <c r="F186" t="str">
        <f t="shared" si="55"/>
        <v/>
      </c>
      <c r="G186" s="5" t="str">
        <f t="shared" si="45"/>
        <v/>
      </c>
      <c r="H186" t="str">
        <f t="shared" si="56"/>
        <v/>
      </c>
      <c r="I186" t="str">
        <f t="shared" si="46"/>
        <v/>
      </c>
      <c r="J186" t="str">
        <f t="shared" si="57"/>
        <v/>
      </c>
      <c r="K186" t="str">
        <f t="shared" si="58"/>
        <v/>
      </c>
      <c r="L186" t="str">
        <f t="shared" si="59"/>
        <v/>
      </c>
      <c r="M186" s="5" t="str">
        <f t="shared" si="54"/>
        <v/>
      </c>
      <c r="N186" s="7" t="str">
        <f t="shared" si="60"/>
        <v/>
      </c>
      <c r="O186" s="3" t="str">
        <f t="shared" si="47"/>
        <v/>
      </c>
      <c r="P186" s="3" t="str">
        <f t="shared" si="48"/>
        <v/>
      </c>
      <c r="Q186" s="3" t="str">
        <f t="shared" si="49"/>
        <v/>
      </c>
      <c r="R186" s="3" t="str">
        <f t="shared" si="50"/>
        <v/>
      </c>
      <c r="S186" s="3" t="str">
        <f>IF($L186&lt;&gt;"",IF($A186="Prepago",0,IF(ROUND($H186*$U$5,2)&gt;ROUND(SUM($S$11:$S185)+$U$5,2),$U$5*2,$U$5)),"")</f>
        <v/>
      </c>
      <c r="T186" s="3" t="str">
        <f>IF($L186&lt;&gt;"",IF($A186="Prepago",0,IF(ROUND($H186*$U$6,2)&gt;ROUND(SUM($T$11:$T185)+$U$6,2),$U$6*2,$U$6)),"")</f>
        <v/>
      </c>
      <c r="U186" s="3" t="str">
        <f>IF($L186&lt;&gt;"",IF($A186="Prepago",0,IF(ROUND($H186*$U$7,2)&gt;ROUND(SUM($U$11:$U185)+$U$7,2),$U$7*2,$U$7)),"")</f>
        <v/>
      </c>
      <c r="V186" s="3" t="str">
        <f>IF($L186&lt;&gt;"",IF($A186="Prepago",0,IF(ROUND($H186*$U$8,2)&gt;ROUND(SUM($V$11:$V185)+$U$8,2),$U$8*2,$U$8)),"")</f>
        <v/>
      </c>
      <c r="W186" s="3" t="str">
        <f t="shared" si="61"/>
        <v/>
      </c>
      <c r="X186" s="3" t="str">
        <f t="shared" si="51"/>
        <v/>
      </c>
      <c r="Y186" s="3" t="str">
        <f t="shared" si="52"/>
        <v/>
      </c>
      <c r="Z186" s="3" t="str">
        <f t="shared" si="53"/>
        <v/>
      </c>
      <c r="AA186" s="3" t="str">
        <f>IF($L186&lt;&gt;"",IF($N186&gt;Z$11,IF($N186&lt;AA$11,$N186-Z$11,30),0)*ROUND(($O186+$X185+SUM($Z186:Z186))*$V$5/3000,2),"")</f>
        <v/>
      </c>
      <c r="AB186" s="3"/>
      <c r="AC186" s="3"/>
    </row>
    <row r="187" spans="5:29" x14ac:dyDescent="0.3">
      <c r="E187" s="5"/>
      <c r="F187" t="str">
        <f t="shared" si="55"/>
        <v/>
      </c>
      <c r="G187" s="5" t="str">
        <f t="shared" si="45"/>
        <v/>
      </c>
      <c r="H187" t="str">
        <f t="shared" si="56"/>
        <v/>
      </c>
      <c r="I187" t="str">
        <f t="shared" si="46"/>
        <v/>
      </c>
      <c r="J187" t="str">
        <f t="shared" si="57"/>
        <v/>
      </c>
      <c r="K187" t="str">
        <f t="shared" si="58"/>
        <v/>
      </c>
      <c r="L187" t="str">
        <f t="shared" si="59"/>
        <v/>
      </c>
      <c r="M187" s="5" t="str">
        <f t="shared" si="54"/>
        <v/>
      </c>
      <c r="N187" s="7" t="str">
        <f t="shared" si="60"/>
        <v/>
      </c>
      <c r="O187" s="3" t="str">
        <f t="shared" si="47"/>
        <v/>
      </c>
      <c r="P187" s="3" t="str">
        <f t="shared" si="48"/>
        <v/>
      </c>
      <c r="Q187" s="3" t="str">
        <f t="shared" si="49"/>
        <v/>
      </c>
      <c r="R187" s="3" t="str">
        <f t="shared" si="50"/>
        <v/>
      </c>
      <c r="S187" s="3" t="str">
        <f>IF($L187&lt;&gt;"",IF($A187="Prepago",0,IF(ROUND($H187*$U$5,2)&gt;ROUND(SUM($S$11:$S186)+$U$5,2),$U$5*2,$U$5)),"")</f>
        <v/>
      </c>
      <c r="T187" s="3" t="str">
        <f>IF($L187&lt;&gt;"",IF($A187="Prepago",0,IF(ROUND($H187*$U$6,2)&gt;ROUND(SUM($T$11:$T186)+$U$6,2),$U$6*2,$U$6)),"")</f>
        <v/>
      </c>
      <c r="U187" s="3" t="str">
        <f>IF($L187&lt;&gt;"",IF($A187="Prepago",0,IF(ROUND($H187*$U$7,2)&gt;ROUND(SUM($U$11:$U186)+$U$7,2),$U$7*2,$U$7)),"")</f>
        <v/>
      </c>
      <c r="V187" s="3" t="str">
        <f>IF($L187&lt;&gt;"",IF($A187="Prepago",0,IF(ROUND($H187*$U$8,2)&gt;ROUND(SUM($V$11:$V186)+$U$8,2),$U$8*2,$U$8)),"")</f>
        <v/>
      </c>
      <c r="W187" s="3" t="str">
        <f t="shared" si="61"/>
        <v/>
      </c>
      <c r="X187" s="3" t="str">
        <f t="shared" si="51"/>
        <v/>
      </c>
      <c r="Y187" s="3" t="str">
        <f t="shared" si="52"/>
        <v/>
      </c>
      <c r="Z187" s="3" t="str">
        <f t="shared" si="53"/>
        <v/>
      </c>
      <c r="AA187" s="3" t="str">
        <f>IF($L187&lt;&gt;"",IF($N187&gt;Z$11,IF($N187&lt;AA$11,$N187-Z$11,30),0)*ROUND(($O187+$X186+SUM($Z187:Z187))*$V$5/3000,2),"")</f>
        <v/>
      </c>
      <c r="AB187" s="3"/>
      <c r="AC187" s="3"/>
    </row>
    <row r="188" spans="5:29" x14ac:dyDescent="0.3">
      <c r="E188" s="5"/>
      <c r="F188" t="str">
        <f t="shared" si="55"/>
        <v/>
      </c>
      <c r="G188" s="5" t="str">
        <f t="shared" si="45"/>
        <v/>
      </c>
      <c r="H188" t="str">
        <f t="shared" si="56"/>
        <v/>
      </c>
      <c r="I188" t="str">
        <f t="shared" si="46"/>
        <v/>
      </c>
      <c r="J188" t="str">
        <f t="shared" si="57"/>
        <v/>
      </c>
      <c r="K188" t="str">
        <f t="shared" si="58"/>
        <v/>
      </c>
      <c r="L188" t="str">
        <f t="shared" si="59"/>
        <v/>
      </c>
      <c r="M188" s="5" t="str">
        <f t="shared" si="54"/>
        <v/>
      </c>
      <c r="N188" s="7" t="str">
        <f t="shared" si="60"/>
        <v/>
      </c>
      <c r="O188" s="3" t="str">
        <f t="shared" si="47"/>
        <v/>
      </c>
      <c r="P188" s="3" t="str">
        <f t="shared" si="48"/>
        <v/>
      </c>
      <c r="Q188" s="3" t="str">
        <f t="shared" si="49"/>
        <v/>
      </c>
      <c r="R188" s="3" t="str">
        <f t="shared" si="50"/>
        <v/>
      </c>
      <c r="S188" s="3" t="str">
        <f>IF($L188&lt;&gt;"",IF($A188="Prepago",0,IF(ROUND($H188*$U$5,2)&gt;ROUND(SUM($S$11:$S187)+$U$5,2),$U$5*2,$U$5)),"")</f>
        <v/>
      </c>
      <c r="T188" s="3" t="str">
        <f>IF($L188&lt;&gt;"",IF($A188="Prepago",0,IF(ROUND($H188*$U$6,2)&gt;ROUND(SUM($T$11:$T187)+$U$6,2),$U$6*2,$U$6)),"")</f>
        <v/>
      </c>
      <c r="U188" s="3" t="str">
        <f>IF($L188&lt;&gt;"",IF($A188="Prepago",0,IF(ROUND($H188*$U$7,2)&gt;ROUND(SUM($U$11:$U187)+$U$7,2),$U$7*2,$U$7)),"")</f>
        <v/>
      </c>
      <c r="V188" s="3" t="str">
        <f>IF($L188&lt;&gt;"",IF($A188="Prepago",0,IF(ROUND($H188*$U$8,2)&gt;ROUND(SUM($V$11:$V187)+$U$8,2),$U$8*2,$U$8)),"")</f>
        <v/>
      </c>
      <c r="W188" s="3" t="str">
        <f t="shared" si="61"/>
        <v/>
      </c>
      <c r="X188" s="3" t="str">
        <f t="shared" si="51"/>
        <v/>
      </c>
      <c r="Y188" s="3" t="str">
        <f t="shared" si="52"/>
        <v/>
      </c>
      <c r="Z188" s="3" t="str">
        <f t="shared" si="53"/>
        <v/>
      </c>
      <c r="AA188" s="3" t="str">
        <f>IF($L188&lt;&gt;"",IF($N188&gt;Z$11,IF($N188&lt;AA$11,$N188-Z$11,30),0)*ROUND(($O188+$X187+SUM($Z188:Z188))*$V$5/3000,2),"")</f>
        <v/>
      </c>
      <c r="AB188" s="3"/>
      <c r="AC188" s="3"/>
    </row>
    <row r="189" spans="5:29" x14ac:dyDescent="0.3">
      <c r="E189" s="5"/>
      <c r="F189" t="str">
        <f t="shared" si="55"/>
        <v/>
      </c>
      <c r="G189" s="5" t="str">
        <f t="shared" si="45"/>
        <v/>
      </c>
      <c r="H189" t="str">
        <f t="shared" si="56"/>
        <v/>
      </c>
      <c r="I189" t="str">
        <f t="shared" si="46"/>
        <v/>
      </c>
      <c r="J189" t="str">
        <f t="shared" si="57"/>
        <v/>
      </c>
      <c r="K189" t="str">
        <f t="shared" si="58"/>
        <v/>
      </c>
      <c r="L189" t="str">
        <f t="shared" si="59"/>
        <v/>
      </c>
      <c r="M189" s="5" t="str">
        <f t="shared" si="54"/>
        <v/>
      </c>
      <c r="N189" s="7" t="str">
        <f t="shared" si="60"/>
        <v/>
      </c>
      <c r="O189" s="3" t="str">
        <f t="shared" si="47"/>
        <v/>
      </c>
      <c r="P189" s="3" t="str">
        <f t="shared" si="48"/>
        <v/>
      </c>
      <c r="Q189" s="3" t="str">
        <f t="shared" si="49"/>
        <v/>
      </c>
      <c r="R189" s="3" t="str">
        <f t="shared" si="50"/>
        <v/>
      </c>
      <c r="S189" s="3" t="str">
        <f>IF($L189&lt;&gt;"",IF($A189="Prepago",0,IF(ROUND($H189*$U$5,2)&gt;ROUND(SUM($S$11:$S188)+$U$5,2),$U$5*2,$U$5)),"")</f>
        <v/>
      </c>
      <c r="T189" s="3" t="str">
        <f>IF($L189&lt;&gt;"",IF($A189="Prepago",0,IF(ROUND($H189*$U$6,2)&gt;ROUND(SUM($T$11:$T188)+$U$6,2),$U$6*2,$U$6)),"")</f>
        <v/>
      </c>
      <c r="U189" s="3" t="str">
        <f>IF($L189&lt;&gt;"",IF($A189="Prepago",0,IF(ROUND($H189*$U$7,2)&gt;ROUND(SUM($U$11:$U188)+$U$7,2),$U$7*2,$U$7)),"")</f>
        <v/>
      </c>
      <c r="V189" s="3" t="str">
        <f>IF($L189&lt;&gt;"",IF($A189="Prepago",0,IF(ROUND($H189*$U$8,2)&gt;ROUND(SUM($V$11:$V188)+$U$8,2),$U$8*2,$U$8)),"")</f>
        <v/>
      </c>
      <c r="W189" s="3" t="str">
        <f t="shared" si="61"/>
        <v/>
      </c>
      <c r="X189" s="3" t="str">
        <f t="shared" si="51"/>
        <v/>
      </c>
      <c r="Y189" s="3" t="str">
        <f t="shared" si="52"/>
        <v/>
      </c>
      <c r="Z189" s="3" t="str">
        <f t="shared" si="53"/>
        <v/>
      </c>
      <c r="AA189" s="3" t="str">
        <f>IF($L189&lt;&gt;"",IF($N189&gt;Z$11,IF($N189&lt;AA$11,$N189-Z$11,30),0)*ROUND(($O189+$X188+SUM($Z189:Z189))*$V$5/3000,2),"")</f>
        <v/>
      </c>
      <c r="AB189" s="3"/>
      <c r="AC189" s="3"/>
    </row>
    <row r="190" spans="5:29" x14ac:dyDescent="0.3">
      <c r="E190" s="5"/>
      <c r="F190" t="str">
        <f t="shared" si="55"/>
        <v/>
      </c>
      <c r="G190" s="5" t="str">
        <f t="shared" si="45"/>
        <v/>
      </c>
      <c r="H190" t="str">
        <f t="shared" si="56"/>
        <v/>
      </c>
      <c r="I190" t="str">
        <f t="shared" si="46"/>
        <v/>
      </c>
      <c r="J190" t="str">
        <f t="shared" si="57"/>
        <v/>
      </c>
      <c r="K190" t="str">
        <f t="shared" si="58"/>
        <v/>
      </c>
      <c r="L190" t="str">
        <f t="shared" si="59"/>
        <v/>
      </c>
      <c r="M190" s="5" t="str">
        <f t="shared" si="54"/>
        <v/>
      </c>
      <c r="N190" s="7" t="str">
        <f t="shared" si="60"/>
        <v/>
      </c>
      <c r="O190" s="3" t="str">
        <f t="shared" si="47"/>
        <v/>
      </c>
      <c r="P190" s="3" t="str">
        <f t="shared" si="48"/>
        <v/>
      </c>
      <c r="Q190" s="3" t="str">
        <f t="shared" si="49"/>
        <v/>
      </c>
      <c r="R190" s="3" t="str">
        <f t="shared" si="50"/>
        <v/>
      </c>
      <c r="S190" s="3" t="str">
        <f>IF($L190&lt;&gt;"",IF($A190="Prepago",0,IF(ROUND($H190*$U$5,2)&gt;ROUND(SUM($S$11:$S189)+$U$5,2),$U$5*2,$U$5)),"")</f>
        <v/>
      </c>
      <c r="T190" s="3" t="str">
        <f>IF($L190&lt;&gt;"",IF($A190="Prepago",0,IF(ROUND($H190*$U$6,2)&gt;ROUND(SUM($T$11:$T189)+$U$6,2),$U$6*2,$U$6)),"")</f>
        <v/>
      </c>
      <c r="U190" s="3" t="str">
        <f>IF($L190&lt;&gt;"",IF($A190="Prepago",0,IF(ROUND($H190*$U$7,2)&gt;ROUND(SUM($U$11:$U189)+$U$7,2),$U$7*2,$U$7)),"")</f>
        <v/>
      </c>
      <c r="V190" s="3" t="str">
        <f>IF($L190&lt;&gt;"",IF($A190="Prepago",0,IF(ROUND($H190*$U$8,2)&gt;ROUND(SUM($V$11:$V189)+$U$8,2),$U$8*2,$U$8)),"")</f>
        <v/>
      </c>
      <c r="W190" s="3" t="str">
        <f t="shared" si="61"/>
        <v/>
      </c>
      <c r="X190" s="3" t="str">
        <f t="shared" si="51"/>
        <v/>
      </c>
      <c r="Y190" s="3" t="str">
        <f t="shared" si="52"/>
        <v/>
      </c>
      <c r="Z190" s="3" t="str">
        <f t="shared" si="53"/>
        <v/>
      </c>
      <c r="AA190" s="3" t="str">
        <f>IF($L190&lt;&gt;"",IF($N190&gt;Z$11,IF($N190&lt;AA$11,$N190-Z$11,30),0)*ROUND(($O190+$X189+SUM($Z190:Z190))*$V$5/3000,2),"")</f>
        <v/>
      </c>
      <c r="AB190" s="3"/>
      <c r="AC190" s="3"/>
    </row>
    <row r="191" spans="5:29" x14ac:dyDescent="0.3">
      <c r="E191" s="5"/>
      <c r="F191" t="str">
        <f t="shared" si="55"/>
        <v/>
      </c>
      <c r="G191" s="5" t="str">
        <f t="shared" si="45"/>
        <v/>
      </c>
      <c r="H191" t="str">
        <f t="shared" si="56"/>
        <v/>
      </c>
      <c r="I191" t="str">
        <f t="shared" si="46"/>
        <v/>
      </c>
      <c r="J191" t="str">
        <f t="shared" si="57"/>
        <v/>
      </c>
      <c r="K191" t="str">
        <f t="shared" si="58"/>
        <v/>
      </c>
      <c r="L191" t="str">
        <f t="shared" si="59"/>
        <v/>
      </c>
      <c r="M191" s="5" t="str">
        <f t="shared" si="54"/>
        <v/>
      </c>
      <c r="N191" s="7" t="str">
        <f t="shared" si="60"/>
        <v/>
      </c>
      <c r="O191" s="3" t="str">
        <f t="shared" si="47"/>
        <v/>
      </c>
      <c r="P191" s="3" t="str">
        <f t="shared" si="48"/>
        <v/>
      </c>
      <c r="Q191" s="3" t="str">
        <f t="shared" si="49"/>
        <v/>
      </c>
      <c r="R191" s="3" t="str">
        <f t="shared" si="50"/>
        <v/>
      </c>
      <c r="S191" s="3" t="str">
        <f>IF($L191&lt;&gt;"",IF($A191="Prepago",0,IF(ROUND($H191*$U$5,2)&gt;ROUND(SUM($S$11:$S190)+$U$5,2),$U$5*2,$U$5)),"")</f>
        <v/>
      </c>
      <c r="T191" s="3" t="str">
        <f>IF($L191&lt;&gt;"",IF($A191="Prepago",0,IF(ROUND($H191*$U$6,2)&gt;ROUND(SUM($T$11:$T190)+$U$6,2),$U$6*2,$U$6)),"")</f>
        <v/>
      </c>
      <c r="U191" s="3" t="str">
        <f>IF($L191&lt;&gt;"",IF($A191="Prepago",0,IF(ROUND($H191*$U$7,2)&gt;ROUND(SUM($U$11:$U190)+$U$7,2),$U$7*2,$U$7)),"")</f>
        <v/>
      </c>
      <c r="V191" s="3" t="str">
        <f>IF($L191&lt;&gt;"",IF($A191="Prepago",0,IF(ROUND($H191*$U$8,2)&gt;ROUND(SUM($V$11:$V190)+$U$8,2),$U$8*2,$U$8)),"")</f>
        <v/>
      </c>
      <c r="W191" s="3" t="str">
        <f t="shared" si="61"/>
        <v/>
      </c>
      <c r="X191" s="3" t="str">
        <f t="shared" si="51"/>
        <v/>
      </c>
      <c r="Y191" s="3" t="str">
        <f t="shared" si="52"/>
        <v/>
      </c>
      <c r="Z191" s="3" t="str">
        <f t="shared" si="53"/>
        <v/>
      </c>
      <c r="AA191" s="3" t="str">
        <f>IF($L191&lt;&gt;"",IF($N191&gt;Z$11,IF($N191&lt;AA$11,$N191-Z$11,30),0)*ROUND(($O191+$X190+SUM($Z191:Z191))*$V$5/3000,2),"")</f>
        <v/>
      </c>
      <c r="AB191" s="3"/>
      <c r="AC191" s="3"/>
    </row>
    <row r="192" spans="5:29" x14ac:dyDescent="0.3">
      <c r="E192" s="5"/>
      <c r="F192" t="str">
        <f t="shared" si="55"/>
        <v/>
      </c>
      <c r="G192" s="5" t="str">
        <f t="shared" si="45"/>
        <v/>
      </c>
      <c r="H192" t="str">
        <f t="shared" si="56"/>
        <v/>
      </c>
      <c r="I192" t="str">
        <f t="shared" si="46"/>
        <v/>
      </c>
      <c r="J192" t="str">
        <f t="shared" si="57"/>
        <v/>
      </c>
      <c r="K192" t="str">
        <f t="shared" si="58"/>
        <v/>
      </c>
      <c r="L192" t="str">
        <f t="shared" si="59"/>
        <v/>
      </c>
      <c r="M192" s="5" t="str">
        <f t="shared" si="54"/>
        <v/>
      </c>
      <c r="N192" s="7" t="str">
        <f t="shared" si="60"/>
        <v/>
      </c>
      <c r="O192" s="3" t="str">
        <f t="shared" si="47"/>
        <v/>
      </c>
      <c r="P192" s="3" t="str">
        <f t="shared" si="48"/>
        <v/>
      </c>
      <c r="Q192" s="3" t="str">
        <f t="shared" si="49"/>
        <v/>
      </c>
      <c r="R192" s="3" t="str">
        <f t="shared" si="50"/>
        <v/>
      </c>
      <c r="S192" s="3" t="str">
        <f>IF($L192&lt;&gt;"",IF($A192="Prepago",0,IF(ROUND($H192*$U$5,2)&gt;ROUND(SUM($S$11:$S191)+$U$5,2),$U$5*2,$U$5)),"")</f>
        <v/>
      </c>
      <c r="T192" s="3" t="str">
        <f>IF($L192&lt;&gt;"",IF($A192="Prepago",0,IF(ROUND($H192*$U$6,2)&gt;ROUND(SUM($T$11:$T191)+$U$6,2),$U$6*2,$U$6)),"")</f>
        <v/>
      </c>
      <c r="U192" s="3" t="str">
        <f>IF($L192&lt;&gt;"",IF($A192="Prepago",0,IF(ROUND($H192*$U$7,2)&gt;ROUND(SUM($U$11:$U191)+$U$7,2),$U$7*2,$U$7)),"")</f>
        <v/>
      </c>
      <c r="V192" s="3" t="str">
        <f>IF($L192&lt;&gt;"",IF($A192="Prepago",0,IF(ROUND($H192*$U$8,2)&gt;ROUND(SUM($V$11:$V191)+$U$8,2),$U$8*2,$U$8)),"")</f>
        <v/>
      </c>
      <c r="W192" s="3" t="str">
        <f t="shared" si="61"/>
        <v/>
      </c>
      <c r="X192" s="3" t="str">
        <f t="shared" si="51"/>
        <v/>
      </c>
      <c r="Y192" s="3" t="str">
        <f t="shared" si="52"/>
        <v/>
      </c>
      <c r="Z192" s="3" t="str">
        <f t="shared" si="53"/>
        <v/>
      </c>
      <c r="AA192" s="3" t="str">
        <f>IF($L192&lt;&gt;"",IF($N192&gt;Z$11,IF($N192&lt;AA$11,$N192-Z$11,30),0)*ROUND(($O192+$X191+SUM($Z192:Z192))*$V$5/3000,2),"")</f>
        <v/>
      </c>
      <c r="AB192" s="3"/>
      <c r="AC192" s="3"/>
    </row>
    <row r="193" spans="5:29" x14ac:dyDescent="0.3">
      <c r="E193" s="5"/>
      <c r="F193" t="str">
        <f t="shared" si="55"/>
        <v/>
      </c>
      <c r="G193" s="5" t="str">
        <f t="shared" si="45"/>
        <v/>
      </c>
      <c r="H193" t="str">
        <f t="shared" si="56"/>
        <v/>
      </c>
      <c r="I193" t="str">
        <f t="shared" si="46"/>
        <v/>
      </c>
      <c r="J193" t="str">
        <f t="shared" si="57"/>
        <v/>
      </c>
      <c r="K193" t="str">
        <f t="shared" si="58"/>
        <v/>
      </c>
      <c r="L193" t="str">
        <f t="shared" si="59"/>
        <v/>
      </c>
      <c r="M193" s="5" t="str">
        <f t="shared" si="54"/>
        <v/>
      </c>
      <c r="N193" s="7" t="str">
        <f t="shared" si="60"/>
        <v/>
      </c>
      <c r="O193" s="3" t="str">
        <f t="shared" si="47"/>
        <v/>
      </c>
      <c r="P193" s="3" t="str">
        <f t="shared" si="48"/>
        <v/>
      </c>
      <c r="Q193" s="3" t="str">
        <f t="shared" si="49"/>
        <v/>
      </c>
      <c r="R193" s="3" t="str">
        <f t="shared" si="50"/>
        <v/>
      </c>
      <c r="S193" s="3" t="str">
        <f>IF($L193&lt;&gt;"",IF($A193="Prepago",0,IF(ROUND($H193*$U$5,2)&gt;ROUND(SUM($S$11:$S192)+$U$5,2),$U$5*2,$U$5)),"")</f>
        <v/>
      </c>
      <c r="T193" s="3" t="str">
        <f>IF($L193&lt;&gt;"",IF($A193="Prepago",0,IF(ROUND($H193*$U$6,2)&gt;ROUND(SUM($T$11:$T192)+$U$6,2),$U$6*2,$U$6)),"")</f>
        <v/>
      </c>
      <c r="U193" s="3" t="str">
        <f>IF($L193&lt;&gt;"",IF($A193="Prepago",0,IF(ROUND($H193*$U$7,2)&gt;ROUND(SUM($U$11:$U192)+$U$7,2),$U$7*2,$U$7)),"")</f>
        <v/>
      </c>
      <c r="V193" s="3" t="str">
        <f>IF($L193&lt;&gt;"",IF($A193="Prepago",0,IF(ROUND($H193*$U$8,2)&gt;ROUND(SUM($V$11:$V192)+$U$8,2),$U$8*2,$U$8)),"")</f>
        <v/>
      </c>
      <c r="W193" s="3" t="str">
        <f t="shared" si="61"/>
        <v/>
      </c>
      <c r="X193" s="3" t="str">
        <f t="shared" si="51"/>
        <v/>
      </c>
      <c r="Y193" s="3" t="str">
        <f t="shared" si="52"/>
        <v/>
      </c>
      <c r="Z193" s="3" t="str">
        <f t="shared" si="53"/>
        <v/>
      </c>
      <c r="AA193" s="3" t="str">
        <f>IF($L193&lt;&gt;"",IF($N193&gt;Z$11,IF($N193&lt;AA$11,$N193-Z$11,30),0)*ROUND(($O193+$X192+SUM($Z193:Z193))*$V$5/3000,2),"")</f>
        <v/>
      </c>
      <c r="AB193" s="3"/>
      <c r="AC193" s="3"/>
    </row>
    <row r="194" spans="5:29" x14ac:dyDescent="0.3">
      <c r="E194" s="5"/>
      <c r="F194" t="str">
        <f t="shared" si="55"/>
        <v/>
      </c>
      <c r="G194" s="5" t="str">
        <f t="shared" si="45"/>
        <v/>
      </c>
      <c r="H194" t="str">
        <f t="shared" si="56"/>
        <v/>
      </c>
      <c r="I194" t="str">
        <f t="shared" si="46"/>
        <v/>
      </c>
      <c r="J194" t="str">
        <f t="shared" si="57"/>
        <v/>
      </c>
      <c r="K194" t="str">
        <f t="shared" si="58"/>
        <v/>
      </c>
      <c r="L194" t="str">
        <f t="shared" si="59"/>
        <v/>
      </c>
      <c r="M194" s="5" t="str">
        <f t="shared" si="54"/>
        <v/>
      </c>
      <c r="N194" s="7" t="str">
        <f t="shared" si="60"/>
        <v/>
      </c>
      <c r="O194" s="3" t="str">
        <f t="shared" si="47"/>
        <v/>
      </c>
      <c r="P194" s="3" t="str">
        <f t="shared" si="48"/>
        <v/>
      </c>
      <c r="Q194" s="3" t="str">
        <f t="shared" si="49"/>
        <v/>
      </c>
      <c r="R194" s="3" t="str">
        <f t="shared" si="50"/>
        <v/>
      </c>
      <c r="S194" s="3" t="str">
        <f>IF($L194&lt;&gt;"",IF($A194="Prepago",0,IF(ROUND($H194*$U$5,2)&gt;ROUND(SUM($S$11:$S193)+$U$5,2),$U$5*2,$U$5)),"")</f>
        <v/>
      </c>
      <c r="T194" s="3" t="str">
        <f>IF($L194&lt;&gt;"",IF($A194="Prepago",0,IF(ROUND($H194*$U$6,2)&gt;ROUND(SUM($T$11:$T193)+$U$6,2),$U$6*2,$U$6)),"")</f>
        <v/>
      </c>
      <c r="U194" s="3" t="str">
        <f>IF($L194&lt;&gt;"",IF($A194="Prepago",0,IF(ROUND($H194*$U$7,2)&gt;ROUND(SUM($U$11:$U193)+$U$7,2),$U$7*2,$U$7)),"")</f>
        <v/>
      </c>
      <c r="V194" s="3" t="str">
        <f>IF($L194&lt;&gt;"",IF($A194="Prepago",0,IF(ROUND($H194*$U$8,2)&gt;ROUND(SUM($V$11:$V193)+$U$8,2),$U$8*2,$U$8)),"")</f>
        <v/>
      </c>
      <c r="W194" s="3" t="str">
        <f t="shared" si="61"/>
        <v/>
      </c>
      <c r="X194" s="3" t="str">
        <f t="shared" si="51"/>
        <v/>
      </c>
      <c r="Y194" s="3" t="str">
        <f t="shared" si="52"/>
        <v/>
      </c>
      <c r="Z194" s="3" t="str">
        <f t="shared" si="53"/>
        <v/>
      </c>
      <c r="AA194" s="3" t="str">
        <f>IF($L194&lt;&gt;"",IF($N194&gt;Z$11,IF($N194&lt;AA$11,$N194-Z$11,30),0)*ROUND(($O194+$X193+SUM($Z194:Z194))*$V$5/3000,2),"")</f>
        <v/>
      </c>
      <c r="AB194" s="3"/>
      <c r="AC194" s="3"/>
    </row>
    <row r="195" spans="5:29" x14ac:dyDescent="0.3">
      <c r="E195" s="5"/>
      <c r="F195" t="str">
        <f t="shared" si="55"/>
        <v/>
      </c>
      <c r="G195" s="5" t="str">
        <f t="shared" si="45"/>
        <v/>
      </c>
      <c r="H195" t="str">
        <f t="shared" si="56"/>
        <v/>
      </c>
      <c r="I195" t="str">
        <f t="shared" si="46"/>
        <v/>
      </c>
      <c r="J195" t="str">
        <f t="shared" si="57"/>
        <v/>
      </c>
      <c r="K195" t="str">
        <f t="shared" si="58"/>
        <v/>
      </c>
      <c r="L195" t="str">
        <f t="shared" si="59"/>
        <v/>
      </c>
      <c r="M195" s="5" t="str">
        <f t="shared" si="54"/>
        <v/>
      </c>
      <c r="N195" s="7" t="str">
        <f t="shared" si="60"/>
        <v/>
      </c>
      <c r="O195" s="3" t="str">
        <f t="shared" si="47"/>
        <v/>
      </c>
      <c r="P195" s="3" t="str">
        <f t="shared" si="48"/>
        <v/>
      </c>
      <c r="Q195" s="3" t="str">
        <f t="shared" si="49"/>
        <v/>
      </c>
      <c r="R195" s="3" t="str">
        <f t="shared" si="50"/>
        <v/>
      </c>
      <c r="S195" s="3" t="str">
        <f>IF($L195&lt;&gt;"",IF($A195="Prepago",0,IF(ROUND($H195*$U$5,2)&gt;ROUND(SUM($S$11:$S194)+$U$5,2),$U$5*2,$U$5)),"")</f>
        <v/>
      </c>
      <c r="T195" s="3" t="str">
        <f>IF($L195&lt;&gt;"",IF($A195="Prepago",0,IF(ROUND($H195*$U$6,2)&gt;ROUND(SUM($T$11:$T194)+$U$6,2),$U$6*2,$U$6)),"")</f>
        <v/>
      </c>
      <c r="U195" s="3" t="str">
        <f>IF($L195&lt;&gt;"",IF($A195="Prepago",0,IF(ROUND($H195*$U$7,2)&gt;ROUND(SUM($U$11:$U194)+$U$7,2),$U$7*2,$U$7)),"")</f>
        <v/>
      </c>
      <c r="V195" s="3" t="str">
        <f>IF($L195&lt;&gt;"",IF($A195="Prepago",0,IF(ROUND($H195*$U$8,2)&gt;ROUND(SUM($V$11:$V194)+$U$8,2),$U$8*2,$U$8)),"")</f>
        <v/>
      </c>
      <c r="W195" s="3" t="str">
        <f t="shared" si="61"/>
        <v/>
      </c>
      <c r="X195" s="3" t="str">
        <f t="shared" si="51"/>
        <v/>
      </c>
      <c r="Y195" s="3" t="str">
        <f t="shared" si="52"/>
        <v/>
      </c>
      <c r="Z195" s="3" t="str">
        <f t="shared" si="53"/>
        <v/>
      </c>
      <c r="AA195" s="3" t="str">
        <f>IF($L195&lt;&gt;"",IF($N195&gt;Z$11,IF($N195&lt;AA$11,$N195-Z$11,30),0)*ROUND(($O195+$X194+SUM($Z195:Z195))*$V$5/3000,2),"")</f>
        <v/>
      </c>
      <c r="AB195" s="3"/>
      <c r="AC195" s="3"/>
    </row>
    <row r="196" spans="5:29" x14ac:dyDescent="0.3">
      <c r="E196" s="5"/>
      <c r="F196" t="str">
        <f t="shared" si="55"/>
        <v/>
      </c>
      <c r="G196" s="5" t="str">
        <f t="shared" si="45"/>
        <v/>
      </c>
      <c r="H196" t="str">
        <f t="shared" si="56"/>
        <v/>
      </c>
      <c r="I196" t="str">
        <f t="shared" si="46"/>
        <v/>
      </c>
      <c r="J196" t="str">
        <f t="shared" si="57"/>
        <v/>
      </c>
      <c r="K196" t="str">
        <f t="shared" si="58"/>
        <v/>
      </c>
      <c r="L196" t="str">
        <f t="shared" si="59"/>
        <v/>
      </c>
      <c r="M196" s="5" t="str">
        <f t="shared" si="54"/>
        <v/>
      </c>
      <c r="N196" s="7" t="str">
        <f t="shared" si="60"/>
        <v/>
      </c>
      <c r="O196" s="3" t="str">
        <f t="shared" si="47"/>
        <v/>
      </c>
      <c r="P196" s="3" t="str">
        <f t="shared" si="48"/>
        <v/>
      </c>
      <c r="Q196" s="3" t="str">
        <f t="shared" si="49"/>
        <v/>
      </c>
      <c r="R196" s="3" t="str">
        <f t="shared" si="50"/>
        <v/>
      </c>
      <c r="S196" s="3" t="str">
        <f>IF($L196&lt;&gt;"",IF($A196="Prepago",0,IF(ROUND($H196*$U$5,2)&gt;ROUND(SUM($S$11:$S195)+$U$5,2),$U$5*2,$U$5)),"")</f>
        <v/>
      </c>
      <c r="T196" s="3" t="str">
        <f>IF($L196&lt;&gt;"",IF($A196="Prepago",0,IF(ROUND($H196*$U$6,2)&gt;ROUND(SUM($T$11:$T195)+$U$6,2),$U$6*2,$U$6)),"")</f>
        <v/>
      </c>
      <c r="U196" s="3" t="str">
        <f>IF($L196&lt;&gt;"",IF($A196="Prepago",0,IF(ROUND($H196*$U$7,2)&gt;ROUND(SUM($U$11:$U195)+$U$7,2),$U$7*2,$U$7)),"")</f>
        <v/>
      </c>
      <c r="V196" s="3" t="str">
        <f>IF($L196&lt;&gt;"",IF($A196="Prepago",0,IF(ROUND($H196*$U$8,2)&gt;ROUND(SUM($V$11:$V195)+$U$8,2),$U$8*2,$U$8)),"")</f>
        <v/>
      </c>
      <c r="W196" s="3" t="str">
        <f t="shared" si="61"/>
        <v/>
      </c>
      <c r="X196" s="3" t="str">
        <f t="shared" si="51"/>
        <v/>
      </c>
      <c r="Y196" s="3" t="str">
        <f t="shared" si="52"/>
        <v/>
      </c>
      <c r="Z196" s="3" t="str">
        <f t="shared" si="53"/>
        <v/>
      </c>
      <c r="AA196" s="3" t="str">
        <f>IF($L196&lt;&gt;"",IF($N196&gt;Z$11,IF($N196&lt;AA$11,$N196-Z$11,30),0)*ROUND(($O196+$X195+SUM($Z196:Z196))*$V$5/3000,2),"")</f>
        <v/>
      </c>
      <c r="AB196" s="3"/>
      <c r="AC196" s="3"/>
    </row>
    <row r="197" spans="5:29" x14ac:dyDescent="0.3">
      <c r="E197" s="5"/>
      <c r="F197" t="str">
        <f t="shared" si="55"/>
        <v/>
      </c>
      <c r="G197" s="5" t="str">
        <f t="shared" si="45"/>
        <v/>
      </c>
      <c r="H197" t="str">
        <f t="shared" si="56"/>
        <v/>
      </c>
      <c r="I197" t="str">
        <f t="shared" si="46"/>
        <v/>
      </c>
      <c r="J197" t="str">
        <f t="shared" si="57"/>
        <v/>
      </c>
      <c r="K197" t="str">
        <f t="shared" si="58"/>
        <v/>
      </c>
      <c r="L197" t="str">
        <f t="shared" si="59"/>
        <v/>
      </c>
      <c r="M197" s="5" t="str">
        <f t="shared" si="54"/>
        <v/>
      </c>
      <c r="N197" s="7" t="str">
        <f t="shared" si="60"/>
        <v/>
      </c>
      <c r="O197" s="3" t="str">
        <f t="shared" si="47"/>
        <v/>
      </c>
      <c r="P197" s="3" t="str">
        <f t="shared" si="48"/>
        <v/>
      </c>
      <c r="Q197" s="3" t="str">
        <f t="shared" si="49"/>
        <v/>
      </c>
      <c r="R197" s="3" t="str">
        <f t="shared" si="50"/>
        <v/>
      </c>
      <c r="S197" s="3" t="str">
        <f>IF($L197&lt;&gt;"",IF($A197="Prepago",0,IF(ROUND($H197*$U$5,2)&gt;ROUND(SUM($S$11:$S196)+$U$5,2),$U$5*2,$U$5)),"")</f>
        <v/>
      </c>
      <c r="T197" s="3" t="str">
        <f>IF($L197&lt;&gt;"",IF($A197="Prepago",0,IF(ROUND($H197*$U$6,2)&gt;ROUND(SUM($T$11:$T196)+$U$6,2),$U$6*2,$U$6)),"")</f>
        <v/>
      </c>
      <c r="U197" s="3" t="str">
        <f>IF($L197&lt;&gt;"",IF($A197="Prepago",0,IF(ROUND($H197*$U$7,2)&gt;ROUND(SUM($U$11:$U196)+$U$7,2),$U$7*2,$U$7)),"")</f>
        <v/>
      </c>
      <c r="V197" s="3" t="str">
        <f>IF($L197&lt;&gt;"",IF($A197="Prepago",0,IF(ROUND($H197*$U$8,2)&gt;ROUND(SUM($V$11:$V196)+$U$8,2),$U$8*2,$U$8)),"")</f>
        <v/>
      </c>
      <c r="W197" s="3" t="str">
        <f t="shared" si="61"/>
        <v/>
      </c>
      <c r="X197" s="3" t="str">
        <f t="shared" si="51"/>
        <v/>
      </c>
      <c r="Y197" s="3" t="str">
        <f t="shared" si="52"/>
        <v/>
      </c>
      <c r="Z197" s="3" t="str">
        <f t="shared" si="53"/>
        <v/>
      </c>
      <c r="AA197" s="3" t="str">
        <f>IF($L197&lt;&gt;"",IF($N197&gt;Z$11,IF($N197&lt;AA$11,$N197-Z$11,30),0)*ROUND(($O197+$X196+SUM($Z197:Z197))*$V$5/3000,2),"")</f>
        <v/>
      </c>
      <c r="AB197" s="3"/>
      <c r="AC197" s="3"/>
    </row>
    <row r="198" spans="5:29" x14ac:dyDescent="0.3">
      <c r="E198" s="5"/>
      <c r="F198" t="str">
        <f t="shared" si="55"/>
        <v/>
      </c>
      <c r="G198" s="5" t="str">
        <f t="shared" si="45"/>
        <v/>
      </c>
      <c r="H198" t="str">
        <f t="shared" si="56"/>
        <v/>
      </c>
      <c r="I198" t="str">
        <f t="shared" si="46"/>
        <v/>
      </c>
      <c r="J198" t="str">
        <f t="shared" si="57"/>
        <v/>
      </c>
      <c r="K198" t="str">
        <f t="shared" si="58"/>
        <v/>
      </c>
      <c r="L198" t="str">
        <f t="shared" si="59"/>
        <v/>
      </c>
      <c r="M198" s="5" t="str">
        <f t="shared" si="54"/>
        <v/>
      </c>
      <c r="N198" s="7" t="str">
        <f t="shared" si="60"/>
        <v/>
      </c>
      <c r="O198" s="3" t="str">
        <f t="shared" si="47"/>
        <v/>
      </c>
      <c r="P198" s="3" t="str">
        <f t="shared" si="48"/>
        <v/>
      </c>
      <c r="Q198" s="3" t="str">
        <f t="shared" si="49"/>
        <v/>
      </c>
      <c r="R198" s="3" t="str">
        <f t="shared" si="50"/>
        <v/>
      </c>
      <c r="S198" s="3" t="str">
        <f>IF($L198&lt;&gt;"",IF($A198="Prepago",0,IF(ROUND($H198*$U$5,2)&gt;ROUND(SUM($S$11:$S197)+$U$5,2),$U$5*2,$U$5)),"")</f>
        <v/>
      </c>
      <c r="T198" s="3" t="str">
        <f>IF($L198&lt;&gt;"",IF($A198="Prepago",0,IF(ROUND($H198*$U$6,2)&gt;ROUND(SUM($T$11:$T197)+$U$6,2),$U$6*2,$U$6)),"")</f>
        <v/>
      </c>
      <c r="U198" s="3" t="str">
        <f>IF($L198&lt;&gt;"",IF($A198="Prepago",0,IF(ROUND($H198*$U$7,2)&gt;ROUND(SUM($U$11:$U197)+$U$7,2),$U$7*2,$U$7)),"")</f>
        <v/>
      </c>
      <c r="V198" s="3" t="str">
        <f>IF($L198&lt;&gt;"",IF($A198="Prepago",0,IF(ROUND($H198*$U$8,2)&gt;ROUND(SUM($V$11:$V197)+$U$8,2),$U$8*2,$U$8)),"")</f>
        <v/>
      </c>
      <c r="W198" s="3" t="str">
        <f t="shared" si="61"/>
        <v/>
      </c>
      <c r="X198" s="3" t="str">
        <f t="shared" si="51"/>
        <v/>
      </c>
      <c r="Y198" s="3" t="str">
        <f t="shared" si="52"/>
        <v/>
      </c>
      <c r="Z198" s="3" t="str">
        <f t="shared" si="53"/>
        <v/>
      </c>
      <c r="AA198" s="3" t="str">
        <f>IF($L198&lt;&gt;"",IF($N198&gt;Z$11,IF($N198&lt;AA$11,$N198-Z$11,30),0)*ROUND(($O198+$X197+SUM($Z198:Z198))*$V$5/3000,2),"")</f>
        <v/>
      </c>
      <c r="AB198" s="3"/>
      <c r="AC198" s="3"/>
    </row>
    <row r="199" spans="5:29" x14ac:dyDescent="0.3">
      <c r="E199" s="5"/>
      <c r="F199" t="str">
        <f t="shared" si="55"/>
        <v/>
      </c>
      <c r="G199" s="5" t="str">
        <f t="shared" si="45"/>
        <v/>
      </c>
      <c r="H199" t="str">
        <f t="shared" si="56"/>
        <v/>
      </c>
      <c r="I199" t="str">
        <f t="shared" si="46"/>
        <v/>
      </c>
      <c r="J199" t="str">
        <f t="shared" si="57"/>
        <v/>
      </c>
      <c r="K199" t="str">
        <f t="shared" si="58"/>
        <v/>
      </c>
      <c r="L199" t="str">
        <f t="shared" si="59"/>
        <v/>
      </c>
      <c r="M199" s="5" t="str">
        <f t="shared" si="54"/>
        <v/>
      </c>
      <c r="N199" s="7" t="str">
        <f t="shared" si="60"/>
        <v/>
      </c>
      <c r="O199" s="3" t="str">
        <f t="shared" si="47"/>
        <v/>
      </c>
      <c r="P199" s="3" t="str">
        <f t="shared" si="48"/>
        <v/>
      </c>
      <c r="Q199" s="3" t="str">
        <f t="shared" si="49"/>
        <v/>
      </c>
      <c r="R199" s="3" t="str">
        <f t="shared" si="50"/>
        <v/>
      </c>
      <c r="S199" s="3" t="str">
        <f>IF($L199&lt;&gt;"",IF($A199="Prepago",0,IF(ROUND($H199*$U$5,2)&gt;ROUND(SUM($S$11:$S198)+$U$5,2),$U$5*2,$U$5)),"")</f>
        <v/>
      </c>
      <c r="T199" s="3" t="str">
        <f>IF($L199&lt;&gt;"",IF($A199="Prepago",0,IF(ROUND($H199*$U$6,2)&gt;ROUND(SUM($T$11:$T198)+$U$6,2),$U$6*2,$U$6)),"")</f>
        <v/>
      </c>
      <c r="U199" s="3" t="str">
        <f>IF($L199&lt;&gt;"",IF($A199="Prepago",0,IF(ROUND($H199*$U$7,2)&gt;ROUND(SUM($U$11:$U198)+$U$7,2),$U$7*2,$U$7)),"")</f>
        <v/>
      </c>
      <c r="V199" s="3" t="str">
        <f>IF($L199&lt;&gt;"",IF($A199="Prepago",0,IF(ROUND($H199*$U$8,2)&gt;ROUND(SUM($V$11:$V198)+$U$8,2),$U$8*2,$U$8)),"")</f>
        <v/>
      </c>
      <c r="W199" s="3" t="str">
        <f t="shared" si="61"/>
        <v/>
      </c>
      <c r="X199" s="3" t="str">
        <f t="shared" si="51"/>
        <v/>
      </c>
      <c r="Y199" s="3" t="str">
        <f t="shared" si="52"/>
        <v/>
      </c>
      <c r="Z199" s="3" t="str">
        <f t="shared" si="53"/>
        <v/>
      </c>
      <c r="AA199" s="3" t="str">
        <f>IF($L199&lt;&gt;"",IF($N199&gt;Z$11,IF($N199&lt;AA$11,$N199-Z$11,30),0)*ROUND(($O199+$X198+SUM($Z199:Z199))*$V$5/3000,2),"")</f>
        <v/>
      </c>
      <c r="AB199" s="3"/>
      <c r="AC199" s="3"/>
    </row>
    <row r="200" spans="5:29" x14ac:dyDescent="0.3">
      <c r="E200" s="5"/>
      <c r="F200" t="str">
        <f t="shared" si="55"/>
        <v/>
      </c>
      <c r="G200" s="5" t="str">
        <f t="shared" si="45"/>
        <v/>
      </c>
      <c r="H200" t="str">
        <f t="shared" si="56"/>
        <v/>
      </c>
      <c r="I200" t="str">
        <f t="shared" si="46"/>
        <v/>
      </c>
      <c r="J200" t="str">
        <f t="shared" si="57"/>
        <v/>
      </c>
      <c r="K200" t="str">
        <f t="shared" si="58"/>
        <v/>
      </c>
      <c r="L200" t="str">
        <f t="shared" si="59"/>
        <v/>
      </c>
      <c r="M200" s="5" t="str">
        <f t="shared" si="54"/>
        <v/>
      </c>
      <c r="N200" s="7" t="str">
        <f t="shared" si="60"/>
        <v/>
      </c>
      <c r="O200" s="3" t="str">
        <f t="shared" si="47"/>
        <v/>
      </c>
      <c r="P200" s="3" t="str">
        <f t="shared" si="48"/>
        <v/>
      </c>
      <c r="Q200" s="3" t="str">
        <f t="shared" si="49"/>
        <v/>
      </c>
      <c r="R200" s="3" t="str">
        <f t="shared" si="50"/>
        <v/>
      </c>
      <c r="S200" s="3" t="str">
        <f>IF($L200&lt;&gt;"",IF($A200="Prepago",0,IF(ROUND($H200*$U$5,2)&gt;ROUND(SUM($S$11:$S199)+$U$5,2),$U$5*2,$U$5)),"")</f>
        <v/>
      </c>
      <c r="T200" s="3" t="str">
        <f>IF($L200&lt;&gt;"",IF($A200="Prepago",0,IF(ROUND($H200*$U$6,2)&gt;ROUND(SUM($T$11:$T199)+$U$6,2),$U$6*2,$U$6)),"")</f>
        <v/>
      </c>
      <c r="U200" s="3" t="str">
        <f>IF($L200&lt;&gt;"",IF($A200="Prepago",0,IF(ROUND($H200*$U$7,2)&gt;ROUND(SUM($U$11:$U199)+$U$7,2),$U$7*2,$U$7)),"")</f>
        <v/>
      </c>
      <c r="V200" s="3" t="str">
        <f>IF($L200&lt;&gt;"",IF($A200="Prepago",0,IF(ROUND($H200*$U$8,2)&gt;ROUND(SUM($V$11:$V199)+$U$8,2),$U$8*2,$U$8)),"")</f>
        <v/>
      </c>
      <c r="W200" s="3" t="str">
        <f t="shared" si="61"/>
        <v/>
      </c>
      <c r="X200" s="3" t="str">
        <f t="shared" si="51"/>
        <v/>
      </c>
      <c r="Y200" s="3" t="str">
        <f t="shared" si="52"/>
        <v/>
      </c>
      <c r="Z200" s="3" t="str">
        <f t="shared" si="53"/>
        <v/>
      </c>
      <c r="AA200" s="3" t="str">
        <f>IF($L200&lt;&gt;"",IF($N200&gt;Z$11,IF($N200&lt;AA$11,$N200-Z$11,30),0)*ROUND(($O200+$X199+SUM($Z200:Z200))*$V$5/3000,2),"")</f>
        <v/>
      </c>
      <c r="AB200" s="3"/>
      <c r="AC200" s="3"/>
    </row>
    <row r="201" spans="5:29" x14ac:dyDescent="0.3">
      <c r="E201" s="5"/>
      <c r="F201" t="str">
        <f t="shared" si="55"/>
        <v/>
      </c>
      <c r="G201" s="5" t="str">
        <f t="shared" si="45"/>
        <v/>
      </c>
      <c r="H201" t="str">
        <f t="shared" si="56"/>
        <v/>
      </c>
      <c r="I201" t="str">
        <f t="shared" si="46"/>
        <v/>
      </c>
      <c r="J201" t="str">
        <f t="shared" si="57"/>
        <v/>
      </c>
      <c r="K201" t="str">
        <f t="shared" si="58"/>
        <v/>
      </c>
      <c r="L201" t="str">
        <f t="shared" si="59"/>
        <v/>
      </c>
      <c r="M201" s="5" t="str">
        <f t="shared" si="54"/>
        <v/>
      </c>
      <c r="N201" s="7" t="str">
        <f t="shared" si="60"/>
        <v/>
      </c>
      <c r="O201" s="3" t="str">
        <f t="shared" si="47"/>
        <v/>
      </c>
      <c r="P201" s="3" t="str">
        <f t="shared" si="48"/>
        <v/>
      </c>
      <c r="Q201" s="3" t="str">
        <f t="shared" si="49"/>
        <v/>
      </c>
      <c r="R201" s="3" t="str">
        <f t="shared" si="50"/>
        <v/>
      </c>
      <c r="S201" s="3" t="str">
        <f>IF($L201&lt;&gt;"",IF($A201="Prepago",0,IF(ROUND($H201*$U$5,2)&gt;ROUND(SUM($S$11:$S200)+$U$5,2),$U$5*2,$U$5)),"")</f>
        <v/>
      </c>
      <c r="T201" s="3" t="str">
        <f>IF($L201&lt;&gt;"",IF($A201="Prepago",0,IF(ROUND($H201*$U$6,2)&gt;ROUND(SUM($T$11:$T200)+$U$6,2),$U$6*2,$U$6)),"")</f>
        <v/>
      </c>
      <c r="U201" s="3" t="str">
        <f>IF($L201&lt;&gt;"",IF($A201="Prepago",0,IF(ROUND($H201*$U$7,2)&gt;ROUND(SUM($U$11:$U200)+$U$7,2),$U$7*2,$U$7)),"")</f>
        <v/>
      </c>
      <c r="V201" s="3" t="str">
        <f>IF($L201&lt;&gt;"",IF($A201="Prepago",0,IF(ROUND($H201*$U$8,2)&gt;ROUND(SUM($V$11:$V200)+$U$8,2),$U$8*2,$U$8)),"")</f>
        <v/>
      </c>
      <c r="W201" s="3" t="str">
        <f t="shared" si="61"/>
        <v/>
      </c>
      <c r="X201" s="3" t="str">
        <f t="shared" si="51"/>
        <v/>
      </c>
      <c r="Y201" s="3" t="str">
        <f t="shared" si="52"/>
        <v/>
      </c>
      <c r="Z201" s="3" t="str">
        <f t="shared" si="53"/>
        <v/>
      </c>
      <c r="AA201" s="3" t="str">
        <f>IF($L201&lt;&gt;"",IF($N201&gt;Z$11,IF($N201&lt;AA$11,$N201-Z$11,30),0)*ROUND(($O201+$X200+SUM($Z201:Z201))*$V$5/3000,2),"")</f>
        <v/>
      </c>
      <c r="AB201" s="3"/>
      <c r="AC201" s="3"/>
    </row>
    <row r="202" spans="5:29" x14ac:dyDescent="0.3">
      <c r="E202" s="5"/>
      <c r="F202" t="str">
        <f t="shared" si="55"/>
        <v/>
      </c>
      <c r="G202" s="5" t="str">
        <f t="shared" si="45"/>
        <v/>
      </c>
      <c r="H202" t="str">
        <f t="shared" si="56"/>
        <v/>
      </c>
      <c r="I202" t="str">
        <f t="shared" si="46"/>
        <v/>
      </c>
      <c r="J202" t="str">
        <f t="shared" si="57"/>
        <v/>
      </c>
      <c r="K202" t="str">
        <f t="shared" si="58"/>
        <v/>
      </c>
      <c r="L202" t="str">
        <f t="shared" si="59"/>
        <v/>
      </c>
      <c r="M202" s="5" t="str">
        <f t="shared" si="54"/>
        <v/>
      </c>
      <c r="N202" s="7" t="str">
        <f t="shared" si="60"/>
        <v/>
      </c>
      <c r="O202" s="3" t="str">
        <f t="shared" si="47"/>
        <v/>
      </c>
      <c r="P202" s="3" t="str">
        <f t="shared" si="48"/>
        <v/>
      </c>
      <c r="Q202" s="3" t="str">
        <f t="shared" si="49"/>
        <v/>
      </c>
      <c r="R202" s="3" t="str">
        <f t="shared" si="50"/>
        <v/>
      </c>
      <c r="S202" s="3" t="str">
        <f>IF($L202&lt;&gt;"",IF($A202="Prepago",0,IF(ROUND($H202*$U$5,2)&gt;ROUND(SUM($S$11:$S201)+$U$5,2),$U$5*2,$U$5)),"")</f>
        <v/>
      </c>
      <c r="T202" s="3" t="str">
        <f>IF($L202&lt;&gt;"",IF($A202="Prepago",0,IF(ROUND($H202*$U$6,2)&gt;ROUND(SUM($T$11:$T201)+$U$6,2),$U$6*2,$U$6)),"")</f>
        <v/>
      </c>
      <c r="U202" s="3" t="str">
        <f>IF($L202&lt;&gt;"",IF($A202="Prepago",0,IF(ROUND($H202*$U$7,2)&gt;ROUND(SUM($U$11:$U201)+$U$7,2),$U$7*2,$U$7)),"")</f>
        <v/>
      </c>
      <c r="V202" s="3" t="str">
        <f>IF($L202&lt;&gt;"",IF($A202="Prepago",0,IF(ROUND($H202*$U$8,2)&gt;ROUND(SUM($V$11:$V201)+$U$8,2),$U$8*2,$U$8)),"")</f>
        <v/>
      </c>
      <c r="W202" s="3" t="str">
        <f t="shared" si="61"/>
        <v/>
      </c>
      <c r="X202" s="3" t="str">
        <f t="shared" si="51"/>
        <v/>
      </c>
      <c r="Y202" s="3" t="str">
        <f t="shared" si="52"/>
        <v/>
      </c>
      <c r="Z202" s="3" t="str">
        <f t="shared" si="53"/>
        <v/>
      </c>
      <c r="AA202" s="3" t="str">
        <f>IF($L202&lt;&gt;"",IF($N202&gt;Z$11,IF($N202&lt;AA$11,$N202-Z$11,30),0)*ROUND(($O202+$X201+SUM($Z202:Z202))*$V$5/3000,2),"")</f>
        <v/>
      </c>
      <c r="AB202" s="3"/>
      <c r="AC202" s="3"/>
    </row>
    <row r="203" spans="5:29" x14ac:dyDescent="0.3">
      <c r="E203" s="5"/>
      <c r="F203" t="str">
        <f t="shared" si="55"/>
        <v/>
      </c>
      <c r="G203" s="5" t="str">
        <f t="shared" si="45"/>
        <v/>
      </c>
      <c r="H203" t="str">
        <f t="shared" si="56"/>
        <v/>
      </c>
      <c r="I203" t="str">
        <f t="shared" si="46"/>
        <v/>
      </c>
      <c r="J203" t="str">
        <f t="shared" si="57"/>
        <v/>
      </c>
      <c r="K203" t="str">
        <f t="shared" si="58"/>
        <v/>
      </c>
      <c r="L203" t="str">
        <f t="shared" si="59"/>
        <v/>
      </c>
      <c r="M203" s="5" t="str">
        <f t="shared" si="54"/>
        <v/>
      </c>
      <c r="N203" s="7" t="str">
        <f t="shared" si="60"/>
        <v/>
      </c>
      <c r="O203" s="3" t="str">
        <f t="shared" si="47"/>
        <v/>
      </c>
      <c r="P203" s="3" t="str">
        <f t="shared" si="48"/>
        <v/>
      </c>
      <c r="Q203" s="3" t="str">
        <f t="shared" si="49"/>
        <v/>
      </c>
      <c r="R203" s="3" t="str">
        <f t="shared" si="50"/>
        <v/>
      </c>
      <c r="S203" s="3" t="str">
        <f>IF($L203&lt;&gt;"",IF($A203="Prepago",0,IF(ROUND($H203*$U$5,2)&gt;ROUND(SUM($S$11:$S202)+$U$5,2),$U$5*2,$U$5)),"")</f>
        <v/>
      </c>
      <c r="T203" s="3" t="str">
        <f>IF($L203&lt;&gt;"",IF($A203="Prepago",0,IF(ROUND($H203*$U$6,2)&gt;ROUND(SUM($T$11:$T202)+$U$6,2),$U$6*2,$U$6)),"")</f>
        <v/>
      </c>
      <c r="U203" s="3" t="str">
        <f>IF($L203&lt;&gt;"",IF($A203="Prepago",0,IF(ROUND($H203*$U$7,2)&gt;ROUND(SUM($U$11:$U202)+$U$7,2),$U$7*2,$U$7)),"")</f>
        <v/>
      </c>
      <c r="V203" s="3" t="str">
        <f>IF($L203&lt;&gt;"",IF($A203="Prepago",0,IF(ROUND($H203*$U$8,2)&gt;ROUND(SUM($V$11:$V202)+$U$8,2),$U$8*2,$U$8)),"")</f>
        <v/>
      </c>
      <c r="W203" s="3" t="str">
        <f t="shared" si="61"/>
        <v/>
      </c>
      <c r="X203" s="3" t="str">
        <f t="shared" si="51"/>
        <v/>
      </c>
      <c r="Y203" s="3" t="str">
        <f t="shared" si="52"/>
        <v/>
      </c>
      <c r="Z203" s="3" t="str">
        <f t="shared" si="53"/>
        <v/>
      </c>
      <c r="AA203" s="3" t="str">
        <f>IF($L203&lt;&gt;"",IF($N203&gt;Z$11,IF($N203&lt;AA$11,$N203-Z$11,30),0)*ROUND(($O203+$X202+SUM($Z203:Z203))*$V$5/3000,2),"")</f>
        <v/>
      </c>
      <c r="AB203" s="3"/>
      <c r="AC203" s="3"/>
    </row>
    <row r="204" spans="5:29" x14ac:dyDescent="0.3">
      <c r="E204" s="5"/>
      <c r="F204" t="str">
        <f t="shared" si="55"/>
        <v/>
      </c>
      <c r="G204" s="5" t="str">
        <f t="shared" ref="G204:G267" si="62">IF($L204&lt;&gt;"",EOMONTH(DATE(YEAR($M$11),MONTH($M$11)-IF(DAY($N$6)&lt;$N$7,1,0),DAY($M$11)),($H204*$A$1)+IF(MESADICIONAL=TRUE,1,0)),"")</f>
        <v/>
      </c>
      <c r="H204" t="str">
        <f t="shared" si="56"/>
        <v/>
      </c>
      <c r="I204" t="str">
        <f t="shared" ref="I204:I267" si="63">IF(L204&lt;&gt;"",IF(COUNTA($Z204:$XFD204)*30&lt;$N204,1,0),"")</f>
        <v/>
      </c>
      <c r="J204" t="str">
        <f t="shared" si="57"/>
        <v/>
      </c>
      <c r="K204" t="str">
        <f t="shared" si="58"/>
        <v/>
      </c>
      <c r="L204" t="str">
        <f t="shared" si="59"/>
        <v/>
      </c>
      <c r="M204" s="5" t="str">
        <f t="shared" si="54"/>
        <v/>
      </c>
      <c r="N204" s="7" t="str">
        <f t="shared" si="60"/>
        <v/>
      </c>
      <c r="O204" s="3" t="str">
        <f t="shared" ref="O204:O267" si="64">IF($L204&lt;&gt;"",$W203,"")</f>
        <v/>
      </c>
      <c r="P204" s="3" t="str">
        <f t="shared" ref="P204:P267" si="65">IF($L204&lt;&gt;"",IF($A204="Gracia Parcial",IF(AND($C204&lt;$Y204+$S204+$T204+$V204+$X203,$C204&gt;0),$C204,$Y204+$S204+$T204+$V204+$X203),IF($A204="Gracia Total",0,IF($A204="Prepago",$C204,IF(ISNUMBER($C204),$C204*VALUE(MID($C$1,MONTH($M204),1)),$Q$5*VALUE(MID($C$1,MONTH($M204),1))))))-IF($L205="",ARREGLO,0),"")</f>
        <v/>
      </c>
      <c r="Q204" s="3" t="str">
        <f t="shared" ref="Q204:Q267" si="66">IF($L204&lt;&gt;"",IF($P204-$R204&gt;0,IF($P204&gt;=$R204+$S204+$T204+$V204,$P204-$R204-$S204-$T204-$V204,P204),0),"")</f>
        <v/>
      </c>
      <c r="R204" s="3" t="str">
        <f t="shared" ref="R204:R267" si="67">IF($L204&lt;&gt;"",IF($P204&gt;IF($D204="",$Y204,$D204)+$X203+$S204+$T204+$V204,IF($D204="",$Y204,$D204)+$X203,IF($P204&gt;=$S204+$T204+$V204,$P204-$S204-$T204-$V204,IF($D204="",$Y204,$D204)+$X203)),"")</f>
        <v/>
      </c>
      <c r="S204" s="3" t="str">
        <f>IF($L204&lt;&gt;"",IF($A204="Prepago",0,IF(ROUND($H204*$U$5,2)&gt;ROUND(SUM($S$11:$S203)+$U$5,2),$U$5*2,$U$5)),"")</f>
        <v/>
      </c>
      <c r="T204" s="3" t="str">
        <f>IF($L204&lt;&gt;"",IF($A204="Prepago",0,IF(ROUND($H204*$U$6,2)&gt;ROUND(SUM($T$11:$T203)+$U$6,2),$U$6*2,$U$6)),"")</f>
        <v/>
      </c>
      <c r="U204" s="3" t="str">
        <f>IF($L204&lt;&gt;"",IF($A204="Prepago",0,IF(ROUND($H204*$U$7,2)&gt;ROUND(SUM($U$11:$U203)+$U$7,2),$U$7*2,$U$7)),"")</f>
        <v/>
      </c>
      <c r="V204" s="3" t="str">
        <f>IF($L204&lt;&gt;"",IF($A204="Prepago",0,IF(ROUND($H204*$U$8,2)&gt;ROUND(SUM($V$11:$V203)+$U$8,2),$U$8*2,$U$8)),"")</f>
        <v/>
      </c>
      <c r="W204" s="3" t="str">
        <f t="shared" si="61"/>
        <v/>
      </c>
      <c r="X204" s="3" t="str">
        <f t="shared" ref="X204:X267" si="68">IF($L204&lt;&gt;"",+$X203+IF($D204="",$Y204,$D204)-$R204,"")</f>
        <v/>
      </c>
      <c r="Y204" s="3" t="str">
        <f t="shared" ref="Y204:Y267" si="69">IF($L204&lt;&gt;"",SUM($Z204:$XFD204),"")</f>
        <v/>
      </c>
      <c r="Z204" s="3" t="str">
        <f t="shared" ref="Z204:Z267" si="70">IF($L204&lt;&gt;"",IF($N204&gt;Z$11,30,$N204)*ROUND(($O204+$X203)*$V$5/3000,2),"")</f>
        <v/>
      </c>
      <c r="AA204" s="3" t="str">
        <f>IF($L204&lt;&gt;"",IF($N204&gt;Z$11,IF($N204&lt;AA$11,$N204-Z$11,30),0)*ROUND(($O204+$X203+SUM($Z204:Z204))*$V$5/3000,2),"")</f>
        <v/>
      </c>
      <c r="AB204" s="3"/>
      <c r="AC204" s="3"/>
    </row>
    <row r="205" spans="5:29" x14ac:dyDescent="0.3">
      <c r="E205" s="5"/>
      <c r="F205" t="str">
        <f t="shared" si="55"/>
        <v/>
      </c>
      <c r="G205" s="5" t="str">
        <f t="shared" si="62"/>
        <v/>
      </c>
      <c r="H205" t="str">
        <f t="shared" si="56"/>
        <v/>
      </c>
      <c r="I205" t="str">
        <f t="shared" si="63"/>
        <v/>
      </c>
      <c r="J205" t="str">
        <f t="shared" si="57"/>
        <v/>
      </c>
      <c r="K205" t="str">
        <f t="shared" si="58"/>
        <v/>
      </c>
      <c r="L205" t="str">
        <f t="shared" si="59"/>
        <v/>
      </c>
      <c r="M205" s="5" t="str">
        <f t="shared" ref="M205:M268" si="71">IF($L205&lt;&gt;"",IF($E205="",IF(DAY($G205)&lt;$N$7,$G205,DATE(YEAR($G205),MONTH($G205),$N$7)),$E205),"")</f>
        <v/>
      </c>
      <c r="N205" s="7" t="str">
        <f t="shared" si="60"/>
        <v/>
      </c>
      <c r="O205" s="3" t="str">
        <f t="shared" si="64"/>
        <v/>
      </c>
      <c r="P205" s="3" t="str">
        <f t="shared" si="65"/>
        <v/>
      </c>
      <c r="Q205" s="3" t="str">
        <f t="shared" si="66"/>
        <v/>
      </c>
      <c r="R205" s="3" t="str">
        <f t="shared" si="67"/>
        <v/>
      </c>
      <c r="S205" s="3" t="str">
        <f>IF($L205&lt;&gt;"",IF($A205="Prepago",0,IF(ROUND($H205*$U$5,2)&gt;ROUND(SUM($S$11:$S204)+$U$5,2),$U$5*2,$U$5)),"")</f>
        <v/>
      </c>
      <c r="T205" s="3" t="str">
        <f>IF($L205&lt;&gt;"",IF($A205="Prepago",0,IF(ROUND($H205*$U$6,2)&gt;ROUND(SUM($T$11:$T204)+$U$6,2),$U$6*2,$U$6)),"")</f>
        <v/>
      </c>
      <c r="U205" s="3" t="str">
        <f>IF($L205&lt;&gt;"",IF($A205="Prepago",0,IF(ROUND($H205*$U$7,2)&gt;ROUND(SUM($U$11:$U204)+$U$7,2),$U$7*2,$U$7)),"")</f>
        <v/>
      </c>
      <c r="V205" s="3" t="str">
        <f>IF($L205&lt;&gt;"",IF($A205="Prepago",0,IF(ROUND($H205*$U$8,2)&gt;ROUND(SUM($V$11:$V204)+$U$8,2),$U$8*2,$U$8)),"")</f>
        <v/>
      </c>
      <c r="W205" s="3" t="str">
        <f t="shared" si="61"/>
        <v/>
      </c>
      <c r="X205" s="3" t="str">
        <f t="shared" si="68"/>
        <v/>
      </c>
      <c r="Y205" s="3" t="str">
        <f t="shared" si="69"/>
        <v/>
      </c>
      <c r="Z205" s="3" t="str">
        <f t="shared" si="70"/>
        <v/>
      </c>
      <c r="AA205" s="3" t="str">
        <f>IF($L205&lt;&gt;"",IF($N205&gt;Z$11,IF($N205&lt;AA$11,$N205-Z$11,30),0)*ROUND(($O205+$X204+SUM($Z205:Z205))*$V$5/3000,2),"")</f>
        <v/>
      </c>
      <c r="AB205" s="3"/>
      <c r="AC205" s="3"/>
    </row>
    <row r="206" spans="5:29" x14ac:dyDescent="0.3">
      <c r="E206" s="5"/>
      <c r="F206" t="str">
        <f t="shared" si="55"/>
        <v/>
      </c>
      <c r="G206" s="5" t="str">
        <f t="shared" si="62"/>
        <v/>
      </c>
      <c r="H206" t="str">
        <f t="shared" si="56"/>
        <v/>
      </c>
      <c r="I206" t="str">
        <f t="shared" si="63"/>
        <v/>
      </c>
      <c r="J206" t="str">
        <f t="shared" si="57"/>
        <v/>
      </c>
      <c r="K206" t="str">
        <f t="shared" si="58"/>
        <v/>
      </c>
      <c r="L206" t="str">
        <f t="shared" si="59"/>
        <v/>
      </c>
      <c r="M206" s="5" t="str">
        <f t="shared" si="71"/>
        <v/>
      </c>
      <c r="N206" s="7" t="str">
        <f t="shared" si="60"/>
        <v/>
      </c>
      <c r="O206" s="3" t="str">
        <f t="shared" si="64"/>
        <v/>
      </c>
      <c r="P206" s="3" t="str">
        <f t="shared" si="65"/>
        <v/>
      </c>
      <c r="Q206" s="3" t="str">
        <f t="shared" si="66"/>
        <v/>
      </c>
      <c r="R206" s="3" t="str">
        <f t="shared" si="67"/>
        <v/>
      </c>
      <c r="S206" s="3" t="str">
        <f>IF($L206&lt;&gt;"",IF($A206="Prepago",0,IF(ROUND($H206*$U$5,2)&gt;ROUND(SUM($S$11:$S205)+$U$5,2),$U$5*2,$U$5)),"")</f>
        <v/>
      </c>
      <c r="T206" s="3" t="str">
        <f>IF($L206&lt;&gt;"",IF($A206="Prepago",0,IF(ROUND($H206*$U$6,2)&gt;ROUND(SUM($T$11:$T205)+$U$6,2),$U$6*2,$U$6)),"")</f>
        <v/>
      </c>
      <c r="U206" s="3" t="str">
        <f>IF($L206&lt;&gt;"",IF($A206="Prepago",0,IF(ROUND($H206*$U$7,2)&gt;ROUND(SUM($U$11:$U205)+$U$7,2),$U$7*2,$U$7)),"")</f>
        <v/>
      </c>
      <c r="V206" s="3" t="str">
        <f>IF($L206&lt;&gt;"",IF($A206="Prepago",0,IF(ROUND($H206*$U$8,2)&gt;ROUND(SUM($V$11:$V205)+$U$8,2),$U$8*2,$U$8)),"")</f>
        <v/>
      </c>
      <c r="W206" s="3" t="str">
        <f t="shared" si="61"/>
        <v/>
      </c>
      <c r="X206" s="3" t="str">
        <f t="shared" si="68"/>
        <v/>
      </c>
      <c r="Y206" s="3" t="str">
        <f t="shared" si="69"/>
        <v/>
      </c>
      <c r="Z206" s="3" t="str">
        <f t="shared" si="70"/>
        <v/>
      </c>
      <c r="AA206" s="3" t="str">
        <f>IF($L206&lt;&gt;"",IF($N206&gt;Z$11,IF($N206&lt;AA$11,$N206-Z$11,30),0)*ROUND(($O206+$X205+SUM($Z206:Z206))*$V$5/3000,2),"")</f>
        <v/>
      </c>
      <c r="AB206" s="3"/>
      <c r="AC206" s="3"/>
    </row>
    <row r="207" spans="5:29" x14ac:dyDescent="0.3">
      <c r="E207" s="5"/>
      <c r="F207" t="str">
        <f t="shared" ref="F207:F220" si="72">IF($L207&lt;&gt;"",TEXT(M207,"DDD"),"")</f>
        <v/>
      </c>
      <c r="G207" s="5" t="str">
        <f t="shared" si="62"/>
        <v/>
      </c>
      <c r="H207" t="str">
        <f t="shared" ref="H207:H220" si="73">IF($L207&lt;&gt;"",IF($A207="Prepago",$H206,$H206+1)+B207,"")</f>
        <v/>
      </c>
      <c r="I207" t="str">
        <f t="shared" si="63"/>
        <v/>
      </c>
      <c r="J207" t="str">
        <f t="shared" ref="J207:J220" si="74">IF($L207&lt;&gt;"",IF(OR(A207&lt;&gt;"",C207&lt;&gt;""),1,0),"")</f>
        <v/>
      </c>
      <c r="K207" t="str">
        <f t="shared" ref="K207:K220" si="75">IF($L207&lt;&gt;"",IF(J207=1,Q207,0),"")</f>
        <v/>
      </c>
      <c r="L207" t="str">
        <f t="shared" si="59"/>
        <v/>
      </c>
      <c r="M207" s="5" t="str">
        <f t="shared" si="71"/>
        <v/>
      </c>
      <c r="N207" s="7" t="str">
        <f t="shared" si="60"/>
        <v/>
      </c>
      <c r="O207" s="3" t="str">
        <f t="shared" si="64"/>
        <v/>
      </c>
      <c r="P207" s="3" t="str">
        <f t="shared" si="65"/>
        <v/>
      </c>
      <c r="Q207" s="3" t="str">
        <f t="shared" si="66"/>
        <v/>
      </c>
      <c r="R207" s="3" t="str">
        <f t="shared" si="67"/>
        <v/>
      </c>
      <c r="S207" s="3" t="str">
        <f>IF($L207&lt;&gt;"",IF($A207="Prepago",0,IF(ROUND($H207*$U$5,2)&gt;ROUND(SUM($S$11:$S206)+$U$5,2),$U$5*2,$U$5)),"")</f>
        <v/>
      </c>
      <c r="T207" s="3" t="str">
        <f>IF($L207&lt;&gt;"",IF($A207="Prepago",0,IF(ROUND($H207*$U$6,2)&gt;ROUND(SUM($T$11:$T206)+$U$6,2),$U$6*2,$U$6)),"")</f>
        <v/>
      </c>
      <c r="U207" s="3" t="str">
        <f>IF($L207&lt;&gt;"",IF($A207="Prepago",0,IF(ROUND($H207*$U$7,2)&gt;ROUND(SUM($U$11:$U206)+$U$7,2),$U$7*2,$U$7)),"")</f>
        <v/>
      </c>
      <c r="V207" s="3" t="str">
        <f>IF($L207&lt;&gt;"",IF($A207="Prepago",0,IF(ROUND($H207*$U$8,2)&gt;ROUND(SUM($V$11:$V206)+$U$8,2),$U$8*2,$U$8)),"")</f>
        <v/>
      </c>
      <c r="W207" s="3" t="str">
        <f t="shared" si="61"/>
        <v/>
      </c>
      <c r="X207" s="3" t="str">
        <f t="shared" si="68"/>
        <v/>
      </c>
      <c r="Y207" s="3" t="str">
        <f t="shared" si="69"/>
        <v/>
      </c>
      <c r="Z207" s="3" t="str">
        <f t="shared" si="70"/>
        <v/>
      </c>
      <c r="AA207" s="3" t="str">
        <f>IF($L207&lt;&gt;"",IF($N207&gt;Z$11,IF($N207&lt;AA$11,$N207-Z$11,30),0)*ROUND(($O207+$X206+SUM($Z207:Z207))*$V$5/3000,2),"")</f>
        <v/>
      </c>
    </row>
    <row r="208" spans="5:29" x14ac:dyDescent="0.3">
      <c r="E208" s="5"/>
      <c r="F208" t="str">
        <f t="shared" si="72"/>
        <v/>
      </c>
      <c r="G208" s="5" t="str">
        <f t="shared" si="62"/>
        <v/>
      </c>
      <c r="H208" t="str">
        <f t="shared" si="73"/>
        <v/>
      </c>
      <c r="I208" t="str">
        <f t="shared" si="63"/>
        <v/>
      </c>
      <c r="J208" t="str">
        <f t="shared" si="74"/>
        <v/>
      </c>
      <c r="K208" t="str">
        <f t="shared" si="75"/>
        <v/>
      </c>
      <c r="L208" t="str">
        <f t="shared" si="59"/>
        <v/>
      </c>
      <c r="M208" s="5" t="str">
        <f t="shared" si="71"/>
        <v/>
      </c>
      <c r="N208" s="7" t="str">
        <f t="shared" si="60"/>
        <v/>
      </c>
      <c r="O208" s="3" t="str">
        <f t="shared" si="64"/>
        <v/>
      </c>
      <c r="P208" s="3" t="str">
        <f t="shared" si="65"/>
        <v/>
      </c>
      <c r="Q208" s="3" t="str">
        <f t="shared" si="66"/>
        <v/>
      </c>
      <c r="R208" s="3" t="str">
        <f t="shared" si="67"/>
        <v/>
      </c>
      <c r="S208" s="3" t="str">
        <f>IF($L208&lt;&gt;"",IF($A208="Prepago",0,IF(ROUND($H208*$U$5,2)&gt;ROUND(SUM($S$11:$S207)+$U$5,2),$U$5*2,$U$5)),"")</f>
        <v/>
      </c>
      <c r="T208" s="3" t="str">
        <f>IF($L208&lt;&gt;"",IF($A208="Prepago",0,IF(ROUND($H208*$U$6,2)&gt;ROUND(SUM($T$11:$T207)+$U$6,2),$U$6*2,$U$6)),"")</f>
        <v/>
      </c>
      <c r="U208" s="3" t="str">
        <f>IF($L208&lt;&gt;"",IF($A208="Prepago",0,IF(ROUND($H208*$U$7,2)&gt;ROUND(SUM($U$11:$U207)+$U$7,2),$U$7*2,$U$7)),"")</f>
        <v/>
      </c>
      <c r="V208" s="3" t="str">
        <f>IF($L208&lt;&gt;"",IF($A208="Prepago",0,IF(ROUND($H208*$U$8,2)&gt;ROUND(SUM($V$11:$V207)+$U$8,2),$U$8*2,$U$8)),"")</f>
        <v/>
      </c>
      <c r="W208" s="3" t="str">
        <f t="shared" si="61"/>
        <v/>
      </c>
      <c r="X208" s="3" t="str">
        <f t="shared" si="68"/>
        <v/>
      </c>
      <c r="Y208" s="3" t="str">
        <f t="shared" si="69"/>
        <v/>
      </c>
      <c r="Z208" s="3" t="str">
        <f t="shared" si="70"/>
        <v/>
      </c>
      <c r="AA208" s="3" t="str">
        <f>IF($L208&lt;&gt;"",IF($N208&gt;Z$11,IF($N208&lt;AA$11,$N208-Z$11,30),0)*ROUND(($O208+$X207+SUM($Z208:Z208))*$V$5/3000,2),"")</f>
        <v/>
      </c>
    </row>
    <row r="209" spans="5:27" x14ac:dyDescent="0.3">
      <c r="E209" s="5"/>
      <c r="F209" t="str">
        <f t="shared" si="72"/>
        <v/>
      </c>
      <c r="G209" s="5" t="str">
        <f t="shared" si="62"/>
        <v/>
      </c>
      <c r="H209" t="str">
        <f t="shared" si="73"/>
        <v/>
      </c>
      <c r="I209" t="str">
        <f t="shared" si="63"/>
        <v/>
      </c>
      <c r="J209" t="str">
        <f t="shared" si="74"/>
        <v/>
      </c>
      <c r="K209" t="str">
        <f t="shared" si="75"/>
        <v/>
      </c>
      <c r="L209" t="str">
        <f t="shared" si="59"/>
        <v/>
      </c>
      <c r="M209" s="5" t="str">
        <f t="shared" si="71"/>
        <v/>
      </c>
      <c r="N209" s="7" t="str">
        <f t="shared" si="60"/>
        <v/>
      </c>
      <c r="O209" s="3" t="str">
        <f t="shared" si="64"/>
        <v/>
      </c>
      <c r="P209" s="3" t="str">
        <f t="shared" si="65"/>
        <v/>
      </c>
      <c r="Q209" s="3" t="str">
        <f t="shared" si="66"/>
        <v/>
      </c>
      <c r="R209" s="3" t="str">
        <f t="shared" si="67"/>
        <v/>
      </c>
      <c r="S209" s="3" t="str">
        <f>IF($L209&lt;&gt;"",IF($A209="Prepago",0,IF(ROUND($H209*$U$5,2)&gt;ROUND(SUM($S$11:$S208)+$U$5,2),$U$5*2,$U$5)),"")</f>
        <v/>
      </c>
      <c r="T209" s="3" t="str">
        <f>IF($L209&lt;&gt;"",IF($A209="Prepago",0,IF(ROUND($H209*$U$6,2)&gt;ROUND(SUM($T$11:$T208)+$U$6,2),$U$6*2,$U$6)),"")</f>
        <v/>
      </c>
      <c r="U209" s="3" t="str">
        <f>IF($L209&lt;&gt;"",IF($A209="Prepago",0,IF(ROUND($H209*$U$7,2)&gt;ROUND(SUM($U$11:$U208)+$U$7,2),$U$7*2,$U$7)),"")</f>
        <v/>
      </c>
      <c r="V209" s="3" t="str">
        <f>IF($L209&lt;&gt;"",IF($A209="Prepago",0,IF(ROUND($H209*$U$8,2)&gt;ROUND(SUM($V$11:$V208)+$U$8,2),$U$8*2,$U$8)),"")</f>
        <v/>
      </c>
      <c r="W209" s="3" t="str">
        <f t="shared" si="61"/>
        <v/>
      </c>
      <c r="X209" s="3" t="str">
        <f t="shared" si="68"/>
        <v/>
      </c>
      <c r="Y209" s="3" t="str">
        <f t="shared" si="69"/>
        <v/>
      </c>
      <c r="Z209" s="3" t="str">
        <f t="shared" si="70"/>
        <v/>
      </c>
      <c r="AA209" s="3" t="str">
        <f>IF($L209&lt;&gt;"",IF($N209&gt;Z$11,IF($N209&lt;AA$11,$N209-Z$11,30),0)*ROUND(($O209+$X208+SUM($Z209:Z209))*$V$5/3000,2),"")</f>
        <v/>
      </c>
    </row>
    <row r="210" spans="5:27" x14ac:dyDescent="0.3">
      <c r="E210" s="5"/>
      <c r="F210" t="str">
        <f t="shared" si="72"/>
        <v/>
      </c>
      <c r="G210" s="5" t="str">
        <f t="shared" si="62"/>
        <v/>
      </c>
      <c r="H210" t="str">
        <f t="shared" si="73"/>
        <v/>
      </c>
      <c r="I210" t="str">
        <f t="shared" si="63"/>
        <v/>
      </c>
      <c r="J210" t="str">
        <f t="shared" si="74"/>
        <v/>
      </c>
      <c r="K210" t="str">
        <f t="shared" si="75"/>
        <v/>
      </c>
      <c r="L210" t="str">
        <f t="shared" si="59"/>
        <v/>
      </c>
      <c r="M210" s="5" t="str">
        <f t="shared" si="71"/>
        <v/>
      </c>
      <c r="N210" s="7" t="str">
        <f t="shared" si="60"/>
        <v/>
      </c>
      <c r="O210" s="3" t="str">
        <f t="shared" si="64"/>
        <v/>
      </c>
      <c r="P210" s="3" t="str">
        <f t="shared" si="65"/>
        <v/>
      </c>
      <c r="Q210" s="3" t="str">
        <f t="shared" si="66"/>
        <v/>
      </c>
      <c r="R210" s="3" t="str">
        <f t="shared" si="67"/>
        <v/>
      </c>
      <c r="S210" s="3" t="str">
        <f>IF($L210&lt;&gt;"",IF($A210="Prepago",0,IF(ROUND($H210*$U$5,2)&gt;ROUND(SUM($S$11:$S209)+$U$5,2),$U$5*2,$U$5)),"")</f>
        <v/>
      </c>
      <c r="T210" s="3" t="str">
        <f>IF($L210&lt;&gt;"",IF($A210="Prepago",0,IF(ROUND($H210*$U$6,2)&gt;ROUND(SUM($T$11:$T209)+$U$6,2),$U$6*2,$U$6)),"")</f>
        <v/>
      </c>
      <c r="U210" s="3" t="str">
        <f>IF($L210&lt;&gt;"",IF($A210="Prepago",0,IF(ROUND($H210*$U$7,2)&gt;ROUND(SUM($U$11:$U209)+$U$7,2),$U$7*2,$U$7)),"")</f>
        <v/>
      </c>
      <c r="V210" s="3" t="str">
        <f>IF($L210&lt;&gt;"",IF($A210="Prepago",0,IF(ROUND($H210*$U$8,2)&gt;ROUND(SUM($V$11:$V209)+$U$8,2),$U$8*2,$U$8)),"")</f>
        <v/>
      </c>
      <c r="W210" s="3" t="str">
        <f t="shared" si="61"/>
        <v/>
      </c>
      <c r="X210" s="3" t="str">
        <f t="shared" si="68"/>
        <v/>
      </c>
      <c r="Y210" s="3" t="str">
        <f t="shared" si="69"/>
        <v/>
      </c>
      <c r="Z210" s="3" t="str">
        <f t="shared" si="70"/>
        <v/>
      </c>
      <c r="AA210" s="3" t="str">
        <f>IF($L210&lt;&gt;"",IF($N210&gt;Z$11,IF($N210&lt;AA$11,$N210-Z$11,30),0)*ROUND(($O210+$X209+SUM($Z210:Z210))*$V$5/3000,2),"")</f>
        <v/>
      </c>
    </row>
    <row r="211" spans="5:27" x14ac:dyDescent="0.3">
      <c r="E211" s="5"/>
      <c r="F211" t="str">
        <f t="shared" si="72"/>
        <v/>
      </c>
      <c r="G211" s="5" t="str">
        <f t="shared" si="62"/>
        <v/>
      </c>
      <c r="H211" t="str">
        <f t="shared" si="73"/>
        <v/>
      </c>
      <c r="I211" t="str">
        <f t="shared" si="63"/>
        <v/>
      </c>
      <c r="J211" t="str">
        <f t="shared" si="74"/>
        <v/>
      </c>
      <c r="K211" t="str">
        <f t="shared" si="75"/>
        <v/>
      </c>
      <c r="L211" t="str">
        <f t="shared" si="59"/>
        <v/>
      </c>
      <c r="M211" s="5" t="str">
        <f t="shared" si="71"/>
        <v/>
      </c>
      <c r="N211" s="7" t="str">
        <f t="shared" si="60"/>
        <v/>
      </c>
      <c r="O211" s="3" t="str">
        <f t="shared" si="64"/>
        <v/>
      </c>
      <c r="P211" s="3" t="str">
        <f t="shared" si="65"/>
        <v/>
      </c>
      <c r="Q211" s="3" t="str">
        <f t="shared" si="66"/>
        <v/>
      </c>
      <c r="R211" s="3" t="str">
        <f t="shared" si="67"/>
        <v/>
      </c>
      <c r="S211" s="3" t="str">
        <f>IF($L211&lt;&gt;"",IF($A211="Prepago",0,IF(ROUND($H211*$U$5,2)&gt;ROUND(SUM($S$11:$S210)+$U$5,2),$U$5*2,$U$5)),"")</f>
        <v/>
      </c>
      <c r="T211" s="3" t="str">
        <f>IF($L211&lt;&gt;"",IF($A211="Prepago",0,IF(ROUND($H211*$U$6,2)&gt;ROUND(SUM($T$11:$T210)+$U$6,2),$U$6*2,$U$6)),"")</f>
        <v/>
      </c>
      <c r="U211" s="3" t="str">
        <f>IF($L211&lt;&gt;"",IF($A211="Prepago",0,IF(ROUND($H211*$U$7,2)&gt;ROUND(SUM($U$11:$U210)+$U$7,2),$U$7*2,$U$7)),"")</f>
        <v/>
      </c>
      <c r="V211" s="3" t="str">
        <f>IF($L211&lt;&gt;"",IF($A211="Prepago",0,IF(ROUND($H211*$U$8,2)&gt;ROUND(SUM($V$11:$V210)+$U$8,2),$U$8*2,$U$8)),"")</f>
        <v/>
      </c>
      <c r="W211" s="3" t="str">
        <f t="shared" si="61"/>
        <v/>
      </c>
      <c r="X211" s="3" t="str">
        <f t="shared" si="68"/>
        <v/>
      </c>
      <c r="Y211" s="3" t="str">
        <f t="shared" si="69"/>
        <v/>
      </c>
      <c r="Z211" s="3" t="str">
        <f t="shared" si="70"/>
        <v/>
      </c>
      <c r="AA211" s="3" t="str">
        <f>IF($L211&lt;&gt;"",IF($N211&gt;Z$11,IF($N211&lt;AA$11,$N211-Z$11,30),0)*ROUND(($O211+$X210+SUM($Z211:Z211))*$V$5/3000,2),"")</f>
        <v/>
      </c>
    </row>
    <row r="212" spans="5:27" x14ac:dyDescent="0.3">
      <c r="E212" s="5"/>
      <c r="F212" t="str">
        <f t="shared" si="72"/>
        <v/>
      </c>
      <c r="G212" s="5" t="str">
        <f t="shared" si="62"/>
        <v/>
      </c>
      <c r="H212" t="str">
        <f t="shared" si="73"/>
        <v/>
      </c>
      <c r="I212" t="str">
        <f t="shared" si="63"/>
        <v/>
      </c>
      <c r="J212" t="str">
        <f t="shared" si="74"/>
        <v/>
      </c>
      <c r="K212" t="str">
        <f t="shared" si="75"/>
        <v/>
      </c>
      <c r="L212" t="str">
        <f t="shared" si="59"/>
        <v/>
      </c>
      <c r="M212" s="5" t="str">
        <f t="shared" si="71"/>
        <v/>
      </c>
      <c r="N212" s="7" t="str">
        <f t="shared" si="60"/>
        <v/>
      </c>
      <c r="O212" s="3" t="str">
        <f t="shared" si="64"/>
        <v/>
      </c>
      <c r="P212" s="3" t="str">
        <f t="shared" si="65"/>
        <v/>
      </c>
      <c r="Q212" s="3" t="str">
        <f t="shared" si="66"/>
        <v/>
      </c>
      <c r="R212" s="3" t="str">
        <f t="shared" si="67"/>
        <v/>
      </c>
      <c r="S212" s="3" t="str">
        <f>IF($L212&lt;&gt;"",IF($A212="Prepago",0,IF(ROUND($H212*$U$5,2)&gt;ROUND(SUM($S$11:$S211)+$U$5,2),$U$5*2,$U$5)),"")</f>
        <v/>
      </c>
      <c r="T212" s="3" t="str">
        <f>IF($L212&lt;&gt;"",IF($A212="Prepago",0,IF(ROUND($H212*$U$6,2)&gt;ROUND(SUM($T$11:$T211)+$U$6,2),$U$6*2,$U$6)),"")</f>
        <v/>
      </c>
      <c r="U212" s="3" t="str">
        <f>IF($L212&lt;&gt;"",IF($A212="Prepago",0,IF(ROUND($H212*$U$7,2)&gt;ROUND(SUM($U$11:$U211)+$U$7,2),$U$7*2,$U$7)),"")</f>
        <v/>
      </c>
      <c r="V212" s="3" t="str">
        <f>IF($L212&lt;&gt;"",IF($A212="Prepago",0,IF(ROUND($H212*$U$8,2)&gt;ROUND(SUM($V$11:$V211)+$U$8,2),$U$8*2,$U$8)),"")</f>
        <v/>
      </c>
      <c r="W212" s="3" t="str">
        <f t="shared" si="61"/>
        <v/>
      </c>
      <c r="X212" s="3" t="str">
        <f t="shared" si="68"/>
        <v/>
      </c>
      <c r="Y212" s="3" t="str">
        <f t="shared" si="69"/>
        <v/>
      </c>
      <c r="Z212" s="3" t="str">
        <f t="shared" si="70"/>
        <v/>
      </c>
      <c r="AA212" s="3" t="str">
        <f>IF($L212&lt;&gt;"",IF($N212&gt;Z$11,IF($N212&lt;AA$11,$N212-Z$11,30),0)*ROUND(($O212+$X211+SUM($Z212:Z212))*$V$5/3000,2),"")</f>
        <v/>
      </c>
    </row>
    <row r="213" spans="5:27" x14ac:dyDescent="0.3">
      <c r="E213" s="5"/>
      <c r="F213" t="str">
        <f t="shared" si="72"/>
        <v/>
      </c>
      <c r="G213" s="5" t="str">
        <f t="shared" si="62"/>
        <v/>
      </c>
      <c r="H213" t="str">
        <f t="shared" si="73"/>
        <v/>
      </c>
      <c r="I213" t="str">
        <f t="shared" si="63"/>
        <v/>
      </c>
      <c r="J213" t="str">
        <f t="shared" si="74"/>
        <v/>
      </c>
      <c r="K213" t="str">
        <f t="shared" si="75"/>
        <v/>
      </c>
      <c r="L213" t="str">
        <f t="shared" si="59"/>
        <v/>
      </c>
      <c r="M213" s="5" t="str">
        <f t="shared" si="71"/>
        <v/>
      </c>
      <c r="N213" s="7" t="str">
        <f t="shared" si="60"/>
        <v/>
      </c>
      <c r="O213" s="3" t="str">
        <f t="shared" si="64"/>
        <v/>
      </c>
      <c r="P213" s="3" t="str">
        <f t="shared" si="65"/>
        <v/>
      </c>
      <c r="Q213" s="3" t="str">
        <f t="shared" si="66"/>
        <v/>
      </c>
      <c r="R213" s="3" t="str">
        <f t="shared" si="67"/>
        <v/>
      </c>
      <c r="S213" s="3" t="str">
        <f>IF($L213&lt;&gt;"",IF($A213="Prepago",0,IF(ROUND($H213*$U$5,2)&gt;ROUND(SUM($S$11:$S212)+$U$5,2),$U$5*2,$U$5)),"")</f>
        <v/>
      </c>
      <c r="T213" s="3" t="str">
        <f>IF($L213&lt;&gt;"",IF($A213="Prepago",0,IF(ROUND($H213*$U$6,2)&gt;ROUND(SUM($T$11:$T212)+$U$6,2),$U$6*2,$U$6)),"")</f>
        <v/>
      </c>
      <c r="U213" s="3" t="str">
        <f>IF($L213&lt;&gt;"",IF($A213="Prepago",0,IF(ROUND($H213*$U$7,2)&gt;ROUND(SUM($U$11:$U212)+$U$7,2),$U$7*2,$U$7)),"")</f>
        <v/>
      </c>
      <c r="V213" s="3" t="str">
        <f>IF($L213&lt;&gt;"",IF($A213="Prepago",0,IF(ROUND($H213*$U$8,2)&gt;ROUND(SUM($V$11:$V212)+$U$8,2),$U$8*2,$U$8)),"")</f>
        <v/>
      </c>
      <c r="W213" s="3" t="str">
        <f t="shared" si="61"/>
        <v/>
      </c>
      <c r="X213" s="3" t="str">
        <f t="shared" si="68"/>
        <v/>
      </c>
      <c r="Y213" s="3" t="str">
        <f t="shared" si="69"/>
        <v/>
      </c>
      <c r="Z213" s="3" t="str">
        <f t="shared" si="70"/>
        <v/>
      </c>
      <c r="AA213" s="3" t="str">
        <f>IF($L213&lt;&gt;"",IF($N213&gt;Z$11,IF($N213&lt;AA$11,$N213-Z$11,30),0)*ROUND(($O213+$X212+SUM($Z213:Z213))*$V$5/3000,2),"")</f>
        <v/>
      </c>
    </row>
    <row r="214" spans="5:27" x14ac:dyDescent="0.3">
      <c r="E214" s="5"/>
      <c r="F214" t="str">
        <f t="shared" si="72"/>
        <v/>
      </c>
      <c r="G214" s="5" t="str">
        <f t="shared" si="62"/>
        <v/>
      </c>
      <c r="H214" t="str">
        <f t="shared" si="73"/>
        <v/>
      </c>
      <c r="I214" t="str">
        <f t="shared" si="63"/>
        <v/>
      </c>
      <c r="J214" t="str">
        <f t="shared" si="74"/>
        <v/>
      </c>
      <c r="K214" t="str">
        <f t="shared" si="75"/>
        <v/>
      </c>
      <c r="L214" t="str">
        <f t="shared" si="59"/>
        <v/>
      </c>
      <c r="M214" s="5" t="str">
        <f t="shared" si="71"/>
        <v/>
      </c>
      <c r="N214" s="7" t="str">
        <f t="shared" si="60"/>
        <v/>
      </c>
      <c r="O214" s="3" t="str">
        <f t="shared" si="64"/>
        <v/>
      </c>
      <c r="P214" s="3" t="str">
        <f t="shared" si="65"/>
        <v/>
      </c>
      <c r="Q214" s="3" t="str">
        <f t="shared" si="66"/>
        <v/>
      </c>
      <c r="R214" s="3" t="str">
        <f t="shared" si="67"/>
        <v/>
      </c>
      <c r="S214" s="3" t="str">
        <f>IF($L214&lt;&gt;"",IF($A214="Prepago",0,IF(ROUND($H214*$U$5,2)&gt;ROUND(SUM($S$11:$S213)+$U$5,2),$U$5*2,$U$5)),"")</f>
        <v/>
      </c>
      <c r="T214" s="3" t="str">
        <f>IF($L214&lt;&gt;"",IF($A214="Prepago",0,IF(ROUND($H214*$U$6,2)&gt;ROUND(SUM($T$11:$T213)+$U$6,2),$U$6*2,$U$6)),"")</f>
        <v/>
      </c>
      <c r="U214" s="3" t="str">
        <f>IF($L214&lt;&gt;"",IF($A214="Prepago",0,IF(ROUND($H214*$U$7,2)&gt;ROUND(SUM($U$11:$U213)+$U$7,2),$U$7*2,$U$7)),"")</f>
        <v/>
      </c>
      <c r="V214" s="3" t="str">
        <f>IF($L214&lt;&gt;"",IF($A214="Prepago",0,IF(ROUND($H214*$U$8,2)&gt;ROUND(SUM($V$11:$V213)+$U$8,2),$U$8*2,$U$8)),"")</f>
        <v/>
      </c>
      <c r="W214" s="3" t="str">
        <f t="shared" si="61"/>
        <v/>
      </c>
      <c r="X214" s="3" t="str">
        <f t="shared" si="68"/>
        <v/>
      </c>
      <c r="Y214" s="3" t="str">
        <f t="shared" si="69"/>
        <v/>
      </c>
      <c r="Z214" s="3" t="str">
        <f t="shared" si="70"/>
        <v/>
      </c>
      <c r="AA214" s="3" t="str">
        <f>IF($L214&lt;&gt;"",IF($N214&gt;Z$11,IF($N214&lt;AA$11,$N214-Z$11,30),0)*ROUND(($O214+$X213+SUM($Z214:Z214))*$V$5/3000,2),"")</f>
        <v/>
      </c>
    </row>
    <row r="215" spans="5:27" x14ac:dyDescent="0.3">
      <c r="E215" s="5"/>
      <c r="F215" t="str">
        <f t="shared" si="72"/>
        <v/>
      </c>
      <c r="G215" s="5" t="str">
        <f t="shared" si="62"/>
        <v/>
      </c>
      <c r="H215" t="str">
        <f t="shared" si="73"/>
        <v/>
      </c>
      <c r="I215" t="str">
        <f t="shared" si="63"/>
        <v/>
      </c>
      <c r="J215" t="str">
        <f t="shared" si="74"/>
        <v/>
      </c>
      <c r="K215" t="str">
        <f t="shared" si="75"/>
        <v/>
      </c>
      <c r="L215" t="str">
        <f t="shared" si="59"/>
        <v/>
      </c>
      <c r="M215" s="5" t="str">
        <f t="shared" si="71"/>
        <v/>
      </c>
      <c r="N215" s="7" t="str">
        <f t="shared" si="60"/>
        <v/>
      </c>
      <c r="O215" s="3" t="str">
        <f t="shared" si="64"/>
        <v/>
      </c>
      <c r="P215" s="3" t="str">
        <f t="shared" si="65"/>
        <v/>
      </c>
      <c r="Q215" s="3" t="str">
        <f t="shared" si="66"/>
        <v/>
      </c>
      <c r="R215" s="3" t="str">
        <f t="shared" si="67"/>
        <v/>
      </c>
      <c r="S215" s="3" t="str">
        <f>IF($L215&lt;&gt;"",IF($A215="Prepago",0,IF(ROUND($H215*$U$5,2)&gt;ROUND(SUM($S$11:$S214)+$U$5,2),$U$5*2,$U$5)),"")</f>
        <v/>
      </c>
      <c r="T215" s="3" t="str">
        <f>IF($L215&lt;&gt;"",IF($A215="Prepago",0,IF(ROUND($H215*$U$6,2)&gt;ROUND(SUM($T$11:$T214)+$U$6,2),$U$6*2,$U$6)),"")</f>
        <v/>
      </c>
      <c r="U215" s="3" t="str">
        <f>IF($L215&lt;&gt;"",IF($A215="Prepago",0,IF(ROUND($H215*$U$7,2)&gt;ROUND(SUM($U$11:$U214)+$U$7,2),$U$7*2,$U$7)),"")</f>
        <v/>
      </c>
      <c r="V215" s="3" t="str">
        <f>IF($L215&lt;&gt;"",IF($A215="Prepago",0,IF(ROUND($H215*$U$8,2)&gt;ROUND(SUM($V$11:$V214)+$U$8,2),$U$8*2,$U$8)),"")</f>
        <v/>
      </c>
      <c r="W215" s="3" t="str">
        <f t="shared" si="61"/>
        <v/>
      </c>
      <c r="X215" s="3" t="str">
        <f t="shared" si="68"/>
        <v/>
      </c>
      <c r="Y215" s="3" t="str">
        <f t="shared" si="69"/>
        <v/>
      </c>
      <c r="Z215" s="3" t="str">
        <f t="shared" si="70"/>
        <v/>
      </c>
      <c r="AA215" s="3" t="str">
        <f>IF($L215&lt;&gt;"",IF($N215&gt;Z$11,IF($N215&lt;AA$11,$N215-Z$11,30),0)*ROUND(($O215+$X214+SUM($Z215:Z215))*$V$5/3000,2),"")</f>
        <v/>
      </c>
    </row>
    <row r="216" spans="5:27" x14ac:dyDescent="0.3">
      <c r="E216" s="5"/>
      <c r="F216" t="str">
        <f t="shared" si="72"/>
        <v/>
      </c>
      <c r="G216" s="5" t="str">
        <f t="shared" si="62"/>
        <v/>
      </c>
      <c r="H216" t="str">
        <f t="shared" si="73"/>
        <v/>
      </c>
      <c r="I216" t="str">
        <f t="shared" si="63"/>
        <v/>
      </c>
      <c r="J216" t="str">
        <f t="shared" si="74"/>
        <v/>
      </c>
      <c r="K216" t="str">
        <f t="shared" si="75"/>
        <v/>
      </c>
      <c r="L216" t="str">
        <f t="shared" si="59"/>
        <v/>
      </c>
      <c r="M216" s="5" t="str">
        <f t="shared" si="71"/>
        <v/>
      </c>
      <c r="N216" s="7" t="str">
        <f t="shared" si="60"/>
        <v/>
      </c>
      <c r="O216" s="3" t="str">
        <f t="shared" si="64"/>
        <v/>
      </c>
      <c r="P216" s="3" t="str">
        <f t="shared" si="65"/>
        <v/>
      </c>
      <c r="Q216" s="3" t="str">
        <f t="shared" si="66"/>
        <v/>
      </c>
      <c r="R216" s="3" t="str">
        <f t="shared" si="67"/>
        <v/>
      </c>
      <c r="S216" s="3" t="str">
        <f>IF($L216&lt;&gt;"",IF($A216="Prepago",0,IF(ROUND($H216*$U$5,2)&gt;ROUND(SUM($S$11:$S215)+$U$5,2),$U$5*2,$U$5)),"")</f>
        <v/>
      </c>
      <c r="T216" s="3" t="str">
        <f>IF($L216&lt;&gt;"",IF($A216="Prepago",0,IF(ROUND($H216*$U$6,2)&gt;ROUND(SUM($T$11:$T215)+$U$6,2),$U$6*2,$U$6)),"")</f>
        <v/>
      </c>
      <c r="U216" s="3" t="str">
        <f>IF($L216&lt;&gt;"",IF($A216="Prepago",0,IF(ROUND($H216*$U$7,2)&gt;ROUND(SUM($U$11:$U215)+$U$7,2),$U$7*2,$U$7)),"")</f>
        <v/>
      </c>
      <c r="V216" s="3" t="str">
        <f>IF($L216&lt;&gt;"",IF($A216="Prepago",0,IF(ROUND($H216*$U$8,2)&gt;ROUND(SUM($V$11:$V215)+$U$8,2),$U$8*2,$U$8)),"")</f>
        <v/>
      </c>
      <c r="W216" s="3" t="str">
        <f t="shared" si="61"/>
        <v/>
      </c>
      <c r="X216" s="3" t="str">
        <f t="shared" si="68"/>
        <v/>
      </c>
      <c r="Y216" s="3" t="str">
        <f t="shared" si="69"/>
        <v/>
      </c>
      <c r="Z216" s="3" t="str">
        <f t="shared" si="70"/>
        <v/>
      </c>
      <c r="AA216" s="3" t="str">
        <f>IF($L216&lt;&gt;"",IF($N216&gt;Z$11,IF($N216&lt;AA$11,$N216-Z$11,30),0)*ROUND(($O216+$X215+SUM($Z216:Z216))*$V$5/3000,2),"")</f>
        <v/>
      </c>
    </row>
    <row r="217" spans="5:27" x14ac:dyDescent="0.3">
      <c r="E217" s="5"/>
      <c r="F217" t="str">
        <f t="shared" si="72"/>
        <v/>
      </c>
      <c r="G217" s="5" t="str">
        <f t="shared" si="62"/>
        <v/>
      </c>
      <c r="H217" t="str">
        <f t="shared" si="73"/>
        <v/>
      </c>
      <c r="I217" t="str">
        <f t="shared" si="63"/>
        <v/>
      </c>
      <c r="J217" t="str">
        <f t="shared" si="74"/>
        <v/>
      </c>
      <c r="K217" t="str">
        <f t="shared" si="75"/>
        <v/>
      </c>
      <c r="L217" t="str">
        <f t="shared" si="59"/>
        <v/>
      </c>
      <c r="M217" s="5" t="str">
        <f t="shared" si="71"/>
        <v/>
      </c>
      <c r="N217" s="7" t="str">
        <f t="shared" si="60"/>
        <v/>
      </c>
      <c r="O217" s="3" t="str">
        <f t="shared" si="64"/>
        <v/>
      </c>
      <c r="P217" s="3" t="str">
        <f t="shared" si="65"/>
        <v/>
      </c>
      <c r="Q217" s="3" t="str">
        <f t="shared" si="66"/>
        <v/>
      </c>
      <c r="R217" s="3" t="str">
        <f t="shared" si="67"/>
        <v/>
      </c>
      <c r="S217" s="3" t="str">
        <f>IF($L217&lt;&gt;"",IF($A217="Prepago",0,IF(ROUND($H217*$U$5,2)&gt;ROUND(SUM($S$11:$S216)+$U$5,2),$U$5*2,$U$5)),"")</f>
        <v/>
      </c>
      <c r="T217" s="3" t="str">
        <f>IF($L217&lt;&gt;"",IF($A217="Prepago",0,IF(ROUND($H217*$U$6,2)&gt;ROUND(SUM($T$11:$T216)+$U$6,2),$U$6*2,$U$6)),"")</f>
        <v/>
      </c>
      <c r="U217" s="3" t="str">
        <f>IF($L217&lt;&gt;"",IF($A217="Prepago",0,IF(ROUND($H217*$U$7,2)&gt;ROUND(SUM($U$11:$U216)+$U$7,2),$U$7*2,$U$7)),"")</f>
        <v/>
      </c>
      <c r="V217" s="3" t="str">
        <f>IF($L217&lt;&gt;"",IF($A217="Prepago",0,IF(ROUND($H217*$U$8,2)&gt;ROUND(SUM($V$11:$V216)+$U$8,2),$U$8*2,$U$8)),"")</f>
        <v/>
      </c>
      <c r="W217" s="3" t="str">
        <f t="shared" si="61"/>
        <v/>
      </c>
      <c r="X217" s="3" t="str">
        <f t="shared" si="68"/>
        <v/>
      </c>
      <c r="Y217" s="3" t="str">
        <f t="shared" si="69"/>
        <v/>
      </c>
      <c r="Z217" s="3" t="str">
        <f t="shared" si="70"/>
        <v/>
      </c>
      <c r="AA217" s="3" t="str">
        <f>IF($L217&lt;&gt;"",IF($N217&gt;Z$11,IF($N217&lt;AA$11,$N217-Z$11,30),0)*ROUND(($O217+$X216+SUM($Z217:Z217))*$V$5/3000,2),"")</f>
        <v/>
      </c>
    </row>
    <row r="218" spans="5:27" x14ac:dyDescent="0.3">
      <c r="E218" s="5"/>
      <c r="F218" t="str">
        <f t="shared" si="72"/>
        <v/>
      </c>
      <c r="G218" s="5" t="str">
        <f t="shared" si="62"/>
        <v/>
      </c>
      <c r="H218" t="str">
        <f t="shared" si="73"/>
        <v/>
      </c>
      <c r="I218" t="str">
        <f t="shared" si="63"/>
        <v/>
      </c>
      <c r="J218" t="str">
        <f t="shared" si="74"/>
        <v/>
      </c>
      <c r="K218" t="str">
        <f t="shared" si="75"/>
        <v/>
      </c>
      <c r="L218" t="str">
        <f t="shared" si="59"/>
        <v/>
      </c>
      <c r="M218" s="5" t="str">
        <f t="shared" si="71"/>
        <v/>
      </c>
      <c r="N218" s="7" t="str">
        <f t="shared" si="60"/>
        <v/>
      </c>
      <c r="O218" s="3" t="str">
        <f t="shared" si="64"/>
        <v/>
      </c>
      <c r="P218" s="3" t="str">
        <f t="shared" si="65"/>
        <v/>
      </c>
      <c r="Q218" s="3" t="str">
        <f t="shared" si="66"/>
        <v/>
      </c>
      <c r="R218" s="3" t="str">
        <f t="shared" si="67"/>
        <v/>
      </c>
      <c r="S218" s="3" t="str">
        <f>IF($L218&lt;&gt;"",IF($A218="Prepago",0,IF(ROUND($H218*$U$5,2)&gt;ROUND(SUM($S$11:$S217)+$U$5,2),$U$5*2,$U$5)),"")</f>
        <v/>
      </c>
      <c r="T218" s="3" t="str">
        <f>IF($L218&lt;&gt;"",IF($A218="Prepago",0,IF(ROUND($H218*$U$6,2)&gt;ROUND(SUM($T$11:$T217)+$U$6,2),$U$6*2,$U$6)),"")</f>
        <v/>
      </c>
      <c r="U218" s="3" t="str">
        <f>IF($L218&lt;&gt;"",IF($A218="Prepago",0,IF(ROUND($H218*$U$7,2)&gt;ROUND(SUM($U$11:$U217)+$U$7,2),$U$7*2,$U$7)),"")</f>
        <v/>
      </c>
      <c r="V218" s="3" t="str">
        <f>IF($L218&lt;&gt;"",IF($A218="Prepago",0,IF(ROUND($H218*$U$8,2)&gt;ROUND(SUM($V$11:$V217)+$U$8,2),$U$8*2,$U$8)),"")</f>
        <v/>
      </c>
      <c r="W218" s="3" t="str">
        <f t="shared" si="61"/>
        <v/>
      </c>
      <c r="X218" s="3" t="str">
        <f t="shared" si="68"/>
        <v/>
      </c>
      <c r="Y218" s="3" t="str">
        <f t="shared" si="69"/>
        <v/>
      </c>
      <c r="Z218" s="3" t="str">
        <f t="shared" si="70"/>
        <v/>
      </c>
      <c r="AA218" s="3" t="str">
        <f>IF($L218&lt;&gt;"",IF($N218&gt;Z$11,IF($N218&lt;AA$11,$N218-Z$11,30),0)*ROUND(($O218+$X217+SUM($Z218:Z218))*$V$5/3000,2),"")</f>
        <v/>
      </c>
    </row>
    <row r="219" spans="5:27" x14ac:dyDescent="0.3">
      <c r="E219" s="5"/>
      <c r="F219" t="str">
        <f t="shared" si="72"/>
        <v/>
      </c>
      <c r="G219" s="5" t="str">
        <f t="shared" si="62"/>
        <v/>
      </c>
      <c r="H219" t="str">
        <f t="shared" si="73"/>
        <v/>
      </c>
      <c r="I219" t="str">
        <f t="shared" si="63"/>
        <v/>
      </c>
      <c r="J219" t="str">
        <f t="shared" si="74"/>
        <v/>
      </c>
      <c r="K219" t="str">
        <f t="shared" si="75"/>
        <v/>
      </c>
      <c r="L219" t="str">
        <f t="shared" si="59"/>
        <v/>
      </c>
      <c r="M219" s="5" t="str">
        <f t="shared" si="71"/>
        <v/>
      </c>
      <c r="N219" s="7" t="str">
        <f t="shared" si="60"/>
        <v/>
      </c>
      <c r="O219" s="3" t="str">
        <f t="shared" si="64"/>
        <v/>
      </c>
      <c r="P219" s="3" t="str">
        <f t="shared" si="65"/>
        <v/>
      </c>
      <c r="Q219" s="3" t="str">
        <f t="shared" si="66"/>
        <v/>
      </c>
      <c r="R219" s="3" t="str">
        <f t="shared" si="67"/>
        <v/>
      </c>
      <c r="S219" s="3" t="str">
        <f>IF($L219&lt;&gt;"",IF($A219="Prepago",0,IF(ROUND($H219*$U$5,2)&gt;ROUND(SUM($S$11:$S218)+$U$5,2),$U$5*2,$U$5)),"")</f>
        <v/>
      </c>
      <c r="T219" s="3" t="str">
        <f>IF($L219&lt;&gt;"",IF($A219="Prepago",0,IF(ROUND($H219*$U$6,2)&gt;ROUND(SUM($T$11:$T218)+$U$6,2),$U$6*2,$U$6)),"")</f>
        <v/>
      </c>
      <c r="U219" s="3" t="str">
        <f>IF($L219&lt;&gt;"",IF($A219="Prepago",0,IF(ROUND($H219*$U$7,2)&gt;ROUND(SUM($U$11:$U218)+$U$7,2),$U$7*2,$U$7)),"")</f>
        <v/>
      </c>
      <c r="V219" s="3" t="str">
        <f>IF($L219&lt;&gt;"",IF($A219="Prepago",0,IF(ROUND($H219*$U$8,2)&gt;ROUND(SUM($V$11:$V218)+$U$8,2),$U$8*2,$U$8)),"")</f>
        <v/>
      </c>
      <c r="W219" s="3" t="str">
        <f t="shared" si="61"/>
        <v/>
      </c>
      <c r="X219" s="3" t="str">
        <f t="shared" si="68"/>
        <v/>
      </c>
      <c r="Y219" s="3" t="str">
        <f t="shared" si="69"/>
        <v/>
      </c>
      <c r="Z219" s="3" t="str">
        <f t="shared" si="70"/>
        <v/>
      </c>
      <c r="AA219" s="3" t="str">
        <f>IF($L219&lt;&gt;"",IF($N219&gt;Z$11,IF($N219&lt;AA$11,$N219-Z$11,30),0)*ROUND(($O219+$X218+SUM($Z219:Z219))*$V$5/3000,2),"")</f>
        <v/>
      </c>
    </row>
    <row r="220" spans="5:27" x14ac:dyDescent="0.3">
      <c r="E220" s="5"/>
      <c r="F220" t="str">
        <f t="shared" si="72"/>
        <v/>
      </c>
      <c r="G220" s="5" t="str">
        <f t="shared" si="62"/>
        <v/>
      </c>
      <c r="H220" t="str">
        <f t="shared" si="73"/>
        <v/>
      </c>
      <c r="I220" t="str">
        <f t="shared" si="63"/>
        <v/>
      </c>
      <c r="J220" t="str">
        <f t="shared" si="74"/>
        <v/>
      </c>
      <c r="K220" t="str">
        <f t="shared" si="75"/>
        <v/>
      </c>
      <c r="L220" t="str">
        <f t="shared" si="59"/>
        <v/>
      </c>
      <c r="M220" s="5" t="str">
        <f t="shared" si="71"/>
        <v/>
      </c>
      <c r="N220" s="7" t="str">
        <f t="shared" si="60"/>
        <v/>
      </c>
      <c r="O220" s="3" t="str">
        <f t="shared" si="64"/>
        <v/>
      </c>
      <c r="P220" s="3" t="str">
        <f t="shared" si="65"/>
        <v/>
      </c>
      <c r="Q220" s="3" t="str">
        <f t="shared" si="66"/>
        <v/>
      </c>
      <c r="R220" s="3" t="str">
        <f t="shared" si="67"/>
        <v/>
      </c>
      <c r="S220" s="3" t="str">
        <f>IF($L220&lt;&gt;"",IF($A220="Prepago",0,IF(ROUND($H220*$U$5,2)&gt;ROUND(SUM($S$11:$S219)+$U$5,2),$U$5*2,$U$5)),"")</f>
        <v/>
      </c>
      <c r="T220" s="3" t="str">
        <f>IF($L220&lt;&gt;"",IF($A220="Prepago",0,IF(ROUND($H220*$U$6,2)&gt;ROUND(SUM($T$11:$T219)+$U$6,2),$U$6*2,$U$6)),"")</f>
        <v/>
      </c>
      <c r="U220" s="3" t="str">
        <f>IF($L220&lt;&gt;"",IF($A220="Prepago",0,IF(ROUND($H220*$U$7,2)&gt;ROUND(SUM($U$11:$U219)+$U$7,2),$U$7*2,$U$7)),"")</f>
        <v/>
      </c>
      <c r="V220" s="3" t="str">
        <f>IF($L220&lt;&gt;"",IF($A220="Prepago",0,IF(ROUND($H220*$U$8,2)&gt;ROUND(SUM($V$11:$V219)+$U$8,2),$U$8*2,$U$8)),"")</f>
        <v/>
      </c>
      <c r="W220" s="3" t="str">
        <f t="shared" si="61"/>
        <v/>
      </c>
      <c r="X220" s="3" t="str">
        <f t="shared" si="68"/>
        <v/>
      </c>
      <c r="Y220" s="3" t="str">
        <f t="shared" si="69"/>
        <v/>
      </c>
      <c r="Z220" s="3" t="str">
        <f t="shared" si="70"/>
        <v/>
      </c>
      <c r="AA220" s="3" t="str">
        <f>IF($L220&lt;&gt;"",IF($N220&gt;Z$11,IF($N220&lt;AA$11,$N220-Z$11,30),0)*ROUND(($O220+$X219+SUM($Z220:Z220))*$V$5/3000,2),"")</f>
        <v/>
      </c>
    </row>
    <row r="221" spans="5:27" x14ac:dyDescent="0.3">
      <c r="E221" s="5"/>
      <c r="F221" t="str">
        <f t="shared" ref="F221:F239" si="76">IF($L221&lt;&gt;"",TEXT(M221,"DDD"),"")</f>
        <v/>
      </c>
      <c r="G221" s="5" t="str">
        <f t="shared" si="62"/>
        <v/>
      </c>
      <c r="H221" t="str">
        <f t="shared" ref="H221:H239" si="77">IF($L221&lt;&gt;"",IF($A221="Prepago",$H220,$H220+1)+B221,"")</f>
        <v/>
      </c>
      <c r="I221" t="str">
        <f t="shared" si="63"/>
        <v/>
      </c>
      <c r="J221" t="str">
        <f t="shared" ref="J221:J239" si="78">IF($L221&lt;&gt;"",IF(OR(A221&lt;&gt;"",C221&lt;&gt;""),1,0),"")</f>
        <v/>
      </c>
      <c r="K221" t="str">
        <f t="shared" ref="K221:K239" si="79">IF($L221&lt;&gt;"",IF(J221=1,Q221,0),"")</f>
        <v/>
      </c>
      <c r="L221" t="str">
        <f t="shared" si="59"/>
        <v/>
      </c>
      <c r="M221" s="5" t="str">
        <f t="shared" si="71"/>
        <v/>
      </c>
      <c r="N221" s="7" t="str">
        <f t="shared" si="60"/>
        <v/>
      </c>
      <c r="O221" s="3" t="str">
        <f t="shared" si="64"/>
        <v/>
      </c>
      <c r="P221" s="3" t="str">
        <f t="shared" si="65"/>
        <v/>
      </c>
      <c r="Q221" s="3" t="str">
        <f t="shared" si="66"/>
        <v/>
      </c>
      <c r="R221" s="3" t="str">
        <f t="shared" si="67"/>
        <v/>
      </c>
      <c r="S221" s="3" t="str">
        <f>IF($L221&lt;&gt;"",IF($A221="Prepago",0,IF(ROUND($H221*$U$5,2)&gt;ROUND(SUM($S$11:$S220)+$U$5,2),$U$5*2,$U$5)),"")</f>
        <v/>
      </c>
      <c r="T221" s="3" t="str">
        <f>IF($L221&lt;&gt;"",IF($A221="Prepago",0,IF(ROUND($H221*$U$6,2)&gt;ROUND(SUM($T$11:$T220)+$U$6,2),$U$6*2,$U$6)),"")</f>
        <v/>
      </c>
      <c r="U221" s="3" t="str">
        <f>IF($L221&lt;&gt;"",IF($A221="Prepago",0,IF(ROUND($H221*$U$7,2)&gt;ROUND(SUM($U$11:$U220)+$U$7,2),$U$7*2,$U$7)),"")</f>
        <v/>
      </c>
      <c r="V221" s="3" t="str">
        <f>IF($L221&lt;&gt;"",IF($A221="Prepago",0,IF(ROUND($H221*$U$8,2)&gt;ROUND(SUM($V$11:$V220)+$U$8,2),$U$8*2,$U$8)),"")</f>
        <v/>
      </c>
      <c r="W221" s="3" t="str">
        <f t="shared" si="61"/>
        <v/>
      </c>
      <c r="X221" s="3" t="str">
        <f t="shared" si="68"/>
        <v/>
      </c>
      <c r="Y221" s="3" t="str">
        <f t="shared" si="69"/>
        <v/>
      </c>
      <c r="Z221" s="3" t="str">
        <f t="shared" si="70"/>
        <v/>
      </c>
      <c r="AA221" s="3" t="str">
        <f>IF($L221&lt;&gt;"",IF($N221&gt;Z$11,IF($N221&lt;AA$11,$N221-Z$11,30),0)*ROUND(($O221+$X220+SUM($Z221:Z221))*$V$5/3000,2),"")</f>
        <v/>
      </c>
    </row>
    <row r="222" spans="5:27" x14ac:dyDescent="0.3">
      <c r="E222" s="5"/>
      <c r="F222" t="str">
        <f t="shared" si="76"/>
        <v/>
      </c>
      <c r="G222" s="5" t="str">
        <f t="shared" si="62"/>
        <v/>
      </c>
      <c r="H222" t="str">
        <f t="shared" si="77"/>
        <v/>
      </c>
      <c r="I222" t="str">
        <f t="shared" si="63"/>
        <v/>
      </c>
      <c r="J222" t="str">
        <f t="shared" si="78"/>
        <v/>
      </c>
      <c r="K222" t="str">
        <f t="shared" si="79"/>
        <v/>
      </c>
      <c r="L222" t="str">
        <f t="shared" si="59"/>
        <v/>
      </c>
      <c r="M222" s="5" t="str">
        <f t="shared" si="71"/>
        <v/>
      </c>
      <c r="N222" s="7" t="str">
        <f t="shared" si="60"/>
        <v/>
      </c>
      <c r="O222" s="3" t="str">
        <f t="shared" si="64"/>
        <v/>
      </c>
      <c r="P222" s="3" t="str">
        <f t="shared" si="65"/>
        <v/>
      </c>
      <c r="Q222" s="3" t="str">
        <f t="shared" si="66"/>
        <v/>
      </c>
      <c r="R222" s="3" t="str">
        <f t="shared" si="67"/>
        <v/>
      </c>
      <c r="S222" s="3" t="str">
        <f>IF($L222&lt;&gt;"",IF($A222="Prepago",0,IF(ROUND($H222*$U$5,2)&gt;ROUND(SUM($S$11:$S221)+$U$5,2),$U$5*2,$U$5)),"")</f>
        <v/>
      </c>
      <c r="T222" s="3" t="str">
        <f>IF($L222&lt;&gt;"",IF($A222="Prepago",0,IF(ROUND($H222*$U$6,2)&gt;ROUND(SUM($T$11:$T221)+$U$6,2),$U$6*2,$U$6)),"")</f>
        <v/>
      </c>
      <c r="U222" s="3" t="str">
        <f>IF($L222&lt;&gt;"",IF($A222="Prepago",0,IF(ROUND($H222*$U$7,2)&gt;ROUND(SUM($U$11:$U221)+$U$7,2),$U$7*2,$U$7)),"")</f>
        <v/>
      </c>
      <c r="V222" s="3" t="str">
        <f>IF($L222&lt;&gt;"",IF($A222="Prepago",0,IF(ROUND($H222*$U$8,2)&gt;ROUND(SUM($V$11:$V221)+$U$8,2),$U$8*2,$U$8)),"")</f>
        <v/>
      </c>
      <c r="W222" s="3" t="str">
        <f t="shared" si="61"/>
        <v/>
      </c>
      <c r="X222" s="3" t="str">
        <f t="shared" si="68"/>
        <v/>
      </c>
      <c r="Y222" s="3" t="str">
        <f t="shared" si="69"/>
        <v/>
      </c>
      <c r="Z222" s="3" t="str">
        <f t="shared" si="70"/>
        <v/>
      </c>
      <c r="AA222" s="3" t="str">
        <f>IF($L222&lt;&gt;"",IF($N222&gt;Z$11,IF($N222&lt;AA$11,$N222-Z$11,30),0)*ROUND(($O222+$X221+SUM($Z222:Z222))*$V$5/3000,2),"")</f>
        <v/>
      </c>
    </row>
    <row r="223" spans="5:27" x14ac:dyDescent="0.3">
      <c r="E223" s="5"/>
      <c r="F223" t="str">
        <f t="shared" si="76"/>
        <v/>
      </c>
      <c r="G223" s="5" t="str">
        <f t="shared" si="62"/>
        <v/>
      </c>
      <c r="H223" t="str">
        <f t="shared" si="77"/>
        <v/>
      </c>
      <c r="I223" t="str">
        <f t="shared" si="63"/>
        <v/>
      </c>
      <c r="J223" t="str">
        <f t="shared" si="78"/>
        <v/>
      </c>
      <c r="K223" t="str">
        <f t="shared" si="79"/>
        <v/>
      </c>
      <c r="L223" t="str">
        <f t="shared" si="59"/>
        <v/>
      </c>
      <c r="M223" s="5" t="str">
        <f t="shared" si="71"/>
        <v/>
      </c>
      <c r="N223" s="7" t="str">
        <f t="shared" si="60"/>
        <v/>
      </c>
      <c r="O223" s="3" t="str">
        <f t="shared" si="64"/>
        <v/>
      </c>
      <c r="P223" s="3" t="str">
        <f t="shared" si="65"/>
        <v/>
      </c>
      <c r="Q223" s="3" t="str">
        <f t="shared" si="66"/>
        <v/>
      </c>
      <c r="R223" s="3" t="str">
        <f t="shared" si="67"/>
        <v/>
      </c>
      <c r="S223" s="3" t="str">
        <f>IF($L223&lt;&gt;"",IF($A223="Prepago",0,IF(ROUND($H223*$U$5,2)&gt;ROUND(SUM($S$11:$S222)+$U$5,2),$U$5*2,$U$5)),"")</f>
        <v/>
      </c>
      <c r="T223" s="3" t="str">
        <f>IF($L223&lt;&gt;"",IF($A223="Prepago",0,IF(ROUND($H223*$U$6,2)&gt;ROUND(SUM($T$11:$T222)+$U$6,2),$U$6*2,$U$6)),"")</f>
        <v/>
      </c>
      <c r="U223" s="3" t="str">
        <f>IF($L223&lt;&gt;"",IF($A223="Prepago",0,IF(ROUND($H223*$U$7,2)&gt;ROUND(SUM($U$11:$U222)+$U$7,2),$U$7*2,$U$7)),"")</f>
        <v/>
      </c>
      <c r="V223" s="3" t="str">
        <f>IF($L223&lt;&gt;"",IF($A223="Prepago",0,IF(ROUND($H223*$U$8,2)&gt;ROUND(SUM($V$11:$V222)+$U$8,2),$U$8*2,$U$8)),"")</f>
        <v/>
      </c>
      <c r="W223" s="3" t="str">
        <f t="shared" si="61"/>
        <v/>
      </c>
      <c r="X223" s="3" t="str">
        <f t="shared" si="68"/>
        <v/>
      </c>
      <c r="Y223" s="3" t="str">
        <f t="shared" si="69"/>
        <v/>
      </c>
      <c r="Z223" s="3" t="str">
        <f t="shared" si="70"/>
        <v/>
      </c>
      <c r="AA223" s="3" t="str">
        <f>IF($L223&lt;&gt;"",IF($N223&gt;Z$11,IF($N223&lt;AA$11,$N223-Z$11,30),0)*ROUND(($O223+$X222+SUM($Z223:Z223))*$V$5/3000,2),"")</f>
        <v/>
      </c>
    </row>
    <row r="224" spans="5:27" x14ac:dyDescent="0.3">
      <c r="E224" s="5"/>
      <c r="F224" t="str">
        <f t="shared" si="76"/>
        <v/>
      </c>
      <c r="G224" s="5" t="str">
        <f t="shared" si="62"/>
        <v/>
      </c>
      <c r="H224" t="str">
        <f t="shared" si="77"/>
        <v/>
      </c>
      <c r="I224" t="str">
        <f t="shared" si="63"/>
        <v/>
      </c>
      <c r="J224" t="str">
        <f t="shared" si="78"/>
        <v/>
      </c>
      <c r="K224" t="str">
        <f t="shared" si="79"/>
        <v/>
      </c>
      <c r="L224" t="str">
        <f t="shared" si="59"/>
        <v/>
      </c>
      <c r="M224" s="5" t="str">
        <f t="shared" si="71"/>
        <v/>
      </c>
      <c r="N224" s="7" t="str">
        <f t="shared" si="60"/>
        <v/>
      </c>
      <c r="O224" s="3" t="str">
        <f t="shared" si="64"/>
        <v/>
      </c>
      <c r="P224" s="3" t="str">
        <f t="shared" si="65"/>
        <v/>
      </c>
      <c r="Q224" s="3" t="str">
        <f t="shared" si="66"/>
        <v/>
      </c>
      <c r="R224" s="3" t="str">
        <f t="shared" si="67"/>
        <v/>
      </c>
      <c r="S224" s="3" t="str">
        <f>IF($L224&lt;&gt;"",IF($A224="Prepago",0,IF(ROUND($H224*$U$5,2)&gt;ROUND(SUM($S$11:$S223)+$U$5,2),$U$5*2,$U$5)),"")</f>
        <v/>
      </c>
      <c r="T224" s="3" t="str">
        <f>IF($L224&lt;&gt;"",IF($A224="Prepago",0,IF(ROUND($H224*$U$6,2)&gt;ROUND(SUM($T$11:$T223)+$U$6,2),$U$6*2,$U$6)),"")</f>
        <v/>
      </c>
      <c r="U224" s="3" t="str">
        <f>IF($L224&lt;&gt;"",IF($A224="Prepago",0,IF(ROUND($H224*$U$7,2)&gt;ROUND(SUM($U$11:$U223)+$U$7,2),$U$7*2,$U$7)),"")</f>
        <v/>
      </c>
      <c r="V224" s="3" t="str">
        <f>IF($L224&lt;&gt;"",IF($A224="Prepago",0,IF(ROUND($H224*$U$8,2)&gt;ROUND(SUM($V$11:$V223)+$U$8,2),$U$8*2,$U$8)),"")</f>
        <v/>
      </c>
      <c r="W224" s="3" t="str">
        <f t="shared" si="61"/>
        <v/>
      </c>
      <c r="X224" s="3" t="str">
        <f t="shared" si="68"/>
        <v/>
      </c>
      <c r="Y224" s="3" t="str">
        <f t="shared" si="69"/>
        <v/>
      </c>
      <c r="Z224" s="3" t="str">
        <f t="shared" si="70"/>
        <v/>
      </c>
      <c r="AA224" s="3" t="str">
        <f>IF($L224&lt;&gt;"",IF($N224&gt;Z$11,IF($N224&lt;AA$11,$N224-Z$11,30),0)*ROUND(($O224+$X223+SUM($Z224:Z224))*$V$5/3000,2),"")</f>
        <v/>
      </c>
    </row>
    <row r="225" spans="5:27" x14ac:dyDescent="0.3">
      <c r="E225" s="5"/>
      <c r="F225" t="str">
        <f t="shared" si="76"/>
        <v/>
      </c>
      <c r="G225" s="5" t="str">
        <f t="shared" si="62"/>
        <v/>
      </c>
      <c r="H225" t="str">
        <f t="shared" si="77"/>
        <v/>
      </c>
      <c r="I225" t="str">
        <f t="shared" si="63"/>
        <v/>
      </c>
      <c r="J225" t="str">
        <f t="shared" si="78"/>
        <v/>
      </c>
      <c r="K225" t="str">
        <f t="shared" si="79"/>
        <v/>
      </c>
      <c r="L225" t="str">
        <f t="shared" si="59"/>
        <v/>
      </c>
      <c r="M225" s="5" t="str">
        <f t="shared" si="71"/>
        <v/>
      </c>
      <c r="N225" s="7" t="str">
        <f t="shared" si="60"/>
        <v/>
      </c>
      <c r="O225" s="3" t="str">
        <f t="shared" si="64"/>
        <v/>
      </c>
      <c r="P225" s="3" t="str">
        <f t="shared" si="65"/>
        <v/>
      </c>
      <c r="Q225" s="3" t="str">
        <f t="shared" si="66"/>
        <v/>
      </c>
      <c r="R225" s="3" t="str">
        <f t="shared" si="67"/>
        <v/>
      </c>
      <c r="S225" s="3" t="str">
        <f>IF($L225&lt;&gt;"",IF($A225="Prepago",0,IF(ROUND($H225*$U$5,2)&gt;ROUND(SUM($S$11:$S224)+$U$5,2),$U$5*2,$U$5)),"")</f>
        <v/>
      </c>
      <c r="T225" s="3" t="str">
        <f>IF($L225&lt;&gt;"",IF($A225="Prepago",0,IF(ROUND($H225*$U$6,2)&gt;ROUND(SUM($T$11:$T224)+$U$6,2),$U$6*2,$U$6)),"")</f>
        <v/>
      </c>
      <c r="U225" s="3" t="str">
        <f>IF($L225&lt;&gt;"",IF($A225="Prepago",0,IF(ROUND($H225*$U$7,2)&gt;ROUND(SUM($U$11:$U224)+$U$7,2),$U$7*2,$U$7)),"")</f>
        <v/>
      </c>
      <c r="V225" s="3" t="str">
        <f>IF($L225&lt;&gt;"",IF($A225="Prepago",0,IF(ROUND($H225*$U$8,2)&gt;ROUND(SUM($V$11:$V224)+$U$8,2),$U$8*2,$U$8)),"")</f>
        <v/>
      </c>
      <c r="W225" s="3" t="str">
        <f t="shared" si="61"/>
        <v/>
      </c>
      <c r="X225" s="3" t="str">
        <f t="shared" si="68"/>
        <v/>
      </c>
      <c r="Y225" s="3" t="str">
        <f t="shared" si="69"/>
        <v/>
      </c>
      <c r="Z225" s="3" t="str">
        <f t="shared" si="70"/>
        <v/>
      </c>
      <c r="AA225" s="3" t="str">
        <f>IF($L225&lt;&gt;"",IF($N225&gt;Z$11,IF($N225&lt;AA$11,$N225-Z$11,30),0)*ROUND(($O225+$X224+SUM($Z225:Z225))*$V$5/3000,2),"")</f>
        <v/>
      </c>
    </row>
    <row r="226" spans="5:27" x14ac:dyDescent="0.3">
      <c r="E226" s="5"/>
      <c r="F226" t="str">
        <f t="shared" si="76"/>
        <v/>
      </c>
      <c r="G226" s="5" t="str">
        <f t="shared" si="62"/>
        <v/>
      </c>
      <c r="H226" t="str">
        <f t="shared" si="77"/>
        <v/>
      </c>
      <c r="I226" t="str">
        <f t="shared" si="63"/>
        <v/>
      </c>
      <c r="J226" t="str">
        <f t="shared" si="78"/>
        <v/>
      </c>
      <c r="K226" t="str">
        <f t="shared" si="79"/>
        <v/>
      </c>
      <c r="L226" t="str">
        <f t="shared" si="59"/>
        <v/>
      </c>
      <c r="M226" s="5" t="str">
        <f t="shared" si="71"/>
        <v/>
      </c>
      <c r="N226" s="7" t="str">
        <f t="shared" si="60"/>
        <v/>
      </c>
      <c r="O226" s="3" t="str">
        <f t="shared" si="64"/>
        <v/>
      </c>
      <c r="P226" s="3" t="str">
        <f t="shared" si="65"/>
        <v/>
      </c>
      <c r="Q226" s="3" t="str">
        <f t="shared" si="66"/>
        <v/>
      </c>
      <c r="R226" s="3" t="str">
        <f t="shared" si="67"/>
        <v/>
      </c>
      <c r="S226" s="3" t="str">
        <f>IF($L226&lt;&gt;"",IF($A226="Prepago",0,IF(ROUND($H226*$U$5,2)&gt;ROUND(SUM($S$11:$S225)+$U$5,2),$U$5*2,$U$5)),"")</f>
        <v/>
      </c>
      <c r="T226" s="3" t="str">
        <f>IF($L226&lt;&gt;"",IF($A226="Prepago",0,IF(ROUND($H226*$U$6,2)&gt;ROUND(SUM($T$11:$T225)+$U$6,2),$U$6*2,$U$6)),"")</f>
        <v/>
      </c>
      <c r="U226" s="3" t="str">
        <f>IF($L226&lt;&gt;"",IF($A226="Prepago",0,IF(ROUND($H226*$U$7,2)&gt;ROUND(SUM($U$11:$U225)+$U$7,2),$U$7*2,$U$7)),"")</f>
        <v/>
      </c>
      <c r="V226" s="3" t="str">
        <f>IF($L226&lt;&gt;"",IF($A226="Prepago",0,IF(ROUND($H226*$U$8,2)&gt;ROUND(SUM($V$11:$V225)+$U$8,2),$U$8*2,$U$8)),"")</f>
        <v/>
      </c>
      <c r="W226" s="3" t="str">
        <f t="shared" si="61"/>
        <v/>
      </c>
      <c r="X226" s="3" t="str">
        <f t="shared" si="68"/>
        <v/>
      </c>
      <c r="Y226" s="3" t="str">
        <f t="shared" si="69"/>
        <v/>
      </c>
      <c r="Z226" s="3" t="str">
        <f t="shared" si="70"/>
        <v/>
      </c>
      <c r="AA226" s="3" t="str">
        <f>IF($L226&lt;&gt;"",IF($N226&gt;Z$11,IF($N226&lt;AA$11,$N226-Z$11,30),0)*ROUND(($O226+$X225+SUM($Z226:Z226))*$V$5/3000,2),"")</f>
        <v/>
      </c>
    </row>
    <row r="227" spans="5:27" x14ac:dyDescent="0.3">
      <c r="E227" s="5"/>
      <c r="F227" t="str">
        <f t="shared" si="76"/>
        <v/>
      </c>
      <c r="G227" s="5" t="str">
        <f t="shared" si="62"/>
        <v/>
      </c>
      <c r="H227" t="str">
        <f t="shared" si="77"/>
        <v/>
      </c>
      <c r="I227" t="str">
        <f t="shared" si="63"/>
        <v/>
      </c>
      <c r="J227" t="str">
        <f t="shared" si="78"/>
        <v/>
      </c>
      <c r="K227" t="str">
        <f t="shared" si="79"/>
        <v/>
      </c>
      <c r="L227" t="str">
        <f t="shared" si="59"/>
        <v/>
      </c>
      <c r="M227" s="5" t="str">
        <f t="shared" si="71"/>
        <v/>
      </c>
      <c r="N227" s="7" t="str">
        <f t="shared" si="60"/>
        <v/>
      </c>
      <c r="O227" s="3" t="str">
        <f t="shared" si="64"/>
        <v/>
      </c>
      <c r="P227" s="3" t="str">
        <f t="shared" si="65"/>
        <v/>
      </c>
      <c r="Q227" s="3" t="str">
        <f t="shared" si="66"/>
        <v/>
      </c>
      <c r="R227" s="3" t="str">
        <f t="shared" si="67"/>
        <v/>
      </c>
      <c r="S227" s="3" t="str">
        <f>IF($L227&lt;&gt;"",IF($A227="Prepago",0,IF(ROUND($H227*$U$5,2)&gt;ROUND(SUM($S$11:$S226)+$U$5,2),$U$5*2,$U$5)),"")</f>
        <v/>
      </c>
      <c r="T227" s="3" t="str">
        <f>IF($L227&lt;&gt;"",IF($A227="Prepago",0,IF(ROUND($H227*$U$6,2)&gt;ROUND(SUM($T$11:$T226)+$U$6,2),$U$6*2,$U$6)),"")</f>
        <v/>
      </c>
      <c r="U227" s="3" t="str">
        <f>IF($L227&lt;&gt;"",IF($A227="Prepago",0,IF(ROUND($H227*$U$7,2)&gt;ROUND(SUM($U$11:$U226)+$U$7,2),$U$7*2,$U$7)),"")</f>
        <v/>
      </c>
      <c r="V227" s="3" t="str">
        <f>IF($L227&lt;&gt;"",IF($A227="Prepago",0,IF(ROUND($H227*$U$8,2)&gt;ROUND(SUM($V$11:$V226)+$U$8,2),$U$8*2,$U$8)),"")</f>
        <v/>
      </c>
      <c r="W227" s="3" t="str">
        <f t="shared" si="61"/>
        <v/>
      </c>
      <c r="X227" s="3" t="str">
        <f t="shared" si="68"/>
        <v/>
      </c>
      <c r="Y227" s="3" t="str">
        <f t="shared" si="69"/>
        <v/>
      </c>
      <c r="Z227" s="3" t="str">
        <f t="shared" si="70"/>
        <v/>
      </c>
      <c r="AA227" s="3" t="str">
        <f>IF($L227&lt;&gt;"",IF($N227&gt;Z$11,IF($N227&lt;AA$11,$N227-Z$11,30),0)*ROUND(($O227+$X226+SUM($Z227:Z227))*$V$5/3000,2),"")</f>
        <v/>
      </c>
    </row>
    <row r="228" spans="5:27" x14ac:dyDescent="0.3">
      <c r="E228" s="5"/>
      <c r="F228" t="str">
        <f t="shared" si="76"/>
        <v/>
      </c>
      <c r="G228" s="5" t="str">
        <f t="shared" si="62"/>
        <v/>
      </c>
      <c r="H228" t="str">
        <f t="shared" si="77"/>
        <v/>
      </c>
      <c r="I228" t="str">
        <f t="shared" si="63"/>
        <v/>
      </c>
      <c r="J228" t="str">
        <f t="shared" si="78"/>
        <v/>
      </c>
      <c r="K228" t="str">
        <f t="shared" si="79"/>
        <v/>
      </c>
      <c r="L228" t="str">
        <f t="shared" si="59"/>
        <v/>
      </c>
      <c r="M228" s="5" t="str">
        <f t="shared" si="71"/>
        <v/>
      </c>
      <c r="N228" s="7" t="str">
        <f t="shared" si="60"/>
        <v/>
      </c>
      <c r="O228" s="3" t="str">
        <f t="shared" si="64"/>
        <v/>
      </c>
      <c r="P228" s="3" t="str">
        <f t="shared" si="65"/>
        <v/>
      </c>
      <c r="Q228" s="3" t="str">
        <f t="shared" si="66"/>
        <v/>
      </c>
      <c r="R228" s="3" t="str">
        <f t="shared" si="67"/>
        <v/>
      </c>
      <c r="S228" s="3" t="str">
        <f>IF($L228&lt;&gt;"",IF($A228="Prepago",0,IF(ROUND($H228*$U$5,2)&gt;ROUND(SUM($S$11:$S227)+$U$5,2),$U$5*2,$U$5)),"")</f>
        <v/>
      </c>
      <c r="T228" s="3" t="str">
        <f>IF($L228&lt;&gt;"",IF($A228="Prepago",0,IF(ROUND($H228*$U$6,2)&gt;ROUND(SUM($T$11:$T227)+$U$6,2),$U$6*2,$U$6)),"")</f>
        <v/>
      </c>
      <c r="U228" s="3" t="str">
        <f>IF($L228&lt;&gt;"",IF($A228="Prepago",0,IF(ROUND($H228*$U$7,2)&gt;ROUND(SUM($U$11:$U227)+$U$7,2),$U$7*2,$U$7)),"")</f>
        <v/>
      </c>
      <c r="V228" s="3" t="str">
        <f>IF($L228&lt;&gt;"",IF($A228="Prepago",0,IF(ROUND($H228*$U$8,2)&gt;ROUND(SUM($V$11:$V227)+$U$8,2),$U$8*2,$U$8)),"")</f>
        <v/>
      </c>
      <c r="W228" s="3" t="str">
        <f t="shared" si="61"/>
        <v/>
      </c>
      <c r="X228" s="3" t="str">
        <f t="shared" si="68"/>
        <v/>
      </c>
      <c r="Y228" s="3" t="str">
        <f t="shared" si="69"/>
        <v/>
      </c>
      <c r="Z228" s="3" t="str">
        <f t="shared" si="70"/>
        <v/>
      </c>
      <c r="AA228" s="3" t="str">
        <f>IF($L228&lt;&gt;"",IF($N228&gt;Z$11,IF($N228&lt;AA$11,$N228-Z$11,30),0)*ROUND(($O228+$X227+SUM($Z228:Z228))*$V$5/3000,2),"")</f>
        <v/>
      </c>
    </row>
    <row r="229" spans="5:27" x14ac:dyDescent="0.3">
      <c r="E229" s="5"/>
      <c r="F229" t="str">
        <f t="shared" si="76"/>
        <v/>
      </c>
      <c r="G229" s="5" t="str">
        <f t="shared" si="62"/>
        <v/>
      </c>
      <c r="H229" t="str">
        <f t="shared" si="77"/>
        <v/>
      </c>
      <c r="I229" t="str">
        <f t="shared" si="63"/>
        <v/>
      </c>
      <c r="J229" t="str">
        <f t="shared" si="78"/>
        <v/>
      </c>
      <c r="K229" t="str">
        <f t="shared" si="79"/>
        <v/>
      </c>
      <c r="L229" t="str">
        <f t="shared" si="59"/>
        <v/>
      </c>
      <c r="M229" s="5" t="str">
        <f t="shared" si="71"/>
        <v/>
      </c>
      <c r="N229" s="7" t="str">
        <f t="shared" si="60"/>
        <v/>
      </c>
      <c r="O229" s="3" t="str">
        <f t="shared" si="64"/>
        <v/>
      </c>
      <c r="P229" s="3" t="str">
        <f t="shared" si="65"/>
        <v/>
      </c>
      <c r="Q229" s="3" t="str">
        <f t="shared" si="66"/>
        <v/>
      </c>
      <c r="R229" s="3" t="str">
        <f t="shared" si="67"/>
        <v/>
      </c>
      <c r="S229" s="3" t="str">
        <f>IF($L229&lt;&gt;"",IF($A229="Prepago",0,IF(ROUND($H229*$U$5,2)&gt;ROUND(SUM($S$11:$S228)+$U$5,2),$U$5*2,$U$5)),"")</f>
        <v/>
      </c>
      <c r="T229" s="3" t="str">
        <f>IF($L229&lt;&gt;"",IF($A229="Prepago",0,IF(ROUND($H229*$U$6,2)&gt;ROUND(SUM($T$11:$T228)+$U$6,2),$U$6*2,$U$6)),"")</f>
        <v/>
      </c>
      <c r="U229" s="3" t="str">
        <f>IF($L229&lt;&gt;"",IF($A229="Prepago",0,IF(ROUND($H229*$U$7,2)&gt;ROUND(SUM($U$11:$U228)+$U$7,2),$U$7*2,$U$7)),"")</f>
        <v/>
      </c>
      <c r="V229" s="3" t="str">
        <f>IF($L229&lt;&gt;"",IF($A229="Prepago",0,IF(ROUND($H229*$U$8,2)&gt;ROUND(SUM($V$11:$V228)+$U$8,2),$U$8*2,$U$8)),"")</f>
        <v/>
      </c>
      <c r="W229" s="3" t="str">
        <f t="shared" si="61"/>
        <v/>
      </c>
      <c r="X229" s="3" t="str">
        <f t="shared" si="68"/>
        <v/>
      </c>
      <c r="Y229" s="3" t="str">
        <f t="shared" si="69"/>
        <v/>
      </c>
      <c r="Z229" s="3" t="str">
        <f t="shared" si="70"/>
        <v/>
      </c>
      <c r="AA229" s="3" t="str">
        <f>IF($L229&lt;&gt;"",IF($N229&gt;Z$11,IF($N229&lt;AA$11,$N229-Z$11,30),0)*ROUND(($O229+$X228+SUM($Z229:Z229))*$V$5/3000,2),"")</f>
        <v/>
      </c>
    </row>
    <row r="230" spans="5:27" x14ac:dyDescent="0.3">
      <c r="E230" s="5"/>
      <c r="F230" t="str">
        <f t="shared" si="76"/>
        <v/>
      </c>
      <c r="G230" s="5" t="str">
        <f t="shared" si="62"/>
        <v/>
      </c>
      <c r="H230" t="str">
        <f t="shared" si="77"/>
        <v/>
      </c>
      <c r="I230" t="str">
        <f t="shared" si="63"/>
        <v/>
      </c>
      <c r="J230" t="str">
        <f t="shared" si="78"/>
        <v/>
      </c>
      <c r="K230" t="str">
        <f t="shared" si="79"/>
        <v/>
      </c>
      <c r="L230" t="str">
        <f t="shared" si="59"/>
        <v/>
      </c>
      <c r="M230" s="5" t="str">
        <f t="shared" si="71"/>
        <v/>
      </c>
      <c r="N230" s="7" t="str">
        <f t="shared" si="60"/>
        <v/>
      </c>
      <c r="O230" s="3" t="str">
        <f t="shared" si="64"/>
        <v/>
      </c>
      <c r="P230" s="3" t="str">
        <f t="shared" si="65"/>
        <v/>
      </c>
      <c r="Q230" s="3" t="str">
        <f t="shared" si="66"/>
        <v/>
      </c>
      <c r="R230" s="3" t="str">
        <f t="shared" si="67"/>
        <v/>
      </c>
      <c r="S230" s="3" t="str">
        <f>IF($L230&lt;&gt;"",IF($A230="Prepago",0,IF(ROUND($H230*$U$5,2)&gt;ROUND(SUM($S$11:$S229)+$U$5,2),$U$5*2,$U$5)),"")</f>
        <v/>
      </c>
      <c r="T230" s="3" t="str">
        <f>IF($L230&lt;&gt;"",IF($A230="Prepago",0,IF(ROUND($H230*$U$6,2)&gt;ROUND(SUM($T$11:$T229)+$U$6,2),$U$6*2,$U$6)),"")</f>
        <v/>
      </c>
      <c r="U230" s="3" t="str">
        <f>IF($L230&lt;&gt;"",IF($A230="Prepago",0,IF(ROUND($H230*$U$7,2)&gt;ROUND(SUM($U$11:$U229)+$U$7,2),$U$7*2,$U$7)),"")</f>
        <v/>
      </c>
      <c r="V230" s="3" t="str">
        <f>IF($L230&lt;&gt;"",IF($A230="Prepago",0,IF(ROUND($H230*$U$8,2)&gt;ROUND(SUM($V$11:$V229)+$U$8,2),$U$8*2,$U$8)),"")</f>
        <v/>
      </c>
      <c r="W230" s="3" t="str">
        <f t="shared" si="61"/>
        <v/>
      </c>
      <c r="X230" s="3" t="str">
        <f t="shared" si="68"/>
        <v/>
      </c>
      <c r="Y230" s="3" t="str">
        <f t="shared" si="69"/>
        <v/>
      </c>
      <c r="Z230" s="3" t="str">
        <f t="shared" si="70"/>
        <v/>
      </c>
      <c r="AA230" s="3" t="str">
        <f>IF($L230&lt;&gt;"",IF($N230&gt;Z$11,IF($N230&lt;AA$11,$N230-Z$11,30),0)*ROUND(($O230+$X229+SUM($Z230:Z230))*$V$5/3000,2),"")</f>
        <v/>
      </c>
    </row>
    <row r="231" spans="5:27" x14ac:dyDescent="0.3">
      <c r="E231" s="5"/>
      <c r="F231" t="str">
        <f t="shared" si="76"/>
        <v/>
      </c>
      <c r="G231" s="5" t="str">
        <f t="shared" si="62"/>
        <v/>
      </c>
      <c r="H231" t="str">
        <f t="shared" si="77"/>
        <v/>
      </c>
      <c r="I231" t="str">
        <f t="shared" si="63"/>
        <v/>
      </c>
      <c r="J231" t="str">
        <f t="shared" si="78"/>
        <v/>
      </c>
      <c r="K231" t="str">
        <f t="shared" si="79"/>
        <v/>
      </c>
      <c r="L231" t="str">
        <f t="shared" si="59"/>
        <v/>
      </c>
      <c r="M231" s="5" t="str">
        <f t="shared" si="71"/>
        <v/>
      </c>
      <c r="N231" s="7" t="str">
        <f t="shared" si="60"/>
        <v/>
      </c>
      <c r="O231" s="3" t="str">
        <f t="shared" si="64"/>
        <v/>
      </c>
      <c r="P231" s="3" t="str">
        <f t="shared" si="65"/>
        <v/>
      </c>
      <c r="Q231" s="3" t="str">
        <f t="shared" si="66"/>
        <v/>
      </c>
      <c r="R231" s="3" t="str">
        <f t="shared" si="67"/>
        <v/>
      </c>
      <c r="S231" s="3" t="str">
        <f>IF($L231&lt;&gt;"",IF($A231="Prepago",0,IF(ROUND($H231*$U$5,2)&gt;ROUND(SUM($S$11:$S230)+$U$5,2),$U$5*2,$U$5)),"")</f>
        <v/>
      </c>
      <c r="T231" s="3" t="str">
        <f>IF($L231&lt;&gt;"",IF($A231="Prepago",0,IF(ROUND($H231*$U$6,2)&gt;ROUND(SUM($T$11:$T230)+$U$6,2),$U$6*2,$U$6)),"")</f>
        <v/>
      </c>
      <c r="U231" s="3" t="str">
        <f>IF($L231&lt;&gt;"",IF($A231="Prepago",0,IF(ROUND($H231*$U$7,2)&gt;ROUND(SUM($U$11:$U230)+$U$7,2),$U$7*2,$U$7)),"")</f>
        <v/>
      </c>
      <c r="V231" s="3" t="str">
        <f>IF($L231&lt;&gt;"",IF($A231="Prepago",0,IF(ROUND($H231*$U$8,2)&gt;ROUND(SUM($V$11:$V230)+$U$8,2),$U$8*2,$U$8)),"")</f>
        <v/>
      </c>
      <c r="W231" s="3" t="str">
        <f t="shared" si="61"/>
        <v/>
      </c>
      <c r="X231" s="3" t="str">
        <f t="shared" si="68"/>
        <v/>
      </c>
      <c r="Y231" s="3" t="str">
        <f t="shared" si="69"/>
        <v/>
      </c>
      <c r="Z231" s="3" t="str">
        <f t="shared" si="70"/>
        <v/>
      </c>
      <c r="AA231" s="3" t="str">
        <f>IF($L231&lt;&gt;"",IF($N231&gt;Z$11,IF($N231&lt;AA$11,$N231-Z$11,30),0)*ROUND(($O231+$X230+SUM($Z231:Z231))*$V$5/3000,2),"")</f>
        <v/>
      </c>
    </row>
    <row r="232" spans="5:27" x14ac:dyDescent="0.3">
      <c r="E232" s="5"/>
      <c r="F232" t="str">
        <f t="shared" si="76"/>
        <v/>
      </c>
      <c r="G232" s="5" t="str">
        <f t="shared" si="62"/>
        <v/>
      </c>
      <c r="H232" t="str">
        <f t="shared" si="77"/>
        <v/>
      </c>
      <c r="I232" t="str">
        <f t="shared" si="63"/>
        <v/>
      </c>
      <c r="J232" t="str">
        <f t="shared" si="78"/>
        <v/>
      </c>
      <c r="K232" t="str">
        <f t="shared" si="79"/>
        <v/>
      </c>
      <c r="L232" t="str">
        <f t="shared" si="59"/>
        <v/>
      </c>
      <c r="M232" s="5" t="str">
        <f t="shared" si="71"/>
        <v/>
      </c>
      <c r="N232" s="7" t="str">
        <f t="shared" si="60"/>
        <v/>
      </c>
      <c r="O232" s="3" t="str">
        <f t="shared" si="64"/>
        <v/>
      </c>
      <c r="P232" s="3" t="str">
        <f t="shared" si="65"/>
        <v/>
      </c>
      <c r="Q232" s="3" t="str">
        <f t="shared" si="66"/>
        <v/>
      </c>
      <c r="R232" s="3" t="str">
        <f t="shared" si="67"/>
        <v/>
      </c>
      <c r="S232" s="3" t="str">
        <f>IF($L232&lt;&gt;"",IF($A232="Prepago",0,IF(ROUND($H232*$U$5,2)&gt;ROUND(SUM($S$11:$S231)+$U$5,2),$U$5*2,$U$5)),"")</f>
        <v/>
      </c>
      <c r="T232" s="3" t="str">
        <f>IF($L232&lt;&gt;"",IF($A232="Prepago",0,IF(ROUND($H232*$U$6,2)&gt;ROUND(SUM($T$11:$T231)+$U$6,2),$U$6*2,$U$6)),"")</f>
        <v/>
      </c>
      <c r="U232" s="3" t="str">
        <f>IF($L232&lt;&gt;"",IF($A232="Prepago",0,IF(ROUND($H232*$U$7,2)&gt;ROUND(SUM($U$11:$U231)+$U$7,2),$U$7*2,$U$7)),"")</f>
        <v/>
      </c>
      <c r="V232" s="3" t="str">
        <f>IF($L232&lt;&gt;"",IF($A232="Prepago",0,IF(ROUND($H232*$U$8,2)&gt;ROUND(SUM($V$11:$V231)+$U$8,2),$U$8*2,$U$8)),"")</f>
        <v/>
      </c>
      <c r="W232" s="3" t="str">
        <f t="shared" si="61"/>
        <v/>
      </c>
      <c r="X232" s="3" t="str">
        <f t="shared" si="68"/>
        <v/>
      </c>
      <c r="Y232" s="3" t="str">
        <f t="shared" si="69"/>
        <v/>
      </c>
      <c r="Z232" s="3" t="str">
        <f t="shared" si="70"/>
        <v/>
      </c>
      <c r="AA232" s="3" t="str">
        <f>IF($L232&lt;&gt;"",IF($N232&gt;Z$11,IF($N232&lt;AA$11,$N232-Z$11,30),0)*ROUND(($O232+$X231+SUM($Z232:Z232))*$V$5/3000,2),"")</f>
        <v/>
      </c>
    </row>
    <row r="233" spans="5:27" x14ac:dyDescent="0.3">
      <c r="E233" s="5"/>
      <c r="F233" t="str">
        <f t="shared" si="76"/>
        <v/>
      </c>
      <c r="G233" s="5" t="str">
        <f t="shared" si="62"/>
        <v/>
      </c>
      <c r="H233" t="str">
        <f t="shared" si="77"/>
        <v/>
      </c>
      <c r="I233" t="str">
        <f t="shared" si="63"/>
        <v/>
      </c>
      <c r="J233" t="str">
        <f t="shared" si="78"/>
        <v/>
      </c>
      <c r="K233" t="str">
        <f t="shared" si="79"/>
        <v/>
      </c>
      <c r="L233" t="str">
        <f t="shared" si="59"/>
        <v/>
      </c>
      <c r="M233" s="5" t="str">
        <f t="shared" si="71"/>
        <v/>
      </c>
      <c r="N233" s="7" t="str">
        <f t="shared" si="60"/>
        <v/>
      </c>
      <c r="O233" s="3" t="str">
        <f t="shared" si="64"/>
        <v/>
      </c>
      <c r="P233" s="3" t="str">
        <f t="shared" si="65"/>
        <v/>
      </c>
      <c r="Q233" s="3" t="str">
        <f t="shared" si="66"/>
        <v/>
      </c>
      <c r="R233" s="3" t="str">
        <f t="shared" si="67"/>
        <v/>
      </c>
      <c r="S233" s="3" t="str">
        <f>IF($L233&lt;&gt;"",IF($A233="Prepago",0,IF(ROUND($H233*$U$5,2)&gt;ROUND(SUM($S$11:$S232)+$U$5,2),$U$5*2,$U$5)),"")</f>
        <v/>
      </c>
      <c r="T233" s="3" t="str">
        <f>IF($L233&lt;&gt;"",IF($A233="Prepago",0,IF(ROUND($H233*$U$6,2)&gt;ROUND(SUM($T$11:$T232)+$U$6,2),$U$6*2,$U$6)),"")</f>
        <v/>
      </c>
      <c r="U233" s="3" t="str">
        <f>IF($L233&lt;&gt;"",IF($A233="Prepago",0,IF(ROUND($H233*$U$7,2)&gt;ROUND(SUM($U$11:$U232)+$U$7,2),$U$7*2,$U$7)),"")</f>
        <v/>
      </c>
      <c r="V233" s="3" t="str">
        <f>IF($L233&lt;&gt;"",IF($A233="Prepago",0,IF(ROUND($H233*$U$8,2)&gt;ROUND(SUM($V$11:$V232)+$U$8,2),$U$8*2,$U$8)),"")</f>
        <v/>
      </c>
      <c r="W233" s="3" t="str">
        <f t="shared" si="61"/>
        <v/>
      </c>
      <c r="X233" s="3" t="str">
        <f t="shared" si="68"/>
        <v/>
      </c>
      <c r="Y233" s="3" t="str">
        <f t="shared" si="69"/>
        <v/>
      </c>
      <c r="Z233" s="3" t="str">
        <f t="shared" si="70"/>
        <v/>
      </c>
      <c r="AA233" s="3" t="str">
        <f>IF($L233&lt;&gt;"",IF($N233&gt;Z$11,IF($N233&lt;AA$11,$N233-Z$11,30),0)*ROUND(($O233+$X232+SUM($Z233:Z233))*$V$5/3000,2),"")</f>
        <v/>
      </c>
    </row>
    <row r="234" spans="5:27" x14ac:dyDescent="0.3">
      <c r="E234" s="5"/>
      <c r="F234" t="str">
        <f t="shared" si="76"/>
        <v/>
      </c>
      <c r="G234" s="5" t="str">
        <f t="shared" si="62"/>
        <v/>
      </c>
      <c r="H234" t="str">
        <f t="shared" si="77"/>
        <v/>
      </c>
      <c r="I234" t="str">
        <f t="shared" si="63"/>
        <v/>
      </c>
      <c r="J234" t="str">
        <f t="shared" si="78"/>
        <v/>
      </c>
      <c r="K234" t="str">
        <f t="shared" si="79"/>
        <v/>
      </c>
      <c r="L234" t="str">
        <f t="shared" si="59"/>
        <v/>
      </c>
      <c r="M234" s="5" t="str">
        <f t="shared" si="71"/>
        <v/>
      </c>
      <c r="N234" s="7" t="str">
        <f t="shared" si="60"/>
        <v/>
      </c>
      <c r="O234" s="3" t="str">
        <f t="shared" si="64"/>
        <v/>
      </c>
      <c r="P234" s="3" t="str">
        <f t="shared" si="65"/>
        <v/>
      </c>
      <c r="Q234" s="3" t="str">
        <f t="shared" si="66"/>
        <v/>
      </c>
      <c r="R234" s="3" t="str">
        <f t="shared" si="67"/>
        <v/>
      </c>
      <c r="S234" s="3" t="str">
        <f>IF($L234&lt;&gt;"",IF($A234="Prepago",0,IF(ROUND($H234*$U$5,2)&gt;ROUND(SUM($S$11:$S233)+$U$5,2),$U$5*2,$U$5)),"")</f>
        <v/>
      </c>
      <c r="T234" s="3" t="str">
        <f>IF($L234&lt;&gt;"",IF($A234="Prepago",0,IF(ROUND($H234*$U$6,2)&gt;ROUND(SUM($T$11:$T233)+$U$6,2),$U$6*2,$U$6)),"")</f>
        <v/>
      </c>
      <c r="U234" s="3" t="str">
        <f>IF($L234&lt;&gt;"",IF($A234="Prepago",0,IF(ROUND($H234*$U$7,2)&gt;ROUND(SUM($U$11:$U233)+$U$7,2),$U$7*2,$U$7)),"")</f>
        <v/>
      </c>
      <c r="V234" s="3" t="str">
        <f>IF($L234&lt;&gt;"",IF($A234="Prepago",0,IF(ROUND($H234*$U$8,2)&gt;ROUND(SUM($V$11:$V233)+$U$8,2),$U$8*2,$U$8)),"")</f>
        <v/>
      </c>
      <c r="W234" s="3" t="str">
        <f t="shared" si="61"/>
        <v/>
      </c>
      <c r="X234" s="3" t="str">
        <f t="shared" si="68"/>
        <v/>
      </c>
      <c r="Y234" s="3" t="str">
        <f t="shared" si="69"/>
        <v/>
      </c>
      <c r="Z234" s="3" t="str">
        <f t="shared" si="70"/>
        <v/>
      </c>
      <c r="AA234" s="3" t="str">
        <f>IF($L234&lt;&gt;"",IF($N234&gt;Z$11,IF($N234&lt;AA$11,$N234-Z$11,30),0)*ROUND(($O234+$X233+SUM($Z234:Z234))*$V$5/3000,2),"")</f>
        <v/>
      </c>
    </row>
    <row r="235" spans="5:27" x14ac:dyDescent="0.3">
      <c r="E235" s="5"/>
      <c r="F235" t="str">
        <f t="shared" si="76"/>
        <v/>
      </c>
      <c r="G235" s="5" t="str">
        <f t="shared" si="62"/>
        <v/>
      </c>
      <c r="H235" t="str">
        <f t="shared" si="77"/>
        <v/>
      </c>
      <c r="I235" t="str">
        <f t="shared" si="63"/>
        <v/>
      </c>
      <c r="J235" t="str">
        <f t="shared" si="78"/>
        <v/>
      </c>
      <c r="K235" t="str">
        <f t="shared" si="79"/>
        <v/>
      </c>
      <c r="L235" t="str">
        <f t="shared" si="59"/>
        <v/>
      </c>
      <c r="M235" s="5" t="str">
        <f t="shared" si="71"/>
        <v/>
      </c>
      <c r="N235" s="7" t="str">
        <f t="shared" si="60"/>
        <v/>
      </c>
      <c r="O235" s="3" t="str">
        <f t="shared" si="64"/>
        <v/>
      </c>
      <c r="P235" s="3" t="str">
        <f t="shared" si="65"/>
        <v/>
      </c>
      <c r="Q235" s="3" t="str">
        <f t="shared" si="66"/>
        <v/>
      </c>
      <c r="R235" s="3" t="str">
        <f t="shared" si="67"/>
        <v/>
      </c>
      <c r="S235" s="3" t="str">
        <f>IF($L235&lt;&gt;"",IF($A235="Prepago",0,IF(ROUND($H235*$U$5,2)&gt;ROUND(SUM($S$11:$S234)+$U$5,2),$U$5*2,$U$5)),"")</f>
        <v/>
      </c>
      <c r="T235" s="3" t="str">
        <f>IF($L235&lt;&gt;"",IF($A235="Prepago",0,IF(ROUND($H235*$U$6,2)&gt;ROUND(SUM($T$11:$T234)+$U$6,2),$U$6*2,$U$6)),"")</f>
        <v/>
      </c>
      <c r="U235" s="3" t="str">
        <f>IF($L235&lt;&gt;"",IF($A235="Prepago",0,IF(ROUND($H235*$U$7,2)&gt;ROUND(SUM($U$11:$U234)+$U$7,2),$U$7*2,$U$7)),"")</f>
        <v/>
      </c>
      <c r="V235" s="3" t="str">
        <f>IF($L235&lt;&gt;"",IF($A235="Prepago",0,IF(ROUND($H235*$U$8,2)&gt;ROUND(SUM($V$11:$V234)+$U$8,2),$U$8*2,$U$8)),"")</f>
        <v/>
      </c>
      <c r="W235" s="3" t="str">
        <f t="shared" si="61"/>
        <v/>
      </c>
      <c r="X235" s="3" t="str">
        <f t="shared" si="68"/>
        <v/>
      </c>
      <c r="Y235" s="3" t="str">
        <f t="shared" si="69"/>
        <v/>
      </c>
      <c r="Z235" s="3" t="str">
        <f t="shared" si="70"/>
        <v/>
      </c>
      <c r="AA235" s="3" t="str">
        <f>IF($L235&lt;&gt;"",IF($N235&gt;Z$11,IF($N235&lt;AA$11,$N235-Z$11,30),0)*ROUND(($O235+$X234+SUM($Z235:Z235))*$V$5/3000,2),"")</f>
        <v/>
      </c>
    </row>
    <row r="236" spans="5:27" x14ac:dyDescent="0.3">
      <c r="E236" s="5"/>
      <c r="F236" t="str">
        <f t="shared" si="76"/>
        <v/>
      </c>
      <c r="G236" s="5" t="str">
        <f t="shared" si="62"/>
        <v/>
      </c>
      <c r="H236" t="str">
        <f t="shared" si="77"/>
        <v/>
      </c>
      <c r="I236" t="str">
        <f t="shared" si="63"/>
        <v/>
      </c>
      <c r="J236" t="str">
        <f t="shared" si="78"/>
        <v/>
      </c>
      <c r="K236" t="str">
        <f t="shared" si="79"/>
        <v/>
      </c>
      <c r="L236" t="str">
        <f t="shared" ref="L236:L299" si="80">IF($L235&lt;NCUOTAS+CUOTAADICIONAL+NPREPAGO,$L235+1,"")</f>
        <v/>
      </c>
      <c r="M236" s="5" t="str">
        <f t="shared" si="71"/>
        <v/>
      </c>
      <c r="N236" s="7" t="str">
        <f t="shared" ref="N236:N299" si="81">IF($L236&lt;&gt;"",$M236-$M235,"")</f>
        <v/>
      </c>
      <c r="O236" s="3" t="str">
        <f t="shared" si="64"/>
        <v/>
      </c>
      <c r="P236" s="3" t="str">
        <f t="shared" si="65"/>
        <v/>
      </c>
      <c r="Q236" s="3" t="str">
        <f t="shared" si="66"/>
        <v/>
      </c>
      <c r="R236" s="3" t="str">
        <f t="shared" si="67"/>
        <v/>
      </c>
      <c r="S236" s="3" t="str">
        <f>IF($L236&lt;&gt;"",IF($A236="Prepago",0,IF(ROUND($H236*$U$5,2)&gt;ROUND(SUM($S$11:$S235)+$U$5,2),$U$5*2,$U$5)),"")</f>
        <v/>
      </c>
      <c r="T236" s="3" t="str">
        <f>IF($L236&lt;&gt;"",IF($A236="Prepago",0,IF(ROUND($H236*$U$6,2)&gt;ROUND(SUM($T$11:$T235)+$U$6,2),$U$6*2,$U$6)),"")</f>
        <v/>
      </c>
      <c r="U236" s="3" t="str">
        <f>IF($L236&lt;&gt;"",IF($A236="Prepago",0,IF(ROUND($H236*$U$7,2)&gt;ROUND(SUM($U$11:$U235)+$U$7,2),$U$7*2,$U$7)),"")</f>
        <v/>
      </c>
      <c r="V236" s="3" t="str">
        <f>IF($L236&lt;&gt;"",IF($A236="Prepago",0,IF(ROUND($H236*$U$8,2)&gt;ROUND(SUM($V$11:$V235)+$U$8,2),$U$8*2,$U$8)),"")</f>
        <v/>
      </c>
      <c r="W236" s="3" t="str">
        <f t="shared" ref="W236:W299" si="82">IF($L236&lt;&gt;"",$O236-$Q236,"")</f>
        <v/>
      </c>
      <c r="X236" s="3" t="str">
        <f t="shared" si="68"/>
        <v/>
      </c>
      <c r="Y236" s="3" t="str">
        <f t="shared" si="69"/>
        <v/>
      </c>
      <c r="Z236" s="3" t="str">
        <f t="shared" si="70"/>
        <v/>
      </c>
      <c r="AA236" s="3" t="str">
        <f>IF($L236&lt;&gt;"",IF($N236&gt;Z$11,IF($N236&lt;AA$11,$N236-Z$11,30),0)*ROUND(($O236+$X235+SUM($Z236:Z236))*$V$5/3000,2),"")</f>
        <v/>
      </c>
    </row>
    <row r="237" spans="5:27" x14ac:dyDescent="0.3">
      <c r="E237" s="5"/>
      <c r="F237" t="str">
        <f t="shared" si="76"/>
        <v/>
      </c>
      <c r="G237" s="5" t="str">
        <f t="shared" si="62"/>
        <v/>
      </c>
      <c r="H237" t="str">
        <f t="shared" si="77"/>
        <v/>
      </c>
      <c r="I237" t="str">
        <f t="shared" si="63"/>
        <v/>
      </c>
      <c r="J237" t="str">
        <f t="shared" si="78"/>
        <v/>
      </c>
      <c r="K237" t="str">
        <f t="shared" si="79"/>
        <v/>
      </c>
      <c r="L237" t="str">
        <f t="shared" si="80"/>
        <v/>
      </c>
      <c r="M237" s="5" t="str">
        <f t="shared" si="71"/>
        <v/>
      </c>
      <c r="N237" s="7" t="str">
        <f t="shared" si="81"/>
        <v/>
      </c>
      <c r="O237" s="3" t="str">
        <f t="shared" si="64"/>
        <v/>
      </c>
      <c r="P237" s="3" t="str">
        <f t="shared" si="65"/>
        <v/>
      </c>
      <c r="Q237" s="3" t="str">
        <f t="shared" si="66"/>
        <v/>
      </c>
      <c r="R237" s="3" t="str">
        <f t="shared" si="67"/>
        <v/>
      </c>
      <c r="S237" s="3" t="str">
        <f>IF($L237&lt;&gt;"",IF($A237="Prepago",0,IF(ROUND($H237*$U$5,2)&gt;ROUND(SUM($S$11:$S236)+$U$5,2),$U$5*2,$U$5)),"")</f>
        <v/>
      </c>
      <c r="T237" s="3" t="str">
        <f>IF($L237&lt;&gt;"",IF($A237="Prepago",0,IF(ROUND($H237*$U$6,2)&gt;ROUND(SUM($T$11:$T236)+$U$6,2),$U$6*2,$U$6)),"")</f>
        <v/>
      </c>
      <c r="U237" s="3" t="str">
        <f>IF($L237&lt;&gt;"",IF($A237="Prepago",0,IF(ROUND($H237*$U$7,2)&gt;ROUND(SUM($U$11:$U236)+$U$7,2),$U$7*2,$U$7)),"")</f>
        <v/>
      </c>
      <c r="V237" s="3" t="str">
        <f>IF($L237&lt;&gt;"",IF($A237="Prepago",0,IF(ROUND($H237*$U$8,2)&gt;ROUND(SUM($V$11:$V236)+$U$8,2),$U$8*2,$U$8)),"")</f>
        <v/>
      </c>
      <c r="W237" s="3" t="str">
        <f t="shared" si="82"/>
        <v/>
      </c>
      <c r="X237" s="3" t="str">
        <f t="shared" si="68"/>
        <v/>
      </c>
      <c r="Y237" s="3" t="str">
        <f t="shared" si="69"/>
        <v/>
      </c>
      <c r="Z237" s="3" t="str">
        <f t="shared" si="70"/>
        <v/>
      </c>
      <c r="AA237" s="3" t="str">
        <f>IF($L237&lt;&gt;"",IF($N237&gt;Z$11,IF($N237&lt;AA$11,$N237-Z$11,30),0)*ROUND(($O237+$X236+SUM($Z237:Z237))*$V$5/3000,2),"")</f>
        <v/>
      </c>
    </row>
    <row r="238" spans="5:27" x14ac:dyDescent="0.3">
      <c r="E238" s="5"/>
      <c r="F238" t="str">
        <f t="shared" si="76"/>
        <v/>
      </c>
      <c r="G238" s="5" t="str">
        <f t="shared" si="62"/>
        <v/>
      </c>
      <c r="H238" t="str">
        <f t="shared" si="77"/>
        <v/>
      </c>
      <c r="I238" t="str">
        <f t="shared" si="63"/>
        <v/>
      </c>
      <c r="J238" t="str">
        <f t="shared" si="78"/>
        <v/>
      </c>
      <c r="K238" t="str">
        <f t="shared" si="79"/>
        <v/>
      </c>
      <c r="L238" t="str">
        <f t="shared" si="80"/>
        <v/>
      </c>
      <c r="M238" s="5" t="str">
        <f t="shared" si="71"/>
        <v/>
      </c>
      <c r="N238" s="7" t="str">
        <f t="shared" si="81"/>
        <v/>
      </c>
      <c r="O238" s="3" t="str">
        <f t="shared" si="64"/>
        <v/>
      </c>
      <c r="P238" s="3" t="str">
        <f t="shared" si="65"/>
        <v/>
      </c>
      <c r="Q238" s="3" t="str">
        <f t="shared" si="66"/>
        <v/>
      </c>
      <c r="R238" s="3" t="str">
        <f t="shared" si="67"/>
        <v/>
      </c>
      <c r="S238" s="3" t="str">
        <f>IF($L238&lt;&gt;"",IF($A238="Prepago",0,IF(ROUND($H238*$U$5,2)&gt;ROUND(SUM($S$11:$S237)+$U$5,2),$U$5*2,$U$5)),"")</f>
        <v/>
      </c>
      <c r="T238" s="3" t="str">
        <f>IF($L238&lt;&gt;"",IF($A238="Prepago",0,IF(ROUND($H238*$U$6,2)&gt;ROUND(SUM($T$11:$T237)+$U$6,2),$U$6*2,$U$6)),"")</f>
        <v/>
      </c>
      <c r="U238" s="3" t="str">
        <f>IF($L238&lt;&gt;"",IF($A238="Prepago",0,IF(ROUND($H238*$U$7,2)&gt;ROUND(SUM($U$11:$U237)+$U$7,2),$U$7*2,$U$7)),"")</f>
        <v/>
      </c>
      <c r="V238" s="3" t="str">
        <f>IF($L238&lt;&gt;"",IF($A238="Prepago",0,IF(ROUND($H238*$U$8,2)&gt;ROUND(SUM($V$11:$V237)+$U$8,2),$U$8*2,$U$8)),"")</f>
        <v/>
      </c>
      <c r="W238" s="3" t="str">
        <f t="shared" si="82"/>
        <v/>
      </c>
      <c r="X238" s="3" t="str">
        <f t="shared" si="68"/>
        <v/>
      </c>
      <c r="Y238" s="3" t="str">
        <f t="shared" si="69"/>
        <v/>
      </c>
      <c r="Z238" s="3" t="str">
        <f t="shared" si="70"/>
        <v/>
      </c>
      <c r="AA238" s="3" t="str">
        <f>IF($L238&lt;&gt;"",IF($N238&gt;Z$11,IF($N238&lt;AA$11,$N238-Z$11,30),0)*ROUND(($O238+$X237+SUM($Z238:Z238))*$V$5/3000,2),"")</f>
        <v/>
      </c>
    </row>
    <row r="239" spans="5:27" x14ac:dyDescent="0.3">
      <c r="E239" s="5"/>
      <c r="F239" t="str">
        <f t="shared" si="76"/>
        <v/>
      </c>
      <c r="G239" s="5" t="str">
        <f t="shared" si="62"/>
        <v/>
      </c>
      <c r="H239" t="str">
        <f t="shared" si="77"/>
        <v/>
      </c>
      <c r="I239" t="str">
        <f t="shared" si="63"/>
        <v/>
      </c>
      <c r="J239" t="str">
        <f t="shared" si="78"/>
        <v/>
      </c>
      <c r="K239" t="str">
        <f t="shared" si="79"/>
        <v/>
      </c>
      <c r="L239" t="str">
        <f t="shared" si="80"/>
        <v/>
      </c>
      <c r="M239" s="5" t="str">
        <f t="shared" si="71"/>
        <v/>
      </c>
      <c r="N239" s="7" t="str">
        <f t="shared" si="81"/>
        <v/>
      </c>
      <c r="O239" s="3" t="str">
        <f t="shared" si="64"/>
        <v/>
      </c>
      <c r="P239" s="3" t="str">
        <f t="shared" si="65"/>
        <v/>
      </c>
      <c r="Q239" s="3" t="str">
        <f t="shared" si="66"/>
        <v/>
      </c>
      <c r="R239" s="3" t="str">
        <f t="shared" si="67"/>
        <v/>
      </c>
      <c r="S239" s="3" t="str">
        <f>IF($L239&lt;&gt;"",IF($A239="Prepago",0,IF($H239*$U$5&gt;SUM($S$11:$S238)+$U$5,$U$5*2,$U$5)),"")</f>
        <v/>
      </c>
      <c r="T239" s="3" t="str">
        <f>IF($L239&lt;&gt;"",IF($A239="Prepago",0,IF($H239*$U$6&gt;SUM($T$11:$T238)+$U$6,$U$6*2,$U$6)),"")</f>
        <v/>
      </c>
      <c r="U239" s="3" t="str">
        <f>IF($L239&lt;&gt;"",IF($A239="Prepago",0,IF(ROUND($H239*$U$7,2)&gt;ROUND(SUM($U$11:$U238)+$U$7,2),$U$7*2,$U$7)),"")</f>
        <v/>
      </c>
      <c r="V239" s="3" t="str">
        <f>IF($L239&lt;&gt;"",IF($A239="Prepago",0,IF($H239*$U$8&gt;SUM($V$11:$V238)+$U$8,$U$8*2,$U$8)),"")</f>
        <v/>
      </c>
      <c r="W239" s="3" t="str">
        <f t="shared" si="82"/>
        <v/>
      </c>
      <c r="X239" s="3" t="str">
        <f t="shared" si="68"/>
        <v/>
      </c>
      <c r="Y239" s="3" t="str">
        <f t="shared" si="69"/>
        <v/>
      </c>
      <c r="Z239" s="3" t="str">
        <f t="shared" si="70"/>
        <v/>
      </c>
      <c r="AA239" s="3" t="str">
        <f>IF($L239&lt;&gt;"",IF($N239&gt;Z$11,IF($N239&lt;AA$11,$N239-Z$11,30),0)*ROUND(($O239+$X238+SUM($Z239:Z239))*$V$5/3000,2),"")</f>
        <v/>
      </c>
    </row>
    <row r="240" spans="5:27" x14ac:dyDescent="0.3">
      <c r="E240" s="5"/>
      <c r="F240" t="str">
        <f t="shared" ref="F240:F303" si="83">IF($L240&lt;&gt;"",TEXT(M240,"DDD"),"")</f>
        <v/>
      </c>
      <c r="G240" s="5" t="str">
        <f t="shared" si="62"/>
        <v/>
      </c>
      <c r="H240" t="str">
        <f t="shared" ref="H240:H303" si="84">IF($L240&lt;&gt;"",IF($A240="Prepago",$H239,$H239+1)+B240,"")</f>
        <v/>
      </c>
      <c r="I240" t="str">
        <f t="shared" si="63"/>
        <v/>
      </c>
      <c r="J240" t="str">
        <f t="shared" ref="J240:J303" si="85">IF($L240&lt;&gt;"",IF(OR(A240&lt;&gt;"",C240&lt;&gt;""),1,0),"")</f>
        <v/>
      </c>
      <c r="K240" t="str">
        <f t="shared" ref="K240:K303" si="86">IF($L240&lt;&gt;"",IF(J240=1,Q240,0),"")</f>
        <v/>
      </c>
      <c r="L240" t="str">
        <f t="shared" si="80"/>
        <v/>
      </c>
      <c r="M240" s="5" t="str">
        <f t="shared" si="71"/>
        <v/>
      </c>
      <c r="N240" s="7" t="str">
        <f t="shared" si="81"/>
        <v/>
      </c>
      <c r="O240" s="3" t="str">
        <f t="shared" si="64"/>
        <v/>
      </c>
      <c r="P240" s="3" t="str">
        <f t="shared" si="65"/>
        <v/>
      </c>
      <c r="Q240" s="3" t="str">
        <f t="shared" si="66"/>
        <v/>
      </c>
      <c r="R240" s="3" t="str">
        <f t="shared" si="67"/>
        <v/>
      </c>
      <c r="S240" s="3" t="str">
        <f>IF($L240&lt;&gt;"",IF($A240="Prepago",0,IF($H240*$U$5&gt;SUM($S$11:$S239)+$U$5,$U$5*2,$U$5)),"")</f>
        <v/>
      </c>
      <c r="T240" s="3" t="str">
        <f>IF($L240&lt;&gt;"",IF($A240="Prepago",0,IF($H240*$U$6&gt;SUM($T$11:$T239)+$U$6,$U$6*2,$U$6)),"")</f>
        <v/>
      </c>
      <c r="U240" s="3" t="str">
        <f>IF($L240&lt;&gt;"",IF($A240="Prepago",0,IF(ROUND($H240*$U$7,2)&gt;ROUND(SUM($U$11:$U239)+$U$7,2),$U$7*2,$U$7)),"")</f>
        <v/>
      </c>
      <c r="V240" s="3" t="str">
        <f>IF($L240&lt;&gt;"",IF($A240="Prepago",0,IF($H240*$U$8&gt;SUM($V$11:$V239)+$U$8,$U$8*2,$U$8)),"")</f>
        <v/>
      </c>
      <c r="W240" s="3" t="str">
        <f t="shared" si="82"/>
        <v/>
      </c>
      <c r="X240" s="3" t="str">
        <f t="shared" si="68"/>
        <v/>
      </c>
      <c r="Y240" s="3" t="str">
        <f t="shared" si="69"/>
        <v/>
      </c>
      <c r="Z240" s="3" t="str">
        <f t="shared" si="70"/>
        <v/>
      </c>
      <c r="AA240" s="3" t="str">
        <f>IF($L240&lt;&gt;"",IF($N240&gt;Z$11,IF($N240&lt;AA$11,$N240-Z$11,30),0)*ROUND(($O240+$X239+SUM($Z240:Z240))*$V$5/3000,2),"")</f>
        <v/>
      </c>
    </row>
    <row r="241" spans="5:27" x14ac:dyDescent="0.3">
      <c r="E241" s="5"/>
      <c r="F241" t="str">
        <f t="shared" si="83"/>
        <v/>
      </c>
      <c r="G241" s="5" t="str">
        <f t="shared" si="62"/>
        <v/>
      </c>
      <c r="H241" t="str">
        <f t="shared" si="84"/>
        <v/>
      </c>
      <c r="I241" t="str">
        <f t="shared" si="63"/>
        <v/>
      </c>
      <c r="J241" t="str">
        <f t="shared" si="85"/>
        <v/>
      </c>
      <c r="K241" t="str">
        <f t="shared" si="86"/>
        <v/>
      </c>
      <c r="L241" t="str">
        <f t="shared" si="80"/>
        <v/>
      </c>
      <c r="M241" s="5" t="str">
        <f t="shared" si="71"/>
        <v/>
      </c>
      <c r="N241" s="7" t="str">
        <f t="shared" si="81"/>
        <v/>
      </c>
      <c r="O241" s="3" t="str">
        <f t="shared" si="64"/>
        <v/>
      </c>
      <c r="P241" s="3" t="str">
        <f t="shared" si="65"/>
        <v/>
      </c>
      <c r="Q241" s="3" t="str">
        <f t="shared" si="66"/>
        <v/>
      </c>
      <c r="R241" s="3" t="str">
        <f t="shared" si="67"/>
        <v/>
      </c>
      <c r="S241" s="3" t="str">
        <f>IF($L241&lt;&gt;"",IF($A241="Prepago",0,IF($H241*$U$5&gt;SUM($S$11:$S240)+$U$5,$U$5*2,$U$5)),"")</f>
        <v/>
      </c>
      <c r="T241" s="3" t="str">
        <f>IF($L241&lt;&gt;"",IF($A241="Prepago",0,IF($H241*$U$6&gt;SUM($T$11:$T240)+$U$6,$U$6*2,$U$6)),"")</f>
        <v/>
      </c>
      <c r="U241" s="3" t="str">
        <f>IF($L241&lt;&gt;"",IF($A241="Prepago",0,IF(ROUND($H241*$U$7,2)&gt;ROUND(SUM($U$11:$U240)+$U$7,2),$U$7*2,$U$7)),"")</f>
        <v/>
      </c>
      <c r="V241" s="3" t="str">
        <f>IF($L241&lt;&gt;"",IF($A241="Prepago",0,IF($H241*$U$8&gt;SUM($V$11:$V240)+$U$8,$U$8*2,$U$8)),"")</f>
        <v/>
      </c>
      <c r="W241" s="3" t="str">
        <f t="shared" si="82"/>
        <v/>
      </c>
      <c r="X241" s="3" t="str">
        <f t="shared" si="68"/>
        <v/>
      </c>
      <c r="Y241" s="3" t="str">
        <f t="shared" si="69"/>
        <v/>
      </c>
      <c r="Z241" s="3" t="str">
        <f t="shared" si="70"/>
        <v/>
      </c>
      <c r="AA241" s="3" t="str">
        <f>IF($L241&lt;&gt;"",IF($N241&gt;Z$11,IF($N241&lt;AA$11,$N241-Z$11,30),0)*ROUND(($O241+$X240+SUM($Z241:Z241))*$V$5/3000,2),"")</f>
        <v/>
      </c>
    </row>
    <row r="242" spans="5:27" x14ac:dyDescent="0.3">
      <c r="E242" s="5"/>
      <c r="F242" t="str">
        <f t="shared" si="83"/>
        <v/>
      </c>
      <c r="G242" s="5" t="str">
        <f t="shared" si="62"/>
        <v/>
      </c>
      <c r="H242" t="str">
        <f t="shared" si="84"/>
        <v/>
      </c>
      <c r="I242" t="str">
        <f t="shared" si="63"/>
        <v/>
      </c>
      <c r="J242" t="str">
        <f t="shared" si="85"/>
        <v/>
      </c>
      <c r="K242" t="str">
        <f t="shared" si="86"/>
        <v/>
      </c>
      <c r="L242" t="str">
        <f t="shared" si="80"/>
        <v/>
      </c>
      <c r="M242" s="5" t="str">
        <f t="shared" si="71"/>
        <v/>
      </c>
      <c r="N242" s="7" t="str">
        <f t="shared" si="81"/>
        <v/>
      </c>
      <c r="O242" s="3" t="str">
        <f t="shared" si="64"/>
        <v/>
      </c>
      <c r="P242" s="3" t="str">
        <f t="shared" si="65"/>
        <v/>
      </c>
      <c r="Q242" s="3" t="str">
        <f t="shared" si="66"/>
        <v/>
      </c>
      <c r="R242" s="3" t="str">
        <f t="shared" si="67"/>
        <v/>
      </c>
      <c r="S242" s="3" t="str">
        <f>IF($L242&lt;&gt;"",IF($A242="Prepago",0,IF($H242*$U$5&gt;SUM($S$11:$S241)+$U$5,$U$5*2,$U$5)),"")</f>
        <v/>
      </c>
      <c r="T242" s="3" t="str">
        <f>IF($L242&lt;&gt;"",IF($A242="Prepago",0,IF($H242*$U$6&gt;SUM($T$11:$T241)+$U$6,$U$6*2,$U$6)),"")</f>
        <v/>
      </c>
      <c r="U242" s="3" t="str">
        <f>IF($L242&lt;&gt;"",IF($A242="Prepago",0,IF(ROUND($H242*$U$7,2)&gt;ROUND(SUM($U$11:$U241)+$U$7,2),$U$7*2,$U$7)),"")</f>
        <v/>
      </c>
      <c r="V242" s="3" t="str">
        <f>IF($L242&lt;&gt;"",IF($A242="Prepago",0,IF($H242*$U$8&gt;SUM($V$11:$V241)+$U$8,$U$8*2,$U$8)),"")</f>
        <v/>
      </c>
      <c r="W242" s="3" t="str">
        <f t="shared" si="82"/>
        <v/>
      </c>
      <c r="X242" s="3" t="str">
        <f t="shared" si="68"/>
        <v/>
      </c>
      <c r="Y242" s="3" t="str">
        <f t="shared" si="69"/>
        <v/>
      </c>
      <c r="Z242" s="3" t="str">
        <f t="shared" si="70"/>
        <v/>
      </c>
      <c r="AA242" s="3" t="str">
        <f>IF($L242&lt;&gt;"",IF($N242&gt;Z$11,IF($N242&lt;AA$11,$N242-Z$11,30),0)*ROUND(($O242+$X241+SUM($Z242:Z242))*$V$5/3000,2),"")</f>
        <v/>
      </c>
    </row>
    <row r="243" spans="5:27" x14ac:dyDescent="0.3">
      <c r="E243" s="5"/>
      <c r="F243" t="str">
        <f t="shared" si="83"/>
        <v/>
      </c>
      <c r="G243" s="5" t="str">
        <f t="shared" si="62"/>
        <v/>
      </c>
      <c r="H243" t="str">
        <f t="shared" si="84"/>
        <v/>
      </c>
      <c r="I243" t="str">
        <f t="shared" si="63"/>
        <v/>
      </c>
      <c r="J243" t="str">
        <f t="shared" si="85"/>
        <v/>
      </c>
      <c r="K243" t="str">
        <f t="shared" si="86"/>
        <v/>
      </c>
      <c r="L243" t="str">
        <f t="shared" si="80"/>
        <v/>
      </c>
      <c r="M243" s="5" t="str">
        <f t="shared" si="71"/>
        <v/>
      </c>
      <c r="N243" s="7" t="str">
        <f t="shared" si="81"/>
        <v/>
      </c>
      <c r="O243" s="3" t="str">
        <f t="shared" si="64"/>
        <v/>
      </c>
      <c r="P243" s="3" t="str">
        <f t="shared" si="65"/>
        <v/>
      </c>
      <c r="Q243" s="3" t="str">
        <f t="shared" si="66"/>
        <v/>
      </c>
      <c r="R243" s="3" t="str">
        <f t="shared" si="67"/>
        <v/>
      </c>
      <c r="S243" s="3" t="str">
        <f>IF($L243&lt;&gt;"",IF($A243="Prepago",0,IF($H243*$U$5&gt;SUM($S$11:$S242)+$U$5,$U$5*2,$U$5)),"")</f>
        <v/>
      </c>
      <c r="T243" s="3" t="str">
        <f>IF($L243&lt;&gt;"",IF($A243="Prepago",0,IF($H243*$U$6&gt;SUM($T$11:$T242)+$U$6,$U$6*2,$U$6)),"")</f>
        <v/>
      </c>
      <c r="U243" s="3" t="str">
        <f>IF($L243&lt;&gt;"",IF($A243="Prepago",0,IF(ROUND($H243*$U$7,2)&gt;ROUND(SUM($U$11:$U242)+$U$7,2),$U$7*2,$U$7)),"")</f>
        <v/>
      </c>
      <c r="V243" s="3" t="str">
        <f>IF($L243&lt;&gt;"",IF($A243="Prepago",0,IF($H243*$U$8&gt;SUM($V$11:$V242)+$U$8,$U$8*2,$U$8)),"")</f>
        <v/>
      </c>
      <c r="W243" s="3" t="str">
        <f t="shared" si="82"/>
        <v/>
      </c>
      <c r="X243" s="3" t="str">
        <f t="shared" si="68"/>
        <v/>
      </c>
      <c r="Y243" s="3" t="str">
        <f t="shared" si="69"/>
        <v/>
      </c>
      <c r="Z243" s="3" t="str">
        <f t="shared" si="70"/>
        <v/>
      </c>
      <c r="AA243" s="3" t="str">
        <f>IF($L243&lt;&gt;"",IF($N243&gt;Z$11,IF($N243&lt;AA$11,$N243-Z$11,30),0)*ROUND(($O243+$X242+SUM($Z243:Z243))*$V$5/3000,2),"")</f>
        <v/>
      </c>
    </row>
    <row r="244" spans="5:27" x14ac:dyDescent="0.3">
      <c r="E244" s="5"/>
      <c r="F244" t="str">
        <f t="shared" si="83"/>
        <v/>
      </c>
      <c r="G244" s="5" t="str">
        <f t="shared" si="62"/>
        <v/>
      </c>
      <c r="H244" t="str">
        <f t="shared" si="84"/>
        <v/>
      </c>
      <c r="I244" t="str">
        <f t="shared" si="63"/>
        <v/>
      </c>
      <c r="J244" t="str">
        <f t="shared" si="85"/>
        <v/>
      </c>
      <c r="K244" t="str">
        <f t="shared" si="86"/>
        <v/>
      </c>
      <c r="L244" t="str">
        <f t="shared" si="80"/>
        <v/>
      </c>
      <c r="M244" s="5" t="str">
        <f t="shared" si="71"/>
        <v/>
      </c>
      <c r="N244" s="7" t="str">
        <f t="shared" si="81"/>
        <v/>
      </c>
      <c r="O244" s="3" t="str">
        <f t="shared" si="64"/>
        <v/>
      </c>
      <c r="P244" s="3" t="str">
        <f t="shared" si="65"/>
        <v/>
      </c>
      <c r="Q244" s="3" t="str">
        <f t="shared" si="66"/>
        <v/>
      </c>
      <c r="R244" s="3" t="str">
        <f t="shared" si="67"/>
        <v/>
      </c>
      <c r="S244" s="3" t="str">
        <f>IF($L244&lt;&gt;"",IF($A244="Prepago",0,IF($H244*$U$5&gt;SUM($S$11:$S243)+$U$5,$U$5*2,$U$5)),"")</f>
        <v/>
      </c>
      <c r="T244" s="3" t="str">
        <f>IF($L244&lt;&gt;"",IF($A244="Prepago",0,IF($H244*$U$6&gt;SUM($T$11:$T243)+$U$6,$U$6*2,$U$6)),"")</f>
        <v/>
      </c>
      <c r="U244" s="3" t="str">
        <f>IF($L244&lt;&gt;"",IF($A244="Prepago",0,IF(ROUND($H244*$U$7,2)&gt;ROUND(SUM($U$11:$U243)+$U$7,2),$U$7*2,$U$7)),"")</f>
        <v/>
      </c>
      <c r="V244" s="3" t="str">
        <f>IF($L244&lt;&gt;"",IF($A244="Prepago",0,IF($H244*$U$8&gt;SUM($V$11:$V243)+$U$8,$U$8*2,$U$8)),"")</f>
        <v/>
      </c>
      <c r="W244" s="3" t="str">
        <f t="shared" si="82"/>
        <v/>
      </c>
      <c r="X244" s="3" t="str">
        <f t="shared" si="68"/>
        <v/>
      </c>
      <c r="Y244" s="3" t="str">
        <f t="shared" si="69"/>
        <v/>
      </c>
      <c r="Z244" s="3" t="str">
        <f t="shared" si="70"/>
        <v/>
      </c>
      <c r="AA244" s="3" t="str">
        <f>IF($L244&lt;&gt;"",IF($N244&gt;Z$11,IF($N244&lt;AA$11,$N244-Z$11,30),0)*ROUND(($O244+$X243+SUM($Z244:Z244))*$V$5/3000,2),"")</f>
        <v/>
      </c>
    </row>
    <row r="245" spans="5:27" x14ac:dyDescent="0.3">
      <c r="E245" s="5"/>
      <c r="F245" t="str">
        <f t="shared" si="83"/>
        <v/>
      </c>
      <c r="G245" s="5" t="str">
        <f t="shared" si="62"/>
        <v/>
      </c>
      <c r="H245" t="str">
        <f t="shared" si="84"/>
        <v/>
      </c>
      <c r="I245" t="str">
        <f t="shared" si="63"/>
        <v/>
      </c>
      <c r="J245" t="str">
        <f t="shared" si="85"/>
        <v/>
      </c>
      <c r="K245" t="str">
        <f t="shared" si="86"/>
        <v/>
      </c>
      <c r="L245" t="str">
        <f t="shared" si="80"/>
        <v/>
      </c>
      <c r="M245" s="5" t="str">
        <f t="shared" si="71"/>
        <v/>
      </c>
      <c r="N245" s="7" t="str">
        <f t="shared" si="81"/>
        <v/>
      </c>
      <c r="O245" s="3" t="str">
        <f t="shared" si="64"/>
        <v/>
      </c>
      <c r="P245" s="3" t="str">
        <f t="shared" si="65"/>
        <v/>
      </c>
      <c r="Q245" s="3" t="str">
        <f t="shared" si="66"/>
        <v/>
      </c>
      <c r="R245" s="3" t="str">
        <f t="shared" si="67"/>
        <v/>
      </c>
      <c r="S245" s="3" t="str">
        <f>IF($L245&lt;&gt;"",IF($A245="Prepago",0,IF($H245*$U$5&gt;SUM($S$11:$S244)+$U$5,$U$5*2,$U$5)),"")</f>
        <v/>
      </c>
      <c r="T245" s="3" t="str">
        <f>IF($L245&lt;&gt;"",IF($A245="Prepago",0,IF($H245*$U$6&gt;SUM($T$11:$T244)+$U$6,$U$6*2,$U$6)),"")</f>
        <v/>
      </c>
      <c r="U245" s="3" t="str">
        <f>IF($L245&lt;&gt;"",IF($A245="Prepago",0,IF(ROUND($H245*$U$7,2)&gt;ROUND(SUM($U$11:$U244)+$U$7,2),$U$7*2,$U$7)),"")</f>
        <v/>
      </c>
      <c r="V245" s="3" t="str">
        <f>IF($L245&lt;&gt;"",IF($A245="Prepago",0,IF($H245*$U$8&gt;SUM($V$11:$V244)+$U$8,$U$8*2,$U$8)),"")</f>
        <v/>
      </c>
      <c r="W245" s="3" t="str">
        <f t="shared" si="82"/>
        <v/>
      </c>
      <c r="X245" s="3" t="str">
        <f t="shared" si="68"/>
        <v/>
      </c>
      <c r="Y245" s="3" t="str">
        <f t="shared" si="69"/>
        <v/>
      </c>
      <c r="Z245" s="3" t="str">
        <f t="shared" si="70"/>
        <v/>
      </c>
      <c r="AA245" s="3" t="str">
        <f>IF($L245&lt;&gt;"",IF($N245&gt;Z$11,IF($N245&lt;AA$11,$N245-Z$11,30),0)*ROUND(($O245+$X244+SUM($Z245:Z245))*$V$5/3000,2),"")</f>
        <v/>
      </c>
    </row>
    <row r="246" spans="5:27" x14ac:dyDescent="0.3">
      <c r="E246" s="5"/>
      <c r="F246" t="str">
        <f t="shared" si="83"/>
        <v/>
      </c>
      <c r="G246" s="5" t="str">
        <f t="shared" si="62"/>
        <v/>
      </c>
      <c r="H246" t="str">
        <f t="shared" si="84"/>
        <v/>
      </c>
      <c r="I246" t="str">
        <f t="shared" si="63"/>
        <v/>
      </c>
      <c r="J246" t="str">
        <f t="shared" si="85"/>
        <v/>
      </c>
      <c r="K246" t="str">
        <f t="shared" si="86"/>
        <v/>
      </c>
      <c r="L246" t="str">
        <f t="shared" si="80"/>
        <v/>
      </c>
      <c r="M246" s="5" t="str">
        <f t="shared" si="71"/>
        <v/>
      </c>
      <c r="N246" s="7" t="str">
        <f t="shared" si="81"/>
        <v/>
      </c>
      <c r="O246" s="3" t="str">
        <f t="shared" si="64"/>
        <v/>
      </c>
      <c r="P246" s="3" t="str">
        <f t="shared" si="65"/>
        <v/>
      </c>
      <c r="Q246" s="3" t="str">
        <f t="shared" si="66"/>
        <v/>
      </c>
      <c r="R246" s="3" t="str">
        <f t="shared" si="67"/>
        <v/>
      </c>
      <c r="S246" s="3" t="str">
        <f>IF($L246&lt;&gt;"",IF($A246="Prepago",0,IF($H246*$U$5&gt;SUM($S$11:$S245)+$U$5,$U$5*2,$U$5)),"")</f>
        <v/>
      </c>
      <c r="T246" s="3" t="str">
        <f>IF($L246&lt;&gt;"",IF($A246="Prepago",0,IF($H246*$U$6&gt;SUM($T$11:$T245)+$U$6,$U$6*2,$U$6)),"")</f>
        <v/>
      </c>
      <c r="U246" s="3" t="str">
        <f>IF($L246&lt;&gt;"",IF($A246="Prepago",0,IF(ROUND($H246*$U$7,2)&gt;ROUND(SUM($U$11:$U245)+$U$7,2),$U$7*2,$U$7)),"")</f>
        <v/>
      </c>
      <c r="V246" s="3" t="str">
        <f>IF($L246&lt;&gt;"",IF($A246="Prepago",0,IF($H246*$U$8&gt;SUM($V$11:$V245)+$U$8,$U$8*2,$U$8)),"")</f>
        <v/>
      </c>
      <c r="W246" s="3" t="str">
        <f t="shared" si="82"/>
        <v/>
      </c>
      <c r="X246" s="3" t="str">
        <f t="shared" si="68"/>
        <v/>
      </c>
      <c r="Y246" s="3" t="str">
        <f t="shared" si="69"/>
        <v/>
      </c>
      <c r="Z246" s="3" t="str">
        <f t="shared" si="70"/>
        <v/>
      </c>
      <c r="AA246" s="3" t="str">
        <f>IF($L246&lt;&gt;"",IF($N246&gt;Z$11,IF($N246&lt;AA$11,$N246-Z$11,30),0)*ROUND(($O246+$X245+SUM($Z246:Z246))*$V$5/3000,2),"")</f>
        <v/>
      </c>
    </row>
    <row r="247" spans="5:27" x14ac:dyDescent="0.3">
      <c r="E247" s="5"/>
      <c r="F247" t="str">
        <f t="shared" si="83"/>
        <v/>
      </c>
      <c r="G247" s="5" t="str">
        <f t="shared" si="62"/>
        <v/>
      </c>
      <c r="H247" t="str">
        <f t="shared" si="84"/>
        <v/>
      </c>
      <c r="I247" t="str">
        <f t="shared" si="63"/>
        <v/>
      </c>
      <c r="J247" t="str">
        <f t="shared" si="85"/>
        <v/>
      </c>
      <c r="K247" t="str">
        <f t="shared" si="86"/>
        <v/>
      </c>
      <c r="L247" t="str">
        <f t="shared" si="80"/>
        <v/>
      </c>
      <c r="M247" s="5" t="str">
        <f t="shared" si="71"/>
        <v/>
      </c>
      <c r="N247" s="7" t="str">
        <f t="shared" si="81"/>
        <v/>
      </c>
      <c r="O247" s="3" t="str">
        <f t="shared" si="64"/>
        <v/>
      </c>
      <c r="P247" s="3" t="str">
        <f t="shared" si="65"/>
        <v/>
      </c>
      <c r="Q247" s="3" t="str">
        <f t="shared" si="66"/>
        <v/>
      </c>
      <c r="R247" s="3" t="str">
        <f t="shared" si="67"/>
        <v/>
      </c>
      <c r="S247" s="3" t="str">
        <f>IF($L247&lt;&gt;"",IF($A247="Prepago",0,IF($H247*$U$5&gt;SUM($S$11:$S246)+$U$5,$U$5*2,$U$5)),"")</f>
        <v/>
      </c>
      <c r="T247" s="3" t="str">
        <f>IF($L247&lt;&gt;"",IF($A247="Prepago",0,IF($H247*$U$6&gt;SUM($T$11:$T246)+$U$6,$U$6*2,$U$6)),"")</f>
        <v/>
      </c>
      <c r="U247" s="3" t="str">
        <f>IF($L247&lt;&gt;"",IF($A247="Prepago",0,IF(ROUND($H247*$U$7,2)&gt;ROUND(SUM($U$11:$U246)+$U$7,2),$U$7*2,$U$7)),"")</f>
        <v/>
      </c>
      <c r="V247" s="3" t="str">
        <f>IF($L247&lt;&gt;"",IF($A247="Prepago",0,IF($H247*$U$8&gt;SUM($V$11:$V246)+$U$8,$U$8*2,$U$8)),"")</f>
        <v/>
      </c>
      <c r="W247" s="3" t="str">
        <f t="shared" si="82"/>
        <v/>
      </c>
      <c r="X247" s="3" t="str">
        <f t="shared" si="68"/>
        <v/>
      </c>
      <c r="Y247" s="3" t="str">
        <f t="shared" si="69"/>
        <v/>
      </c>
      <c r="Z247" s="3" t="str">
        <f t="shared" si="70"/>
        <v/>
      </c>
      <c r="AA247" s="3" t="str">
        <f>IF($L247&lt;&gt;"",IF($N247&gt;Z$11,IF($N247&lt;AA$11,$N247-Z$11,30),0)*ROUND(($O247+$X246+SUM($Z247:Z247))*$V$5/3000,2),"")</f>
        <v/>
      </c>
    </row>
    <row r="248" spans="5:27" x14ac:dyDescent="0.3">
      <c r="E248" s="5"/>
      <c r="F248" t="str">
        <f t="shared" si="83"/>
        <v/>
      </c>
      <c r="G248" s="5" t="str">
        <f t="shared" si="62"/>
        <v/>
      </c>
      <c r="H248" t="str">
        <f t="shared" si="84"/>
        <v/>
      </c>
      <c r="I248" t="str">
        <f t="shared" si="63"/>
        <v/>
      </c>
      <c r="J248" t="str">
        <f t="shared" si="85"/>
        <v/>
      </c>
      <c r="K248" t="str">
        <f t="shared" si="86"/>
        <v/>
      </c>
      <c r="L248" t="str">
        <f t="shared" si="80"/>
        <v/>
      </c>
      <c r="M248" s="5" t="str">
        <f t="shared" si="71"/>
        <v/>
      </c>
      <c r="N248" s="7" t="str">
        <f t="shared" si="81"/>
        <v/>
      </c>
      <c r="O248" s="3" t="str">
        <f t="shared" si="64"/>
        <v/>
      </c>
      <c r="P248" s="3" t="str">
        <f t="shared" si="65"/>
        <v/>
      </c>
      <c r="Q248" s="3" t="str">
        <f t="shared" si="66"/>
        <v/>
      </c>
      <c r="R248" s="3" t="str">
        <f t="shared" si="67"/>
        <v/>
      </c>
      <c r="S248" s="3" t="str">
        <f>IF($L248&lt;&gt;"",IF($A248="Prepago",0,IF($H248*$U$5&gt;SUM($S$11:$S247)+$U$5,$U$5*2,$U$5)),"")</f>
        <v/>
      </c>
      <c r="T248" s="3" t="str">
        <f>IF($L248&lt;&gt;"",IF($A248="Prepago",0,IF($H248*$U$6&gt;SUM($T$11:$T247)+$U$6,$U$6*2,$U$6)),"")</f>
        <v/>
      </c>
      <c r="U248" s="3" t="str">
        <f>IF($L248&lt;&gt;"",IF($A248="Prepago",0,IF(ROUND($H248*$U$7,2)&gt;ROUND(SUM($U$11:$U247)+$U$7,2),$U$7*2,$U$7)),"")</f>
        <v/>
      </c>
      <c r="V248" s="3" t="str">
        <f>IF($L248&lt;&gt;"",IF($A248="Prepago",0,IF($H248*$U$8&gt;SUM($V$11:$V247)+$U$8,$U$8*2,$U$8)),"")</f>
        <v/>
      </c>
      <c r="W248" s="3" t="str">
        <f t="shared" si="82"/>
        <v/>
      </c>
      <c r="X248" s="3" t="str">
        <f t="shared" si="68"/>
        <v/>
      </c>
      <c r="Y248" s="3" t="str">
        <f t="shared" si="69"/>
        <v/>
      </c>
      <c r="Z248" s="3" t="str">
        <f t="shared" si="70"/>
        <v/>
      </c>
      <c r="AA248" s="3" t="str">
        <f>IF($L248&lt;&gt;"",IF($N248&gt;Z$11,IF($N248&lt;AA$11,$N248-Z$11,30),0)*ROUND(($O248+$X247+SUM($Z248:Z248))*$V$5/3000,2),"")</f>
        <v/>
      </c>
    </row>
    <row r="249" spans="5:27" x14ac:dyDescent="0.3">
      <c r="E249" s="5"/>
      <c r="F249" t="str">
        <f t="shared" si="83"/>
        <v/>
      </c>
      <c r="G249" s="5" t="str">
        <f t="shared" si="62"/>
        <v/>
      </c>
      <c r="H249" t="str">
        <f t="shared" si="84"/>
        <v/>
      </c>
      <c r="I249" t="str">
        <f t="shared" si="63"/>
        <v/>
      </c>
      <c r="J249" t="str">
        <f t="shared" si="85"/>
        <v/>
      </c>
      <c r="K249" t="str">
        <f t="shared" si="86"/>
        <v/>
      </c>
      <c r="L249" t="str">
        <f t="shared" si="80"/>
        <v/>
      </c>
      <c r="M249" s="5" t="str">
        <f t="shared" si="71"/>
        <v/>
      </c>
      <c r="N249" s="7" t="str">
        <f t="shared" si="81"/>
        <v/>
      </c>
      <c r="O249" s="3" t="str">
        <f t="shared" si="64"/>
        <v/>
      </c>
      <c r="P249" s="3" t="str">
        <f t="shared" si="65"/>
        <v/>
      </c>
      <c r="Q249" s="3" t="str">
        <f t="shared" si="66"/>
        <v/>
      </c>
      <c r="R249" s="3" t="str">
        <f t="shared" si="67"/>
        <v/>
      </c>
      <c r="S249" s="3" t="str">
        <f>IF($L249&lt;&gt;"",IF($A249="Prepago",0,IF($H249*$U$5&gt;SUM($S$11:$S248)+$U$5,$U$5*2,$U$5)),"")</f>
        <v/>
      </c>
      <c r="T249" s="3" t="str">
        <f>IF($L249&lt;&gt;"",IF($A249="Prepago",0,IF($H249*$U$6&gt;SUM($T$11:$T248)+$U$6,$U$6*2,$U$6)),"")</f>
        <v/>
      </c>
      <c r="U249" s="3" t="str">
        <f>IF($L249&lt;&gt;"",IF($A249="Prepago",0,IF(ROUND($H249*$U$7,2)&gt;ROUND(SUM($U$11:$U248)+$U$7,2),$U$7*2,$U$7)),"")</f>
        <v/>
      </c>
      <c r="V249" s="3" t="str">
        <f>IF($L249&lt;&gt;"",IF($A249="Prepago",0,IF($H249*$U$8&gt;SUM($V$11:$V248)+$U$8,$U$8*2,$U$8)),"")</f>
        <v/>
      </c>
      <c r="W249" s="3" t="str">
        <f t="shared" si="82"/>
        <v/>
      </c>
      <c r="X249" s="3" t="str">
        <f t="shared" si="68"/>
        <v/>
      </c>
      <c r="Y249" s="3" t="str">
        <f t="shared" si="69"/>
        <v/>
      </c>
      <c r="Z249" s="3" t="str">
        <f t="shared" si="70"/>
        <v/>
      </c>
      <c r="AA249" s="3" t="str">
        <f>IF($L249&lt;&gt;"",IF($N249&gt;Z$11,IF($N249&lt;AA$11,$N249-Z$11,30),0)*ROUND(($O249+$X248+SUM($Z249:Z249))*$V$5/3000,2),"")</f>
        <v/>
      </c>
    </row>
    <row r="250" spans="5:27" x14ac:dyDescent="0.3">
      <c r="E250" s="5"/>
      <c r="F250" t="str">
        <f t="shared" si="83"/>
        <v/>
      </c>
      <c r="G250" s="5" t="str">
        <f t="shared" si="62"/>
        <v/>
      </c>
      <c r="H250" t="str">
        <f t="shared" si="84"/>
        <v/>
      </c>
      <c r="I250" t="str">
        <f t="shared" si="63"/>
        <v/>
      </c>
      <c r="J250" t="str">
        <f t="shared" si="85"/>
        <v/>
      </c>
      <c r="K250" t="str">
        <f t="shared" si="86"/>
        <v/>
      </c>
      <c r="L250" t="str">
        <f t="shared" si="80"/>
        <v/>
      </c>
      <c r="M250" s="5" t="str">
        <f t="shared" si="71"/>
        <v/>
      </c>
      <c r="N250" s="7" t="str">
        <f t="shared" si="81"/>
        <v/>
      </c>
      <c r="O250" s="3" t="str">
        <f t="shared" si="64"/>
        <v/>
      </c>
      <c r="P250" s="3" t="str">
        <f t="shared" si="65"/>
        <v/>
      </c>
      <c r="Q250" s="3" t="str">
        <f t="shared" si="66"/>
        <v/>
      </c>
      <c r="R250" s="3" t="str">
        <f t="shared" si="67"/>
        <v/>
      </c>
      <c r="S250" s="3" t="str">
        <f>IF($L250&lt;&gt;"",IF($A250="Prepago",0,IF($H250*$U$5&gt;SUM($S$11:$S249)+$U$5,$U$5*2,$U$5)),"")</f>
        <v/>
      </c>
      <c r="T250" s="3" t="str">
        <f>IF($L250&lt;&gt;"",IF($A250="Prepago",0,IF($H250*$U$6&gt;SUM($T$11:$T249)+$U$6,$U$6*2,$U$6)),"")</f>
        <v/>
      </c>
      <c r="U250" s="3" t="str">
        <f>IF($L250&lt;&gt;"",IF($A250="Prepago",0,IF(ROUND($H250*$U$7,2)&gt;ROUND(SUM($U$11:$U249)+$U$7,2),$U$7*2,$U$7)),"")</f>
        <v/>
      </c>
      <c r="V250" s="3" t="str">
        <f>IF($L250&lt;&gt;"",IF($A250="Prepago",0,IF($H250*$U$8&gt;SUM($V$11:$V249)+$U$8,$U$8*2,$U$8)),"")</f>
        <v/>
      </c>
      <c r="W250" s="3" t="str">
        <f t="shared" si="82"/>
        <v/>
      </c>
      <c r="X250" s="3" t="str">
        <f t="shared" si="68"/>
        <v/>
      </c>
      <c r="Y250" s="3" t="str">
        <f t="shared" si="69"/>
        <v/>
      </c>
      <c r="Z250" s="3" t="str">
        <f t="shared" si="70"/>
        <v/>
      </c>
      <c r="AA250" s="3" t="str">
        <f>IF($L250&lt;&gt;"",IF($N250&gt;Z$11,IF($N250&lt;AA$11,$N250-Z$11,30),0)*ROUND(($O250+$X249+SUM($Z250:Z250))*$V$5/3000,2),"")</f>
        <v/>
      </c>
    </row>
    <row r="251" spans="5:27" x14ac:dyDescent="0.3">
      <c r="E251" s="5"/>
      <c r="F251" t="str">
        <f t="shared" si="83"/>
        <v/>
      </c>
      <c r="G251" s="5" t="str">
        <f t="shared" si="62"/>
        <v/>
      </c>
      <c r="H251" t="str">
        <f t="shared" si="84"/>
        <v/>
      </c>
      <c r="I251" t="str">
        <f t="shared" si="63"/>
        <v/>
      </c>
      <c r="J251" t="str">
        <f t="shared" si="85"/>
        <v/>
      </c>
      <c r="K251" t="str">
        <f t="shared" si="86"/>
        <v/>
      </c>
      <c r="L251" t="str">
        <f t="shared" si="80"/>
        <v/>
      </c>
      <c r="M251" s="5" t="str">
        <f t="shared" si="71"/>
        <v/>
      </c>
      <c r="N251" s="7" t="str">
        <f t="shared" si="81"/>
        <v/>
      </c>
      <c r="O251" s="3" t="str">
        <f t="shared" si="64"/>
        <v/>
      </c>
      <c r="P251" s="3" t="str">
        <f t="shared" si="65"/>
        <v/>
      </c>
      <c r="Q251" s="3" t="str">
        <f t="shared" si="66"/>
        <v/>
      </c>
      <c r="R251" s="3" t="str">
        <f t="shared" si="67"/>
        <v/>
      </c>
      <c r="S251" s="3" t="str">
        <f>IF($L251&lt;&gt;"",IF($A251="Prepago",0,IF($H251*$U$5&gt;SUM($S$11:$S250)+$U$5,$U$5*2,$U$5)),"")</f>
        <v/>
      </c>
      <c r="T251" s="3" t="str">
        <f>IF($L251&lt;&gt;"",IF($A251="Prepago",0,IF($H251*$U$6&gt;SUM($T$11:$T250)+$U$6,$U$6*2,$U$6)),"")</f>
        <v/>
      </c>
      <c r="U251" s="3" t="str">
        <f>IF($L251&lt;&gt;"",IF($A251="Prepago",0,IF(ROUND($H251*$U$7,2)&gt;ROUND(SUM($U$11:$U250)+$U$7,2),$U$7*2,$U$7)),"")</f>
        <v/>
      </c>
      <c r="V251" s="3" t="str">
        <f>IF($L251&lt;&gt;"",IF($A251="Prepago",0,IF($H251*$U$8&gt;SUM($V$11:$V250)+$U$8,$U$8*2,$U$8)),"")</f>
        <v/>
      </c>
      <c r="W251" s="3" t="str">
        <f t="shared" si="82"/>
        <v/>
      </c>
      <c r="X251" s="3" t="str">
        <f t="shared" si="68"/>
        <v/>
      </c>
      <c r="Y251" s="3" t="str">
        <f t="shared" si="69"/>
        <v/>
      </c>
      <c r="Z251" s="3" t="str">
        <f t="shared" si="70"/>
        <v/>
      </c>
      <c r="AA251" s="3" t="str">
        <f>IF($L251&lt;&gt;"",IF($N251&gt;Z$11,IF($N251&lt;AA$11,$N251-Z$11,30),0)*ROUND(($O251+$X250+SUM($Z251:Z251))*$V$5/3000,2),"")</f>
        <v/>
      </c>
    </row>
    <row r="252" spans="5:27" x14ac:dyDescent="0.3">
      <c r="E252" s="5"/>
      <c r="F252" t="str">
        <f t="shared" si="83"/>
        <v/>
      </c>
      <c r="G252" s="5" t="str">
        <f t="shared" si="62"/>
        <v/>
      </c>
      <c r="H252" t="str">
        <f t="shared" si="84"/>
        <v/>
      </c>
      <c r="I252" t="str">
        <f t="shared" si="63"/>
        <v/>
      </c>
      <c r="J252" t="str">
        <f t="shared" si="85"/>
        <v/>
      </c>
      <c r="K252" t="str">
        <f t="shared" si="86"/>
        <v/>
      </c>
      <c r="L252" t="str">
        <f t="shared" si="80"/>
        <v/>
      </c>
      <c r="M252" s="5" t="str">
        <f t="shared" si="71"/>
        <v/>
      </c>
      <c r="N252" s="7" t="str">
        <f t="shared" si="81"/>
        <v/>
      </c>
      <c r="O252" s="3" t="str">
        <f t="shared" si="64"/>
        <v/>
      </c>
      <c r="P252" s="3" t="str">
        <f t="shared" si="65"/>
        <v/>
      </c>
      <c r="Q252" s="3" t="str">
        <f t="shared" si="66"/>
        <v/>
      </c>
      <c r="R252" s="3" t="str">
        <f t="shared" si="67"/>
        <v/>
      </c>
      <c r="S252" s="3" t="str">
        <f>IF($L252&lt;&gt;"",IF($A252="Prepago",0,IF($H252*$U$5&gt;SUM($S$11:$S251)+$U$5,$U$5*2,$U$5)),"")</f>
        <v/>
      </c>
      <c r="T252" s="3" t="str">
        <f>IF($L252&lt;&gt;"",IF($A252="Prepago",0,IF($H252*$U$6&gt;SUM($T$11:$T251)+$U$6,$U$6*2,$U$6)),"")</f>
        <v/>
      </c>
      <c r="U252" s="3" t="str">
        <f>IF($L252&lt;&gt;"",IF($A252="Prepago",0,IF(ROUND($H252*$U$7,2)&gt;ROUND(SUM($U$11:$U251)+$U$7,2),$U$7*2,$U$7)),"")</f>
        <v/>
      </c>
      <c r="V252" s="3" t="str">
        <f>IF($L252&lt;&gt;"",IF($A252="Prepago",0,IF($H252*$U$8&gt;SUM($V$11:$V251)+$U$8,$U$8*2,$U$8)),"")</f>
        <v/>
      </c>
      <c r="W252" s="3" t="str">
        <f t="shared" si="82"/>
        <v/>
      </c>
      <c r="X252" s="3" t="str">
        <f t="shared" si="68"/>
        <v/>
      </c>
      <c r="Y252" s="3" t="str">
        <f t="shared" si="69"/>
        <v/>
      </c>
      <c r="Z252" s="3" t="str">
        <f t="shared" si="70"/>
        <v/>
      </c>
      <c r="AA252" s="3" t="str">
        <f>IF($L252&lt;&gt;"",IF($N252&gt;Z$11,IF($N252&lt;AA$11,$N252-Z$11,30),0)*ROUND(($O252+$X251+SUM($Z252:Z252))*$V$5/3000,2),"")</f>
        <v/>
      </c>
    </row>
    <row r="253" spans="5:27" x14ac:dyDescent="0.3">
      <c r="E253" s="5"/>
      <c r="F253" t="str">
        <f t="shared" si="83"/>
        <v/>
      </c>
      <c r="G253" s="5" t="str">
        <f t="shared" si="62"/>
        <v/>
      </c>
      <c r="H253" t="str">
        <f t="shared" si="84"/>
        <v/>
      </c>
      <c r="I253" t="str">
        <f t="shared" si="63"/>
        <v/>
      </c>
      <c r="J253" t="str">
        <f t="shared" si="85"/>
        <v/>
      </c>
      <c r="K253" t="str">
        <f t="shared" si="86"/>
        <v/>
      </c>
      <c r="L253" t="str">
        <f t="shared" si="80"/>
        <v/>
      </c>
      <c r="M253" s="5" t="str">
        <f t="shared" si="71"/>
        <v/>
      </c>
      <c r="N253" s="7" t="str">
        <f t="shared" si="81"/>
        <v/>
      </c>
      <c r="O253" s="3" t="str">
        <f t="shared" si="64"/>
        <v/>
      </c>
      <c r="P253" s="3" t="str">
        <f t="shared" si="65"/>
        <v/>
      </c>
      <c r="Q253" s="3" t="str">
        <f t="shared" si="66"/>
        <v/>
      </c>
      <c r="R253" s="3" t="str">
        <f t="shared" si="67"/>
        <v/>
      </c>
      <c r="S253" s="3" t="str">
        <f>IF($L253&lt;&gt;"",IF($A253="Prepago",0,IF($H253*$U$5&gt;SUM($S$11:$S252)+$U$5,$U$5*2,$U$5)),"")</f>
        <v/>
      </c>
      <c r="T253" s="3" t="str">
        <f>IF($L253&lt;&gt;"",IF($A253="Prepago",0,IF($H253*$U$6&gt;SUM($T$11:$T252)+$U$6,$U$6*2,$U$6)),"")</f>
        <v/>
      </c>
      <c r="U253" s="3" t="str">
        <f>IF($L253&lt;&gt;"",IF($A253="Prepago",0,IF(ROUND($H253*$U$7,2)&gt;ROUND(SUM($U$11:$U252)+$U$7,2),$U$7*2,$U$7)),"")</f>
        <v/>
      </c>
      <c r="V253" s="3" t="str">
        <f>IF($L253&lt;&gt;"",IF($A253="Prepago",0,IF($H253*$U$8&gt;SUM($V$11:$V252)+$U$8,$U$8*2,$U$8)),"")</f>
        <v/>
      </c>
      <c r="W253" s="3" t="str">
        <f t="shared" si="82"/>
        <v/>
      </c>
      <c r="X253" s="3" t="str">
        <f t="shared" si="68"/>
        <v/>
      </c>
      <c r="Y253" s="3" t="str">
        <f t="shared" si="69"/>
        <v/>
      </c>
      <c r="Z253" s="3" t="str">
        <f t="shared" si="70"/>
        <v/>
      </c>
      <c r="AA253" s="3" t="str">
        <f>IF($L253&lt;&gt;"",IF($N253&gt;Z$11,IF($N253&lt;AA$11,$N253-Z$11,30),0)*ROUND(($O253+$X252+SUM($Z253:Z253))*$V$5/3000,2),"")</f>
        <v/>
      </c>
    </row>
    <row r="254" spans="5:27" x14ac:dyDescent="0.3">
      <c r="E254" s="5"/>
      <c r="F254" t="str">
        <f t="shared" si="83"/>
        <v/>
      </c>
      <c r="G254" s="5" t="str">
        <f t="shared" si="62"/>
        <v/>
      </c>
      <c r="H254" t="str">
        <f t="shared" si="84"/>
        <v/>
      </c>
      <c r="I254" t="str">
        <f t="shared" si="63"/>
        <v/>
      </c>
      <c r="J254" t="str">
        <f t="shared" si="85"/>
        <v/>
      </c>
      <c r="K254" t="str">
        <f t="shared" si="86"/>
        <v/>
      </c>
      <c r="L254" t="str">
        <f t="shared" si="80"/>
        <v/>
      </c>
      <c r="M254" s="5" t="str">
        <f t="shared" si="71"/>
        <v/>
      </c>
      <c r="N254" s="7" t="str">
        <f t="shared" si="81"/>
        <v/>
      </c>
      <c r="O254" s="3" t="str">
        <f t="shared" si="64"/>
        <v/>
      </c>
      <c r="P254" s="3" t="str">
        <f t="shared" si="65"/>
        <v/>
      </c>
      <c r="Q254" s="3" t="str">
        <f t="shared" si="66"/>
        <v/>
      </c>
      <c r="R254" s="3" t="str">
        <f t="shared" si="67"/>
        <v/>
      </c>
      <c r="S254" s="3" t="str">
        <f>IF($L254&lt;&gt;"",IF($A254="Prepago",0,IF($H254*$U$5&gt;SUM($S$11:$S253)+$U$5,$U$5*2,$U$5)),"")</f>
        <v/>
      </c>
      <c r="T254" s="3" t="str">
        <f>IF($L254&lt;&gt;"",IF($A254="Prepago",0,IF($H254*$U$6&gt;SUM($T$11:$T253)+$U$6,$U$6*2,$U$6)),"")</f>
        <v/>
      </c>
      <c r="U254" s="3" t="str">
        <f>IF($L254&lt;&gt;"",IF($A254="Prepago",0,IF(ROUND($H254*$U$7,2)&gt;ROUND(SUM($U$11:$U253)+$U$7,2),$U$7*2,$U$7)),"")</f>
        <v/>
      </c>
      <c r="V254" s="3" t="str">
        <f>IF($L254&lt;&gt;"",IF($A254="Prepago",0,IF($H254*$U$8&gt;SUM($V$11:$V253)+$U$8,$U$8*2,$U$8)),"")</f>
        <v/>
      </c>
      <c r="W254" s="3" t="str">
        <f t="shared" si="82"/>
        <v/>
      </c>
      <c r="X254" s="3" t="str">
        <f t="shared" si="68"/>
        <v/>
      </c>
      <c r="Y254" s="3" t="str">
        <f t="shared" si="69"/>
        <v/>
      </c>
      <c r="Z254" s="3" t="str">
        <f t="shared" si="70"/>
        <v/>
      </c>
      <c r="AA254" s="3" t="str">
        <f>IF($L254&lt;&gt;"",IF($N254&gt;Z$11,IF($N254&lt;AA$11,$N254-Z$11,30),0)*ROUND(($O254+$X253+SUM($Z254:Z254))*$V$5/3000,2),"")</f>
        <v/>
      </c>
    </row>
    <row r="255" spans="5:27" x14ac:dyDescent="0.3">
      <c r="E255" s="5"/>
      <c r="F255" t="str">
        <f t="shared" si="83"/>
        <v/>
      </c>
      <c r="G255" s="5" t="str">
        <f t="shared" si="62"/>
        <v/>
      </c>
      <c r="H255" t="str">
        <f t="shared" si="84"/>
        <v/>
      </c>
      <c r="I255" t="str">
        <f t="shared" si="63"/>
        <v/>
      </c>
      <c r="J255" t="str">
        <f t="shared" si="85"/>
        <v/>
      </c>
      <c r="K255" t="str">
        <f t="shared" si="86"/>
        <v/>
      </c>
      <c r="L255" t="str">
        <f t="shared" si="80"/>
        <v/>
      </c>
      <c r="M255" s="5" t="str">
        <f t="shared" si="71"/>
        <v/>
      </c>
      <c r="N255" s="7" t="str">
        <f t="shared" si="81"/>
        <v/>
      </c>
      <c r="O255" s="3" t="str">
        <f t="shared" si="64"/>
        <v/>
      </c>
      <c r="P255" s="3" t="str">
        <f t="shared" si="65"/>
        <v/>
      </c>
      <c r="Q255" s="3" t="str">
        <f t="shared" si="66"/>
        <v/>
      </c>
      <c r="R255" s="3" t="str">
        <f t="shared" si="67"/>
        <v/>
      </c>
      <c r="S255" s="3" t="str">
        <f>IF($L255&lt;&gt;"",IF($A255="Prepago",0,IF($H255*$U$5&gt;SUM($S$11:$S254)+$U$5,$U$5*2,$U$5)),"")</f>
        <v/>
      </c>
      <c r="T255" s="3" t="str">
        <f>IF($L255&lt;&gt;"",IF($A255="Prepago",0,IF($H255*$U$6&gt;SUM($T$11:$T254)+$U$6,$U$6*2,$U$6)),"")</f>
        <v/>
      </c>
      <c r="U255" s="3" t="str">
        <f>IF($L255&lt;&gt;"",IF($A255="Prepago",0,IF(ROUND($H255*$U$7,2)&gt;ROUND(SUM($U$11:$U254)+$U$7,2),$U$7*2,$U$7)),"")</f>
        <v/>
      </c>
      <c r="V255" s="3" t="str">
        <f>IF($L255&lt;&gt;"",IF($A255="Prepago",0,IF($H255*$U$8&gt;SUM($V$11:$V254)+$U$8,$U$8*2,$U$8)),"")</f>
        <v/>
      </c>
      <c r="W255" s="3" t="str">
        <f t="shared" si="82"/>
        <v/>
      </c>
      <c r="X255" s="3" t="str">
        <f t="shared" si="68"/>
        <v/>
      </c>
      <c r="Y255" s="3" t="str">
        <f t="shared" si="69"/>
        <v/>
      </c>
      <c r="Z255" s="3" t="str">
        <f t="shared" si="70"/>
        <v/>
      </c>
      <c r="AA255" s="3" t="str">
        <f>IF($L255&lt;&gt;"",IF($N255&gt;Z$11,IF($N255&lt;AA$11,$N255-Z$11,30),0)*ROUND(($O255+$X254+SUM($Z255:Z255))*$V$5/3000,2),"")</f>
        <v/>
      </c>
    </row>
    <row r="256" spans="5:27" x14ac:dyDescent="0.3">
      <c r="E256" s="5"/>
      <c r="F256" t="str">
        <f t="shared" si="83"/>
        <v/>
      </c>
      <c r="G256" s="5" t="str">
        <f t="shared" si="62"/>
        <v/>
      </c>
      <c r="H256" t="str">
        <f t="shared" si="84"/>
        <v/>
      </c>
      <c r="I256" t="str">
        <f t="shared" si="63"/>
        <v/>
      </c>
      <c r="J256" t="str">
        <f t="shared" si="85"/>
        <v/>
      </c>
      <c r="K256" t="str">
        <f t="shared" si="86"/>
        <v/>
      </c>
      <c r="L256" t="str">
        <f t="shared" si="80"/>
        <v/>
      </c>
      <c r="M256" s="5" t="str">
        <f t="shared" si="71"/>
        <v/>
      </c>
      <c r="N256" s="7" t="str">
        <f t="shared" si="81"/>
        <v/>
      </c>
      <c r="O256" s="3" t="str">
        <f t="shared" si="64"/>
        <v/>
      </c>
      <c r="P256" s="3" t="str">
        <f t="shared" si="65"/>
        <v/>
      </c>
      <c r="Q256" s="3" t="str">
        <f t="shared" si="66"/>
        <v/>
      </c>
      <c r="R256" s="3" t="str">
        <f t="shared" si="67"/>
        <v/>
      </c>
      <c r="S256" s="3" t="str">
        <f>IF($L256&lt;&gt;"",IF($A256="Prepago",0,IF($H256*$U$5&gt;SUM($S$11:$S255)+$U$5,$U$5*2,$U$5)),"")</f>
        <v/>
      </c>
      <c r="T256" s="3" t="str">
        <f>IF($L256&lt;&gt;"",IF($A256="Prepago",0,IF($H256*$U$6&gt;SUM($T$11:$T255)+$U$6,$U$6*2,$U$6)),"")</f>
        <v/>
      </c>
      <c r="U256" s="3" t="str">
        <f>IF($L256&lt;&gt;"",IF($A256="Prepago",0,IF(ROUND($H256*$U$7,2)&gt;ROUND(SUM($U$11:$U255)+$U$7,2),$U$7*2,$U$7)),"")</f>
        <v/>
      </c>
      <c r="V256" s="3" t="str">
        <f>IF($L256&lt;&gt;"",IF($A256="Prepago",0,IF($H256*$U$8&gt;SUM($V$11:$V255)+$U$8,$U$8*2,$U$8)),"")</f>
        <v/>
      </c>
      <c r="W256" s="3" t="str">
        <f t="shared" si="82"/>
        <v/>
      </c>
      <c r="X256" s="3" t="str">
        <f t="shared" si="68"/>
        <v/>
      </c>
      <c r="Y256" s="3" t="str">
        <f t="shared" si="69"/>
        <v/>
      </c>
      <c r="Z256" s="3" t="str">
        <f t="shared" si="70"/>
        <v/>
      </c>
      <c r="AA256" s="3" t="str">
        <f>IF($L256&lt;&gt;"",IF($N256&gt;Z$11,IF($N256&lt;AA$11,$N256-Z$11,30),0)*ROUND(($O256+$X255+SUM($Z256:Z256))*$V$5/3000,2),"")</f>
        <v/>
      </c>
    </row>
    <row r="257" spans="5:27" x14ac:dyDescent="0.3">
      <c r="E257" s="5"/>
      <c r="F257" t="str">
        <f t="shared" si="83"/>
        <v/>
      </c>
      <c r="G257" s="5" t="str">
        <f t="shared" si="62"/>
        <v/>
      </c>
      <c r="H257" t="str">
        <f t="shared" si="84"/>
        <v/>
      </c>
      <c r="I257" t="str">
        <f t="shared" si="63"/>
        <v/>
      </c>
      <c r="J257" t="str">
        <f t="shared" si="85"/>
        <v/>
      </c>
      <c r="K257" t="str">
        <f t="shared" si="86"/>
        <v/>
      </c>
      <c r="L257" t="str">
        <f t="shared" si="80"/>
        <v/>
      </c>
      <c r="M257" s="5" t="str">
        <f t="shared" si="71"/>
        <v/>
      </c>
      <c r="N257" s="7" t="str">
        <f t="shared" si="81"/>
        <v/>
      </c>
      <c r="O257" s="3" t="str">
        <f t="shared" si="64"/>
        <v/>
      </c>
      <c r="P257" s="3" t="str">
        <f t="shared" si="65"/>
        <v/>
      </c>
      <c r="Q257" s="3" t="str">
        <f t="shared" si="66"/>
        <v/>
      </c>
      <c r="R257" s="3" t="str">
        <f t="shared" si="67"/>
        <v/>
      </c>
      <c r="S257" s="3" t="str">
        <f>IF($L257&lt;&gt;"",IF($A257="Prepago",0,IF($H257*$U$5&gt;SUM($S$11:$S256)+$U$5,$U$5*2,$U$5)),"")</f>
        <v/>
      </c>
      <c r="T257" s="3" t="str">
        <f>IF($L257&lt;&gt;"",IF($A257="Prepago",0,IF($H257*$U$6&gt;SUM($T$11:$T256)+$U$6,$U$6*2,$U$6)),"")</f>
        <v/>
      </c>
      <c r="U257" s="3" t="str">
        <f>IF($L257&lt;&gt;"",IF($A257="Prepago",0,IF(ROUND($H257*$U$7,2)&gt;ROUND(SUM($U$11:$U256)+$U$7,2),$U$7*2,$U$7)),"")</f>
        <v/>
      </c>
      <c r="V257" s="3" t="str">
        <f>IF($L257&lt;&gt;"",IF($A257="Prepago",0,IF($H257*$U$8&gt;SUM($V$11:$V256)+$U$8,$U$8*2,$U$8)),"")</f>
        <v/>
      </c>
      <c r="W257" s="3" t="str">
        <f t="shared" si="82"/>
        <v/>
      </c>
      <c r="X257" s="3" t="str">
        <f t="shared" si="68"/>
        <v/>
      </c>
      <c r="Y257" s="3" t="str">
        <f t="shared" si="69"/>
        <v/>
      </c>
      <c r="Z257" s="3" t="str">
        <f t="shared" si="70"/>
        <v/>
      </c>
      <c r="AA257" s="3" t="str">
        <f>IF($L257&lt;&gt;"",IF($N257&gt;Z$11,IF($N257&lt;AA$11,$N257-Z$11,30),0)*ROUND(($O257+$X256+SUM($Z257:Z257))*$V$5/3000,2),"")</f>
        <v/>
      </c>
    </row>
    <row r="258" spans="5:27" x14ac:dyDescent="0.3">
      <c r="E258" s="5"/>
      <c r="F258" t="str">
        <f t="shared" si="83"/>
        <v/>
      </c>
      <c r="G258" s="5" t="str">
        <f t="shared" si="62"/>
        <v/>
      </c>
      <c r="H258" t="str">
        <f t="shared" si="84"/>
        <v/>
      </c>
      <c r="I258" t="str">
        <f t="shared" si="63"/>
        <v/>
      </c>
      <c r="J258" t="str">
        <f t="shared" si="85"/>
        <v/>
      </c>
      <c r="K258" t="str">
        <f t="shared" si="86"/>
        <v/>
      </c>
      <c r="L258" t="str">
        <f t="shared" si="80"/>
        <v/>
      </c>
      <c r="M258" s="5" t="str">
        <f t="shared" si="71"/>
        <v/>
      </c>
      <c r="N258" s="7" t="str">
        <f t="shared" si="81"/>
        <v/>
      </c>
      <c r="O258" s="3" t="str">
        <f t="shared" si="64"/>
        <v/>
      </c>
      <c r="P258" s="3" t="str">
        <f t="shared" si="65"/>
        <v/>
      </c>
      <c r="Q258" s="3" t="str">
        <f t="shared" si="66"/>
        <v/>
      </c>
      <c r="R258" s="3" t="str">
        <f t="shared" si="67"/>
        <v/>
      </c>
      <c r="S258" s="3" t="str">
        <f>IF($L258&lt;&gt;"",IF($A258="Prepago",0,IF($H258*$U$5&gt;SUM($S$11:$S257)+$U$5,$U$5*2,$U$5)),"")</f>
        <v/>
      </c>
      <c r="T258" s="3" t="str">
        <f>IF($L258&lt;&gt;"",IF($A258="Prepago",0,IF($H258*$U$6&gt;SUM($T$11:$T257)+$U$6,$U$6*2,$U$6)),"")</f>
        <v/>
      </c>
      <c r="U258" s="3" t="str">
        <f>IF($L258&lt;&gt;"",IF($A258="Prepago",0,IF(ROUND($H258*$U$7,2)&gt;ROUND(SUM($U$11:$U257)+$U$7,2),$U$7*2,$U$7)),"")</f>
        <v/>
      </c>
      <c r="V258" s="3" t="str">
        <f>IF($L258&lt;&gt;"",IF($A258="Prepago",0,IF($H258*$U$8&gt;SUM($V$11:$V257)+$U$8,$U$8*2,$U$8)),"")</f>
        <v/>
      </c>
      <c r="W258" s="3" t="str">
        <f t="shared" si="82"/>
        <v/>
      </c>
      <c r="X258" s="3" t="str">
        <f t="shared" si="68"/>
        <v/>
      </c>
      <c r="Y258" s="3" t="str">
        <f t="shared" si="69"/>
        <v/>
      </c>
      <c r="Z258" s="3" t="str">
        <f t="shared" si="70"/>
        <v/>
      </c>
      <c r="AA258" s="3" t="str">
        <f>IF($L258&lt;&gt;"",IF($N258&gt;Z$11,IF($N258&lt;AA$11,$N258-Z$11,30),0)*ROUND(($O258+$X257+SUM($Z258:Z258))*$V$5/3000,2),"")</f>
        <v/>
      </c>
    </row>
    <row r="259" spans="5:27" x14ac:dyDescent="0.3">
      <c r="E259" s="5"/>
      <c r="F259" t="str">
        <f t="shared" si="83"/>
        <v/>
      </c>
      <c r="G259" s="5" t="str">
        <f t="shared" si="62"/>
        <v/>
      </c>
      <c r="H259" t="str">
        <f t="shared" si="84"/>
        <v/>
      </c>
      <c r="I259" t="str">
        <f t="shared" si="63"/>
        <v/>
      </c>
      <c r="J259" t="str">
        <f t="shared" si="85"/>
        <v/>
      </c>
      <c r="K259" t="str">
        <f t="shared" si="86"/>
        <v/>
      </c>
      <c r="L259" t="str">
        <f t="shared" si="80"/>
        <v/>
      </c>
      <c r="M259" s="5" t="str">
        <f t="shared" si="71"/>
        <v/>
      </c>
      <c r="N259" s="7" t="str">
        <f t="shared" si="81"/>
        <v/>
      </c>
      <c r="O259" s="3" t="str">
        <f t="shared" si="64"/>
        <v/>
      </c>
      <c r="P259" s="3" t="str">
        <f t="shared" si="65"/>
        <v/>
      </c>
      <c r="Q259" s="3" t="str">
        <f t="shared" si="66"/>
        <v/>
      </c>
      <c r="R259" s="3" t="str">
        <f t="shared" si="67"/>
        <v/>
      </c>
      <c r="S259" s="3" t="str">
        <f>IF($L259&lt;&gt;"",IF($A259="Prepago",0,IF($H259*$U$5&gt;SUM($S$11:$S258)+$U$5,$U$5*2,$U$5)),"")</f>
        <v/>
      </c>
      <c r="T259" s="3" t="str">
        <f>IF($L259&lt;&gt;"",IF($A259="Prepago",0,IF($H259*$U$6&gt;SUM($T$11:$T258)+$U$6,$U$6*2,$U$6)),"")</f>
        <v/>
      </c>
      <c r="U259" s="3" t="str">
        <f>IF($L259&lt;&gt;"",IF($A259="Prepago",0,IF(ROUND($H259*$U$7,2)&gt;ROUND(SUM($U$11:$U258)+$U$7,2),$U$7*2,$U$7)),"")</f>
        <v/>
      </c>
      <c r="V259" s="3" t="str">
        <f>IF($L259&lt;&gt;"",IF($A259="Prepago",0,IF($H259*$U$8&gt;SUM($V$11:$V258)+$U$8,$U$8*2,$U$8)),"")</f>
        <v/>
      </c>
      <c r="W259" s="3" t="str">
        <f t="shared" si="82"/>
        <v/>
      </c>
      <c r="X259" s="3" t="str">
        <f t="shared" si="68"/>
        <v/>
      </c>
      <c r="Y259" s="3" t="str">
        <f t="shared" si="69"/>
        <v/>
      </c>
      <c r="Z259" s="3" t="str">
        <f t="shared" si="70"/>
        <v/>
      </c>
      <c r="AA259" s="3" t="str">
        <f>IF($L259&lt;&gt;"",IF($N259&gt;Z$11,IF($N259&lt;AA$11,$N259-Z$11,30),0)*ROUND(($O259+$X258+SUM($Z259:Z259))*$V$5/3000,2),"")</f>
        <v/>
      </c>
    </row>
    <row r="260" spans="5:27" x14ac:dyDescent="0.3">
      <c r="E260" s="5"/>
      <c r="F260" t="str">
        <f t="shared" si="83"/>
        <v/>
      </c>
      <c r="G260" s="5" t="str">
        <f t="shared" si="62"/>
        <v/>
      </c>
      <c r="H260" t="str">
        <f t="shared" si="84"/>
        <v/>
      </c>
      <c r="I260" t="str">
        <f t="shared" si="63"/>
        <v/>
      </c>
      <c r="J260" t="str">
        <f t="shared" si="85"/>
        <v/>
      </c>
      <c r="K260" t="str">
        <f t="shared" si="86"/>
        <v/>
      </c>
      <c r="L260" t="str">
        <f t="shared" si="80"/>
        <v/>
      </c>
      <c r="M260" s="5" t="str">
        <f t="shared" si="71"/>
        <v/>
      </c>
      <c r="N260" s="7" t="str">
        <f t="shared" si="81"/>
        <v/>
      </c>
      <c r="O260" s="3" t="str">
        <f t="shared" si="64"/>
        <v/>
      </c>
      <c r="P260" s="3" t="str">
        <f t="shared" si="65"/>
        <v/>
      </c>
      <c r="Q260" s="3" t="str">
        <f t="shared" si="66"/>
        <v/>
      </c>
      <c r="R260" s="3" t="str">
        <f t="shared" si="67"/>
        <v/>
      </c>
      <c r="S260" s="3" t="str">
        <f>IF($L260&lt;&gt;"",IF($A260="Prepago",0,IF($H260*$U$5&gt;SUM($S$11:$S259)+$U$5,$U$5*2,$U$5)),"")</f>
        <v/>
      </c>
      <c r="T260" s="3" t="str">
        <f>IF($L260&lt;&gt;"",IF($A260="Prepago",0,IF($H260*$U$6&gt;SUM($T$11:$T259)+$U$6,$U$6*2,$U$6)),"")</f>
        <v/>
      </c>
      <c r="U260" s="3" t="str">
        <f>IF($L260&lt;&gt;"",IF($A260="Prepago",0,IF(ROUND($H260*$U$7,2)&gt;ROUND(SUM($U$11:$U259)+$U$7,2),$U$7*2,$U$7)),"")</f>
        <v/>
      </c>
      <c r="V260" s="3" t="str">
        <f>IF($L260&lt;&gt;"",IF($A260="Prepago",0,IF($H260*$U$8&gt;SUM($V$11:$V259)+$U$8,$U$8*2,$U$8)),"")</f>
        <v/>
      </c>
      <c r="W260" s="3" t="str">
        <f t="shared" si="82"/>
        <v/>
      </c>
      <c r="X260" s="3" t="str">
        <f t="shared" si="68"/>
        <v/>
      </c>
      <c r="Y260" s="3" t="str">
        <f t="shared" si="69"/>
        <v/>
      </c>
      <c r="Z260" s="3" t="str">
        <f t="shared" si="70"/>
        <v/>
      </c>
      <c r="AA260" s="3" t="str">
        <f>IF($L260&lt;&gt;"",IF($N260&gt;Z$11,IF($N260&lt;AA$11,$N260-Z$11,30),0)*ROUND(($O260+$X259+SUM($Z260:Z260))*$V$5/3000,2),"")</f>
        <v/>
      </c>
    </row>
    <row r="261" spans="5:27" x14ac:dyDescent="0.3">
      <c r="E261" s="5"/>
      <c r="F261" t="str">
        <f t="shared" si="83"/>
        <v/>
      </c>
      <c r="G261" s="5" t="str">
        <f t="shared" si="62"/>
        <v/>
      </c>
      <c r="H261" t="str">
        <f t="shared" si="84"/>
        <v/>
      </c>
      <c r="I261" t="str">
        <f t="shared" si="63"/>
        <v/>
      </c>
      <c r="J261" t="str">
        <f t="shared" si="85"/>
        <v/>
      </c>
      <c r="K261" t="str">
        <f t="shared" si="86"/>
        <v/>
      </c>
      <c r="L261" t="str">
        <f t="shared" si="80"/>
        <v/>
      </c>
      <c r="M261" s="5" t="str">
        <f t="shared" si="71"/>
        <v/>
      </c>
      <c r="N261" s="7" t="str">
        <f t="shared" si="81"/>
        <v/>
      </c>
      <c r="O261" s="3" t="str">
        <f t="shared" si="64"/>
        <v/>
      </c>
      <c r="P261" s="3" t="str">
        <f t="shared" si="65"/>
        <v/>
      </c>
      <c r="Q261" s="3" t="str">
        <f t="shared" si="66"/>
        <v/>
      </c>
      <c r="R261" s="3" t="str">
        <f t="shared" si="67"/>
        <v/>
      </c>
      <c r="S261" s="3" t="str">
        <f>IF($L261&lt;&gt;"",IF($A261="Prepago",0,IF($H261*$U$5&gt;SUM($S$11:$S260)+$U$5,$U$5*2,$U$5)),"")</f>
        <v/>
      </c>
      <c r="T261" s="3" t="str">
        <f>IF($L261&lt;&gt;"",IF($A261="Prepago",0,IF($H261*$U$6&gt;SUM($T$11:$T260)+$U$6,$U$6*2,$U$6)),"")</f>
        <v/>
      </c>
      <c r="U261" s="3" t="str">
        <f>IF($L261&lt;&gt;"",IF($A261="Prepago",0,IF(ROUND($H261*$U$7,2)&gt;ROUND(SUM($U$11:$U260)+$U$7,2),$U$7*2,$U$7)),"")</f>
        <v/>
      </c>
      <c r="V261" s="3" t="str">
        <f>IF($L261&lt;&gt;"",IF($A261="Prepago",0,IF($H261*$U$8&gt;SUM($V$11:$V260)+$U$8,$U$8*2,$U$8)),"")</f>
        <v/>
      </c>
      <c r="W261" s="3" t="str">
        <f t="shared" si="82"/>
        <v/>
      </c>
      <c r="X261" s="3" t="str">
        <f t="shared" si="68"/>
        <v/>
      </c>
      <c r="Y261" s="3" t="str">
        <f t="shared" si="69"/>
        <v/>
      </c>
      <c r="Z261" s="3" t="str">
        <f t="shared" si="70"/>
        <v/>
      </c>
      <c r="AA261" s="3" t="str">
        <f>IF($L261&lt;&gt;"",IF($N261&gt;Z$11,IF($N261&lt;AA$11,$N261-Z$11,30),0)*ROUND(($O261+$X260+SUM($Z261:Z261))*$V$5/3000,2),"")</f>
        <v/>
      </c>
    </row>
    <row r="262" spans="5:27" x14ac:dyDescent="0.3">
      <c r="E262" s="5"/>
      <c r="F262" t="str">
        <f t="shared" si="83"/>
        <v/>
      </c>
      <c r="G262" s="5" t="str">
        <f t="shared" si="62"/>
        <v/>
      </c>
      <c r="H262" t="str">
        <f t="shared" si="84"/>
        <v/>
      </c>
      <c r="I262" t="str">
        <f t="shared" si="63"/>
        <v/>
      </c>
      <c r="J262" t="str">
        <f t="shared" si="85"/>
        <v/>
      </c>
      <c r="K262" t="str">
        <f t="shared" si="86"/>
        <v/>
      </c>
      <c r="L262" t="str">
        <f t="shared" si="80"/>
        <v/>
      </c>
      <c r="M262" s="5" t="str">
        <f t="shared" si="71"/>
        <v/>
      </c>
      <c r="N262" s="7" t="str">
        <f t="shared" si="81"/>
        <v/>
      </c>
      <c r="O262" s="3" t="str">
        <f t="shared" si="64"/>
        <v/>
      </c>
      <c r="P262" s="3" t="str">
        <f t="shared" si="65"/>
        <v/>
      </c>
      <c r="Q262" s="3" t="str">
        <f t="shared" si="66"/>
        <v/>
      </c>
      <c r="R262" s="3" t="str">
        <f t="shared" si="67"/>
        <v/>
      </c>
      <c r="S262" s="3" t="str">
        <f>IF($L262&lt;&gt;"",IF($A262="Prepago",0,IF($H262*$U$5&gt;SUM($S$11:$S261)+$U$5,$U$5*2,$U$5)),"")</f>
        <v/>
      </c>
      <c r="T262" s="3" t="str">
        <f>IF($L262&lt;&gt;"",IF($A262="Prepago",0,IF($H262*$U$6&gt;SUM($T$11:$T261)+$U$6,$U$6*2,$U$6)),"")</f>
        <v/>
      </c>
      <c r="U262" s="3" t="str">
        <f>IF($L262&lt;&gt;"",IF($A262="Prepago",0,IF(ROUND($H262*$U$7,2)&gt;ROUND(SUM($U$11:$U261)+$U$7,2),$U$7*2,$U$7)),"")</f>
        <v/>
      </c>
      <c r="V262" s="3" t="str">
        <f>IF($L262&lt;&gt;"",IF($A262="Prepago",0,IF($H262*$U$8&gt;SUM($V$11:$V261)+$U$8,$U$8*2,$U$8)),"")</f>
        <v/>
      </c>
      <c r="W262" s="3" t="str">
        <f t="shared" si="82"/>
        <v/>
      </c>
      <c r="X262" s="3" t="str">
        <f t="shared" si="68"/>
        <v/>
      </c>
      <c r="Y262" s="3" t="str">
        <f t="shared" si="69"/>
        <v/>
      </c>
      <c r="Z262" s="3" t="str">
        <f t="shared" si="70"/>
        <v/>
      </c>
      <c r="AA262" s="3" t="str">
        <f>IF($L262&lt;&gt;"",IF($N262&gt;Z$11,IF($N262&lt;AA$11,$N262-Z$11,30),0)*ROUND(($O262+$X261+SUM($Z262:Z262))*$V$5/3000,2),"")</f>
        <v/>
      </c>
    </row>
    <row r="263" spans="5:27" x14ac:dyDescent="0.3">
      <c r="E263" s="5"/>
      <c r="F263" t="str">
        <f t="shared" si="83"/>
        <v/>
      </c>
      <c r="G263" s="5" t="str">
        <f t="shared" si="62"/>
        <v/>
      </c>
      <c r="H263" t="str">
        <f t="shared" si="84"/>
        <v/>
      </c>
      <c r="I263" t="str">
        <f t="shared" si="63"/>
        <v/>
      </c>
      <c r="J263" t="str">
        <f t="shared" si="85"/>
        <v/>
      </c>
      <c r="K263" t="str">
        <f t="shared" si="86"/>
        <v/>
      </c>
      <c r="L263" t="str">
        <f t="shared" si="80"/>
        <v/>
      </c>
      <c r="M263" s="5" t="str">
        <f t="shared" si="71"/>
        <v/>
      </c>
      <c r="N263" s="7" t="str">
        <f t="shared" si="81"/>
        <v/>
      </c>
      <c r="O263" s="3" t="str">
        <f t="shared" si="64"/>
        <v/>
      </c>
      <c r="P263" s="3" t="str">
        <f t="shared" si="65"/>
        <v/>
      </c>
      <c r="Q263" s="3" t="str">
        <f t="shared" si="66"/>
        <v/>
      </c>
      <c r="R263" s="3" t="str">
        <f t="shared" si="67"/>
        <v/>
      </c>
      <c r="S263" s="3" t="str">
        <f>IF($L263&lt;&gt;"",IF($A263="Prepago",0,IF($H263*$U$5&gt;SUM($S$11:$S262)+$U$5,$U$5*2,$U$5)),"")</f>
        <v/>
      </c>
      <c r="T263" s="3" t="str">
        <f>IF($L263&lt;&gt;"",IF($A263="Prepago",0,IF($H263*$U$6&gt;SUM($T$11:$T262)+$U$6,$U$6*2,$U$6)),"")</f>
        <v/>
      </c>
      <c r="U263" s="3" t="str">
        <f>IF($L263&lt;&gt;"",IF($A263="Prepago",0,IF(ROUND($H263*$U$7,2)&gt;ROUND(SUM($U$11:$U262)+$U$7,2),$U$7*2,$U$7)),"")</f>
        <v/>
      </c>
      <c r="V263" s="3" t="str">
        <f>IF($L263&lt;&gt;"",IF($A263="Prepago",0,IF($H263*$U$8&gt;SUM($V$11:$V262)+$U$8,$U$8*2,$U$8)),"")</f>
        <v/>
      </c>
      <c r="W263" s="3" t="str">
        <f t="shared" si="82"/>
        <v/>
      </c>
      <c r="X263" s="3" t="str">
        <f t="shared" si="68"/>
        <v/>
      </c>
      <c r="Y263" s="3" t="str">
        <f t="shared" si="69"/>
        <v/>
      </c>
      <c r="Z263" s="3" t="str">
        <f t="shared" si="70"/>
        <v/>
      </c>
      <c r="AA263" s="3" t="str">
        <f>IF($L263&lt;&gt;"",IF($N263&gt;Z$11,IF($N263&lt;AA$11,$N263-Z$11,30),0)*ROUND(($O263+$X262+SUM($Z263:Z263))*$V$5/3000,2),"")</f>
        <v/>
      </c>
    </row>
    <row r="264" spans="5:27" x14ac:dyDescent="0.3">
      <c r="E264" s="5"/>
      <c r="F264" t="str">
        <f t="shared" si="83"/>
        <v/>
      </c>
      <c r="G264" s="5" t="str">
        <f t="shared" si="62"/>
        <v/>
      </c>
      <c r="H264" t="str">
        <f t="shared" si="84"/>
        <v/>
      </c>
      <c r="I264" t="str">
        <f t="shared" si="63"/>
        <v/>
      </c>
      <c r="J264" t="str">
        <f t="shared" si="85"/>
        <v/>
      </c>
      <c r="K264" t="str">
        <f t="shared" si="86"/>
        <v/>
      </c>
      <c r="L264" t="str">
        <f t="shared" si="80"/>
        <v/>
      </c>
      <c r="M264" s="5" t="str">
        <f t="shared" si="71"/>
        <v/>
      </c>
      <c r="N264" s="7" t="str">
        <f t="shared" si="81"/>
        <v/>
      </c>
      <c r="O264" s="3" t="str">
        <f t="shared" si="64"/>
        <v/>
      </c>
      <c r="P264" s="3" t="str">
        <f t="shared" si="65"/>
        <v/>
      </c>
      <c r="Q264" s="3" t="str">
        <f t="shared" si="66"/>
        <v/>
      </c>
      <c r="R264" s="3" t="str">
        <f t="shared" si="67"/>
        <v/>
      </c>
      <c r="S264" s="3" t="str">
        <f>IF($L264&lt;&gt;"",IF($A264="Prepago",0,IF($H264*$U$5&gt;SUM($S$11:$S263)+$U$5,$U$5*2,$U$5)),"")</f>
        <v/>
      </c>
      <c r="T264" s="3" t="str">
        <f>IF($L264&lt;&gt;"",IF($A264="Prepago",0,IF($H264*$U$6&gt;SUM($T$11:$T263)+$U$6,$U$6*2,$U$6)),"")</f>
        <v/>
      </c>
      <c r="U264" s="3" t="str">
        <f>IF($L264&lt;&gt;"",IF($A264="Prepago",0,IF(ROUND($H264*$U$7,2)&gt;ROUND(SUM($U$11:$U263)+$U$7,2),$U$7*2,$U$7)),"")</f>
        <v/>
      </c>
      <c r="V264" s="3" t="str">
        <f>IF($L264&lt;&gt;"",IF($A264="Prepago",0,IF($H264*$U$8&gt;SUM($V$11:$V263)+$U$8,$U$8*2,$U$8)),"")</f>
        <v/>
      </c>
      <c r="W264" s="3" t="str">
        <f t="shared" si="82"/>
        <v/>
      </c>
      <c r="X264" s="3" t="str">
        <f t="shared" si="68"/>
        <v/>
      </c>
      <c r="Y264" s="3" t="str">
        <f t="shared" si="69"/>
        <v/>
      </c>
      <c r="Z264" s="3" t="str">
        <f t="shared" si="70"/>
        <v/>
      </c>
      <c r="AA264" s="3" t="str">
        <f>IF($L264&lt;&gt;"",IF($N264&gt;Z$11,IF($N264&lt;AA$11,$N264-Z$11,30),0)*ROUND(($O264+$X263+SUM($Z264:Z264))*$V$5/3000,2),"")</f>
        <v/>
      </c>
    </row>
    <row r="265" spans="5:27" x14ac:dyDescent="0.3">
      <c r="E265" s="5"/>
      <c r="F265" t="str">
        <f t="shared" si="83"/>
        <v/>
      </c>
      <c r="G265" s="5" t="str">
        <f t="shared" si="62"/>
        <v/>
      </c>
      <c r="H265" t="str">
        <f t="shared" si="84"/>
        <v/>
      </c>
      <c r="I265" t="str">
        <f t="shared" si="63"/>
        <v/>
      </c>
      <c r="J265" t="str">
        <f t="shared" si="85"/>
        <v/>
      </c>
      <c r="K265" t="str">
        <f t="shared" si="86"/>
        <v/>
      </c>
      <c r="L265" t="str">
        <f t="shared" si="80"/>
        <v/>
      </c>
      <c r="M265" s="5" t="str">
        <f t="shared" si="71"/>
        <v/>
      </c>
      <c r="N265" s="7" t="str">
        <f t="shared" si="81"/>
        <v/>
      </c>
      <c r="O265" s="3" t="str">
        <f t="shared" si="64"/>
        <v/>
      </c>
      <c r="P265" s="3" t="str">
        <f t="shared" si="65"/>
        <v/>
      </c>
      <c r="Q265" s="3" t="str">
        <f t="shared" si="66"/>
        <v/>
      </c>
      <c r="R265" s="3" t="str">
        <f t="shared" si="67"/>
        <v/>
      </c>
      <c r="S265" s="3" t="str">
        <f>IF($L265&lt;&gt;"",IF($A265="Prepago",0,IF($H265*$U$5&gt;SUM($S$11:$S264)+$U$5,$U$5*2,$U$5)),"")</f>
        <v/>
      </c>
      <c r="T265" s="3" t="str">
        <f>IF($L265&lt;&gt;"",IF($A265="Prepago",0,IF($H265*$U$6&gt;SUM($T$11:$T264)+$U$6,$U$6*2,$U$6)),"")</f>
        <v/>
      </c>
      <c r="U265" s="3" t="str">
        <f>IF($L265&lt;&gt;"",IF($A265="Prepago",0,IF(ROUND($H265*$U$7,2)&gt;ROUND(SUM($U$11:$U264)+$U$7,2),$U$7*2,$U$7)),"")</f>
        <v/>
      </c>
      <c r="V265" s="3" t="str">
        <f>IF($L265&lt;&gt;"",IF($A265="Prepago",0,IF($H265*$U$8&gt;SUM($V$11:$V264)+$U$8,$U$8*2,$U$8)),"")</f>
        <v/>
      </c>
      <c r="W265" s="3" t="str">
        <f t="shared" si="82"/>
        <v/>
      </c>
      <c r="X265" s="3" t="str">
        <f t="shared" si="68"/>
        <v/>
      </c>
      <c r="Y265" s="3" t="str">
        <f t="shared" si="69"/>
        <v/>
      </c>
      <c r="Z265" s="3" t="str">
        <f t="shared" si="70"/>
        <v/>
      </c>
      <c r="AA265" s="3" t="str">
        <f>IF($L265&lt;&gt;"",IF($N265&gt;Z$11,IF($N265&lt;AA$11,$N265-Z$11,30),0)*ROUND(($O265+$X264+SUM($Z265:Z265))*$V$5/3000,2),"")</f>
        <v/>
      </c>
    </row>
    <row r="266" spans="5:27" x14ac:dyDescent="0.3">
      <c r="E266" s="5"/>
      <c r="F266" t="str">
        <f t="shared" si="83"/>
        <v/>
      </c>
      <c r="G266" s="5" t="str">
        <f t="shared" si="62"/>
        <v/>
      </c>
      <c r="H266" t="str">
        <f t="shared" si="84"/>
        <v/>
      </c>
      <c r="I266" t="str">
        <f t="shared" si="63"/>
        <v/>
      </c>
      <c r="J266" t="str">
        <f t="shared" si="85"/>
        <v/>
      </c>
      <c r="K266" t="str">
        <f t="shared" si="86"/>
        <v/>
      </c>
      <c r="L266" t="str">
        <f t="shared" si="80"/>
        <v/>
      </c>
      <c r="M266" s="5" t="str">
        <f t="shared" si="71"/>
        <v/>
      </c>
      <c r="N266" s="7" t="str">
        <f t="shared" si="81"/>
        <v/>
      </c>
      <c r="O266" s="3" t="str">
        <f t="shared" si="64"/>
        <v/>
      </c>
      <c r="P266" s="3" t="str">
        <f t="shared" si="65"/>
        <v/>
      </c>
      <c r="Q266" s="3" t="str">
        <f t="shared" si="66"/>
        <v/>
      </c>
      <c r="R266" s="3" t="str">
        <f t="shared" si="67"/>
        <v/>
      </c>
      <c r="S266" s="3" t="str">
        <f>IF($L266&lt;&gt;"",IF($A266="Prepago",0,IF($H266*$U$5&gt;SUM($S$11:$S265)+$U$5,$U$5*2,$U$5)),"")</f>
        <v/>
      </c>
      <c r="T266" s="3" t="str">
        <f>IF($L266&lt;&gt;"",IF($A266="Prepago",0,IF($H266*$U$6&gt;SUM($T$11:$T265)+$U$6,$U$6*2,$U$6)),"")</f>
        <v/>
      </c>
      <c r="U266" s="3" t="str">
        <f>IF($L266&lt;&gt;"",IF($A266="Prepago",0,IF(ROUND($H266*$U$7,2)&gt;ROUND(SUM($U$11:$U265)+$U$7,2),$U$7*2,$U$7)),"")</f>
        <v/>
      </c>
      <c r="V266" s="3" t="str">
        <f>IF($L266&lt;&gt;"",IF($A266="Prepago",0,IF($H266*$U$8&gt;SUM($V$11:$V265)+$U$8,$U$8*2,$U$8)),"")</f>
        <v/>
      </c>
      <c r="W266" s="3" t="str">
        <f t="shared" si="82"/>
        <v/>
      </c>
      <c r="X266" s="3" t="str">
        <f t="shared" si="68"/>
        <v/>
      </c>
      <c r="Y266" s="3" t="str">
        <f t="shared" si="69"/>
        <v/>
      </c>
      <c r="Z266" s="3" t="str">
        <f t="shared" si="70"/>
        <v/>
      </c>
      <c r="AA266" s="3" t="str">
        <f>IF($L266&lt;&gt;"",IF($N266&gt;Z$11,IF($N266&lt;AA$11,$N266-Z$11,30),0)*ROUND(($O266+$X265+SUM($Z266:Z266))*$V$5/3000,2),"")</f>
        <v/>
      </c>
    </row>
    <row r="267" spans="5:27" x14ac:dyDescent="0.3">
      <c r="E267" s="5"/>
      <c r="F267" t="str">
        <f t="shared" si="83"/>
        <v/>
      </c>
      <c r="G267" s="5" t="str">
        <f t="shared" si="62"/>
        <v/>
      </c>
      <c r="H267" t="str">
        <f t="shared" si="84"/>
        <v/>
      </c>
      <c r="I267" t="str">
        <f t="shared" si="63"/>
        <v/>
      </c>
      <c r="J267" t="str">
        <f t="shared" si="85"/>
        <v/>
      </c>
      <c r="K267" t="str">
        <f t="shared" si="86"/>
        <v/>
      </c>
      <c r="L267" t="str">
        <f t="shared" si="80"/>
        <v/>
      </c>
      <c r="M267" s="5" t="str">
        <f t="shared" si="71"/>
        <v/>
      </c>
      <c r="N267" s="7" t="str">
        <f t="shared" si="81"/>
        <v/>
      </c>
      <c r="O267" s="3" t="str">
        <f t="shared" si="64"/>
        <v/>
      </c>
      <c r="P267" s="3" t="str">
        <f t="shared" si="65"/>
        <v/>
      </c>
      <c r="Q267" s="3" t="str">
        <f t="shared" si="66"/>
        <v/>
      </c>
      <c r="R267" s="3" t="str">
        <f t="shared" si="67"/>
        <v/>
      </c>
      <c r="S267" s="3" t="str">
        <f>IF($L267&lt;&gt;"",IF($A267="Prepago",0,IF($H267*$U$5&gt;SUM($S$11:$S266)+$U$5,$U$5*2,$U$5)),"")</f>
        <v/>
      </c>
      <c r="T267" s="3" t="str">
        <f>IF($L267&lt;&gt;"",IF($A267="Prepago",0,IF($H267*$U$6&gt;SUM($T$11:$T266)+$U$6,$U$6*2,$U$6)),"")</f>
        <v/>
      </c>
      <c r="U267" s="3" t="str">
        <f>IF($L267&lt;&gt;"",IF($A267="Prepago",0,IF(ROUND($H267*$U$7,2)&gt;ROUND(SUM($U$11:$U266)+$U$7,2),$U$7*2,$U$7)),"")</f>
        <v/>
      </c>
      <c r="V267" s="3" t="str">
        <f>IF($L267&lt;&gt;"",IF($A267="Prepago",0,IF($H267*$U$8&gt;SUM($V$11:$V266)+$U$8,$U$8*2,$U$8)),"")</f>
        <v/>
      </c>
      <c r="W267" s="3" t="str">
        <f t="shared" si="82"/>
        <v/>
      </c>
      <c r="X267" s="3" t="str">
        <f t="shared" si="68"/>
        <v/>
      </c>
      <c r="Y267" s="3" t="str">
        <f t="shared" si="69"/>
        <v/>
      </c>
      <c r="Z267" s="3" t="str">
        <f t="shared" si="70"/>
        <v/>
      </c>
      <c r="AA267" s="3" t="str">
        <f>IF($L267&lt;&gt;"",IF($N267&gt;Z$11,IF($N267&lt;AA$11,$N267-Z$11,30),0)*ROUND(($O267+$X266+SUM($Z267:Z267))*$V$5/3000,2),"")</f>
        <v/>
      </c>
    </row>
    <row r="268" spans="5:27" x14ac:dyDescent="0.3">
      <c r="E268" s="5"/>
      <c r="F268" t="str">
        <f t="shared" si="83"/>
        <v/>
      </c>
      <c r="G268" s="5" t="str">
        <f t="shared" ref="G268:G331" si="87">IF($L268&lt;&gt;"",EOMONTH(DATE(YEAR($M$11),MONTH($M$11)-IF(DAY($N$6)&lt;$N$7,1,0),DAY($M$11)),($H268*$A$1)+IF(MESADICIONAL=TRUE,1,0)),"")</f>
        <v/>
      </c>
      <c r="H268" t="str">
        <f t="shared" si="84"/>
        <v/>
      </c>
      <c r="I268" t="str">
        <f t="shared" ref="I268:I333" si="88">IF(L268&lt;&gt;"",IF(COUNTA($Z268:$XFD268)*30&lt;$N268,1,0),"")</f>
        <v/>
      </c>
      <c r="J268" t="str">
        <f t="shared" si="85"/>
        <v/>
      </c>
      <c r="K268" t="str">
        <f t="shared" si="86"/>
        <v/>
      </c>
      <c r="L268" t="str">
        <f t="shared" si="80"/>
        <v/>
      </c>
      <c r="M268" s="5" t="str">
        <f t="shared" si="71"/>
        <v/>
      </c>
      <c r="N268" s="7" t="str">
        <f t="shared" si="81"/>
        <v/>
      </c>
      <c r="O268" s="3" t="str">
        <f t="shared" ref="O268:O333" si="89">IF($L268&lt;&gt;"",$W267,"")</f>
        <v/>
      </c>
      <c r="P268" s="3" t="str">
        <f t="shared" ref="P268:P333" si="90">IF($L268&lt;&gt;"",IF($A268="Gracia Parcial",IF(AND($C268&lt;$Y268+$S268+$T268+$V268+$X267,$C268&gt;0),$C268,$Y268+$S268+$T268+$V268+$X267),IF($A268="Gracia Total",0,IF($A268="Prepago",$C268,IF(ISNUMBER($C268),$C268*VALUE(MID($C$1,MONTH($M268),1)),$Q$5*VALUE(MID($C$1,MONTH($M268),1))))))-IF($L269="",ARREGLO,0),"")</f>
        <v/>
      </c>
      <c r="Q268" s="3" t="str">
        <f t="shared" ref="Q268:Q331" si="91">IF($L268&lt;&gt;"",IF($P268-$R268&gt;0,IF($P268&gt;=$R268+$S268+$T268+$V268,$P268-$R268-$S268-$T268-$V268,P268),0),"")</f>
        <v/>
      </c>
      <c r="R268" s="3" t="str">
        <f t="shared" ref="R268:R333" si="92">IF($L268&lt;&gt;"",IF($P268&gt;IF($D268="",$Y268,$D268)+$X267+$S268+$T268+$V268,IF($D268="",$Y268,$D268)+$X267,IF($P268&gt;=$S268+$T268+$V268,$P268-$S268-$T268-$V268,IF($D268="",$Y268,$D268)+$X267)),"")</f>
        <v/>
      </c>
      <c r="S268" s="3" t="str">
        <f>IF($L268&lt;&gt;"",IF($A268="Prepago",0,IF($H268*$U$5&gt;SUM($S$11:$S267)+$U$5,$U$5*2,$U$5)),"")</f>
        <v/>
      </c>
      <c r="T268" s="3" t="str">
        <f>IF($L268&lt;&gt;"",IF($A268="Prepago",0,IF($H268*$U$6&gt;SUM($T$11:$T267)+$U$6,$U$6*2,$U$6)),"")</f>
        <v/>
      </c>
      <c r="U268" s="3" t="str">
        <f>IF($L268&lt;&gt;"",IF($A268="Prepago",0,IF(ROUND($H268*$U$7,2)&gt;ROUND(SUM($U$11:$U267)+$U$7,2),$U$7*2,$U$7)),"")</f>
        <v/>
      </c>
      <c r="V268" s="3" t="str">
        <f>IF($L268&lt;&gt;"",IF($A268="Prepago",0,IF($H268*$U$8&gt;SUM($V$11:$V267)+$U$8,$U$8*2,$U$8)),"")</f>
        <v/>
      </c>
      <c r="W268" s="3" t="str">
        <f t="shared" si="82"/>
        <v/>
      </c>
      <c r="X268" s="3" t="str">
        <f t="shared" ref="X268:X333" si="93">IF($L268&lt;&gt;"",+$X267+IF($D268="",$Y268,$D268)-$R268,"")</f>
        <v/>
      </c>
      <c r="Y268" s="3" t="str">
        <f t="shared" ref="Y268:Y334" si="94">IF($L268&lt;&gt;"",SUM($Z268:$XFD268),"")</f>
        <v/>
      </c>
      <c r="Z268" s="3" t="str">
        <f t="shared" ref="Z268:Z333" si="95">IF($L268&lt;&gt;"",IF($N268&gt;Z$11,30,$N268)*ROUND(($O268+$X267)*$V$5/3000,2),"")</f>
        <v/>
      </c>
      <c r="AA268" s="3" t="str">
        <f>IF($L268&lt;&gt;"",IF($N268&gt;Z$11,IF($N268&lt;AA$11,$N268-Z$11,30),0)*ROUND(($O268+$X267+SUM($Z268:Z268))*$V$5/3000,2),"")</f>
        <v/>
      </c>
    </row>
    <row r="269" spans="5:27" x14ac:dyDescent="0.3">
      <c r="E269" s="5"/>
      <c r="F269" t="str">
        <f t="shared" si="83"/>
        <v/>
      </c>
      <c r="G269" s="5" t="str">
        <f t="shared" si="87"/>
        <v/>
      </c>
      <c r="H269" t="str">
        <f t="shared" si="84"/>
        <v/>
      </c>
      <c r="I269" t="str">
        <f t="shared" si="88"/>
        <v/>
      </c>
      <c r="J269" t="str">
        <f t="shared" si="85"/>
        <v/>
      </c>
      <c r="K269" t="str">
        <f t="shared" si="86"/>
        <v/>
      </c>
      <c r="L269" t="str">
        <f t="shared" si="80"/>
        <v/>
      </c>
      <c r="M269" s="5" t="str">
        <f t="shared" ref="M269:M332" si="96">IF($L269&lt;&gt;"",IF($E269="",IF(DAY($G269)&lt;$N$7,$G269,DATE(YEAR($G269),MONTH($G269),$N$7)),$E269),"")</f>
        <v/>
      </c>
      <c r="N269" s="7" t="str">
        <f t="shared" si="81"/>
        <v/>
      </c>
      <c r="O269" s="3" t="str">
        <f t="shared" si="89"/>
        <v/>
      </c>
      <c r="P269" s="3" t="str">
        <f t="shared" si="90"/>
        <v/>
      </c>
      <c r="Q269" s="3" t="str">
        <f t="shared" si="91"/>
        <v/>
      </c>
      <c r="R269" s="3" t="str">
        <f t="shared" si="92"/>
        <v/>
      </c>
      <c r="S269" s="3" t="str">
        <f>IF($L269&lt;&gt;"",IF($A269="Prepago",0,IF($H269*$U$5&gt;SUM($S$11:$S268)+$U$5,$U$5*2,$U$5)),"")</f>
        <v/>
      </c>
      <c r="T269" s="3" t="str">
        <f>IF($L269&lt;&gt;"",IF($A269="Prepago",0,IF($H269*$U$6&gt;SUM($T$11:$T268)+$U$6,$U$6*2,$U$6)),"")</f>
        <v/>
      </c>
      <c r="U269" s="3" t="str">
        <f>IF($L269&lt;&gt;"",IF($A269="Prepago",0,IF(ROUND($H269*$U$7,2)&gt;ROUND(SUM($U$11:$U268)+$U$7,2),$U$7*2,$U$7)),"")</f>
        <v/>
      </c>
      <c r="V269" s="3" t="str">
        <f>IF($L269&lt;&gt;"",IF($A269="Prepago",0,IF($H269*$U$8&gt;SUM($V$11:$V268)+$U$8,$U$8*2,$U$8)),"")</f>
        <v/>
      </c>
      <c r="W269" s="3" t="str">
        <f t="shared" si="82"/>
        <v/>
      </c>
      <c r="X269" s="3" t="str">
        <f t="shared" si="93"/>
        <v/>
      </c>
      <c r="Y269" s="3" t="str">
        <f t="shared" si="94"/>
        <v/>
      </c>
      <c r="Z269" s="3" t="str">
        <f t="shared" si="95"/>
        <v/>
      </c>
      <c r="AA269" s="3" t="str">
        <f>IF($L269&lt;&gt;"",IF($N269&gt;Z$11,IF($N269&lt;AA$11,$N269-Z$11,30),0)*ROUND(($O269+$X268+SUM($Z269:Z269))*$V$5/3000,2),"")</f>
        <v/>
      </c>
    </row>
    <row r="270" spans="5:27" x14ac:dyDescent="0.3">
      <c r="E270" s="5"/>
      <c r="F270" t="str">
        <f t="shared" si="83"/>
        <v/>
      </c>
      <c r="G270" s="5" t="str">
        <f t="shared" si="87"/>
        <v/>
      </c>
      <c r="H270" t="str">
        <f t="shared" si="84"/>
        <v/>
      </c>
      <c r="I270" t="str">
        <f t="shared" si="88"/>
        <v/>
      </c>
      <c r="J270" t="str">
        <f t="shared" si="85"/>
        <v/>
      </c>
      <c r="K270" t="str">
        <f t="shared" si="86"/>
        <v/>
      </c>
      <c r="L270" t="str">
        <f t="shared" si="80"/>
        <v/>
      </c>
      <c r="M270" s="5" t="str">
        <f t="shared" si="96"/>
        <v/>
      </c>
      <c r="N270" s="7" t="str">
        <f t="shared" si="81"/>
        <v/>
      </c>
      <c r="O270" s="3" t="str">
        <f t="shared" si="89"/>
        <v/>
      </c>
      <c r="P270" s="3" t="str">
        <f t="shared" si="90"/>
        <v/>
      </c>
      <c r="Q270" s="3" t="str">
        <f t="shared" si="91"/>
        <v/>
      </c>
      <c r="R270" s="3" t="str">
        <f t="shared" si="92"/>
        <v/>
      </c>
      <c r="S270" s="3" t="str">
        <f>IF($L270&lt;&gt;"",IF($A270="Prepago",0,IF($H270*$U$5&gt;SUM($S$11:$S269)+$U$5,$U$5*2,$U$5)),"")</f>
        <v/>
      </c>
      <c r="T270" s="3" t="str">
        <f>IF($L270&lt;&gt;"",IF($A270="Prepago",0,IF($H270*$U$6&gt;SUM($T$11:$T269)+$U$6,$U$6*2,$U$6)),"")</f>
        <v/>
      </c>
      <c r="U270" s="3" t="str">
        <f>IF($L270&lt;&gt;"",IF($A270="Prepago",0,IF(ROUND($H270*$U$7,2)&gt;ROUND(SUM($U$11:$U269)+$U$7,2),$U$7*2,$U$7)),"")</f>
        <v/>
      </c>
      <c r="V270" s="3" t="str">
        <f>IF($L270&lt;&gt;"",IF($A270="Prepago",0,IF($H270*$U$8&gt;SUM($V$11:$V269)+$U$8,$U$8*2,$U$8)),"")</f>
        <v/>
      </c>
      <c r="W270" s="3" t="str">
        <f t="shared" si="82"/>
        <v/>
      </c>
      <c r="X270" s="3" t="str">
        <f t="shared" si="93"/>
        <v/>
      </c>
      <c r="Y270" s="3" t="str">
        <f t="shared" si="94"/>
        <v/>
      </c>
      <c r="Z270" s="3" t="str">
        <f t="shared" si="95"/>
        <v/>
      </c>
      <c r="AA270" s="3" t="str">
        <f>IF($L270&lt;&gt;"",IF($N270&gt;Z$11,IF($N270&lt;AA$11,$N270-Z$11,30),0)*ROUND(($O270+$X269+SUM($Z270:Z270))*$V$5/3000,2),"")</f>
        <v/>
      </c>
    </row>
    <row r="271" spans="5:27" x14ac:dyDescent="0.3">
      <c r="E271" s="5"/>
      <c r="F271" t="str">
        <f t="shared" si="83"/>
        <v/>
      </c>
      <c r="G271" s="5" t="str">
        <f t="shared" si="87"/>
        <v/>
      </c>
      <c r="H271" t="str">
        <f t="shared" si="84"/>
        <v/>
      </c>
      <c r="I271" t="str">
        <f t="shared" si="88"/>
        <v/>
      </c>
      <c r="J271" t="str">
        <f t="shared" si="85"/>
        <v/>
      </c>
      <c r="K271" t="str">
        <f t="shared" si="86"/>
        <v/>
      </c>
      <c r="L271" t="str">
        <f t="shared" si="80"/>
        <v/>
      </c>
      <c r="M271" s="5" t="str">
        <f t="shared" si="96"/>
        <v/>
      </c>
      <c r="N271" s="7" t="str">
        <f t="shared" si="81"/>
        <v/>
      </c>
      <c r="O271" s="3" t="str">
        <f t="shared" si="89"/>
        <v/>
      </c>
      <c r="P271" s="3" t="str">
        <f t="shared" si="90"/>
        <v/>
      </c>
      <c r="Q271" s="3" t="str">
        <f t="shared" si="91"/>
        <v/>
      </c>
      <c r="R271" s="3" t="str">
        <f t="shared" si="92"/>
        <v/>
      </c>
      <c r="S271" s="3" t="str">
        <f>IF($L271&lt;&gt;"",IF($A271="Prepago",0,IF($H271*$U$5&gt;SUM($S$11:$S270)+$U$5,$U$5*2,$U$5)),"")</f>
        <v/>
      </c>
      <c r="T271" s="3" t="str">
        <f>IF($L271&lt;&gt;"",IF($A271="Prepago",0,IF($H271*$U$6&gt;SUM($T$11:$T270)+$U$6,$U$6*2,$U$6)),"")</f>
        <v/>
      </c>
      <c r="U271" s="3" t="str">
        <f>IF($L271&lt;&gt;"",IF($A271="Prepago",0,IF(ROUND($H271*$U$7,2)&gt;ROUND(SUM($U$11:$U270)+$U$7,2),$U$7*2,$U$7)),"")</f>
        <v/>
      </c>
      <c r="V271" s="3" t="str">
        <f>IF($L271&lt;&gt;"",IF($A271="Prepago",0,IF($H271*$U$8&gt;SUM($V$11:$V270)+$U$8,$U$8*2,$U$8)),"")</f>
        <v/>
      </c>
      <c r="W271" s="3" t="str">
        <f t="shared" si="82"/>
        <v/>
      </c>
      <c r="X271" s="3" t="str">
        <f t="shared" si="93"/>
        <v/>
      </c>
      <c r="Y271" s="3" t="str">
        <f t="shared" si="94"/>
        <v/>
      </c>
      <c r="Z271" s="3" t="str">
        <f t="shared" si="95"/>
        <v/>
      </c>
      <c r="AA271" s="3" t="str">
        <f>IF($L271&lt;&gt;"",IF($N271&gt;Z$11,IF($N271&lt;AA$11,$N271-Z$11,30),0)*ROUND(($O271+$X270+SUM($Z271:Z271))*$V$5/3000,2),"")</f>
        <v/>
      </c>
    </row>
    <row r="272" spans="5:27" x14ac:dyDescent="0.3">
      <c r="E272" s="5"/>
      <c r="F272" t="str">
        <f t="shared" si="83"/>
        <v/>
      </c>
      <c r="G272" s="5" t="str">
        <f t="shared" si="87"/>
        <v/>
      </c>
      <c r="H272" t="str">
        <f t="shared" si="84"/>
        <v/>
      </c>
      <c r="I272" t="str">
        <f t="shared" si="88"/>
        <v/>
      </c>
      <c r="J272" t="str">
        <f t="shared" si="85"/>
        <v/>
      </c>
      <c r="K272" t="str">
        <f t="shared" si="86"/>
        <v/>
      </c>
      <c r="L272" t="str">
        <f t="shared" si="80"/>
        <v/>
      </c>
      <c r="M272" s="5" t="str">
        <f t="shared" si="96"/>
        <v/>
      </c>
      <c r="N272" s="7" t="str">
        <f t="shared" si="81"/>
        <v/>
      </c>
      <c r="O272" s="3" t="str">
        <f t="shared" si="89"/>
        <v/>
      </c>
      <c r="P272" s="3" t="str">
        <f t="shared" si="90"/>
        <v/>
      </c>
      <c r="Q272" s="3" t="str">
        <f t="shared" si="91"/>
        <v/>
      </c>
      <c r="R272" s="3" t="str">
        <f t="shared" si="92"/>
        <v/>
      </c>
      <c r="S272" s="3" t="str">
        <f>IF($L272&lt;&gt;"",IF($A272="Prepago",0,IF($H272*$U$5&gt;SUM($S$11:$S271)+$U$5,$U$5*2,$U$5)),"")</f>
        <v/>
      </c>
      <c r="T272" s="3" t="str">
        <f>IF($L272&lt;&gt;"",IF($A272="Prepago",0,IF($H272*$U$6&gt;SUM($T$11:$T271)+$U$6,$U$6*2,$U$6)),"")</f>
        <v/>
      </c>
      <c r="U272" s="3" t="str">
        <f>IF($L272&lt;&gt;"",IF($A272="Prepago",0,IF(ROUND($H272*$U$7,2)&gt;ROUND(SUM($U$11:$U271)+$U$7,2),$U$7*2,$U$7)),"")</f>
        <v/>
      </c>
      <c r="V272" s="3" t="str">
        <f>IF($L272&lt;&gt;"",IF($A272="Prepago",0,IF($H272*$U$8&gt;SUM($V$11:$V271)+$U$8,$U$8*2,$U$8)),"")</f>
        <v/>
      </c>
      <c r="W272" s="3" t="str">
        <f t="shared" si="82"/>
        <v/>
      </c>
      <c r="X272" s="3" t="str">
        <f t="shared" si="93"/>
        <v/>
      </c>
      <c r="Y272" s="3" t="str">
        <f t="shared" si="94"/>
        <v/>
      </c>
      <c r="Z272" s="3" t="str">
        <f t="shared" si="95"/>
        <v/>
      </c>
      <c r="AA272" s="3" t="str">
        <f>IF($L272&lt;&gt;"",IF($N272&gt;Z$11,IF($N272&lt;AA$11,$N272-Z$11,30),0)*ROUND(($O272+$X271+SUM($Z272:Z272))*$V$5/3000,2),"")</f>
        <v/>
      </c>
    </row>
    <row r="273" spans="5:27" x14ac:dyDescent="0.3">
      <c r="E273" s="5"/>
      <c r="F273" t="str">
        <f t="shared" si="83"/>
        <v/>
      </c>
      <c r="G273" s="5" t="str">
        <f t="shared" si="87"/>
        <v/>
      </c>
      <c r="H273" t="str">
        <f t="shared" si="84"/>
        <v/>
      </c>
      <c r="I273" t="str">
        <f t="shared" si="88"/>
        <v/>
      </c>
      <c r="J273" t="str">
        <f t="shared" si="85"/>
        <v/>
      </c>
      <c r="K273" t="str">
        <f t="shared" si="86"/>
        <v/>
      </c>
      <c r="L273" t="str">
        <f t="shared" si="80"/>
        <v/>
      </c>
      <c r="M273" s="5" t="str">
        <f t="shared" si="96"/>
        <v/>
      </c>
      <c r="N273" s="7" t="str">
        <f t="shared" si="81"/>
        <v/>
      </c>
      <c r="O273" s="3" t="str">
        <f t="shared" si="89"/>
        <v/>
      </c>
      <c r="P273" s="3" t="str">
        <f t="shared" si="90"/>
        <v/>
      </c>
      <c r="Q273" s="3" t="str">
        <f t="shared" si="91"/>
        <v/>
      </c>
      <c r="R273" s="3" t="str">
        <f t="shared" si="92"/>
        <v/>
      </c>
      <c r="S273" s="3" t="str">
        <f>IF($L273&lt;&gt;"",IF($A273="Prepago",0,IF($H273*$U$5&gt;SUM($S$11:$S272)+$U$5,$U$5*2,$U$5)),"")</f>
        <v/>
      </c>
      <c r="T273" s="3" t="str">
        <f>IF($L273&lt;&gt;"",IF($A273="Prepago",0,IF($H273*$U$6&gt;SUM($T$11:$T272)+$U$6,$U$6*2,$U$6)),"")</f>
        <v/>
      </c>
      <c r="U273" s="3" t="str">
        <f>IF($L273&lt;&gt;"",IF($A273="Prepago",0,IF(ROUND($H273*$U$7,2)&gt;ROUND(SUM($U$11:$U272)+$U$7,2),$U$7*2,$U$7)),"")</f>
        <v/>
      </c>
      <c r="V273" s="3" t="str">
        <f>IF($L273&lt;&gt;"",IF($A273="Prepago",0,IF($H273*$U$8&gt;SUM($V$11:$V272)+$U$8,$U$8*2,$U$8)),"")</f>
        <v/>
      </c>
      <c r="W273" s="3" t="str">
        <f t="shared" si="82"/>
        <v/>
      </c>
      <c r="X273" s="3" t="str">
        <f t="shared" si="93"/>
        <v/>
      </c>
      <c r="Y273" s="3" t="str">
        <f t="shared" si="94"/>
        <v/>
      </c>
      <c r="Z273" s="3" t="str">
        <f t="shared" si="95"/>
        <v/>
      </c>
      <c r="AA273" s="3" t="str">
        <f>IF($L273&lt;&gt;"",IF($N273&gt;Z$11,IF($N273&lt;AA$11,$N273-Z$11,30),0)*ROUND(($O273+$X272+SUM($Z273:Z273))*$V$5/3000,2),"")</f>
        <v/>
      </c>
    </row>
    <row r="274" spans="5:27" x14ac:dyDescent="0.3">
      <c r="E274" s="5"/>
      <c r="F274" t="str">
        <f t="shared" si="83"/>
        <v/>
      </c>
      <c r="G274" s="5" t="str">
        <f t="shared" si="87"/>
        <v/>
      </c>
      <c r="H274" t="str">
        <f t="shared" si="84"/>
        <v/>
      </c>
      <c r="I274" t="str">
        <f t="shared" si="88"/>
        <v/>
      </c>
      <c r="J274" t="str">
        <f t="shared" si="85"/>
        <v/>
      </c>
      <c r="K274" t="str">
        <f t="shared" si="86"/>
        <v/>
      </c>
      <c r="L274" t="str">
        <f t="shared" si="80"/>
        <v/>
      </c>
      <c r="M274" s="5" t="str">
        <f t="shared" si="96"/>
        <v/>
      </c>
      <c r="N274" s="7" t="str">
        <f t="shared" si="81"/>
        <v/>
      </c>
      <c r="O274" s="3" t="str">
        <f t="shared" si="89"/>
        <v/>
      </c>
      <c r="P274" s="3" t="str">
        <f t="shared" si="90"/>
        <v/>
      </c>
      <c r="Q274" s="3" t="str">
        <f t="shared" si="91"/>
        <v/>
      </c>
      <c r="R274" s="3" t="str">
        <f t="shared" si="92"/>
        <v/>
      </c>
      <c r="S274" s="3" t="str">
        <f>IF($L274&lt;&gt;"",IF($A274="Prepago",0,IF($H274*$U$5&gt;SUM($S$11:$S273)+$U$5,$U$5*2,$U$5)),"")</f>
        <v/>
      </c>
      <c r="T274" s="3" t="str">
        <f>IF($L274&lt;&gt;"",IF($A274="Prepago",0,IF($H274*$U$6&gt;SUM($T$11:$T273)+$U$6,$U$6*2,$U$6)),"")</f>
        <v/>
      </c>
      <c r="U274" s="3" t="str">
        <f>IF($L274&lt;&gt;"",IF($A274="Prepago",0,IF(ROUND($H274*$U$7,2)&gt;ROUND(SUM($U$11:$U273)+$U$7,2),$U$7*2,$U$7)),"")</f>
        <v/>
      </c>
      <c r="V274" s="3" t="str">
        <f>IF($L274&lt;&gt;"",IF($A274="Prepago",0,IF($H274*$U$8&gt;SUM($V$11:$V273)+$U$8,$U$8*2,$U$8)),"")</f>
        <v/>
      </c>
      <c r="W274" s="3" t="str">
        <f t="shared" si="82"/>
        <v/>
      </c>
      <c r="X274" s="3" t="str">
        <f t="shared" si="93"/>
        <v/>
      </c>
      <c r="Y274" s="3" t="str">
        <f t="shared" si="94"/>
        <v/>
      </c>
      <c r="Z274" s="3" t="str">
        <f t="shared" si="95"/>
        <v/>
      </c>
      <c r="AA274" s="3" t="str">
        <f>IF($L274&lt;&gt;"",IF($N274&gt;Z$11,IF($N274&lt;AA$11,$N274-Z$11,30),0)*ROUND(($O274+$X273+SUM($Z274:Z274))*$V$5/3000,2),"")</f>
        <v/>
      </c>
    </row>
    <row r="275" spans="5:27" x14ac:dyDescent="0.3">
      <c r="E275" s="5"/>
      <c r="F275" t="str">
        <f t="shared" si="83"/>
        <v/>
      </c>
      <c r="G275" s="5" t="str">
        <f t="shared" si="87"/>
        <v/>
      </c>
      <c r="H275" t="str">
        <f t="shared" si="84"/>
        <v/>
      </c>
      <c r="I275" t="str">
        <f t="shared" si="88"/>
        <v/>
      </c>
      <c r="J275" t="str">
        <f t="shared" si="85"/>
        <v/>
      </c>
      <c r="K275" t="str">
        <f t="shared" si="86"/>
        <v/>
      </c>
      <c r="L275" t="str">
        <f t="shared" si="80"/>
        <v/>
      </c>
      <c r="M275" s="5" t="str">
        <f t="shared" si="96"/>
        <v/>
      </c>
      <c r="N275" s="7" t="str">
        <f t="shared" si="81"/>
        <v/>
      </c>
      <c r="O275" s="3" t="str">
        <f t="shared" si="89"/>
        <v/>
      </c>
      <c r="P275" s="3" t="str">
        <f t="shared" si="90"/>
        <v/>
      </c>
      <c r="Q275" s="3" t="str">
        <f t="shared" si="91"/>
        <v/>
      </c>
      <c r="R275" s="3" t="str">
        <f t="shared" si="92"/>
        <v/>
      </c>
      <c r="S275" s="3" t="str">
        <f>IF($L275&lt;&gt;"",IF($A275="Prepago",0,IF($H275*$U$5&gt;SUM($S$11:$S274)+$U$5,$U$5*2,$U$5)),"")</f>
        <v/>
      </c>
      <c r="T275" s="3" t="str">
        <f>IF($L275&lt;&gt;"",IF($A275="Prepago",0,IF($H275*$U$6&gt;SUM($T$11:$T274)+$U$6,$U$6*2,$U$6)),"")</f>
        <v/>
      </c>
      <c r="U275" s="3" t="str">
        <f>IF($L275&lt;&gt;"",IF($A275="Prepago",0,IF(ROUND($H275*$U$7,2)&gt;ROUND(SUM($U$11:$U274)+$U$7,2),$U$7*2,$U$7)),"")</f>
        <v/>
      </c>
      <c r="V275" s="3" t="str">
        <f>IF($L275&lt;&gt;"",IF($A275="Prepago",0,IF($H275*$U$8&gt;SUM($V$11:$V274)+$U$8,$U$8*2,$U$8)),"")</f>
        <v/>
      </c>
      <c r="W275" s="3" t="str">
        <f t="shared" si="82"/>
        <v/>
      </c>
      <c r="X275" s="3" t="str">
        <f t="shared" si="93"/>
        <v/>
      </c>
      <c r="Y275" s="3" t="str">
        <f t="shared" si="94"/>
        <v/>
      </c>
      <c r="Z275" s="3" t="str">
        <f t="shared" si="95"/>
        <v/>
      </c>
      <c r="AA275" s="3" t="str">
        <f>IF($L275&lt;&gt;"",IF($N275&gt;Z$11,IF($N275&lt;AA$11,$N275-Z$11,30),0)*ROUND(($O275+$X274+SUM($Z275:Z275))*$V$5/3000,2),"")</f>
        <v/>
      </c>
    </row>
    <row r="276" spans="5:27" x14ac:dyDescent="0.3">
      <c r="E276" s="5"/>
      <c r="F276" t="str">
        <f t="shared" si="83"/>
        <v/>
      </c>
      <c r="G276" s="5" t="str">
        <f t="shared" si="87"/>
        <v/>
      </c>
      <c r="H276" t="str">
        <f t="shared" si="84"/>
        <v/>
      </c>
      <c r="I276" t="str">
        <f t="shared" si="88"/>
        <v/>
      </c>
      <c r="J276" t="str">
        <f t="shared" si="85"/>
        <v/>
      </c>
      <c r="K276" t="str">
        <f t="shared" si="86"/>
        <v/>
      </c>
      <c r="L276" t="str">
        <f t="shared" si="80"/>
        <v/>
      </c>
      <c r="M276" s="5" t="str">
        <f t="shared" si="96"/>
        <v/>
      </c>
      <c r="N276" s="7" t="str">
        <f t="shared" si="81"/>
        <v/>
      </c>
      <c r="O276" s="3" t="str">
        <f t="shared" si="89"/>
        <v/>
      </c>
      <c r="P276" s="3" t="str">
        <f t="shared" si="90"/>
        <v/>
      </c>
      <c r="Q276" s="3" t="str">
        <f t="shared" si="91"/>
        <v/>
      </c>
      <c r="R276" s="3" t="str">
        <f t="shared" si="92"/>
        <v/>
      </c>
      <c r="S276" s="3" t="str">
        <f>IF($L276&lt;&gt;"",IF($A276="Prepago",0,IF($H276*$U$5&gt;SUM($S$11:$S275)+$U$5,$U$5*2,$U$5)),"")</f>
        <v/>
      </c>
      <c r="T276" s="3" t="str">
        <f>IF($L276&lt;&gt;"",IF($A276="Prepago",0,IF($H276*$U$6&gt;SUM($T$11:$T275)+$U$6,$U$6*2,$U$6)),"")</f>
        <v/>
      </c>
      <c r="U276" s="3" t="str">
        <f>IF($L276&lt;&gt;"",IF($A276="Prepago",0,IF(ROUND($H276*$U$7,2)&gt;ROUND(SUM($U$11:$U275)+$U$7,2),$U$7*2,$U$7)),"")</f>
        <v/>
      </c>
      <c r="V276" s="3" t="str">
        <f>IF($L276&lt;&gt;"",IF($A276="Prepago",0,IF($H276*$U$8&gt;SUM($V$11:$V275)+$U$8,$U$8*2,$U$8)),"")</f>
        <v/>
      </c>
      <c r="W276" s="3" t="str">
        <f t="shared" si="82"/>
        <v/>
      </c>
      <c r="X276" s="3" t="str">
        <f t="shared" si="93"/>
        <v/>
      </c>
      <c r="Y276" s="3" t="str">
        <f t="shared" si="94"/>
        <v/>
      </c>
      <c r="Z276" s="3" t="str">
        <f t="shared" si="95"/>
        <v/>
      </c>
      <c r="AA276" s="3" t="str">
        <f>IF($L276&lt;&gt;"",IF($N276&gt;Z$11,IF($N276&lt;AA$11,$N276-Z$11,30),0)*ROUND(($O276+$X275+SUM($Z276:Z276))*$V$5/3000,2),"")</f>
        <v/>
      </c>
    </row>
    <row r="277" spans="5:27" x14ac:dyDescent="0.3">
      <c r="E277" s="5"/>
      <c r="F277" t="str">
        <f t="shared" si="83"/>
        <v/>
      </c>
      <c r="G277" s="5" t="str">
        <f t="shared" si="87"/>
        <v/>
      </c>
      <c r="H277" t="str">
        <f t="shared" si="84"/>
        <v/>
      </c>
      <c r="I277" t="str">
        <f t="shared" si="88"/>
        <v/>
      </c>
      <c r="J277" t="str">
        <f t="shared" si="85"/>
        <v/>
      </c>
      <c r="K277" t="str">
        <f t="shared" si="86"/>
        <v/>
      </c>
      <c r="L277" t="str">
        <f t="shared" si="80"/>
        <v/>
      </c>
      <c r="M277" s="5" t="str">
        <f t="shared" si="96"/>
        <v/>
      </c>
      <c r="N277" s="7" t="str">
        <f t="shared" si="81"/>
        <v/>
      </c>
      <c r="O277" s="3" t="str">
        <f t="shared" si="89"/>
        <v/>
      </c>
      <c r="P277" s="3" t="str">
        <f t="shared" si="90"/>
        <v/>
      </c>
      <c r="Q277" s="3" t="str">
        <f t="shared" si="91"/>
        <v/>
      </c>
      <c r="R277" s="3" t="str">
        <f t="shared" si="92"/>
        <v/>
      </c>
      <c r="S277" s="3" t="str">
        <f>IF($L277&lt;&gt;"",IF($A277="Prepago",0,IF($H277*$U$5&gt;SUM($S$11:$S276)+$U$5,$U$5*2,$U$5)),"")</f>
        <v/>
      </c>
      <c r="T277" s="3" t="str">
        <f>IF($L277&lt;&gt;"",IF($A277="Prepago",0,IF($H277*$U$6&gt;SUM($T$11:$T276)+$U$6,$U$6*2,$U$6)),"")</f>
        <v/>
      </c>
      <c r="U277" s="3" t="str">
        <f>IF($L277&lt;&gt;"",IF($A277="Prepago",0,IF(ROUND($H277*$U$7,2)&gt;ROUND(SUM($U$11:$U276)+$U$7,2),$U$7*2,$U$7)),"")</f>
        <v/>
      </c>
      <c r="V277" s="3" t="str">
        <f>IF($L277&lt;&gt;"",IF($A277="Prepago",0,IF($H277*$U$8&gt;SUM($V$11:$V276)+$U$8,$U$8*2,$U$8)),"")</f>
        <v/>
      </c>
      <c r="W277" s="3" t="str">
        <f t="shared" si="82"/>
        <v/>
      </c>
      <c r="X277" s="3" t="str">
        <f t="shared" si="93"/>
        <v/>
      </c>
      <c r="Y277" s="3" t="str">
        <f t="shared" si="94"/>
        <v/>
      </c>
      <c r="Z277" s="3" t="str">
        <f t="shared" si="95"/>
        <v/>
      </c>
      <c r="AA277" s="3" t="str">
        <f>IF($L277&lt;&gt;"",IF($N277&gt;Z$11,IF($N277&lt;AA$11,$N277-Z$11,30),0)*ROUND(($O277+$X276+SUM($Z277:Z277))*$V$5/3000,2),"")</f>
        <v/>
      </c>
    </row>
    <row r="278" spans="5:27" x14ac:dyDescent="0.3">
      <c r="E278" s="5"/>
      <c r="F278" t="str">
        <f t="shared" si="83"/>
        <v/>
      </c>
      <c r="G278" s="5" t="str">
        <f t="shared" si="87"/>
        <v/>
      </c>
      <c r="H278" t="str">
        <f t="shared" si="84"/>
        <v/>
      </c>
      <c r="I278" t="str">
        <f t="shared" si="88"/>
        <v/>
      </c>
      <c r="J278" t="str">
        <f t="shared" si="85"/>
        <v/>
      </c>
      <c r="K278" t="str">
        <f t="shared" si="86"/>
        <v/>
      </c>
      <c r="L278" t="str">
        <f t="shared" si="80"/>
        <v/>
      </c>
      <c r="M278" s="5" t="str">
        <f t="shared" si="96"/>
        <v/>
      </c>
      <c r="N278" s="7" t="str">
        <f t="shared" si="81"/>
        <v/>
      </c>
      <c r="O278" s="3" t="str">
        <f t="shared" si="89"/>
        <v/>
      </c>
      <c r="P278" s="3" t="str">
        <f t="shared" si="90"/>
        <v/>
      </c>
      <c r="Q278" s="3" t="str">
        <f t="shared" si="91"/>
        <v/>
      </c>
      <c r="R278" s="3" t="str">
        <f t="shared" si="92"/>
        <v/>
      </c>
      <c r="S278" s="3" t="str">
        <f>IF($L278&lt;&gt;"",IF($A278="Prepago",0,IF($H278*$U$5&gt;SUM($S$11:$S277)+$U$5,$U$5*2,$U$5)),"")</f>
        <v/>
      </c>
      <c r="T278" s="3" t="str">
        <f>IF($L278&lt;&gt;"",IF($A278="Prepago",0,IF($H278*$U$6&gt;SUM($T$11:$T277)+$U$6,$U$6*2,$U$6)),"")</f>
        <v/>
      </c>
      <c r="U278" s="3" t="str">
        <f>IF($L278&lt;&gt;"",IF($A278="Prepago",0,IF(ROUND($H278*$U$7,2)&gt;ROUND(SUM($U$11:$U277)+$U$7,2),$U$7*2,$U$7)),"")</f>
        <v/>
      </c>
      <c r="V278" s="3" t="str">
        <f>IF($L278&lt;&gt;"",IF($A278="Prepago",0,IF($H278*$U$8&gt;SUM($V$11:$V277)+$U$8,$U$8*2,$U$8)),"")</f>
        <v/>
      </c>
      <c r="W278" s="3" t="str">
        <f t="shared" si="82"/>
        <v/>
      </c>
      <c r="X278" s="3" t="str">
        <f t="shared" si="93"/>
        <v/>
      </c>
      <c r="Y278" s="3" t="str">
        <f t="shared" si="94"/>
        <v/>
      </c>
      <c r="Z278" s="3" t="str">
        <f t="shared" si="95"/>
        <v/>
      </c>
      <c r="AA278" s="3" t="str">
        <f>IF($L278&lt;&gt;"",IF($N278&gt;Z$11,IF($N278&lt;AA$11,$N278-Z$11,30),0)*ROUND(($O278+$X277+SUM($Z278:Z278))*$V$5/3000,2),"")</f>
        <v/>
      </c>
    </row>
    <row r="279" spans="5:27" x14ac:dyDescent="0.3">
      <c r="E279" s="5"/>
      <c r="F279" t="str">
        <f t="shared" si="83"/>
        <v/>
      </c>
      <c r="G279" s="5" t="str">
        <f t="shared" si="87"/>
        <v/>
      </c>
      <c r="H279" t="str">
        <f t="shared" si="84"/>
        <v/>
      </c>
      <c r="I279" t="str">
        <f t="shared" si="88"/>
        <v/>
      </c>
      <c r="J279" t="str">
        <f t="shared" si="85"/>
        <v/>
      </c>
      <c r="K279" t="str">
        <f t="shared" si="86"/>
        <v/>
      </c>
      <c r="L279" t="str">
        <f t="shared" si="80"/>
        <v/>
      </c>
      <c r="M279" s="5" t="str">
        <f t="shared" si="96"/>
        <v/>
      </c>
      <c r="N279" s="7" t="str">
        <f t="shared" si="81"/>
        <v/>
      </c>
      <c r="O279" s="3" t="str">
        <f t="shared" si="89"/>
        <v/>
      </c>
      <c r="P279" s="3" t="str">
        <f t="shared" si="90"/>
        <v/>
      </c>
      <c r="Q279" s="3" t="str">
        <f t="shared" si="91"/>
        <v/>
      </c>
      <c r="R279" s="3" t="str">
        <f t="shared" si="92"/>
        <v/>
      </c>
      <c r="S279" s="3" t="str">
        <f>IF($L279&lt;&gt;"",IF($A279="Prepago",0,IF($H279*$U$5&gt;SUM($S$11:$S278)+$U$5,$U$5*2,$U$5)),"")</f>
        <v/>
      </c>
      <c r="T279" s="3" t="str">
        <f>IF($L279&lt;&gt;"",IF($A279="Prepago",0,IF($H279*$U$6&gt;SUM($T$11:$T278)+$U$6,$U$6*2,$U$6)),"")</f>
        <v/>
      </c>
      <c r="U279" s="3" t="str">
        <f>IF($L279&lt;&gt;"",IF($A279="Prepago",0,IF(ROUND($H279*$U$7,2)&gt;ROUND(SUM($U$11:$U278)+$U$7,2),$U$7*2,$U$7)),"")</f>
        <v/>
      </c>
      <c r="V279" s="3" t="str">
        <f>IF($L279&lt;&gt;"",IF($A279="Prepago",0,IF($H279*$U$8&gt;SUM($V$11:$V278)+$U$8,$U$8*2,$U$8)),"")</f>
        <v/>
      </c>
      <c r="W279" s="3" t="str">
        <f t="shared" si="82"/>
        <v/>
      </c>
      <c r="X279" s="3" t="str">
        <f t="shared" si="93"/>
        <v/>
      </c>
      <c r="Y279" s="3" t="str">
        <f t="shared" si="94"/>
        <v/>
      </c>
      <c r="Z279" s="3" t="str">
        <f t="shared" si="95"/>
        <v/>
      </c>
      <c r="AA279" s="3" t="str">
        <f>IF($L279&lt;&gt;"",IF($N279&gt;Z$11,IF($N279&lt;AA$11,$N279-Z$11,30),0)*ROUND(($O279+$X278+SUM($Z279:Z279))*$V$5/3000,2),"")</f>
        <v/>
      </c>
    </row>
    <row r="280" spans="5:27" x14ac:dyDescent="0.3">
      <c r="E280" s="5"/>
      <c r="F280" t="str">
        <f t="shared" si="83"/>
        <v/>
      </c>
      <c r="G280" s="5" t="str">
        <f t="shared" si="87"/>
        <v/>
      </c>
      <c r="H280" t="str">
        <f t="shared" si="84"/>
        <v/>
      </c>
      <c r="I280" t="str">
        <f t="shared" si="88"/>
        <v/>
      </c>
      <c r="J280" t="str">
        <f t="shared" si="85"/>
        <v/>
      </c>
      <c r="K280" t="str">
        <f t="shared" si="86"/>
        <v/>
      </c>
      <c r="L280" t="str">
        <f t="shared" si="80"/>
        <v/>
      </c>
      <c r="M280" s="5" t="str">
        <f t="shared" si="96"/>
        <v/>
      </c>
      <c r="N280" s="7" t="str">
        <f t="shared" si="81"/>
        <v/>
      </c>
      <c r="O280" s="3" t="str">
        <f t="shared" si="89"/>
        <v/>
      </c>
      <c r="P280" s="3" t="str">
        <f t="shared" si="90"/>
        <v/>
      </c>
      <c r="Q280" s="3" t="str">
        <f t="shared" si="91"/>
        <v/>
      </c>
      <c r="R280" s="3" t="str">
        <f t="shared" si="92"/>
        <v/>
      </c>
      <c r="S280" s="3" t="str">
        <f>IF($L280&lt;&gt;"",IF($A280="Prepago",0,IF($H280*$U$5&gt;SUM($S$11:$S279)+$U$5,$U$5*2,$U$5)),"")</f>
        <v/>
      </c>
      <c r="T280" s="3" t="str">
        <f>IF($L280&lt;&gt;"",IF($A280="Prepago",0,IF($H280*$U$6&gt;SUM($T$11:$T279)+$U$6,$U$6*2,$U$6)),"")</f>
        <v/>
      </c>
      <c r="U280" s="3" t="str">
        <f>IF($L280&lt;&gt;"",IF($A280="Prepago",0,IF(ROUND($H280*$U$7,2)&gt;ROUND(SUM($U$11:$U279)+$U$7,2),$U$7*2,$U$7)),"")</f>
        <v/>
      </c>
      <c r="V280" s="3" t="str">
        <f>IF($L280&lt;&gt;"",IF($A280="Prepago",0,IF($H280*$U$8&gt;SUM($V$11:$V279)+$U$8,$U$8*2,$U$8)),"")</f>
        <v/>
      </c>
      <c r="W280" s="3" t="str">
        <f t="shared" si="82"/>
        <v/>
      </c>
      <c r="X280" s="3" t="str">
        <f t="shared" si="93"/>
        <v/>
      </c>
      <c r="Y280" s="3" t="str">
        <f t="shared" si="94"/>
        <v/>
      </c>
      <c r="Z280" s="3" t="str">
        <f t="shared" si="95"/>
        <v/>
      </c>
      <c r="AA280" s="3" t="str">
        <f>IF($L280&lt;&gt;"",IF($N280&gt;Z$11,IF($N280&lt;AA$11,$N280-Z$11,30),0)*ROUND(($O280+$X279+SUM($Z280:Z280))*$V$5/3000,2),"")</f>
        <v/>
      </c>
    </row>
    <row r="281" spans="5:27" x14ac:dyDescent="0.3">
      <c r="E281" s="5"/>
      <c r="F281" t="str">
        <f t="shared" si="83"/>
        <v/>
      </c>
      <c r="G281" s="5" t="str">
        <f t="shared" si="87"/>
        <v/>
      </c>
      <c r="H281" t="str">
        <f t="shared" si="84"/>
        <v/>
      </c>
      <c r="I281" t="str">
        <f t="shared" si="88"/>
        <v/>
      </c>
      <c r="J281" t="str">
        <f t="shared" si="85"/>
        <v/>
      </c>
      <c r="K281" t="str">
        <f t="shared" si="86"/>
        <v/>
      </c>
      <c r="L281" t="str">
        <f t="shared" si="80"/>
        <v/>
      </c>
      <c r="M281" s="5" t="str">
        <f t="shared" si="96"/>
        <v/>
      </c>
      <c r="N281" s="7" t="str">
        <f t="shared" si="81"/>
        <v/>
      </c>
      <c r="O281" s="3" t="str">
        <f t="shared" si="89"/>
        <v/>
      </c>
      <c r="P281" s="3" t="str">
        <f t="shared" si="90"/>
        <v/>
      </c>
      <c r="Q281" s="3" t="str">
        <f t="shared" si="91"/>
        <v/>
      </c>
      <c r="R281" s="3" t="str">
        <f t="shared" si="92"/>
        <v/>
      </c>
      <c r="S281" s="3" t="str">
        <f>IF($L281&lt;&gt;"",IF($A281="Prepago",0,IF($H281*$U$5&gt;SUM($S$11:$S280)+$U$5,$U$5*2,$U$5)),"")</f>
        <v/>
      </c>
      <c r="T281" s="3" t="str">
        <f>IF($L281&lt;&gt;"",IF($A281="Prepago",0,IF($H281*$U$6&gt;SUM($T$11:$T280)+$U$6,$U$6*2,$U$6)),"")</f>
        <v/>
      </c>
      <c r="U281" s="3" t="str">
        <f>IF($L281&lt;&gt;"",IF($A281="Prepago",0,IF(ROUND($H281*$U$7,2)&gt;ROUND(SUM($U$11:$U280)+$U$7,2),$U$7*2,$U$7)),"")</f>
        <v/>
      </c>
      <c r="V281" s="3" t="str">
        <f>IF($L281&lt;&gt;"",IF($A281="Prepago",0,IF($H281*$U$8&gt;SUM($V$11:$V280)+$U$8,$U$8*2,$U$8)),"")</f>
        <v/>
      </c>
      <c r="W281" s="3" t="str">
        <f t="shared" si="82"/>
        <v/>
      </c>
      <c r="X281" s="3" t="str">
        <f t="shared" si="93"/>
        <v/>
      </c>
      <c r="Y281" s="3" t="str">
        <f t="shared" si="94"/>
        <v/>
      </c>
      <c r="Z281" s="3" t="str">
        <f t="shared" si="95"/>
        <v/>
      </c>
      <c r="AA281" s="3" t="str">
        <f>IF($L281&lt;&gt;"",IF($N281&gt;Z$11,IF($N281&lt;AA$11,$N281-Z$11,30),0)*ROUND(($O281+$X280+SUM($Z281:Z281))*$V$5/3000,2),"")</f>
        <v/>
      </c>
    </row>
    <row r="282" spans="5:27" x14ac:dyDescent="0.3">
      <c r="E282" s="5"/>
      <c r="F282" t="str">
        <f t="shared" si="83"/>
        <v/>
      </c>
      <c r="G282" s="5" t="str">
        <f t="shared" si="87"/>
        <v/>
      </c>
      <c r="H282" t="str">
        <f t="shared" si="84"/>
        <v/>
      </c>
      <c r="I282" t="str">
        <f t="shared" si="88"/>
        <v/>
      </c>
      <c r="J282" t="str">
        <f t="shared" si="85"/>
        <v/>
      </c>
      <c r="K282" t="str">
        <f t="shared" si="86"/>
        <v/>
      </c>
      <c r="L282" t="str">
        <f t="shared" si="80"/>
        <v/>
      </c>
      <c r="M282" s="5" t="str">
        <f t="shared" si="96"/>
        <v/>
      </c>
      <c r="N282" s="7" t="str">
        <f t="shared" si="81"/>
        <v/>
      </c>
      <c r="O282" s="3" t="str">
        <f t="shared" si="89"/>
        <v/>
      </c>
      <c r="P282" s="3" t="str">
        <f t="shared" si="90"/>
        <v/>
      </c>
      <c r="Q282" s="3" t="str">
        <f t="shared" si="91"/>
        <v/>
      </c>
      <c r="R282" s="3" t="str">
        <f t="shared" si="92"/>
        <v/>
      </c>
      <c r="S282" s="3" t="str">
        <f>IF($L282&lt;&gt;"",IF($A282="Prepago",0,IF($H282*$U$5&gt;SUM($S$11:$S281)+$U$5,$U$5*2,$U$5)),"")</f>
        <v/>
      </c>
      <c r="T282" s="3" t="str">
        <f>IF($L282&lt;&gt;"",IF($A282="Prepago",0,IF($H282*$U$6&gt;SUM($T$11:$T281)+$U$6,$U$6*2,$U$6)),"")</f>
        <v/>
      </c>
      <c r="U282" s="3" t="str">
        <f>IF($L282&lt;&gt;"",IF($A282="Prepago",0,IF(ROUND($H282*$U$7,2)&gt;ROUND(SUM($U$11:$U281)+$U$7,2),$U$7*2,$U$7)),"")</f>
        <v/>
      </c>
      <c r="V282" s="3" t="str">
        <f>IF($L282&lt;&gt;"",IF($A282="Prepago",0,IF($H282*$U$8&gt;SUM($V$11:$V281)+$U$8,$U$8*2,$U$8)),"")</f>
        <v/>
      </c>
      <c r="W282" s="3" t="str">
        <f t="shared" si="82"/>
        <v/>
      </c>
      <c r="X282" s="3" t="str">
        <f t="shared" si="93"/>
        <v/>
      </c>
      <c r="Y282" s="3" t="str">
        <f t="shared" si="94"/>
        <v/>
      </c>
      <c r="Z282" s="3" t="str">
        <f t="shared" si="95"/>
        <v/>
      </c>
      <c r="AA282" s="3" t="str">
        <f>IF($L282&lt;&gt;"",IF($N282&gt;Z$11,IF($N282&lt;AA$11,$N282-Z$11,30),0)*ROUND(($O282+$X281+SUM($Z282:Z282))*$V$5/3000,2),"")</f>
        <v/>
      </c>
    </row>
    <row r="283" spans="5:27" x14ac:dyDescent="0.3">
      <c r="E283" s="5"/>
      <c r="F283" t="str">
        <f t="shared" si="83"/>
        <v/>
      </c>
      <c r="G283" s="5" t="str">
        <f t="shared" si="87"/>
        <v/>
      </c>
      <c r="H283" t="str">
        <f t="shared" si="84"/>
        <v/>
      </c>
      <c r="I283" t="str">
        <f t="shared" si="88"/>
        <v/>
      </c>
      <c r="J283" t="str">
        <f t="shared" si="85"/>
        <v/>
      </c>
      <c r="K283" t="str">
        <f t="shared" si="86"/>
        <v/>
      </c>
      <c r="L283" t="str">
        <f t="shared" si="80"/>
        <v/>
      </c>
      <c r="M283" s="5" t="str">
        <f t="shared" si="96"/>
        <v/>
      </c>
      <c r="N283" s="7" t="str">
        <f t="shared" si="81"/>
        <v/>
      </c>
      <c r="O283" s="3" t="str">
        <f t="shared" si="89"/>
        <v/>
      </c>
      <c r="P283" s="3" t="str">
        <f t="shared" si="90"/>
        <v/>
      </c>
      <c r="Q283" s="3" t="str">
        <f t="shared" si="91"/>
        <v/>
      </c>
      <c r="R283" s="3" t="str">
        <f t="shared" si="92"/>
        <v/>
      </c>
      <c r="S283" s="3" t="str">
        <f>IF($L283&lt;&gt;"",IF($A283="Prepago",0,IF($H283*$U$5&gt;SUM($S$11:$S282)+$U$5,$U$5*2,$U$5)),"")</f>
        <v/>
      </c>
      <c r="T283" s="3" t="str">
        <f>IF($L283&lt;&gt;"",IF($A283="Prepago",0,IF($H283*$U$6&gt;SUM($T$11:$T282)+$U$6,$U$6*2,$U$6)),"")</f>
        <v/>
      </c>
      <c r="U283" s="3" t="str">
        <f>IF($L283&lt;&gt;"",IF($A283="Prepago",0,IF(ROUND($H283*$U$7,2)&gt;ROUND(SUM($U$11:$U282)+$U$7,2),$U$7*2,$U$7)),"")</f>
        <v/>
      </c>
      <c r="V283" s="3" t="str">
        <f>IF($L283&lt;&gt;"",IF($A283="Prepago",0,IF($H283*$U$8&gt;SUM($V$11:$V282)+$U$8,$U$8*2,$U$8)),"")</f>
        <v/>
      </c>
      <c r="W283" s="3" t="str">
        <f t="shared" si="82"/>
        <v/>
      </c>
      <c r="X283" s="3" t="str">
        <f t="shared" si="93"/>
        <v/>
      </c>
      <c r="Y283" s="3" t="str">
        <f t="shared" si="94"/>
        <v/>
      </c>
      <c r="Z283" s="3" t="str">
        <f t="shared" si="95"/>
        <v/>
      </c>
      <c r="AA283" s="3" t="str">
        <f>IF($L283&lt;&gt;"",IF($N283&gt;Z$11,IF($N283&lt;AA$11,$N283-Z$11,30),0)*ROUND(($O283+$X282+SUM($Z283:Z283))*$V$5/3000,2),"")</f>
        <v/>
      </c>
    </row>
    <row r="284" spans="5:27" x14ac:dyDescent="0.3">
      <c r="E284" s="5"/>
      <c r="F284" t="str">
        <f t="shared" si="83"/>
        <v/>
      </c>
      <c r="G284" s="5" t="str">
        <f t="shared" si="87"/>
        <v/>
      </c>
      <c r="H284" t="str">
        <f t="shared" si="84"/>
        <v/>
      </c>
      <c r="I284" t="str">
        <f t="shared" si="88"/>
        <v/>
      </c>
      <c r="J284" t="str">
        <f t="shared" si="85"/>
        <v/>
      </c>
      <c r="K284" t="str">
        <f t="shared" si="86"/>
        <v/>
      </c>
      <c r="L284" t="str">
        <f t="shared" si="80"/>
        <v/>
      </c>
      <c r="M284" s="5" t="str">
        <f t="shared" si="96"/>
        <v/>
      </c>
      <c r="N284" s="7" t="str">
        <f t="shared" si="81"/>
        <v/>
      </c>
      <c r="O284" s="3" t="str">
        <f t="shared" si="89"/>
        <v/>
      </c>
      <c r="P284" s="3" t="str">
        <f t="shared" si="90"/>
        <v/>
      </c>
      <c r="Q284" s="3" t="str">
        <f t="shared" si="91"/>
        <v/>
      </c>
      <c r="R284" s="3" t="str">
        <f t="shared" si="92"/>
        <v/>
      </c>
      <c r="S284" s="3" t="str">
        <f>IF($L284&lt;&gt;"",IF($A284="Prepago",0,IF($H284*$U$5&gt;SUM($S$11:$S283)+$U$5,$U$5*2,$U$5)),"")</f>
        <v/>
      </c>
      <c r="T284" s="3" t="str">
        <f>IF($L284&lt;&gt;"",IF($A284="Prepago",0,IF($H284*$U$6&gt;SUM($T$11:$T283)+$U$6,$U$6*2,$U$6)),"")</f>
        <v/>
      </c>
      <c r="U284" s="3" t="str">
        <f>IF($L284&lt;&gt;"",IF($A284="Prepago",0,IF(ROUND($H284*$U$7,2)&gt;ROUND(SUM($U$11:$U283)+$U$7,2),$U$7*2,$U$7)),"")</f>
        <v/>
      </c>
      <c r="V284" s="3" t="str">
        <f>IF($L284&lt;&gt;"",IF($A284="Prepago",0,IF($H284*$U$8&gt;SUM($V$11:$V283)+$U$8,$U$8*2,$U$8)),"")</f>
        <v/>
      </c>
      <c r="W284" s="3" t="str">
        <f t="shared" si="82"/>
        <v/>
      </c>
      <c r="X284" s="3" t="str">
        <f t="shared" si="93"/>
        <v/>
      </c>
      <c r="Y284" s="3" t="str">
        <f t="shared" si="94"/>
        <v/>
      </c>
      <c r="Z284" s="3" t="str">
        <f t="shared" si="95"/>
        <v/>
      </c>
      <c r="AA284" s="3" t="str">
        <f>IF($L284&lt;&gt;"",IF($N284&gt;Z$11,IF($N284&lt;AA$11,$N284-Z$11,30),0)*ROUND(($O284+$X283+SUM($Z284:Z284))*$V$5/3000,2),"")</f>
        <v/>
      </c>
    </row>
    <row r="285" spans="5:27" x14ac:dyDescent="0.3">
      <c r="E285" s="5"/>
      <c r="F285" t="str">
        <f t="shared" si="83"/>
        <v/>
      </c>
      <c r="G285" s="5" t="str">
        <f t="shared" si="87"/>
        <v/>
      </c>
      <c r="H285" t="str">
        <f t="shared" si="84"/>
        <v/>
      </c>
      <c r="I285" t="str">
        <f t="shared" si="88"/>
        <v/>
      </c>
      <c r="J285" t="str">
        <f t="shared" si="85"/>
        <v/>
      </c>
      <c r="K285" t="str">
        <f t="shared" si="86"/>
        <v/>
      </c>
      <c r="L285" t="str">
        <f t="shared" si="80"/>
        <v/>
      </c>
      <c r="M285" s="5" t="str">
        <f t="shared" si="96"/>
        <v/>
      </c>
      <c r="N285" s="7" t="str">
        <f t="shared" si="81"/>
        <v/>
      </c>
      <c r="O285" s="3" t="str">
        <f t="shared" si="89"/>
        <v/>
      </c>
      <c r="P285" s="3" t="str">
        <f t="shared" si="90"/>
        <v/>
      </c>
      <c r="Q285" s="3" t="str">
        <f t="shared" si="91"/>
        <v/>
      </c>
      <c r="R285" s="3" t="str">
        <f t="shared" si="92"/>
        <v/>
      </c>
      <c r="S285" s="3" t="str">
        <f>IF($L285&lt;&gt;"",IF($A285="Prepago",0,IF($H285*$U$5&gt;SUM($S$11:$S284)+$U$5,$U$5*2,$U$5)),"")</f>
        <v/>
      </c>
      <c r="T285" s="3" t="str">
        <f>IF($L285&lt;&gt;"",IF($A285="Prepago",0,IF($H285*$U$6&gt;SUM($T$11:$T284)+$U$6,$U$6*2,$U$6)),"")</f>
        <v/>
      </c>
      <c r="U285" s="3" t="str">
        <f>IF($L285&lt;&gt;"",IF($A285="Prepago",0,IF(ROUND($H285*$U$7,2)&gt;ROUND(SUM($U$11:$U284)+$U$7,2),$U$7*2,$U$7)),"")</f>
        <v/>
      </c>
      <c r="V285" s="3" t="str">
        <f>IF($L285&lt;&gt;"",IF($A285="Prepago",0,IF($H285*$U$8&gt;SUM($V$11:$V284)+$U$8,$U$8*2,$U$8)),"")</f>
        <v/>
      </c>
      <c r="W285" s="3" t="str">
        <f t="shared" si="82"/>
        <v/>
      </c>
      <c r="X285" s="3" t="str">
        <f t="shared" si="93"/>
        <v/>
      </c>
      <c r="Y285" s="3" t="str">
        <f t="shared" si="94"/>
        <v/>
      </c>
      <c r="Z285" s="3" t="str">
        <f t="shared" si="95"/>
        <v/>
      </c>
      <c r="AA285" s="3" t="str">
        <f>IF($L285&lt;&gt;"",IF($N285&gt;Z$11,IF($N285&lt;AA$11,$N285-Z$11,30),0)*ROUND(($O285+$X284+SUM($Z285:Z285))*$V$5/3000,2),"")</f>
        <v/>
      </c>
    </row>
    <row r="286" spans="5:27" x14ac:dyDescent="0.3">
      <c r="E286" s="5"/>
      <c r="F286" t="str">
        <f t="shared" si="83"/>
        <v/>
      </c>
      <c r="G286" s="5" t="str">
        <f t="shared" si="87"/>
        <v/>
      </c>
      <c r="H286" t="str">
        <f t="shared" si="84"/>
        <v/>
      </c>
      <c r="I286" t="str">
        <f t="shared" si="88"/>
        <v/>
      </c>
      <c r="J286" t="str">
        <f t="shared" si="85"/>
        <v/>
      </c>
      <c r="K286" t="str">
        <f t="shared" si="86"/>
        <v/>
      </c>
      <c r="L286" t="str">
        <f t="shared" si="80"/>
        <v/>
      </c>
      <c r="M286" s="5" t="str">
        <f t="shared" si="96"/>
        <v/>
      </c>
      <c r="N286" s="7" t="str">
        <f t="shared" si="81"/>
        <v/>
      </c>
      <c r="O286" s="3" t="str">
        <f t="shared" si="89"/>
        <v/>
      </c>
      <c r="P286" s="3" t="str">
        <f t="shared" si="90"/>
        <v/>
      </c>
      <c r="Q286" s="3" t="str">
        <f t="shared" si="91"/>
        <v/>
      </c>
      <c r="R286" s="3" t="str">
        <f t="shared" si="92"/>
        <v/>
      </c>
      <c r="S286" s="3" t="str">
        <f>IF($L286&lt;&gt;"",IF($A286="Prepago",0,IF($H286*$U$5&gt;SUM($S$11:$S285)+$U$5,$U$5*2,$U$5)),"")</f>
        <v/>
      </c>
      <c r="T286" s="3" t="str">
        <f>IF($L286&lt;&gt;"",IF($A286="Prepago",0,IF($H286*$U$6&gt;SUM($T$11:$T285)+$U$6,$U$6*2,$U$6)),"")</f>
        <v/>
      </c>
      <c r="U286" s="3" t="str">
        <f>IF($L286&lt;&gt;"",IF($A286="Prepago",0,IF(ROUND($H286*$U$7,2)&gt;ROUND(SUM($U$11:$U285)+$U$7,2),$U$7*2,$U$7)),"")</f>
        <v/>
      </c>
      <c r="V286" s="3" t="str">
        <f>IF($L286&lt;&gt;"",IF($A286="Prepago",0,IF($H286*$U$8&gt;SUM($V$11:$V285)+$U$8,$U$8*2,$U$8)),"")</f>
        <v/>
      </c>
      <c r="W286" s="3" t="str">
        <f t="shared" si="82"/>
        <v/>
      </c>
      <c r="X286" s="3" t="str">
        <f t="shared" si="93"/>
        <v/>
      </c>
      <c r="Y286" s="3" t="str">
        <f t="shared" si="94"/>
        <v/>
      </c>
      <c r="Z286" s="3" t="str">
        <f t="shared" si="95"/>
        <v/>
      </c>
      <c r="AA286" s="3" t="str">
        <f>IF($L286&lt;&gt;"",IF($N286&gt;Z$11,IF($N286&lt;AA$11,$N286-Z$11,30),0)*ROUND(($O286+$X285+SUM($Z286:Z286))*$V$5/3000,2),"")</f>
        <v/>
      </c>
    </row>
    <row r="287" spans="5:27" x14ac:dyDescent="0.3">
      <c r="E287" s="5"/>
      <c r="F287" t="str">
        <f t="shared" si="83"/>
        <v/>
      </c>
      <c r="G287" s="5" t="str">
        <f t="shared" si="87"/>
        <v/>
      </c>
      <c r="H287" t="str">
        <f t="shared" si="84"/>
        <v/>
      </c>
      <c r="I287" t="str">
        <f t="shared" si="88"/>
        <v/>
      </c>
      <c r="J287" t="str">
        <f t="shared" si="85"/>
        <v/>
      </c>
      <c r="K287" t="str">
        <f t="shared" si="86"/>
        <v/>
      </c>
      <c r="L287" t="str">
        <f t="shared" si="80"/>
        <v/>
      </c>
      <c r="M287" s="5" t="str">
        <f t="shared" si="96"/>
        <v/>
      </c>
      <c r="N287" s="7" t="str">
        <f t="shared" si="81"/>
        <v/>
      </c>
      <c r="O287" s="3" t="str">
        <f t="shared" si="89"/>
        <v/>
      </c>
      <c r="P287" s="3" t="str">
        <f t="shared" si="90"/>
        <v/>
      </c>
      <c r="Q287" s="3" t="str">
        <f t="shared" si="91"/>
        <v/>
      </c>
      <c r="R287" s="3" t="str">
        <f t="shared" si="92"/>
        <v/>
      </c>
      <c r="S287" s="3" t="str">
        <f>IF($L287&lt;&gt;"",IF($A287="Prepago",0,IF($H287*$U$5&gt;SUM($S$11:$S286)+$U$5,$U$5*2,$U$5)),"")</f>
        <v/>
      </c>
      <c r="T287" s="3" t="str">
        <f>IF($L287&lt;&gt;"",IF($A287="Prepago",0,IF($H287*$U$6&gt;SUM($T$11:$T286)+$U$6,$U$6*2,$U$6)),"")</f>
        <v/>
      </c>
      <c r="U287" s="3" t="str">
        <f>IF($L287&lt;&gt;"",IF($A287="Prepago",0,IF(ROUND($H287*$U$7,2)&gt;ROUND(SUM($U$11:$U286)+$U$7,2),$U$7*2,$U$7)),"")</f>
        <v/>
      </c>
      <c r="V287" s="3" t="str">
        <f>IF($L287&lt;&gt;"",IF($A287="Prepago",0,IF($H287*$U$8&gt;SUM($V$11:$V286)+$U$8,$U$8*2,$U$8)),"")</f>
        <v/>
      </c>
      <c r="W287" s="3" t="str">
        <f t="shared" si="82"/>
        <v/>
      </c>
      <c r="X287" s="3" t="str">
        <f t="shared" si="93"/>
        <v/>
      </c>
      <c r="Y287" s="3" t="str">
        <f t="shared" si="94"/>
        <v/>
      </c>
      <c r="Z287" s="3" t="str">
        <f t="shared" si="95"/>
        <v/>
      </c>
      <c r="AA287" s="3" t="str">
        <f>IF($L287&lt;&gt;"",IF($N287&gt;Z$11,IF($N287&lt;AA$11,$N287-Z$11,30),0)*ROUND(($O287+$X286+SUM($Z287:Z287))*$V$5/3000,2),"")</f>
        <v/>
      </c>
    </row>
    <row r="288" spans="5:27" x14ac:dyDescent="0.3">
      <c r="E288" s="5"/>
      <c r="F288" t="str">
        <f t="shared" si="83"/>
        <v/>
      </c>
      <c r="G288" s="5" t="str">
        <f t="shared" si="87"/>
        <v/>
      </c>
      <c r="H288" t="str">
        <f t="shared" si="84"/>
        <v/>
      </c>
      <c r="I288" t="str">
        <f t="shared" si="88"/>
        <v/>
      </c>
      <c r="J288" t="str">
        <f t="shared" si="85"/>
        <v/>
      </c>
      <c r="K288" t="str">
        <f t="shared" si="86"/>
        <v/>
      </c>
      <c r="L288" t="str">
        <f t="shared" si="80"/>
        <v/>
      </c>
      <c r="M288" s="5" t="str">
        <f t="shared" si="96"/>
        <v/>
      </c>
      <c r="N288" s="7" t="str">
        <f t="shared" si="81"/>
        <v/>
      </c>
      <c r="O288" s="3" t="str">
        <f t="shared" si="89"/>
        <v/>
      </c>
      <c r="P288" s="3" t="str">
        <f t="shared" si="90"/>
        <v/>
      </c>
      <c r="Q288" s="3" t="str">
        <f t="shared" si="91"/>
        <v/>
      </c>
      <c r="R288" s="3" t="str">
        <f t="shared" si="92"/>
        <v/>
      </c>
      <c r="S288" s="3" t="str">
        <f>IF($L288&lt;&gt;"",IF($A288="Prepago",0,IF($H288*$U$5&gt;SUM($S$11:$S287)+$U$5,$U$5*2,$U$5)),"")</f>
        <v/>
      </c>
      <c r="T288" s="3" t="str">
        <f>IF($L288&lt;&gt;"",IF($A288="Prepago",0,IF($H288*$U$6&gt;SUM($T$11:$T287)+$U$6,$U$6*2,$U$6)),"")</f>
        <v/>
      </c>
      <c r="U288" s="3" t="str">
        <f>IF($L288&lt;&gt;"",IF($A288="Prepago",0,IF(ROUND($H288*$U$7,2)&gt;ROUND(SUM($U$11:$U287)+$U$7,2),$U$7*2,$U$7)),"")</f>
        <v/>
      </c>
      <c r="V288" s="3" t="str">
        <f>IF($L288&lt;&gt;"",IF($A288="Prepago",0,IF($H288*$U$8&gt;SUM($V$11:$V287)+$U$8,$U$8*2,$U$8)),"")</f>
        <v/>
      </c>
      <c r="W288" s="3" t="str">
        <f t="shared" si="82"/>
        <v/>
      </c>
      <c r="X288" s="3" t="str">
        <f t="shared" si="93"/>
        <v/>
      </c>
      <c r="Y288" s="3" t="str">
        <f t="shared" si="94"/>
        <v/>
      </c>
      <c r="Z288" s="3" t="str">
        <f t="shared" si="95"/>
        <v/>
      </c>
      <c r="AA288" s="3" t="str">
        <f>IF($L288&lt;&gt;"",IF($N288&gt;Z$11,IF($N288&lt;AA$11,$N288-Z$11,30),0)*ROUND(($O288+$X287+SUM($Z288:Z288))*$V$5/3000,2),"")</f>
        <v/>
      </c>
    </row>
    <row r="289" spans="5:27" x14ac:dyDescent="0.3">
      <c r="E289" s="5"/>
      <c r="F289" t="str">
        <f t="shared" si="83"/>
        <v/>
      </c>
      <c r="G289" s="5" t="str">
        <f t="shared" si="87"/>
        <v/>
      </c>
      <c r="H289" t="str">
        <f t="shared" si="84"/>
        <v/>
      </c>
      <c r="I289" t="str">
        <f t="shared" si="88"/>
        <v/>
      </c>
      <c r="J289" t="str">
        <f t="shared" si="85"/>
        <v/>
      </c>
      <c r="K289" t="str">
        <f t="shared" si="86"/>
        <v/>
      </c>
      <c r="L289" t="str">
        <f t="shared" si="80"/>
        <v/>
      </c>
      <c r="M289" s="5" t="str">
        <f t="shared" si="96"/>
        <v/>
      </c>
      <c r="N289" s="7" t="str">
        <f t="shared" si="81"/>
        <v/>
      </c>
      <c r="O289" s="3" t="str">
        <f t="shared" si="89"/>
        <v/>
      </c>
      <c r="P289" s="3" t="str">
        <f t="shared" si="90"/>
        <v/>
      </c>
      <c r="Q289" s="3" t="str">
        <f t="shared" si="91"/>
        <v/>
      </c>
      <c r="R289" s="3" t="str">
        <f t="shared" si="92"/>
        <v/>
      </c>
      <c r="S289" s="3" t="str">
        <f>IF($L289&lt;&gt;"",IF($A289="Prepago",0,IF($H289*$U$5&gt;SUM($S$11:$S288)+$U$5,$U$5*2,$U$5)),"")</f>
        <v/>
      </c>
      <c r="T289" s="3" t="str">
        <f>IF($L289&lt;&gt;"",IF($A289="Prepago",0,IF($H289*$U$6&gt;SUM($T$11:$T288)+$U$6,$U$6*2,$U$6)),"")</f>
        <v/>
      </c>
      <c r="U289" s="3" t="str">
        <f>IF($L289&lt;&gt;"",IF($A289="Prepago",0,IF(ROUND($H289*$U$7,2)&gt;ROUND(SUM($U$11:$U288)+$U$7,2),$U$7*2,$U$7)),"")</f>
        <v/>
      </c>
      <c r="V289" s="3" t="str">
        <f>IF($L289&lt;&gt;"",IF($A289="Prepago",0,IF($H289*$U$8&gt;SUM($V$11:$V288)+$U$8,$U$8*2,$U$8)),"")</f>
        <v/>
      </c>
      <c r="W289" s="3" t="str">
        <f t="shared" si="82"/>
        <v/>
      </c>
      <c r="X289" s="3" t="str">
        <f t="shared" si="93"/>
        <v/>
      </c>
      <c r="Y289" s="3" t="str">
        <f t="shared" si="94"/>
        <v/>
      </c>
      <c r="Z289" s="3" t="str">
        <f t="shared" si="95"/>
        <v/>
      </c>
      <c r="AA289" s="3" t="str">
        <f>IF($L289&lt;&gt;"",IF($N289&gt;Z$11,IF($N289&lt;AA$11,$N289-Z$11,30),0)*ROUND(($O289+$X288+SUM($Z289:Z289))*$V$5/3000,2),"")</f>
        <v/>
      </c>
    </row>
    <row r="290" spans="5:27" x14ac:dyDescent="0.3">
      <c r="E290" s="5"/>
      <c r="F290" t="str">
        <f t="shared" si="83"/>
        <v/>
      </c>
      <c r="G290" s="5" t="str">
        <f t="shared" si="87"/>
        <v/>
      </c>
      <c r="H290" t="str">
        <f t="shared" si="84"/>
        <v/>
      </c>
      <c r="I290" t="str">
        <f t="shared" si="88"/>
        <v/>
      </c>
      <c r="J290" t="str">
        <f t="shared" si="85"/>
        <v/>
      </c>
      <c r="K290" t="str">
        <f t="shared" si="86"/>
        <v/>
      </c>
      <c r="L290" t="str">
        <f t="shared" si="80"/>
        <v/>
      </c>
      <c r="M290" s="5" t="str">
        <f t="shared" si="96"/>
        <v/>
      </c>
      <c r="N290" s="7" t="str">
        <f t="shared" si="81"/>
        <v/>
      </c>
      <c r="O290" s="3" t="str">
        <f t="shared" si="89"/>
        <v/>
      </c>
      <c r="P290" s="3" t="str">
        <f t="shared" si="90"/>
        <v/>
      </c>
      <c r="Q290" s="3" t="str">
        <f t="shared" si="91"/>
        <v/>
      </c>
      <c r="R290" s="3" t="str">
        <f t="shared" si="92"/>
        <v/>
      </c>
      <c r="S290" s="3" t="str">
        <f>IF($L290&lt;&gt;"",IF($A290="Prepago",0,IF($H290*$U$5&gt;SUM($S$11:$S289)+$U$5,$U$5*2,$U$5)),"")</f>
        <v/>
      </c>
      <c r="T290" s="3" t="str">
        <f>IF($L290&lt;&gt;"",IF($A290="Prepago",0,IF($H290*$U$6&gt;SUM($T$11:$T289)+$U$6,$U$6*2,$U$6)),"")</f>
        <v/>
      </c>
      <c r="U290" s="3" t="str">
        <f>IF($L290&lt;&gt;"",IF($A290="Prepago",0,IF(ROUND($H290*$U$7,2)&gt;ROUND(SUM($U$11:$U289)+$U$7,2),$U$7*2,$U$7)),"")</f>
        <v/>
      </c>
      <c r="V290" s="3" t="str">
        <f>IF($L290&lt;&gt;"",IF($A290="Prepago",0,IF($H290*$U$8&gt;SUM($V$11:$V289)+$U$8,$U$8*2,$U$8)),"")</f>
        <v/>
      </c>
      <c r="W290" s="3" t="str">
        <f t="shared" si="82"/>
        <v/>
      </c>
      <c r="X290" s="3" t="str">
        <f t="shared" si="93"/>
        <v/>
      </c>
      <c r="Y290" s="3" t="str">
        <f t="shared" si="94"/>
        <v/>
      </c>
      <c r="Z290" s="3" t="str">
        <f t="shared" si="95"/>
        <v/>
      </c>
      <c r="AA290" s="3" t="str">
        <f>IF($L290&lt;&gt;"",IF($N290&gt;Z$11,IF($N290&lt;AA$11,$N290-Z$11,30),0)*ROUND(($O290+$X289+SUM($Z290:Z290))*$V$5/3000,2),"")</f>
        <v/>
      </c>
    </row>
    <row r="291" spans="5:27" x14ac:dyDescent="0.3">
      <c r="E291" s="5"/>
      <c r="F291" t="str">
        <f t="shared" si="83"/>
        <v/>
      </c>
      <c r="G291" s="5" t="str">
        <f t="shared" si="87"/>
        <v/>
      </c>
      <c r="H291" t="str">
        <f t="shared" si="84"/>
        <v/>
      </c>
      <c r="I291" t="str">
        <f t="shared" si="88"/>
        <v/>
      </c>
      <c r="J291" t="str">
        <f t="shared" si="85"/>
        <v/>
      </c>
      <c r="K291" t="str">
        <f t="shared" si="86"/>
        <v/>
      </c>
      <c r="L291" t="str">
        <f t="shared" si="80"/>
        <v/>
      </c>
      <c r="M291" s="5" t="str">
        <f t="shared" si="96"/>
        <v/>
      </c>
      <c r="N291" s="7" t="str">
        <f t="shared" si="81"/>
        <v/>
      </c>
      <c r="O291" s="3" t="str">
        <f t="shared" si="89"/>
        <v/>
      </c>
      <c r="P291" s="3" t="str">
        <f t="shared" si="90"/>
        <v/>
      </c>
      <c r="Q291" s="3" t="str">
        <f t="shared" si="91"/>
        <v/>
      </c>
      <c r="R291" s="3" t="str">
        <f t="shared" si="92"/>
        <v/>
      </c>
      <c r="S291" s="3" t="str">
        <f>IF($L291&lt;&gt;"",IF($A291="Prepago",0,IF($H291*$U$5&gt;SUM($S$11:$S290)+$U$5,$U$5*2,$U$5)),"")</f>
        <v/>
      </c>
      <c r="T291" s="3" t="str">
        <f>IF($L291&lt;&gt;"",IF($A291="Prepago",0,IF($H291*$U$6&gt;SUM($T$11:$T290)+$U$6,$U$6*2,$U$6)),"")</f>
        <v/>
      </c>
      <c r="U291" s="3" t="str">
        <f>IF($L291&lt;&gt;"",IF($A291="Prepago",0,IF(ROUND($H291*$U$7,2)&gt;ROUND(SUM($U$11:$U290)+$U$7,2),$U$7*2,$U$7)),"")</f>
        <v/>
      </c>
      <c r="V291" s="3" t="str">
        <f>IF($L291&lt;&gt;"",IF($A291="Prepago",0,IF($H291*$U$8&gt;SUM($V$11:$V290)+$U$8,$U$8*2,$U$8)),"")</f>
        <v/>
      </c>
      <c r="W291" s="3" t="str">
        <f t="shared" si="82"/>
        <v/>
      </c>
      <c r="X291" s="3" t="str">
        <f t="shared" si="93"/>
        <v/>
      </c>
      <c r="Y291" s="3" t="str">
        <f t="shared" si="94"/>
        <v/>
      </c>
      <c r="Z291" s="3" t="str">
        <f t="shared" si="95"/>
        <v/>
      </c>
      <c r="AA291" s="3" t="str">
        <f>IF($L291&lt;&gt;"",IF($N291&gt;Z$11,IF($N291&lt;AA$11,$N291-Z$11,30),0)*ROUND(($O291+$X290+SUM($Z291:Z291))*$V$5/3000,2),"")</f>
        <v/>
      </c>
    </row>
    <row r="292" spans="5:27" x14ac:dyDescent="0.3">
      <c r="E292" s="5"/>
      <c r="F292" t="str">
        <f t="shared" si="83"/>
        <v/>
      </c>
      <c r="G292" s="5" t="str">
        <f t="shared" si="87"/>
        <v/>
      </c>
      <c r="H292" t="str">
        <f t="shared" si="84"/>
        <v/>
      </c>
      <c r="I292" t="str">
        <f t="shared" si="88"/>
        <v/>
      </c>
      <c r="J292" t="str">
        <f t="shared" si="85"/>
        <v/>
      </c>
      <c r="K292" t="str">
        <f t="shared" si="86"/>
        <v/>
      </c>
      <c r="L292" t="str">
        <f t="shared" si="80"/>
        <v/>
      </c>
      <c r="M292" s="5" t="str">
        <f t="shared" si="96"/>
        <v/>
      </c>
      <c r="N292" s="7" t="str">
        <f t="shared" si="81"/>
        <v/>
      </c>
      <c r="O292" s="3" t="str">
        <f t="shared" si="89"/>
        <v/>
      </c>
      <c r="P292" s="3" t="str">
        <f t="shared" si="90"/>
        <v/>
      </c>
      <c r="Q292" s="3" t="str">
        <f t="shared" si="91"/>
        <v/>
      </c>
      <c r="R292" s="3" t="str">
        <f t="shared" si="92"/>
        <v/>
      </c>
      <c r="S292" s="3" t="str">
        <f>IF($L292&lt;&gt;"",IF($A292="Prepago",0,IF($H292*$U$5&gt;SUM($S$11:$S291)+$U$5,$U$5*2,$U$5)),"")</f>
        <v/>
      </c>
      <c r="T292" s="3" t="str">
        <f>IF($L292&lt;&gt;"",IF($A292="Prepago",0,IF($H292*$U$6&gt;SUM($T$11:$T291)+$U$6,$U$6*2,$U$6)),"")</f>
        <v/>
      </c>
      <c r="U292" s="3" t="str">
        <f>IF($L292&lt;&gt;"",IF($A292="Prepago",0,IF(ROUND($H292*$U$7,2)&gt;ROUND(SUM($U$11:$U291)+$U$7,2),$U$7*2,$U$7)),"")</f>
        <v/>
      </c>
      <c r="V292" s="3" t="str">
        <f>IF($L292&lt;&gt;"",IF($A292="Prepago",0,IF($H292*$U$8&gt;SUM($V$11:$V291)+$U$8,$U$8*2,$U$8)),"")</f>
        <v/>
      </c>
      <c r="W292" s="3" t="str">
        <f t="shared" si="82"/>
        <v/>
      </c>
      <c r="X292" s="3" t="str">
        <f t="shared" si="93"/>
        <v/>
      </c>
      <c r="Y292" s="3" t="str">
        <f t="shared" si="94"/>
        <v/>
      </c>
      <c r="Z292" s="3" t="str">
        <f t="shared" si="95"/>
        <v/>
      </c>
      <c r="AA292" s="3" t="str">
        <f>IF($L292&lt;&gt;"",IF($N292&gt;Z$11,IF($N292&lt;AA$11,$N292-Z$11,30),0)*ROUND(($O292+$X291+SUM($Z292:Z292))*$V$5/3000,2),"")</f>
        <v/>
      </c>
    </row>
    <row r="293" spans="5:27" x14ac:dyDescent="0.3">
      <c r="E293" s="5"/>
      <c r="F293" t="str">
        <f t="shared" si="83"/>
        <v/>
      </c>
      <c r="G293" s="5" t="str">
        <f t="shared" si="87"/>
        <v/>
      </c>
      <c r="H293" t="str">
        <f t="shared" si="84"/>
        <v/>
      </c>
      <c r="I293" t="str">
        <f t="shared" si="88"/>
        <v/>
      </c>
      <c r="J293" t="str">
        <f t="shared" si="85"/>
        <v/>
      </c>
      <c r="K293" t="str">
        <f t="shared" si="86"/>
        <v/>
      </c>
      <c r="L293" t="str">
        <f t="shared" si="80"/>
        <v/>
      </c>
      <c r="M293" s="5" t="str">
        <f t="shared" si="96"/>
        <v/>
      </c>
      <c r="N293" s="7" t="str">
        <f t="shared" si="81"/>
        <v/>
      </c>
      <c r="O293" s="3" t="str">
        <f t="shared" si="89"/>
        <v/>
      </c>
      <c r="P293" s="3" t="str">
        <f t="shared" si="90"/>
        <v/>
      </c>
      <c r="Q293" s="3" t="str">
        <f t="shared" si="91"/>
        <v/>
      </c>
      <c r="R293" s="3" t="str">
        <f t="shared" si="92"/>
        <v/>
      </c>
      <c r="S293" s="3" t="str">
        <f>IF($L293&lt;&gt;"",IF($A293="Prepago",0,IF($H293*$U$5&gt;SUM($S$11:$S292)+$U$5,$U$5*2,$U$5)),"")</f>
        <v/>
      </c>
      <c r="T293" s="3" t="str">
        <f>IF($L293&lt;&gt;"",IF($A293="Prepago",0,IF($H293*$U$6&gt;SUM($T$11:$T292)+$U$6,$U$6*2,$U$6)),"")</f>
        <v/>
      </c>
      <c r="U293" s="3" t="str">
        <f>IF($L293&lt;&gt;"",IF($A293="Prepago",0,IF(ROUND($H293*$U$7,2)&gt;ROUND(SUM($U$11:$U292)+$U$7,2),$U$7*2,$U$7)),"")</f>
        <v/>
      </c>
      <c r="V293" s="3" t="str">
        <f>IF($L293&lt;&gt;"",IF($A293="Prepago",0,IF($H293*$U$8&gt;SUM($V$11:$V292)+$U$8,$U$8*2,$U$8)),"")</f>
        <v/>
      </c>
      <c r="W293" s="3" t="str">
        <f t="shared" si="82"/>
        <v/>
      </c>
      <c r="X293" s="3" t="str">
        <f t="shared" si="93"/>
        <v/>
      </c>
      <c r="Y293" s="3" t="str">
        <f t="shared" si="94"/>
        <v/>
      </c>
      <c r="Z293" s="3" t="str">
        <f t="shared" si="95"/>
        <v/>
      </c>
      <c r="AA293" s="3" t="str">
        <f>IF($L293&lt;&gt;"",IF($N293&gt;Z$11,IF($N293&lt;AA$11,$N293-Z$11,30),0)*ROUND(($O293+$X292+SUM($Z293:Z293))*$V$5/3000,2),"")</f>
        <v/>
      </c>
    </row>
    <row r="294" spans="5:27" x14ac:dyDescent="0.3">
      <c r="E294" s="5"/>
      <c r="F294" t="str">
        <f t="shared" si="83"/>
        <v/>
      </c>
      <c r="G294" s="5" t="str">
        <f t="shared" si="87"/>
        <v/>
      </c>
      <c r="H294" t="str">
        <f t="shared" si="84"/>
        <v/>
      </c>
      <c r="I294" t="str">
        <f t="shared" si="88"/>
        <v/>
      </c>
      <c r="J294" t="str">
        <f t="shared" si="85"/>
        <v/>
      </c>
      <c r="K294" t="str">
        <f t="shared" si="86"/>
        <v/>
      </c>
      <c r="L294" t="str">
        <f t="shared" si="80"/>
        <v/>
      </c>
      <c r="M294" s="5" t="str">
        <f t="shared" si="96"/>
        <v/>
      </c>
      <c r="N294" s="7" t="str">
        <f t="shared" si="81"/>
        <v/>
      </c>
      <c r="O294" s="3" t="str">
        <f t="shared" si="89"/>
        <v/>
      </c>
      <c r="P294" s="3" t="str">
        <f t="shared" si="90"/>
        <v/>
      </c>
      <c r="Q294" s="3" t="str">
        <f t="shared" si="91"/>
        <v/>
      </c>
      <c r="R294" s="3" t="str">
        <f t="shared" si="92"/>
        <v/>
      </c>
      <c r="S294" s="3" t="str">
        <f>IF($L294&lt;&gt;"",IF($A294="Prepago",0,IF($H294*$U$5&gt;SUM($S$11:$S293)+$U$5,$U$5*2,$U$5)),"")</f>
        <v/>
      </c>
      <c r="T294" s="3" t="str">
        <f>IF($L294&lt;&gt;"",IF($A294="Prepago",0,IF($H294*$U$6&gt;SUM($T$11:$T293)+$U$6,$U$6*2,$U$6)),"")</f>
        <v/>
      </c>
      <c r="U294" s="3" t="str">
        <f>IF($L294&lt;&gt;"",IF($A294="Prepago",0,IF(ROUND($H294*$U$7,2)&gt;ROUND(SUM($U$11:$U293)+$U$7,2),$U$7*2,$U$7)),"")</f>
        <v/>
      </c>
      <c r="V294" s="3" t="str">
        <f>IF($L294&lt;&gt;"",IF($A294="Prepago",0,IF($H294*$U$8&gt;SUM($V$11:$V293)+$U$8,$U$8*2,$U$8)),"")</f>
        <v/>
      </c>
      <c r="W294" s="3" t="str">
        <f t="shared" si="82"/>
        <v/>
      </c>
      <c r="X294" s="3" t="str">
        <f t="shared" si="93"/>
        <v/>
      </c>
      <c r="Y294" s="3" t="str">
        <f t="shared" si="94"/>
        <v/>
      </c>
      <c r="Z294" s="3" t="str">
        <f t="shared" si="95"/>
        <v/>
      </c>
      <c r="AA294" s="3" t="str">
        <f>IF($L294&lt;&gt;"",IF($N294&gt;Z$11,IF($N294&lt;AA$11,$N294-Z$11,30),0)*ROUND(($O294+$X293+SUM($Z294:Z294))*$V$5/3000,2),"")</f>
        <v/>
      </c>
    </row>
    <row r="295" spans="5:27" x14ac:dyDescent="0.3">
      <c r="E295" s="5"/>
      <c r="F295" t="str">
        <f t="shared" si="83"/>
        <v/>
      </c>
      <c r="G295" s="5" t="str">
        <f t="shared" si="87"/>
        <v/>
      </c>
      <c r="H295" t="str">
        <f t="shared" si="84"/>
        <v/>
      </c>
      <c r="I295" t="str">
        <f t="shared" si="88"/>
        <v/>
      </c>
      <c r="J295" t="str">
        <f t="shared" si="85"/>
        <v/>
      </c>
      <c r="K295" t="str">
        <f t="shared" si="86"/>
        <v/>
      </c>
      <c r="L295" t="str">
        <f t="shared" si="80"/>
        <v/>
      </c>
      <c r="M295" s="5" t="str">
        <f t="shared" si="96"/>
        <v/>
      </c>
      <c r="N295" s="7" t="str">
        <f t="shared" si="81"/>
        <v/>
      </c>
      <c r="O295" s="3" t="str">
        <f t="shared" si="89"/>
        <v/>
      </c>
      <c r="P295" s="3" t="str">
        <f t="shared" si="90"/>
        <v/>
      </c>
      <c r="Q295" s="3" t="str">
        <f t="shared" si="91"/>
        <v/>
      </c>
      <c r="R295" s="3" t="str">
        <f t="shared" si="92"/>
        <v/>
      </c>
      <c r="S295" s="3" t="str">
        <f>IF($L295&lt;&gt;"",IF($A295="Prepago",0,IF($H295*$U$5&gt;SUM($S$11:$S294)+$U$5,$U$5*2,$U$5)),"")</f>
        <v/>
      </c>
      <c r="T295" s="3" t="str">
        <f>IF($L295&lt;&gt;"",IF($A295="Prepago",0,IF($H295*$U$6&gt;SUM($T$11:$T294)+$U$6,$U$6*2,$U$6)),"")</f>
        <v/>
      </c>
      <c r="U295" s="3" t="str">
        <f>IF($L295&lt;&gt;"",IF($A295="Prepago",0,IF(ROUND($H295*$U$7,2)&gt;ROUND(SUM($U$11:$U294)+$U$7,2),$U$7*2,$U$7)),"")</f>
        <v/>
      </c>
      <c r="V295" s="3" t="str">
        <f>IF($L295&lt;&gt;"",IF($A295="Prepago",0,IF($H295*$U$8&gt;SUM($V$11:$V294)+$U$8,$U$8*2,$U$8)),"")</f>
        <v/>
      </c>
      <c r="W295" s="3" t="str">
        <f t="shared" si="82"/>
        <v/>
      </c>
      <c r="X295" s="3" t="str">
        <f t="shared" si="93"/>
        <v/>
      </c>
      <c r="Y295" s="3" t="str">
        <f t="shared" si="94"/>
        <v/>
      </c>
      <c r="Z295" s="3" t="str">
        <f t="shared" si="95"/>
        <v/>
      </c>
      <c r="AA295" s="3" t="str">
        <f>IF($L295&lt;&gt;"",IF($N295&gt;Z$11,IF($N295&lt;AA$11,$N295-Z$11,30),0)*ROUND(($O295+$X294+SUM($Z295:Z295))*$V$5/3000,2),"")</f>
        <v/>
      </c>
    </row>
    <row r="296" spans="5:27" x14ac:dyDescent="0.3">
      <c r="E296" s="5"/>
      <c r="F296" t="str">
        <f t="shared" si="83"/>
        <v/>
      </c>
      <c r="G296" s="5" t="str">
        <f t="shared" si="87"/>
        <v/>
      </c>
      <c r="H296" t="str">
        <f t="shared" si="84"/>
        <v/>
      </c>
      <c r="I296" t="str">
        <f t="shared" si="88"/>
        <v/>
      </c>
      <c r="J296" t="str">
        <f t="shared" si="85"/>
        <v/>
      </c>
      <c r="K296" t="str">
        <f t="shared" si="86"/>
        <v/>
      </c>
      <c r="L296" t="str">
        <f t="shared" si="80"/>
        <v/>
      </c>
      <c r="M296" s="5" t="str">
        <f t="shared" si="96"/>
        <v/>
      </c>
      <c r="N296" s="7" t="str">
        <f t="shared" si="81"/>
        <v/>
      </c>
      <c r="O296" s="3" t="str">
        <f t="shared" si="89"/>
        <v/>
      </c>
      <c r="P296" s="3" t="str">
        <f t="shared" si="90"/>
        <v/>
      </c>
      <c r="Q296" s="3" t="str">
        <f t="shared" si="91"/>
        <v/>
      </c>
      <c r="R296" s="3" t="str">
        <f t="shared" si="92"/>
        <v/>
      </c>
      <c r="S296" s="3" t="str">
        <f>IF($L296&lt;&gt;"",IF($A296="Prepago",0,IF($H296*$U$5&gt;SUM($S$11:$S295)+$U$5,$U$5*2,$U$5)),"")</f>
        <v/>
      </c>
      <c r="T296" s="3" t="str">
        <f>IF($L296&lt;&gt;"",IF($A296="Prepago",0,IF($H296*$U$6&gt;SUM($T$11:$T295)+$U$6,$U$6*2,$U$6)),"")</f>
        <v/>
      </c>
      <c r="U296" s="3" t="str">
        <f>IF($L296&lt;&gt;"",IF($A296="Prepago",0,IF(ROUND($H296*$U$7,2)&gt;ROUND(SUM($U$11:$U295)+$U$7,2),$U$7*2,$U$7)),"")</f>
        <v/>
      </c>
      <c r="V296" s="3" t="str">
        <f>IF($L296&lt;&gt;"",IF($A296="Prepago",0,IF($H296*$U$8&gt;SUM($V$11:$V295)+$U$8,$U$8*2,$U$8)),"")</f>
        <v/>
      </c>
      <c r="W296" s="3" t="str">
        <f t="shared" si="82"/>
        <v/>
      </c>
      <c r="X296" s="3" t="str">
        <f t="shared" si="93"/>
        <v/>
      </c>
      <c r="Y296" s="3" t="str">
        <f t="shared" si="94"/>
        <v/>
      </c>
      <c r="Z296" s="3" t="str">
        <f t="shared" si="95"/>
        <v/>
      </c>
      <c r="AA296" s="3" t="str">
        <f>IF($L296&lt;&gt;"",IF($N296&gt;Z$11,IF($N296&lt;AA$11,$N296-Z$11,30),0)*ROUND(($O296+$X295+SUM($Z296:Z296))*$V$5/3000,2),"")</f>
        <v/>
      </c>
    </row>
    <row r="297" spans="5:27" x14ac:dyDescent="0.3">
      <c r="E297" s="5"/>
      <c r="F297" t="str">
        <f t="shared" si="83"/>
        <v/>
      </c>
      <c r="G297" s="5" t="str">
        <f t="shared" si="87"/>
        <v/>
      </c>
      <c r="H297" t="str">
        <f t="shared" si="84"/>
        <v/>
      </c>
      <c r="I297" t="str">
        <f t="shared" si="88"/>
        <v/>
      </c>
      <c r="J297" t="str">
        <f t="shared" si="85"/>
        <v/>
      </c>
      <c r="K297" t="str">
        <f t="shared" si="86"/>
        <v/>
      </c>
      <c r="L297" t="str">
        <f t="shared" si="80"/>
        <v/>
      </c>
      <c r="M297" s="5" t="str">
        <f t="shared" si="96"/>
        <v/>
      </c>
      <c r="N297" s="7" t="str">
        <f t="shared" si="81"/>
        <v/>
      </c>
      <c r="O297" s="3" t="str">
        <f t="shared" si="89"/>
        <v/>
      </c>
      <c r="P297" s="3" t="str">
        <f t="shared" si="90"/>
        <v/>
      </c>
      <c r="Q297" s="3" t="str">
        <f t="shared" si="91"/>
        <v/>
      </c>
      <c r="R297" s="3" t="str">
        <f t="shared" si="92"/>
        <v/>
      </c>
      <c r="S297" s="3" t="str">
        <f>IF($L297&lt;&gt;"",IF($A297="Prepago",0,IF($H297*$U$5&gt;SUM($S$11:$S296)+$U$5,$U$5*2,$U$5)),"")</f>
        <v/>
      </c>
      <c r="T297" s="3" t="str">
        <f>IF($L297&lt;&gt;"",IF($A297="Prepago",0,IF($H297*$U$6&gt;SUM($T$11:$T296)+$U$6,$U$6*2,$U$6)),"")</f>
        <v/>
      </c>
      <c r="U297" s="3" t="str">
        <f>IF($L297&lt;&gt;"",IF($A297="Prepago",0,IF(ROUND($H297*$U$7,2)&gt;ROUND(SUM($U$11:$U296)+$U$7,2),$U$7*2,$U$7)),"")</f>
        <v/>
      </c>
      <c r="V297" s="3" t="str">
        <f>IF($L297&lt;&gt;"",IF($A297="Prepago",0,IF($H297*$U$8&gt;SUM($V$11:$V296)+$U$8,$U$8*2,$U$8)),"")</f>
        <v/>
      </c>
      <c r="W297" s="3" t="str">
        <f t="shared" si="82"/>
        <v/>
      </c>
      <c r="X297" s="3" t="str">
        <f t="shared" si="93"/>
        <v/>
      </c>
      <c r="Y297" s="3" t="str">
        <f t="shared" si="94"/>
        <v/>
      </c>
      <c r="Z297" s="3" t="str">
        <f t="shared" si="95"/>
        <v/>
      </c>
      <c r="AA297" s="3" t="str">
        <f>IF($L297&lt;&gt;"",IF($N297&gt;Z$11,IF($N297&lt;AA$11,$N297-Z$11,30),0)*ROUND(($O297+$X296+SUM($Z297:Z297))*$V$5/3000,2),"")</f>
        <v/>
      </c>
    </row>
    <row r="298" spans="5:27" x14ac:dyDescent="0.3">
      <c r="E298" s="5"/>
      <c r="F298" t="str">
        <f t="shared" si="83"/>
        <v/>
      </c>
      <c r="G298" s="5" t="str">
        <f t="shared" si="87"/>
        <v/>
      </c>
      <c r="H298" t="str">
        <f t="shared" si="84"/>
        <v/>
      </c>
      <c r="I298" t="str">
        <f t="shared" si="88"/>
        <v/>
      </c>
      <c r="J298" t="str">
        <f t="shared" si="85"/>
        <v/>
      </c>
      <c r="K298" t="str">
        <f t="shared" si="86"/>
        <v/>
      </c>
      <c r="L298" t="str">
        <f t="shared" si="80"/>
        <v/>
      </c>
      <c r="M298" s="5" t="str">
        <f t="shared" si="96"/>
        <v/>
      </c>
      <c r="N298" s="7" t="str">
        <f t="shared" si="81"/>
        <v/>
      </c>
      <c r="O298" s="3" t="str">
        <f t="shared" si="89"/>
        <v/>
      </c>
      <c r="P298" s="3" t="str">
        <f t="shared" si="90"/>
        <v/>
      </c>
      <c r="Q298" s="3" t="str">
        <f t="shared" si="91"/>
        <v/>
      </c>
      <c r="R298" s="3" t="str">
        <f t="shared" si="92"/>
        <v/>
      </c>
      <c r="S298" s="3" t="str">
        <f>IF($L298&lt;&gt;"",IF($A298="Prepago",0,IF($H298*$U$5&gt;SUM($S$11:$S297)+$U$5,$U$5*2,$U$5)),"")</f>
        <v/>
      </c>
      <c r="T298" s="3" t="str">
        <f>IF($L298&lt;&gt;"",IF($A298="Prepago",0,IF($H298*$U$6&gt;SUM($T$11:$T297)+$U$6,$U$6*2,$U$6)),"")</f>
        <v/>
      </c>
      <c r="U298" s="3" t="str">
        <f>IF($L298&lt;&gt;"",IF($A298="Prepago",0,IF(ROUND($H298*$U$7,2)&gt;ROUND(SUM($U$11:$U297)+$U$7,2),$U$7*2,$U$7)),"")</f>
        <v/>
      </c>
      <c r="V298" s="3" t="str">
        <f>IF($L298&lt;&gt;"",IF($A298="Prepago",0,IF($H298*$U$8&gt;SUM($V$11:$V297)+$U$8,$U$8*2,$U$8)),"")</f>
        <v/>
      </c>
      <c r="W298" s="3" t="str">
        <f t="shared" si="82"/>
        <v/>
      </c>
      <c r="X298" s="3" t="str">
        <f t="shared" si="93"/>
        <v/>
      </c>
      <c r="Y298" s="3" t="str">
        <f t="shared" si="94"/>
        <v/>
      </c>
      <c r="Z298" s="3" t="str">
        <f t="shared" si="95"/>
        <v/>
      </c>
      <c r="AA298" s="3" t="str">
        <f>IF($L298&lt;&gt;"",IF($N298&gt;Z$11,IF($N298&lt;AA$11,$N298-Z$11,30),0)*ROUND(($O298+$X297+SUM($Z298:Z298))*$V$5/3000,2),"")</f>
        <v/>
      </c>
    </row>
    <row r="299" spans="5:27" x14ac:dyDescent="0.3">
      <c r="E299" s="5"/>
      <c r="F299" t="str">
        <f t="shared" si="83"/>
        <v/>
      </c>
      <c r="G299" s="5" t="str">
        <f t="shared" si="87"/>
        <v/>
      </c>
      <c r="H299" t="str">
        <f t="shared" si="84"/>
        <v/>
      </c>
      <c r="I299" t="str">
        <f t="shared" si="88"/>
        <v/>
      </c>
      <c r="J299" t="str">
        <f t="shared" si="85"/>
        <v/>
      </c>
      <c r="K299" t="str">
        <f t="shared" si="86"/>
        <v/>
      </c>
      <c r="L299" t="str">
        <f t="shared" si="80"/>
        <v/>
      </c>
      <c r="M299" s="5" t="str">
        <f t="shared" si="96"/>
        <v/>
      </c>
      <c r="N299" s="7" t="str">
        <f t="shared" si="81"/>
        <v/>
      </c>
      <c r="O299" s="3" t="str">
        <f t="shared" si="89"/>
        <v/>
      </c>
      <c r="P299" s="3" t="str">
        <f t="shared" si="90"/>
        <v/>
      </c>
      <c r="Q299" s="3" t="str">
        <f t="shared" si="91"/>
        <v/>
      </c>
      <c r="R299" s="3" t="str">
        <f t="shared" si="92"/>
        <v/>
      </c>
      <c r="S299" s="3" t="str">
        <f>IF($L299&lt;&gt;"",IF($A299="Prepago",0,IF($H299*$U$5&gt;SUM($S$11:$S298)+$U$5,$U$5*2,$U$5)),"")</f>
        <v/>
      </c>
      <c r="T299" s="3" t="str">
        <f>IF($L299&lt;&gt;"",IF($A299="Prepago",0,IF($H299*$U$6&gt;SUM($T$11:$T298)+$U$6,$U$6*2,$U$6)),"")</f>
        <v/>
      </c>
      <c r="U299" s="3" t="str">
        <f>IF($L299&lt;&gt;"",IF($A299="Prepago",0,IF(ROUND($H299*$U$7,2)&gt;ROUND(SUM($U$11:$U298)+$U$7,2),$U$7*2,$U$7)),"")</f>
        <v/>
      </c>
      <c r="V299" s="3" t="str">
        <f>IF($L299&lt;&gt;"",IF($A299="Prepago",0,IF($H299*$U$8&gt;SUM($V$11:$V298)+$U$8,$U$8*2,$U$8)),"")</f>
        <v/>
      </c>
      <c r="W299" s="3" t="str">
        <f t="shared" si="82"/>
        <v/>
      </c>
      <c r="X299" s="3" t="str">
        <f t="shared" si="93"/>
        <v/>
      </c>
      <c r="Y299" s="3" t="str">
        <f t="shared" si="94"/>
        <v/>
      </c>
      <c r="Z299" s="3" t="str">
        <f t="shared" si="95"/>
        <v/>
      </c>
      <c r="AA299" s="3" t="str">
        <f>IF($L299&lt;&gt;"",IF($N299&gt;Z$11,IF($N299&lt;AA$11,$N299-Z$11,30),0)*ROUND(($O299+$X298+SUM($Z299:Z299))*$V$5/3000,2),"")</f>
        <v/>
      </c>
    </row>
    <row r="300" spans="5:27" x14ac:dyDescent="0.3">
      <c r="E300" s="5"/>
      <c r="F300" t="str">
        <f t="shared" si="83"/>
        <v/>
      </c>
      <c r="G300" s="5" t="str">
        <f t="shared" si="87"/>
        <v/>
      </c>
      <c r="H300" t="str">
        <f t="shared" si="84"/>
        <v/>
      </c>
      <c r="I300" t="str">
        <f t="shared" si="88"/>
        <v/>
      </c>
      <c r="J300" t="str">
        <f t="shared" si="85"/>
        <v/>
      </c>
      <c r="K300" t="str">
        <f t="shared" si="86"/>
        <v/>
      </c>
      <c r="L300" t="str">
        <f t="shared" ref="L300:L363" si="97">IF($L299&lt;NCUOTAS+CUOTAADICIONAL+NPREPAGO,$L299+1,"")</f>
        <v/>
      </c>
      <c r="M300" s="5" t="str">
        <f t="shared" si="96"/>
        <v/>
      </c>
      <c r="N300" s="7" t="str">
        <f t="shared" ref="N300:N363" si="98">IF($L300&lt;&gt;"",$M300-$M299,"")</f>
        <v/>
      </c>
      <c r="O300" s="3" t="str">
        <f t="shared" si="89"/>
        <v/>
      </c>
      <c r="P300" s="3" t="str">
        <f t="shared" si="90"/>
        <v/>
      </c>
      <c r="Q300" s="3" t="str">
        <f t="shared" si="91"/>
        <v/>
      </c>
      <c r="R300" s="3" t="str">
        <f t="shared" si="92"/>
        <v/>
      </c>
      <c r="S300" s="3" t="str">
        <f>IF($L300&lt;&gt;"",IF($A300="Prepago",0,IF($H300*$U$5&gt;SUM($S$11:$S299)+$U$5,$U$5*2,$U$5)),"")</f>
        <v/>
      </c>
      <c r="T300" s="3" t="str">
        <f>IF($L300&lt;&gt;"",IF($A300="Prepago",0,IF($H300*$U$6&gt;SUM($T$11:$T299)+$U$6,$U$6*2,$U$6)),"")</f>
        <v/>
      </c>
      <c r="U300" s="3" t="str">
        <f>IF($L300&lt;&gt;"",IF($A300="Prepago",0,IF(ROUND($H300*$U$7,2)&gt;ROUND(SUM($U$11:$U299)+$U$7,2),$U$7*2,$U$7)),"")</f>
        <v/>
      </c>
      <c r="V300" s="3" t="str">
        <f>IF($L300&lt;&gt;"",IF($A300="Prepago",0,IF($H300*$U$8&gt;SUM($V$11:$V299)+$U$8,$U$8*2,$U$8)),"")</f>
        <v/>
      </c>
      <c r="W300" s="3" t="str">
        <f t="shared" ref="W300:W363" si="99">IF($L300&lt;&gt;"",$O300-$Q300,"")</f>
        <v/>
      </c>
      <c r="X300" s="3" t="str">
        <f t="shared" si="93"/>
        <v/>
      </c>
      <c r="Y300" s="3" t="str">
        <f t="shared" si="94"/>
        <v/>
      </c>
      <c r="Z300" s="3" t="str">
        <f t="shared" si="95"/>
        <v/>
      </c>
      <c r="AA300" s="3" t="str">
        <f>IF($L300&lt;&gt;"",IF($N300&gt;Z$11,IF($N300&lt;AA$11,$N300-Z$11,30),0)*ROUND(($O300+$X299+SUM($Z300:Z300))*$V$5/3000,2),"")</f>
        <v/>
      </c>
    </row>
    <row r="301" spans="5:27" x14ac:dyDescent="0.3">
      <c r="E301" s="5"/>
      <c r="F301" t="str">
        <f t="shared" si="83"/>
        <v/>
      </c>
      <c r="G301" s="5" t="str">
        <f t="shared" si="87"/>
        <v/>
      </c>
      <c r="H301" t="str">
        <f t="shared" si="84"/>
        <v/>
      </c>
      <c r="I301" t="str">
        <f t="shared" si="88"/>
        <v/>
      </c>
      <c r="J301" t="str">
        <f t="shared" si="85"/>
        <v/>
      </c>
      <c r="K301" t="str">
        <f t="shared" si="86"/>
        <v/>
      </c>
      <c r="L301" t="str">
        <f t="shared" si="97"/>
        <v/>
      </c>
      <c r="M301" s="5" t="str">
        <f t="shared" si="96"/>
        <v/>
      </c>
      <c r="N301" s="7" t="str">
        <f t="shared" si="98"/>
        <v/>
      </c>
      <c r="O301" s="3" t="str">
        <f t="shared" si="89"/>
        <v/>
      </c>
      <c r="P301" s="3" t="str">
        <f t="shared" si="90"/>
        <v/>
      </c>
      <c r="Q301" s="3" t="str">
        <f t="shared" si="91"/>
        <v/>
      </c>
      <c r="R301" s="3" t="str">
        <f t="shared" si="92"/>
        <v/>
      </c>
      <c r="S301" s="3" t="str">
        <f>IF($L301&lt;&gt;"",IF($A301="Prepago",0,IF($H301*$U$5&gt;SUM($S$11:$S300)+$U$5,$U$5*2,$U$5)),"")</f>
        <v/>
      </c>
      <c r="T301" s="3" t="str">
        <f>IF($L301&lt;&gt;"",IF($A301="Prepago",0,IF($H301*$U$6&gt;SUM($T$11:$T300)+$U$6,$U$6*2,$U$6)),"")</f>
        <v/>
      </c>
      <c r="U301" s="3" t="str">
        <f>IF($L301&lt;&gt;"",IF($A301="Prepago",0,IF(ROUND($H301*$U$7,2)&gt;ROUND(SUM($U$11:$U300)+$U$7,2),$U$7*2,$U$7)),"")</f>
        <v/>
      </c>
      <c r="V301" s="3" t="str">
        <f>IF($L301&lt;&gt;"",IF($A301="Prepago",0,IF($H301*$U$8&gt;SUM($V$11:$V300)+$U$8,$U$8*2,$U$8)),"")</f>
        <v/>
      </c>
      <c r="W301" s="3" t="str">
        <f t="shared" si="99"/>
        <v/>
      </c>
      <c r="X301" s="3" t="str">
        <f t="shared" si="93"/>
        <v/>
      </c>
      <c r="Y301" s="3" t="str">
        <f t="shared" si="94"/>
        <v/>
      </c>
      <c r="Z301" s="3" t="str">
        <f t="shared" si="95"/>
        <v/>
      </c>
      <c r="AA301" s="3" t="str">
        <f>IF($L301&lt;&gt;"",IF($N301&gt;Z$11,IF($N301&lt;AA$11,$N301-Z$11,30),0)*ROUND(($O301+$X300+SUM($Z301:Z301))*$V$5/3000,2),"")</f>
        <v/>
      </c>
    </row>
    <row r="302" spans="5:27" x14ac:dyDescent="0.3">
      <c r="E302" s="5"/>
      <c r="F302" t="str">
        <f t="shared" si="83"/>
        <v/>
      </c>
      <c r="G302" s="5" t="str">
        <f t="shared" si="87"/>
        <v/>
      </c>
      <c r="H302" t="str">
        <f t="shared" si="84"/>
        <v/>
      </c>
      <c r="I302" t="str">
        <f t="shared" si="88"/>
        <v/>
      </c>
      <c r="J302" t="str">
        <f t="shared" si="85"/>
        <v/>
      </c>
      <c r="K302" t="str">
        <f t="shared" si="86"/>
        <v/>
      </c>
      <c r="L302" t="str">
        <f t="shared" si="97"/>
        <v/>
      </c>
      <c r="M302" s="5" t="str">
        <f t="shared" si="96"/>
        <v/>
      </c>
      <c r="N302" s="7" t="str">
        <f t="shared" si="98"/>
        <v/>
      </c>
      <c r="O302" s="3" t="str">
        <f t="shared" si="89"/>
        <v/>
      </c>
      <c r="P302" s="3" t="str">
        <f t="shared" si="90"/>
        <v/>
      </c>
      <c r="Q302" s="3" t="str">
        <f t="shared" si="91"/>
        <v/>
      </c>
      <c r="R302" s="3" t="str">
        <f t="shared" si="92"/>
        <v/>
      </c>
      <c r="S302" s="3" t="str">
        <f>IF($L302&lt;&gt;"",IF($A302="Prepago",0,IF($H302*$U$5&gt;SUM($S$11:$S301)+$U$5,$U$5*2,$U$5)),"")</f>
        <v/>
      </c>
      <c r="T302" s="3" t="str">
        <f>IF($L302&lt;&gt;"",IF($A302="Prepago",0,IF($H302*$U$6&gt;SUM($T$11:$T301)+$U$6,$U$6*2,$U$6)),"")</f>
        <v/>
      </c>
      <c r="U302" s="3" t="str">
        <f>IF($L302&lt;&gt;"",IF($A302="Prepago",0,IF(ROUND($H302*$U$7,2)&gt;ROUND(SUM($U$11:$U301)+$U$7,2),$U$7*2,$U$7)),"")</f>
        <v/>
      </c>
      <c r="V302" s="3" t="str">
        <f>IF($L302&lt;&gt;"",IF($A302="Prepago",0,IF($H302*$U$8&gt;SUM($V$11:$V301)+$U$8,$U$8*2,$U$8)),"")</f>
        <v/>
      </c>
      <c r="W302" s="3" t="str">
        <f t="shared" si="99"/>
        <v/>
      </c>
      <c r="X302" s="3" t="str">
        <f t="shared" si="93"/>
        <v/>
      </c>
      <c r="Y302" s="3" t="str">
        <f t="shared" si="94"/>
        <v/>
      </c>
      <c r="Z302" s="3" t="str">
        <f t="shared" si="95"/>
        <v/>
      </c>
      <c r="AA302" s="3" t="str">
        <f>IF($L302&lt;&gt;"",IF($N302&gt;Z$11,IF($N302&lt;AA$11,$N302-Z$11,30),0)*ROUND(($O302+$X301+SUM($Z302:Z302))*$V$5/3000,2),"")</f>
        <v/>
      </c>
    </row>
    <row r="303" spans="5:27" x14ac:dyDescent="0.3">
      <c r="E303" s="5"/>
      <c r="F303" t="str">
        <f t="shared" si="83"/>
        <v/>
      </c>
      <c r="G303" s="5" t="str">
        <f t="shared" si="87"/>
        <v/>
      </c>
      <c r="H303" t="str">
        <f t="shared" si="84"/>
        <v/>
      </c>
      <c r="I303" t="str">
        <f t="shared" si="88"/>
        <v/>
      </c>
      <c r="J303" t="str">
        <f t="shared" si="85"/>
        <v/>
      </c>
      <c r="K303" t="str">
        <f t="shared" si="86"/>
        <v/>
      </c>
      <c r="L303" t="str">
        <f t="shared" si="97"/>
        <v/>
      </c>
      <c r="M303" s="5" t="str">
        <f t="shared" si="96"/>
        <v/>
      </c>
      <c r="N303" s="7" t="str">
        <f t="shared" si="98"/>
        <v/>
      </c>
      <c r="O303" s="3" t="str">
        <f t="shared" si="89"/>
        <v/>
      </c>
      <c r="P303" s="3" t="str">
        <f t="shared" si="90"/>
        <v/>
      </c>
      <c r="Q303" s="3" t="str">
        <f t="shared" si="91"/>
        <v/>
      </c>
      <c r="R303" s="3" t="str">
        <f t="shared" si="92"/>
        <v/>
      </c>
      <c r="S303" s="3" t="str">
        <f>IF($L303&lt;&gt;"",IF($A303="Prepago",0,IF($H303*$U$5&gt;SUM($S$11:$S302)+$U$5,$U$5*2,$U$5)),"")</f>
        <v/>
      </c>
      <c r="T303" s="3" t="str">
        <f>IF($L303&lt;&gt;"",IF($A303="Prepago",0,IF($H303*$U$6&gt;SUM($T$11:$T302)+$U$6,$U$6*2,$U$6)),"")</f>
        <v/>
      </c>
      <c r="U303" s="3" t="str">
        <f>IF($L303&lt;&gt;"",IF($A303="Prepago",0,IF(ROUND($H303*$U$7,2)&gt;ROUND(SUM($U$11:$U302)+$U$7,2),$U$7*2,$U$7)),"")</f>
        <v/>
      </c>
      <c r="V303" s="3" t="str">
        <f>IF($L303&lt;&gt;"",IF($A303="Prepago",0,IF($H303*$U$8&gt;SUM($V$11:$V302)+$U$8,$U$8*2,$U$8)),"")</f>
        <v/>
      </c>
      <c r="W303" s="3" t="str">
        <f t="shared" si="99"/>
        <v/>
      </c>
      <c r="X303" s="3" t="str">
        <f t="shared" si="93"/>
        <v/>
      </c>
      <c r="Y303" s="3" t="str">
        <f t="shared" si="94"/>
        <v/>
      </c>
      <c r="Z303" s="3" t="str">
        <f t="shared" si="95"/>
        <v/>
      </c>
      <c r="AA303" s="3" t="str">
        <f>IF($L303&lt;&gt;"",IF($N303&gt;Z$11,IF($N303&lt;AA$11,$N303-Z$11,30),0)*ROUND(($O303+$X302+SUM($Z303:Z303))*$V$5/3000,2),"")</f>
        <v/>
      </c>
    </row>
    <row r="304" spans="5:27" x14ac:dyDescent="0.3">
      <c r="E304" s="5"/>
      <c r="F304" t="str">
        <f t="shared" ref="F304:F333" si="100">IF($L304&lt;&gt;"",TEXT(M304,"DDD"),"")</f>
        <v/>
      </c>
      <c r="G304" s="5" t="str">
        <f t="shared" si="87"/>
        <v/>
      </c>
      <c r="H304" t="str">
        <f t="shared" ref="H304:H333" si="101">IF($L304&lt;&gt;"",IF($A304="Prepago",$H303,$H303+1)+B304,"")</f>
        <v/>
      </c>
      <c r="I304" t="str">
        <f t="shared" si="88"/>
        <v/>
      </c>
      <c r="J304" t="str">
        <f t="shared" ref="J304:J333" si="102">IF($L304&lt;&gt;"",IF(OR(A304&lt;&gt;"",C304&lt;&gt;""),1,0),"")</f>
        <v/>
      </c>
      <c r="K304" t="str">
        <f t="shared" ref="K304:K333" si="103">IF($L304&lt;&gt;"",IF(J304=1,Q304,0),"")</f>
        <v/>
      </c>
      <c r="L304" t="str">
        <f t="shared" si="97"/>
        <v/>
      </c>
      <c r="M304" s="5" t="str">
        <f t="shared" si="96"/>
        <v/>
      </c>
      <c r="N304" s="7" t="str">
        <f t="shared" si="98"/>
        <v/>
      </c>
      <c r="O304" s="3" t="str">
        <f t="shared" si="89"/>
        <v/>
      </c>
      <c r="P304" s="3" t="str">
        <f t="shared" si="90"/>
        <v/>
      </c>
      <c r="Q304" s="3" t="str">
        <f t="shared" ref="Q304:Q333" si="104">IF($L304&lt;&gt;"",IF($P304-$R304&gt;0,IF($P304&gt;=$R304+$S304+$T304+$V304,$P304-$R304-$S304-$T304-$V304,P304),0),"")</f>
        <v/>
      </c>
      <c r="R304" s="3" t="str">
        <f t="shared" si="92"/>
        <v/>
      </c>
      <c r="S304" s="3" t="str">
        <f>IF($L304&lt;&gt;"",IF($A304="Prepago",0,IF($H304*$U$5&gt;SUM($S$11:$S303)+$U$5,$U$5*2,$U$5)),"")</f>
        <v/>
      </c>
      <c r="T304" s="3" t="str">
        <f>IF($L304&lt;&gt;"",IF($A304="Prepago",0,IF($H304*$U$6&gt;SUM($T$11:$T303)+$U$6,$U$6*2,$U$6)),"")</f>
        <v/>
      </c>
      <c r="U304" s="3" t="str">
        <f>IF($L304&lt;&gt;"",IF($A304="Prepago",0,IF(ROUND($H304*$U$7,2)&gt;ROUND(SUM($U$11:$U303)+$U$7,2),$U$7*2,$U$7)),"")</f>
        <v/>
      </c>
      <c r="V304" s="3" t="str">
        <f>IF($L304&lt;&gt;"",IF($A304="Prepago",0,IF($H304*$U$8&gt;SUM($V$11:$V303)+$U$8,$U$8*2,$U$8)),"")</f>
        <v/>
      </c>
      <c r="W304" s="3" t="str">
        <f t="shared" si="99"/>
        <v/>
      </c>
      <c r="X304" s="3" t="str">
        <f t="shared" si="93"/>
        <v/>
      </c>
      <c r="Y304" s="3" t="str">
        <f t="shared" si="94"/>
        <v/>
      </c>
      <c r="Z304" s="3" t="str">
        <f t="shared" si="95"/>
        <v/>
      </c>
      <c r="AA304" s="3" t="str">
        <f>IF($L304&lt;&gt;"",IF($N304&gt;Z$11,IF($N304&lt;AA$11,$N304-Z$11,30),0)*ROUND(($O304+$X303+SUM($Z304:Z304))*$V$5/3000,2),"")</f>
        <v/>
      </c>
    </row>
    <row r="305" spans="5:27" x14ac:dyDescent="0.3">
      <c r="E305" s="5"/>
      <c r="F305" t="str">
        <f t="shared" si="100"/>
        <v/>
      </c>
      <c r="G305" s="5" t="str">
        <f t="shared" si="87"/>
        <v/>
      </c>
      <c r="H305" t="str">
        <f t="shared" si="101"/>
        <v/>
      </c>
      <c r="I305" t="str">
        <f t="shared" si="88"/>
        <v/>
      </c>
      <c r="J305" t="str">
        <f t="shared" si="102"/>
        <v/>
      </c>
      <c r="K305" t="str">
        <f t="shared" si="103"/>
        <v/>
      </c>
      <c r="L305" t="str">
        <f t="shared" si="97"/>
        <v/>
      </c>
      <c r="M305" s="5" t="str">
        <f t="shared" si="96"/>
        <v/>
      </c>
      <c r="N305" s="7" t="str">
        <f t="shared" si="98"/>
        <v/>
      </c>
      <c r="O305" s="3" t="str">
        <f t="shared" si="89"/>
        <v/>
      </c>
      <c r="P305" s="3" t="str">
        <f t="shared" si="90"/>
        <v/>
      </c>
      <c r="Q305" s="3" t="str">
        <f t="shared" si="104"/>
        <v/>
      </c>
      <c r="R305" s="3" t="str">
        <f t="shared" si="92"/>
        <v/>
      </c>
      <c r="S305" s="3" t="str">
        <f>IF($L305&lt;&gt;"",IF($A305="Prepago",0,IF($H305*$U$5&gt;SUM($S$11:$S304)+$U$5,$U$5*2,$U$5)),"")</f>
        <v/>
      </c>
      <c r="T305" s="3" t="str">
        <f>IF($L305&lt;&gt;"",IF($A305="Prepago",0,IF($H305*$U$6&gt;SUM($T$11:$T304)+$U$6,$U$6*2,$U$6)),"")</f>
        <v/>
      </c>
      <c r="U305" s="3" t="str">
        <f>IF($L305&lt;&gt;"",IF($A305="Prepago",0,IF(ROUND($H305*$U$7,2)&gt;ROUND(SUM($U$11:$U304)+$U$7,2),$U$7*2,$U$7)),"")</f>
        <v/>
      </c>
      <c r="V305" s="3" t="str">
        <f>IF($L305&lt;&gt;"",IF($A305="Prepago",0,IF($H305*$U$8&gt;SUM($V$11:$V304)+$U$8,$U$8*2,$U$8)),"")</f>
        <v/>
      </c>
      <c r="W305" s="3" t="str">
        <f t="shared" si="99"/>
        <v/>
      </c>
      <c r="X305" s="3" t="str">
        <f t="shared" si="93"/>
        <v/>
      </c>
      <c r="Y305" s="3" t="str">
        <f t="shared" si="94"/>
        <v/>
      </c>
      <c r="Z305" s="3" t="str">
        <f t="shared" si="95"/>
        <v/>
      </c>
      <c r="AA305" s="3" t="str">
        <f>IF($L305&lt;&gt;"",IF($N305&gt;Z$11,IF($N305&lt;AA$11,$N305-Z$11,30),0)*ROUND(($O305+$X304+SUM($Z305:Z305))*$V$5/3000,2),"")</f>
        <v/>
      </c>
    </row>
    <row r="306" spans="5:27" x14ac:dyDescent="0.3">
      <c r="E306" s="5"/>
      <c r="F306" t="str">
        <f t="shared" si="100"/>
        <v/>
      </c>
      <c r="G306" s="5" t="str">
        <f t="shared" si="87"/>
        <v/>
      </c>
      <c r="H306" t="str">
        <f t="shared" si="101"/>
        <v/>
      </c>
      <c r="I306" t="str">
        <f t="shared" si="88"/>
        <v/>
      </c>
      <c r="J306" t="str">
        <f t="shared" si="102"/>
        <v/>
      </c>
      <c r="K306" t="str">
        <f t="shared" si="103"/>
        <v/>
      </c>
      <c r="L306" t="str">
        <f t="shared" si="97"/>
        <v/>
      </c>
      <c r="M306" s="5" t="str">
        <f t="shared" si="96"/>
        <v/>
      </c>
      <c r="N306" s="7" t="str">
        <f t="shared" si="98"/>
        <v/>
      </c>
      <c r="O306" s="3" t="str">
        <f t="shared" si="89"/>
        <v/>
      </c>
      <c r="P306" s="3" t="str">
        <f t="shared" si="90"/>
        <v/>
      </c>
      <c r="Q306" s="3" t="str">
        <f t="shared" si="104"/>
        <v/>
      </c>
      <c r="R306" s="3" t="str">
        <f t="shared" si="92"/>
        <v/>
      </c>
      <c r="S306" s="3" t="str">
        <f>IF($L306&lt;&gt;"",IF($A306="Prepago",0,IF($H306*$U$5&gt;SUM($S$11:$S305)+$U$5,$U$5*2,$U$5)),"")</f>
        <v/>
      </c>
      <c r="T306" s="3" t="str">
        <f>IF($L306&lt;&gt;"",IF($A306="Prepago",0,IF($H306*$U$6&gt;SUM($T$11:$T305)+$U$6,$U$6*2,$U$6)),"")</f>
        <v/>
      </c>
      <c r="U306" s="3" t="str">
        <f>IF($L306&lt;&gt;"",IF($A306="Prepago",0,IF(ROUND($H306*$U$7,2)&gt;ROUND(SUM($U$11:$U305)+$U$7,2),$U$7*2,$U$7)),"")</f>
        <v/>
      </c>
      <c r="V306" s="3" t="str">
        <f>IF($L306&lt;&gt;"",IF($A306="Prepago",0,IF($H306*$U$8&gt;SUM($V$11:$V305)+$U$8,$U$8*2,$U$8)),"")</f>
        <v/>
      </c>
      <c r="W306" s="3" t="str">
        <f t="shared" si="99"/>
        <v/>
      </c>
      <c r="X306" s="3" t="str">
        <f t="shared" si="93"/>
        <v/>
      </c>
      <c r="Y306" s="3" t="str">
        <f t="shared" si="94"/>
        <v/>
      </c>
      <c r="Z306" s="3" t="str">
        <f t="shared" si="95"/>
        <v/>
      </c>
      <c r="AA306" s="3" t="str">
        <f>IF($L306&lt;&gt;"",IF($N306&gt;Z$11,IF($N306&lt;AA$11,$N306-Z$11,30),0)*ROUND(($O306+$X305+SUM($Z306:Z306))*$V$5/3000,2),"")</f>
        <v/>
      </c>
    </row>
    <row r="307" spans="5:27" x14ac:dyDescent="0.3">
      <c r="E307" s="5"/>
      <c r="F307" t="str">
        <f t="shared" si="100"/>
        <v/>
      </c>
      <c r="G307" s="5" t="str">
        <f t="shared" si="87"/>
        <v/>
      </c>
      <c r="H307" t="str">
        <f t="shared" si="101"/>
        <v/>
      </c>
      <c r="I307" t="str">
        <f t="shared" si="88"/>
        <v/>
      </c>
      <c r="J307" t="str">
        <f t="shared" si="102"/>
        <v/>
      </c>
      <c r="K307" t="str">
        <f t="shared" si="103"/>
        <v/>
      </c>
      <c r="L307" t="str">
        <f t="shared" si="97"/>
        <v/>
      </c>
      <c r="M307" s="5" t="str">
        <f t="shared" si="96"/>
        <v/>
      </c>
      <c r="N307" s="7" t="str">
        <f t="shared" si="98"/>
        <v/>
      </c>
      <c r="O307" s="3" t="str">
        <f t="shared" si="89"/>
        <v/>
      </c>
      <c r="P307" s="3" t="str">
        <f t="shared" si="90"/>
        <v/>
      </c>
      <c r="Q307" s="3" t="str">
        <f t="shared" si="104"/>
        <v/>
      </c>
      <c r="R307" s="3" t="str">
        <f t="shared" si="92"/>
        <v/>
      </c>
      <c r="S307" s="3" t="str">
        <f>IF($L307&lt;&gt;"",IF($A307="Prepago",0,IF($H307*$U$5&gt;SUM($S$11:$S306)+$U$5,$U$5*2,$U$5)),"")</f>
        <v/>
      </c>
      <c r="T307" s="3" t="str">
        <f>IF($L307&lt;&gt;"",IF($A307="Prepago",0,IF($H307*$U$6&gt;SUM($T$11:$T306)+$U$6,$U$6*2,$U$6)),"")</f>
        <v/>
      </c>
      <c r="U307" s="3" t="str">
        <f>IF($L307&lt;&gt;"",IF($A307="Prepago",0,IF(ROUND($H307*$U$7,2)&gt;ROUND(SUM($U$11:$U306)+$U$7,2),$U$7*2,$U$7)),"")</f>
        <v/>
      </c>
      <c r="V307" s="3" t="str">
        <f>IF($L307&lt;&gt;"",IF($A307="Prepago",0,IF($H307*$U$8&gt;SUM($V$11:$V306)+$U$8,$U$8*2,$U$8)),"")</f>
        <v/>
      </c>
      <c r="W307" s="3" t="str">
        <f t="shared" si="99"/>
        <v/>
      </c>
      <c r="X307" s="3" t="str">
        <f t="shared" si="93"/>
        <v/>
      </c>
      <c r="Y307" s="3" t="str">
        <f t="shared" si="94"/>
        <v/>
      </c>
      <c r="Z307" s="3" t="str">
        <f t="shared" si="95"/>
        <v/>
      </c>
      <c r="AA307" s="3" t="str">
        <f>IF($L307&lt;&gt;"",IF($N307&gt;Z$11,IF($N307&lt;AA$11,$N307-Z$11,30),0)*ROUND(($O307+$X306+SUM($Z307:Z307))*$V$5/3000,2),"")</f>
        <v/>
      </c>
    </row>
    <row r="308" spans="5:27" x14ac:dyDescent="0.3">
      <c r="E308" s="5"/>
      <c r="F308" t="str">
        <f t="shared" si="100"/>
        <v/>
      </c>
      <c r="G308" s="5" t="str">
        <f t="shared" si="87"/>
        <v/>
      </c>
      <c r="H308" t="str">
        <f t="shared" si="101"/>
        <v/>
      </c>
      <c r="I308" t="str">
        <f t="shared" si="88"/>
        <v/>
      </c>
      <c r="J308" t="str">
        <f t="shared" si="102"/>
        <v/>
      </c>
      <c r="K308" t="str">
        <f t="shared" si="103"/>
        <v/>
      </c>
      <c r="L308" t="str">
        <f t="shared" si="97"/>
        <v/>
      </c>
      <c r="M308" s="5" t="str">
        <f t="shared" si="96"/>
        <v/>
      </c>
      <c r="N308" s="7" t="str">
        <f t="shared" si="98"/>
        <v/>
      </c>
      <c r="O308" s="3" t="str">
        <f t="shared" si="89"/>
        <v/>
      </c>
      <c r="P308" s="3" t="str">
        <f t="shared" si="90"/>
        <v/>
      </c>
      <c r="Q308" s="3" t="str">
        <f t="shared" si="104"/>
        <v/>
      </c>
      <c r="R308" s="3" t="str">
        <f t="shared" si="92"/>
        <v/>
      </c>
      <c r="S308" s="3" t="str">
        <f>IF($L308&lt;&gt;"",IF($A308="Prepago",0,IF($H308*$U$5&gt;SUM($S$11:$S307)+$U$5,$U$5*2,$U$5)),"")</f>
        <v/>
      </c>
      <c r="T308" s="3" t="str">
        <f>IF($L308&lt;&gt;"",IF($A308="Prepago",0,IF($H308*$U$6&gt;SUM($T$11:$T307)+$U$6,$U$6*2,$U$6)),"")</f>
        <v/>
      </c>
      <c r="U308" s="3" t="str">
        <f>IF($L308&lt;&gt;"",IF($A308="Prepago",0,IF(ROUND($H308*$U$7,2)&gt;ROUND(SUM($U$11:$U307)+$U$7,2),$U$7*2,$U$7)),"")</f>
        <v/>
      </c>
      <c r="V308" s="3" t="str">
        <f>IF($L308&lt;&gt;"",IF($A308="Prepago",0,IF($H308*$U$8&gt;SUM($V$11:$V307)+$U$8,$U$8*2,$U$8)),"")</f>
        <v/>
      </c>
      <c r="W308" s="3" t="str">
        <f t="shared" si="99"/>
        <v/>
      </c>
      <c r="X308" s="3" t="str">
        <f t="shared" si="93"/>
        <v/>
      </c>
      <c r="Y308" s="3" t="str">
        <f t="shared" si="94"/>
        <v/>
      </c>
      <c r="Z308" s="3" t="str">
        <f t="shared" si="95"/>
        <v/>
      </c>
      <c r="AA308" s="3" t="str">
        <f>IF($L308&lt;&gt;"",IF($N308&gt;Z$11,IF($N308&lt;AA$11,$N308-Z$11,30),0)*ROUND(($O308+$X307+SUM($Z308:Z308))*$V$5/3000,2),"")</f>
        <v/>
      </c>
    </row>
    <row r="309" spans="5:27" x14ac:dyDescent="0.3">
      <c r="E309" s="5"/>
      <c r="F309" t="str">
        <f t="shared" si="100"/>
        <v/>
      </c>
      <c r="G309" s="5" t="str">
        <f t="shared" si="87"/>
        <v/>
      </c>
      <c r="H309" t="str">
        <f t="shared" si="101"/>
        <v/>
      </c>
      <c r="I309" t="str">
        <f t="shared" si="88"/>
        <v/>
      </c>
      <c r="J309" t="str">
        <f t="shared" si="102"/>
        <v/>
      </c>
      <c r="K309" t="str">
        <f t="shared" si="103"/>
        <v/>
      </c>
      <c r="L309" t="str">
        <f t="shared" si="97"/>
        <v/>
      </c>
      <c r="M309" s="5" t="str">
        <f t="shared" si="96"/>
        <v/>
      </c>
      <c r="N309" s="7" t="str">
        <f t="shared" si="98"/>
        <v/>
      </c>
      <c r="O309" s="3" t="str">
        <f t="shared" si="89"/>
        <v/>
      </c>
      <c r="P309" s="3" t="str">
        <f t="shared" si="90"/>
        <v/>
      </c>
      <c r="Q309" s="3" t="str">
        <f t="shared" si="104"/>
        <v/>
      </c>
      <c r="R309" s="3" t="str">
        <f t="shared" si="92"/>
        <v/>
      </c>
      <c r="S309" s="3" t="str">
        <f>IF($L309&lt;&gt;"",IF($A309="Prepago",0,IF($H309*$U$5&gt;SUM($S$11:$S308)+$U$5,$U$5*2,$U$5)),"")</f>
        <v/>
      </c>
      <c r="T309" s="3" t="str">
        <f>IF($L309&lt;&gt;"",IF($A309="Prepago",0,IF($H309*$U$6&gt;SUM($T$11:$T308)+$U$6,$U$6*2,$U$6)),"")</f>
        <v/>
      </c>
      <c r="U309" s="3" t="str">
        <f>IF($L309&lt;&gt;"",IF($A309="Prepago",0,IF(ROUND($H309*$U$7,2)&gt;ROUND(SUM($U$11:$U308)+$U$7,2),$U$7*2,$U$7)),"")</f>
        <v/>
      </c>
      <c r="V309" s="3" t="str">
        <f>IF($L309&lt;&gt;"",IF($A309="Prepago",0,IF($H309*$U$8&gt;SUM($V$11:$V308)+$U$8,$U$8*2,$U$8)),"")</f>
        <v/>
      </c>
      <c r="W309" s="3" t="str">
        <f t="shared" si="99"/>
        <v/>
      </c>
      <c r="X309" s="3" t="str">
        <f t="shared" si="93"/>
        <v/>
      </c>
      <c r="Y309" s="3" t="str">
        <f t="shared" si="94"/>
        <v/>
      </c>
      <c r="Z309" s="3" t="str">
        <f t="shared" si="95"/>
        <v/>
      </c>
      <c r="AA309" s="3" t="str">
        <f>IF($L309&lt;&gt;"",IF($N309&gt;Z$11,IF($N309&lt;AA$11,$N309-Z$11,30),0)*ROUND(($O309+$X308+SUM($Z309:Z309))*$V$5/3000,2),"")</f>
        <v/>
      </c>
    </row>
    <row r="310" spans="5:27" x14ac:dyDescent="0.3">
      <c r="E310" s="5"/>
      <c r="F310" t="str">
        <f t="shared" si="100"/>
        <v/>
      </c>
      <c r="G310" s="5" t="str">
        <f t="shared" si="87"/>
        <v/>
      </c>
      <c r="H310" t="str">
        <f t="shared" si="101"/>
        <v/>
      </c>
      <c r="I310" t="str">
        <f t="shared" si="88"/>
        <v/>
      </c>
      <c r="J310" t="str">
        <f t="shared" si="102"/>
        <v/>
      </c>
      <c r="K310" t="str">
        <f t="shared" si="103"/>
        <v/>
      </c>
      <c r="L310" t="str">
        <f t="shared" si="97"/>
        <v/>
      </c>
      <c r="M310" s="5" t="str">
        <f t="shared" si="96"/>
        <v/>
      </c>
      <c r="N310" s="7" t="str">
        <f t="shared" si="98"/>
        <v/>
      </c>
      <c r="O310" s="3" t="str">
        <f t="shared" si="89"/>
        <v/>
      </c>
      <c r="P310" s="3" t="str">
        <f t="shared" si="90"/>
        <v/>
      </c>
      <c r="Q310" s="3" t="str">
        <f t="shared" si="104"/>
        <v/>
      </c>
      <c r="R310" s="3" t="str">
        <f t="shared" si="92"/>
        <v/>
      </c>
      <c r="S310" s="3" t="str">
        <f>IF($L310&lt;&gt;"",IF($A310="Prepago",0,IF($H310*$U$5&gt;SUM($S$11:$S309)+$U$5,$U$5*2,$U$5)),"")</f>
        <v/>
      </c>
      <c r="T310" s="3" t="str">
        <f>IF($L310&lt;&gt;"",IF($A310="Prepago",0,IF($H310*$U$6&gt;SUM($T$11:$T309)+$U$6,$U$6*2,$U$6)),"")</f>
        <v/>
      </c>
      <c r="U310" s="3" t="str">
        <f>IF($L310&lt;&gt;"",IF($A310="Prepago",0,IF(ROUND($H310*$U$7,2)&gt;ROUND(SUM($U$11:$U309)+$U$7,2),$U$7*2,$U$7)),"")</f>
        <v/>
      </c>
      <c r="V310" s="3" t="str">
        <f>IF($L310&lt;&gt;"",IF($A310="Prepago",0,IF($H310*$U$8&gt;SUM($V$11:$V309)+$U$8,$U$8*2,$U$8)),"")</f>
        <v/>
      </c>
      <c r="W310" s="3" t="str">
        <f t="shared" si="99"/>
        <v/>
      </c>
      <c r="X310" s="3" t="str">
        <f t="shared" si="93"/>
        <v/>
      </c>
      <c r="Y310" s="3" t="str">
        <f t="shared" si="94"/>
        <v/>
      </c>
      <c r="Z310" s="3" t="str">
        <f t="shared" si="95"/>
        <v/>
      </c>
      <c r="AA310" s="3" t="str">
        <f>IF($L310&lt;&gt;"",IF($N310&gt;Z$11,IF($N310&lt;AA$11,$N310-Z$11,30),0)*ROUND(($O310+$X309+SUM($Z310:Z310))*$V$5/3000,2),"")</f>
        <v/>
      </c>
    </row>
    <row r="311" spans="5:27" x14ac:dyDescent="0.3">
      <c r="E311" s="5"/>
      <c r="F311" t="str">
        <f t="shared" si="100"/>
        <v/>
      </c>
      <c r="G311" s="5" t="str">
        <f t="shared" si="87"/>
        <v/>
      </c>
      <c r="H311" t="str">
        <f t="shared" si="101"/>
        <v/>
      </c>
      <c r="I311" t="str">
        <f t="shared" si="88"/>
        <v/>
      </c>
      <c r="J311" t="str">
        <f t="shared" si="102"/>
        <v/>
      </c>
      <c r="K311" t="str">
        <f t="shared" si="103"/>
        <v/>
      </c>
      <c r="L311" t="str">
        <f t="shared" si="97"/>
        <v/>
      </c>
      <c r="M311" s="5" t="str">
        <f t="shared" si="96"/>
        <v/>
      </c>
      <c r="N311" s="7" t="str">
        <f t="shared" si="98"/>
        <v/>
      </c>
      <c r="O311" s="3" t="str">
        <f t="shared" si="89"/>
        <v/>
      </c>
      <c r="P311" s="3" t="str">
        <f t="shared" si="90"/>
        <v/>
      </c>
      <c r="Q311" s="3" t="str">
        <f t="shared" si="104"/>
        <v/>
      </c>
      <c r="R311" s="3" t="str">
        <f t="shared" si="92"/>
        <v/>
      </c>
      <c r="S311" s="3" t="str">
        <f>IF($L311&lt;&gt;"",IF($A311="Prepago",0,IF($H311*$U$5&gt;SUM($S$11:$S310)+$U$5,$U$5*2,$U$5)),"")</f>
        <v/>
      </c>
      <c r="T311" s="3" t="str">
        <f>IF($L311&lt;&gt;"",IF($A311="Prepago",0,IF($H311*$U$6&gt;SUM($T$11:$T310)+$U$6,$U$6*2,$U$6)),"")</f>
        <v/>
      </c>
      <c r="U311" s="3" t="str">
        <f>IF($L311&lt;&gt;"",IF($A311="Prepago",0,IF(ROUND($H311*$U$7,2)&gt;ROUND(SUM($U$11:$U310)+$U$7,2),$U$7*2,$U$7)),"")</f>
        <v/>
      </c>
      <c r="V311" s="3" t="str">
        <f>IF($L311&lt;&gt;"",IF($A311="Prepago",0,IF($H311*$U$8&gt;SUM($V$11:$V310)+$U$8,$U$8*2,$U$8)),"")</f>
        <v/>
      </c>
      <c r="W311" s="3" t="str">
        <f t="shared" si="99"/>
        <v/>
      </c>
      <c r="X311" s="3" t="str">
        <f t="shared" si="93"/>
        <v/>
      </c>
      <c r="Y311" s="3" t="str">
        <f t="shared" si="94"/>
        <v/>
      </c>
      <c r="Z311" s="3" t="str">
        <f t="shared" si="95"/>
        <v/>
      </c>
      <c r="AA311" s="3" t="str">
        <f>IF($L311&lt;&gt;"",IF($N311&gt;Z$11,IF($N311&lt;AA$11,$N311-Z$11,30),0)*ROUND(($O311+$X310+SUM($Z311:Z311))*$V$5/3000,2),"")</f>
        <v/>
      </c>
    </row>
    <row r="312" spans="5:27" x14ac:dyDescent="0.3">
      <c r="E312" s="5"/>
      <c r="F312" t="str">
        <f t="shared" si="100"/>
        <v/>
      </c>
      <c r="G312" s="5" t="str">
        <f t="shared" si="87"/>
        <v/>
      </c>
      <c r="H312" t="str">
        <f t="shared" si="101"/>
        <v/>
      </c>
      <c r="I312" t="str">
        <f t="shared" si="88"/>
        <v/>
      </c>
      <c r="J312" t="str">
        <f t="shared" si="102"/>
        <v/>
      </c>
      <c r="K312" t="str">
        <f t="shared" si="103"/>
        <v/>
      </c>
      <c r="L312" t="str">
        <f t="shared" si="97"/>
        <v/>
      </c>
      <c r="M312" s="5" t="str">
        <f t="shared" si="96"/>
        <v/>
      </c>
      <c r="N312" s="7" t="str">
        <f t="shared" si="98"/>
        <v/>
      </c>
      <c r="O312" s="3" t="str">
        <f t="shared" si="89"/>
        <v/>
      </c>
      <c r="P312" s="3" t="str">
        <f t="shared" si="90"/>
        <v/>
      </c>
      <c r="Q312" s="3" t="str">
        <f t="shared" si="104"/>
        <v/>
      </c>
      <c r="R312" s="3" t="str">
        <f t="shared" si="92"/>
        <v/>
      </c>
      <c r="S312" s="3" t="str">
        <f>IF($L312&lt;&gt;"",IF($A312="Prepago",0,IF($H312*$U$5&gt;SUM($S$11:$S311)+$U$5,$U$5*2,$U$5)),"")</f>
        <v/>
      </c>
      <c r="T312" s="3" t="str">
        <f>IF($L312&lt;&gt;"",IF($A312="Prepago",0,IF($H312*$U$6&gt;SUM($T$11:$T311)+$U$6,$U$6*2,$U$6)),"")</f>
        <v/>
      </c>
      <c r="U312" s="3" t="str">
        <f>IF($L312&lt;&gt;"",IF($A312="Prepago",0,IF(ROUND($H312*$U$7,2)&gt;ROUND(SUM($U$11:$U311)+$U$7,2),$U$7*2,$U$7)),"")</f>
        <v/>
      </c>
      <c r="V312" s="3" t="str">
        <f>IF($L312&lt;&gt;"",IF($A312="Prepago",0,IF($H312*$U$8&gt;SUM($V$11:$V311)+$U$8,$U$8*2,$U$8)),"")</f>
        <v/>
      </c>
      <c r="W312" s="3" t="str">
        <f t="shared" si="99"/>
        <v/>
      </c>
      <c r="X312" s="3" t="str">
        <f t="shared" si="93"/>
        <v/>
      </c>
      <c r="Y312" s="3" t="str">
        <f t="shared" si="94"/>
        <v/>
      </c>
      <c r="Z312" s="3" t="str">
        <f t="shared" si="95"/>
        <v/>
      </c>
      <c r="AA312" s="3" t="str">
        <f>IF($L312&lt;&gt;"",IF($N312&gt;Z$11,IF($N312&lt;AA$11,$N312-Z$11,30),0)*ROUND(($O312+$X311+SUM($Z312:Z312))*$V$5/3000,2),"")</f>
        <v/>
      </c>
    </row>
    <row r="313" spans="5:27" x14ac:dyDescent="0.3">
      <c r="E313" s="5"/>
      <c r="F313" t="str">
        <f t="shared" si="100"/>
        <v/>
      </c>
      <c r="G313" s="5" t="str">
        <f t="shared" si="87"/>
        <v/>
      </c>
      <c r="H313" t="str">
        <f t="shared" si="101"/>
        <v/>
      </c>
      <c r="I313" t="str">
        <f t="shared" si="88"/>
        <v/>
      </c>
      <c r="J313" t="str">
        <f t="shared" si="102"/>
        <v/>
      </c>
      <c r="K313" t="str">
        <f t="shared" si="103"/>
        <v/>
      </c>
      <c r="L313" t="str">
        <f t="shared" si="97"/>
        <v/>
      </c>
      <c r="M313" s="5" t="str">
        <f t="shared" si="96"/>
        <v/>
      </c>
      <c r="N313" s="7" t="str">
        <f t="shared" si="98"/>
        <v/>
      </c>
      <c r="O313" s="3" t="str">
        <f t="shared" si="89"/>
        <v/>
      </c>
      <c r="P313" s="3" t="str">
        <f t="shared" si="90"/>
        <v/>
      </c>
      <c r="Q313" s="3" t="str">
        <f t="shared" si="104"/>
        <v/>
      </c>
      <c r="R313" s="3" t="str">
        <f t="shared" si="92"/>
        <v/>
      </c>
      <c r="S313" s="3" t="str">
        <f>IF($L313&lt;&gt;"",IF($A313="Prepago",0,IF($H313*$U$5&gt;SUM($S$11:$S312)+$U$5,$U$5*2,$U$5)),"")</f>
        <v/>
      </c>
      <c r="T313" s="3" t="str">
        <f>IF($L313&lt;&gt;"",IF($A313="Prepago",0,IF($H313*$U$6&gt;SUM($T$11:$T312)+$U$6,$U$6*2,$U$6)),"")</f>
        <v/>
      </c>
      <c r="U313" s="3" t="str">
        <f>IF($L313&lt;&gt;"",IF($A313="Prepago",0,IF(ROUND($H313*$U$7,2)&gt;ROUND(SUM($U$11:$U312)+$U$7,2),$U$7*2,$U$7)),"")</f>
        <v/>
      </c>
      <c r="V313" s="3" t="str">
        <f>IF($L313&lt;&gt;"",IF($A313="Prepago",0,IF($H313*$U$8&gt;SUM($V$11:$V312)+$U$8,$U$8*2,$U$8)),"")</f>
        <v/>
      </c>
      <c r="W313" s="3" t="str">
        <f t="shared" si="99"/>
        <v/>
      </c>
      <c r="X313" s="3" t="str">
        <f t="shared" si="93"/>
        <v/>
      </c>
      <c r="Y313" s="3" t="str">
        <f t="shared" si="94"/>
        <v/>
      </c>
      <c r="Z313" s="3" t="str">
        <f t="shared" si="95"/>
        <v/>
      </c>
      <c r="AA313" s="3" t="str">
        <f>IF($L313&lt;&gt;"",IF($N313&gt;Z$11,IF($N313&lt;AA$11,$N313-Z$11,30),0)*ROUND(($O313+$X312+SUM($Z313:Z313))*$V$5/3000,2),"")</f>
        <v/>
      </c>
    </row>
    <row r="314" spans="5:27" x14ac:dyDescent="0.3">
      <c r="E314" s="5"/>
      <c r="F314" t="str">
        <f t="shared" si="100"/>
        <v/>
      </c>
      <c r="G314" s="5" t="str">
        <f t="shared" si="87"/>
        <v/>
      </c>
      <c r="H314" t="str">
        <f t="shared" si="101"/>
        <v/>
      </c>
      <c r="I314" t="str">
        <f t="shared" si="88"/>
        <v/>
      </c>
      <c r="J314" t="str">
        <f t="shared" si="102"/>
        <v/>
      </c>
      <c r="K314" t="str">
        <f t="shared" si="103"/>
        <v/>
      </c>
      <c r="L314" t="str">
        <f t="shared" si="97"/>
        <v/>
      </c>
      <c r="M314" s="5" t="str">
        <f t="shared" si="96"/>
        <v/>
      </c>
      <c r="N314" s="7" t="str">
        <f t="shared" si="98"/>
        <v/>
      </c>
      <c r="O314" s="3" t="str">
        <f t="shared" si="89"/>
        <v/>
      </c>
      <c r="P314" s="3" t="str">
        <f t="shared" si="90"/>
        <v/>
      </c>
      <c r="Q314" s="3" t="str">
        <f t="shared" si="104"/>
        <v/>
      </c>
      <c r="R314" s="3" t="str">
        <f t="shared" si="92"/>
        <v/>
      </c>
      <c r="S314" s="3" t="str">
        <f>IF($L314&lt;&gt;"",IF($A314="Prepago",0,IF($H314*$U$5&gt;SUM($S$11:$S313)+$U$5,$U$5*2,$U$5)),"")</f>
        <v/>
      </c>
      <c r="T314" s="3" t="str">
        <f>IF($L314&lt;&gt;"",IF($A314="Prepago",0,IF($H314*$U$6&gt;SUM($T$11:$T313)+$U$6,$U$6*2,$U$6)),"")</f>
        <v/>
      </c>
      <c r="U314" s="3" t="str">
        <f>IF($L314&lt;&gt;"",IF($A314="Prepago",0,IF(ROUND($H314*$U$7,2)&gt;ROUND(SUM($U$11:$U313)+$U$7,2),$U$7*2,$U$7)),"")</f>
        <v/>
      </c>
      <c r="V314" s="3" t="str">
        <f>IF($L314&lt;&gt;"",IF($A314="Prepago",0,IF($H314*$U$8&gt;SUM($V$11:$V313)+$U$8,$U$8*2,$U$8)),"")</f>
        <v/>
      </c>
      <c r="W314" s="3" t="str">
        <f t="shared" si="99"/>
        <v/>
      </c>
      <c r="X314" s="3" t="str">
        <f t="shared" si="93"/>
        <v/>
      </c>
      <c r="Y314" s="3" t="str">
        <f t="shared" si="94"/>
        <v/>
      </c>
      <c r="Z314" s="3" t="str">
        <f t="shared" si="95"/>
        <v/>
      </c>
      <c r="AA314" s="3" t="str">
        <f>IF($L314&lt;&gt;"",IF($N314&gt;Z$11,IF($N314&lt;AA$11,$N314-Z$11,30),0)*ROUND(($O314+$X313+SUM($Z314:Z314))*$V$5/3000,2),"")</f>
        <v/>
      </c>
    </row>
    <row r="315" spans="5:27" x14ac:dyDescent="0.3">
      <c r="E315" s="5"/>
      <c r="F315" t="str">
        <f t="shared" si="100"/>
        <v/>
      </c>
      <c r="G315" s="5" t="str">
        <f t="shared" si="87"/>
        <v/>
      </c>
      <c r="H315" t="str">
        <f t="shared" si="101"/>
        <v/>
      </c>
      <c r="I315" t="str">
        <f t="shared" si="88"/>
        <v/>
      </c>
      <c r="J315" t="str">
        <f t="shared" si="102"/>
        <v/>
      </c>
      <c r="K315" t="str">
        <f t="shared" si="103"/>
        <v/>
      </c>
      <c r="L315" t="str">
        <f t="shared" si="97"/>
        <v/>
      </c>
      <c r="M315" s="5" t="str">
        <f t="shared" si="96"/>
        <v/>
      </c>
      <c r="N315" s="7" t="str">
        <f t="shared" si="98"/>
        <v/>
      </c>
      <c r="O315" s="3" t="str">
        <f t="shared" si="89"/>
        <v/>
      </c>
      <c r="P315" s="3" t="str">
        <f t="shared" si="90"/>
        <v/>
      </c>
      <c r="Q315" s="3" t="str">
        <f t="shared" si="104"/>
        <v/>
      </c>
      <c r="R315" s="3" t="str">
        <f t="shared" si="92"/>
        <v/>
      </c>
      <c r="S315" s="3" t="str">
        <f>IF($L315&lt;&gt;"",IF($A315="Prepago",0,IF($H315*$U$5&gt;SUM($S$11:$S314)+$U$5,$U$5*2,$U$5)),"")</f>
        <v/>
      </c>
      <c r="T315" s="3" t="str">
        <f>IF($L315&lt;&gt;"",IF($A315="Prepago",0,IF($H315*$U$6&gt;SUM($T$11:$T314)+$U$6,$U$6*2,$U$6)),"")</f>
        <v/>
      </c>
      <c r="U315" s="3" t="str">
        <f>IF($L315&lt;&gt;"",IF($A315="Prepago",0,IF(ROUND($H315*$U$7,2)&gt;ROUND(SUM($U$11:$U314)+$U$7,2),$U$7*2,$U$7)),"")</f>
        <v/>
      </c>
      <c r="V315" s="3" t="str">
        <f>IF($L315&lt;&gt;"",IF($A315="Prepago",0,IF($H315*$U$8&gt;SUM($V$11:$V314)+$U$8,$U$8*2,$U$8)),"")</f>
        <v/>
      </c>
      <c r="W315" s="3" t="str">
        <f t="shared" si="99"/>
        <v/>
      </c>
      <c r="X315" s="3" t="str">
        <f t="shared" si="93"/>
        <v/>
      </c>
      <c r="Y315" s="3" t="str">
        <f t="shared" si="94"/>
        <v/>
      </c>
      <c r="Z315" s="3" t="str">
        <f t="shared" si="95"/>
        <v/>
      </c>
      <c r="AA315" s="3" t="str">
        <f>IF($L315&lt;&gt;"",IF($N315&gt;Z$11,IF($N315&lt;AA$11,$N315-Z$11,30),0)*ROUND(($O315+$X314+SUM($Z315:Z315))*$V$5/3000,2),"")</f>
        <v/>
      </c>
    </row>
    <row r="316" spans="5:27" x14ac:dyDescent="0.3">
      <c r="E316" s="5"/>
      <c r="F316" t="str">
        <f t="shared" si="100"/>
        <v/>
      </c>
      <c r="G316" s="5" t="str">
        <f t="shared" si="87"/>
        <v/>
      </c>
      <c r="H316" t="str">
        <f t="shared" si="101"/>
        <v/>
      </c>
      <c r="I316" t="str">
        <f t="shared" si="88"/>
        <v/>
      </c>
      <c r="J316" t="str">
        <f t="shared" si="102"/>
        <v/>
      </c>
      <c r="K316" t="str">
        <f t="shared" si="103"/>
        <v/>
      </c>
      <c r="L316" t="str">
        <f t="shared" si="97"/>
        <v/>
      </c>
      <c r="M316" s="5" t="str">
        <f t="shared" si="96"/>
        <v/>
      </c>
      <c r="N316" s="7" t="str">
        <f t="shared" si="98"/>
        <v/>
      </c>
      <c r="O316" s="3" t="str">
        <f t="shared" si="89"/>
        <v/>
      </c>
      <c r="P316" s="3" t="str">
        <f t="shared" si="90"/>
        <v/>
      </c>
      <c r="Q316" s="3" t="str">
        <f t="shared" si="104"/>
        <v/>
      </c>
      <c r="R316" s="3" t="str">
        <f t="shared" si="92"/>
        <v/>
      </c>
      <c r="S316" s="3" t="str">
        <f>IF($L316&lt;&gt;"",IF($A316="Prepago",0,IF($H316*$U$5&gt;SUM($S$11:$S315)+$U$5,$U$5*2,$U$5)),"")</f>
        <v/>
      </c>
      <c r="T316" s="3" t="str">
        <f>IF($L316&lt;&gt;"",IF($A316="Prepago",0,IF($H316*$U$6&gt;SUM($T$11:$T315)+$U$6,$U$6*2,$U$6)),"")</f>
        <v/>
      </c>
      <c r="U316" s="3" t="str">
        <f>IF($L316&lt;&gt;"",IF($A316="Prepago",0,IF(ROUND($H316*$U$7,2)&gt;ROUND(SUM($U$11:$U315)+$U$7,2),$U$7*2,$U$7)),"")</f>
        <v/>
      </c>
      <c r="V316" s="3" t="str">
        <f>IF($L316&lt;&gt;"",IF($A316="Prepago",0,IF($H316*$U$8&gt;SUM($V$11:$V315)+$U$8,$U$8*2,$U$8)),"")</f>
        <v/>
      </c>
      <c r="W316" s="3" t="str">
        <f t="shared" si="99"/>
        <v/>
      </c>
      <c r="X316" s="3" t="str">
        <f t="shared" si="93"/>
        <v/>
      </c>
      <c r="Y316" s="3" t="str">
        <f t="shared" si="94"/>
        <v/>
      </c>
      <c r="Z316" s="3" t="str">
        <f t="shared" si="95"/>
        <v/>
      </c>
      <c r="AA316" s="3" t="str">
        <f>IF($L316&lt;&gt;"",IF($N316&gt;Z$11,IF($N316&lt;AA$11,$N316-Z$11,30),0)*ROUND(($O316+$X315+SUM($Z316:Z316))*$V$5/3000,2),"")</f>
        <v/>
      </c>
    </row>
    <row r="317" spans="5:27" x14ac:dyDescent="0.3">
      <c r="E317" s="5"/>
      <c r="F317" t="str">
        <f t="shared" si="100"/>
        <v/>
      </c>
      <c r="G317" s="5" t="str">
        <f t="shared" si="87"/>
        <v/>
      </c>
      <c r="H317" t="str">
        <f t="shared" si="101"/>
        <v/>
      </c>
      <c r="I317" t="str">
        <f t="shared" si="88"/>
        <v/>
      </c>
      <c r="J317" t="str">
        <f t="shared" si="102"/>
        <v/>
      </c>
      <c r="K317" t="str">
        <f t="shared" si="103"/>
        <v/>
      </c>
      <c r="L317" t="str">
        <f t="shared" si="97"/>
        <v/>
      </c>
      <c r="M317" s="5" t="str">
        <f t="shared" si="96"/>
        <v/>
      </c>
      <c r="N317" s="7" t="str">
        <f t="shared" si="98"/>
        <v/>
      </c>
      <c r="O317" s="3" t="str">
        <f t="shared" si="89"/>
        <v/>
      </c>
      <c r="P317" s="3" t="str">
        <f t="shared" si="90"/>
        <v/>
      </c>
      <c r="Q317" s="3" t="str">
        <f t="shared" si="104"/>
        <v/>
      </c>
      <c r="R317" s="3" t="str">
        <f t="shared" si="92"/>
        <v/>
      </c>
      <c r="S317" s="3" t="str">
        <f>IF($L317&lt;&gt;"",IF($A317="Prepago",0,IF($H317*$U$5&gt;SUM($S$11:$S316)+$U$5,$U$5*2,$U$5)),"")</f>
        <v/>
      </c>
      <c r="T317" s="3" t="str">
        <f>IF($L317&lt;&gt;"",IF($A317="Prepago",0,IF($H317*$U$6&gt;SUM($T$11:$T316)+$U$6,$U$6*2,$U$6)),"")</f>
        <v/>
      </c>
      <c r="U317" s="3" t="str">
        <f>IF($L317&lt;&gt;"",IF($A317="Prepago",0,IF(ROUND($H317*$U$7,2)&gt;ROUND(SUM($U$11:$U316)+$U$7,2),$U$7*2,$U$7)),"")</f>
        <v/>
      </c>
      <c r="V317" s="3" t="str">
        <f>IF($L317&lt;&gt;"",IF($A317="Prepago",0,IF($H317*$U$8&gt;SUM($V$11:$V316)+$U$8,$U$8*2,$U$8)),"")</f>
        <v/>
      </c>
      <c r="W317" s="3" t="str">
        <f t="shared" si="99"/>
        <v/>
      </c>
      <c r="X317" s="3" t="str">
        <f t="shared" si="93"/>
        <v/>
      </c>
      <c r="Y317" s="3" t="str">
        <f t="shared" si="94"/>
        <v/>
      </c>
      <c r="Z317" s="3" t="str">
        <f t="shared" si="95"/>
        <v/>
      </c>
      <c r="AA317" s="3" t="str">
        <f>IF($L317&lt;&gt;"",IF($N317&gt;Z$11,IF($N317&lt;AA$11,$N317-Z$11,30),0)*ROUND(($O317+$X316+SUM($Z317:Z317))*$V$5/3000,2),"")</f>
        <v/>
      </c>
    </row>
    <row r="318" spans="5:27" x14ac:dyDescent="0.3">
      <c r="E318" s="5"/>
      <c r="F318" t="str">
        <f t="shared" si="100"/>
        <v/>
      </c>
      <c r="G318" s="5" t="str">
        <f t="shared" si="87"/>
        <v/>
      </c>
      <c r="H318" t="str">
        <f t="shared" si="101"/>
        <v/>
      </c>
      <c r="I318" t="str">
        <f t="shared" si="88"/>
        <v/>
      </c>
      <c r="J318" t="str">
        <f t="shared" si="102"/>
        <v/>
      </c>
      <c r="K318" t="str">
        <f t="shared" si="103"/>
        <v/>
      </c>
      <c r="L318" t="str">
        <f t="shared" si="97"/>
        <v/>
      </c>
      <c r="M318" s="5" t="str">
        <f t="shared" si="96"/>
        <v/>
      </c>
      <c r="N318" s="7" t="str">
        <f t="shared" si="98"/>
        <v/>
      </c>
      <c r="O318" s="3" t="str">
        <f t="shared" si="89"/>
        <v/>
      </c>
      <c r="P318" s="3" t="str">
        <f t="shared" si="90"/>
        <v/>
      </c>
      <c r="Q318" s="3" t="str">
        <f t="shared" si="104"/>
        <v/>
      </c>
      <c r="R318" s="3" t="str">
        <f t="shared" si="92"/>
        <v/>
      </c>
      <c r="S318" s="3" t="str">
        <f>IF($L318&lt;&gt;"",IF($A318="Prepago",0,IF($H318*$U$5&gt;SUM($S$11:$S317)+$U$5,$U$5*2,$U$5)),"")</f>
        <v/>
      </c>
      <c r="T318" s="3" t="str">
        <f>IF($L318&lt;&gt;"",IF($A318="Prepago",0,IF($H318*$U$6&gt;SUM($T$11:$T317)+$U$6,$U$6*2,$U$6)),"")</f>
        <v/>
      </c>
      <c r="U318" s="3" t="str">
        <f>IF($L318&lt;&gt;"",IF($A318="Prepago",0,IF(ROUND($H318*$U$7,2)&gt;ROUND(SUM($U$11:$U317)+$U$7,2),$U$7*2,$U$7)),"")</f>
        <v/>
      </c>
      <c r="V318" s="3" t="str">
        <f>IF($L318&lt;&gt;"",IF($A318="Prepago",0,IF($H318*$U$8&gt;SUM($V$11:$V317)+$U$8,$U$8*2,$U$8)),"")</f>
        <v/>
      </c>
      <c r="W318" s="3" t="str">
        <f t="shared" si="99"/>
        <v/>
      </c>
      <c r="X318" s="3" t="str">
        <f t="shared" si="93"/>
        <v/>
      </c>
      <c r="Y318" s="3" t="str">
        <f t="shared" si="94"/>
        <v/>
      </c>
      <c r="Z318" s="3" t="str">
        <f t="shared" si="95"/>
        <v/>
      </c>
      <c r="AA318" s="3" t="str">
        <f>IF($L318&lt;&gt;"",IF($N318&gt;Z$11,IF($N318&lt;AA$11,$N318-Z$11,30),0)*ROUND(($O318+$X317+SUM($Z318:Z318))*$V$5/3000,2),"")</f>
        <v/>
      </c>
    </row>
    <row r="319" spans="5:27" x14ac:dyDescent="0.3">
      <c r="E319" s="5"/>
      <c r="F319" t="str">
        <f t="shared" si="100"/>
        <v/>
      </c>
      <c r="G319" s="5" t="str">
        <f t="shared" si="87"/>
        <v/>
      </c>
      <c r="H319" t="str">
        <f t="shared" si="101"/>
        <v/>
      </c>
      <c r="I319" t="str">
        <f t="shared" si="88"/>
        <v/>
      </c>
      <c r="J319" t="str">
        <f t="shared" si="102"/>
        <v/>
      </c>
      <c r="K319" t="str">
        <f t="shared" si="103"/>
        <v/>
      </c>
      <c r="L319" t="str">
        <f t="shared" si="97"/>
        <v/>
      </c>
      <c r="M319" s="5" t="str">
        <f t="shared" si="96"/>
        <v/>
      </c>
      <c r="N319" s="7" t="str">
        <f t="shared" si="98"/>
        <v/>
      </c>
      <c r="O319" s="3" t="str">
        <f t="shared" si="89"/>
        <v/>
      </c>
      <c r="P319" s="3" t="str">
        <f t="shared" si="90"/>
        <v/>
      </c>
      <c r="Q319" s="3" t="str">
        <f t="shared" si="104"/>
        <v/>
      </c>
      <c r="R319" s="3" t="str">
        <f t="shared" si="92"/>
        <v/>
      </c>
      <c r="S319" s="3" t="str">
        <f>IF($L319&lt;&gt;"",IF($A319="Prepago",0,IF($H319*$U$5&gt;SUM($S$11:$S318)+$U$5,$U$5*2,$U$5)),"")</f>
        <v/>
      </c>
      <c r="T319" s="3" t="str">
        <f>IF($L319&lt;&gt;"",IF($A319="Prepago",0,IF($H319*$U$6&gt;SUM($T$11:$T318)+$U$6,$U$6*2,$U$6)),"")</f>
        <v/>
      </c>
      <c r="U319" s="3" t="str">
        <f>IF($L319&lt;&gt;"",IF($A319="Prepago",0,IF(ROUND($H319*$U$7,2)&gt;ROUND(SUM($U$11:$U318)+$U$7,2),$U$7*2,$U$7)),"")</f>
        <v/>
      </c>
      <c r="V319" s="3" t="str">
        <f>IF($L319&lt;&gt;"",IF($A319="Prepago",0,IF($H319*$U$8&gt;SUM($V$11:$V318)+$U$8,$U$8*2,$U$8)),"")</f>
        <v/>
      </c>
      <c r="W319" s="3" t="str">
        <f t="shared" si="99"/>
        <v/>
      </c>
      <c r="X319" s="3" t="str">
        <f t="shared" si="93"/>
        <v/>
      </c>
      <c r="Y319" s="3" t="str">
        <f t="shared" si="94"/>
        <v/>
      </c>
      <c r="Z319" s="3" t="str">
        <f t="shared" si="95"/>
        <v/>
      </c>
      <c r="AA319" s="3" t="str">
        <f>IF($L319&lt;&gt;"",IF($N319&gt;Z$11,IF($N319&lt;AA$11,$N319-Z$11,30),0)*ROUND(($O319+$X318+SUM($Z319:Z319))*$V$5/3000,2),"")</f>
        <v/>
      </c>
    </row>
    <row r="320" spans="5:27" x14ac:dyDescent="0.3">
      <c r="E320" s="5"/>
      <c r="F320" t="str">
        <f t="shared" si="100"/>
        <v/>
      </c>
      <c r="G320" s="5" t="str">
        <f t="shared" si="87"/>
        <v/>
      </c>
      <c r="H320" t="str">
        <f t="shared" si="101"/>
        <v/>
      </c>
      <c r="I320" t="str">
        <f t="shared" si="88"/>
        <v/>
      </c>
      <c r="J320" t="str">
        <f t="shared" si="102"/>
        <v/>
      </c>
      <c r="K320" t="str">
        <f t="shared" si="103"/>
        <v/>
      </c>
      <c r="L320" t="str">
        <f t="shared" si="97"/>
        <v/>
      </c>
      <c r="M320" s="5" t="str">
        <f t="shared" si="96"/>
        <v/>
      </c>
      <c r="N320" s="7" t="str">
        <f t="shared" si="98"/>
        <v/>
      </c>
      <c r="O320" s="3" t="str">
        <f t="shared" si="89"/>
        <v/>
      </c>
      <c r="P320" s="3" t="str">
        <f t="shared" si="90"/>
        <v/>
      </c>
      <c r="Q320" s="3" t="str">
        <f t="shared" si="104"/>
        <v/>
      </c>
      <c r="R320" s="3" t="str">
        <f t="shared" si="92"/>
        <v/>
      </c>
      <c r="S320" s="3" t="str">
        <f>IF($L320&lt;&gt;"",IF($A320="Prepago",0,IF($H320*$U$5&gt;SUM($S$11:$S319)+$U$5,$U$5*2,$U$5)),"")</f>
        <v/>
      </c>
      <c r="T320" s="3" t="str">
        <f>IF($L320&lt;&gt;"",IF($A320="Prepago",0,IF($H320*$U$6&gt;SUM($T$11:$T319)+$U$6,$U$6*2,$U$6)),"")</f>
        <v/>
      </c>
      <c r="U320" s="3" t="str">
        <f>IF($L320&lt;&gt;"",IF($A320="Prepago",0,IF(ROUND($H320*$U$7,2)&gt;ROUND(SUM($U$11:$U319)+$U$7,2),$U$7*2,$U$7)),"")</f>
        <v/>
      </c>
      <c r="V320" s="3" t="str">
        <f>IF($L320&lt;&gt;"",IF($A320="Prepago",0,IF($H320*$U$8&gt;SUM($V$11:$V319)+$U$8,$U$8*2,$U$8)),"")</f>
        <v/>
      </c>
      <c r="W320" s="3" t="str">
        <f t="shared" si="99"/>
        <v/>
      </c>
      <c r="X320" s="3" t="str">
        <f t="shared" si="93"/>
        <v/>
      </c>
      <c r="Y320" s="3" t="str">
        <f t="shared" si="94"/>
        <v/>
      </c>
      <c r="Z320" s="3" t="str">
        <f t="shared" si="95"/>
        <v/>
      </c>
      <c r="AA320" s="3" t="str">
        <f>IF($L320&lt;&gt;"",IF($N320&gt;Z$11,IF($N320&lt;AA$11,$N320-Z$11,30),0)*ROUND(($O320+$X319+SUM($Z320:Z320))*$V$5/3000,2),"")</f>
        <v/>
      </c>
    </row>
    <row r="321" spans="5:27" x14ac:dyDescent="0.3">
      <c r="E321" s="5"/>
      <c r="F321" t="str">
        <f t="shared" si="100"/>
        <v/>
      </c>
      <c r="G321" s="5" t="str">
        <f t="shared" si="87"/>
        <v/>
      </c>
      <c r="H321" t="str">
        <f t="shared" si="101"/>
        <v/>
      </c>
      <c r="I321" t="str">
        <f t="shared" si="88"/>
        <v/>
      </c>
      <c r="J321" t="str">
        <f t="shared" si="102"/>
        <v/>
      </c>
      <c r="K321" t="str">
        <f t="shared" si="103"/>
        <v/>
      </c>
      <c r="L321" t="str">
        <f t="shared" si="97"/>
        <v/>
      </c>
      <c r="M321" s="5" t="str">
        <f t="shared" si="96"/>
        <v/>
      </c>
      <c r="N321" s="7" t="str">
        <f t="shared" si="98"/>
        <v/>
      </c>
      <c r="O321" s="3" t="str">
        <f t="shared" si="89"/>
        <v/>
      </c>
      <c r="P321" s="3" t="str">
        <f t="shared" si="90"/>
        <v/>
      </c>
      <c r="Q321" s="3" t="str">
        <f t="shared" si="104"/>
        <v/>
      </c>
      <c r="R321" s="3" t="str">
        <f t="shared" si="92"/>
        <v/>
      </c>
      <c r="S321" s="3" t="str">
        <f>IF($L321&lt;&gt;"",IF($A321="Prepago",0,IF($H321*$U$5&gt;SUM($S$11:$S320)+$U$5,$U$5*2,$U$5)),"")</f>
        <v/>
      </c>
      <c r="T321" s="3" t="str">
        <f>IF($L321&lt;&gt;"",IF($A321="Prepago",0,IF($H321*$U$6&gt;SUM($T$11:$T320)+$U$6,$U$6*2,$U$6)),"")</f>
        <v/>
      </c>
      <c r="U321" s="3" t="str">
        <f>IF($L321&lt;&gt;"",IF($A321="Prepago",0,IF(ROUND($H321*$U$7,2)&gt;ROUND(SUM($U$11:$U320)+$U$7,2),$U$7*2,$U$7)),"")</f>
        <v/>
      </c>
      <c r="V321" s="3" t="str">
        <f>IF($L321&lt;&gt;"",IF($A321="Prepago",0,IF($H321*$U$8&gt;SUM($V$11:$V320)+$U$8,$U$8*2,$U$8)),"")</f>
        <v/>
      </c>
      <c r="W321" s="3" t="str">
        <f t="shared" si="99"/>
        <v/>
      </c>
      <c r="X321" s="3" t="str">
        <f t="shared" si="93"/>
        <v/>
      </c>
      <c r="Y321" s="3" t="str">
        <f t="shared" si="94"/>
        <v/>
      </c>
      <c r="Z321" s="3" t="str">
        <f t="shared" si="95"/>
        <v/>
      </c>
      <c r="AA321" s="3" t="str">
        <f>IF($L321&lt;&gt;"",IF($N321&gt;Z$11,IF($N321&lt;AA$11,$N321-Z$11,30),0)*ROUND(($O321+$X320+SUM($Z321:Z321))*$V$5/3000,2),"")</f>
        <v/>
      </c>
    </row>
    <row r="322" spans="5:27" x14ac:dyDescent="0.3">
      <c r="E322" s="5"/>
      <c r="F322" t="str">
        <f t="shared" si="100"/>
        <v/>
      </c>
      <c r="G322" s="5" t="str">
        <f t="shared" si="87"/>
        <v/>
      </c>
      <c r="H322" t="str">
        <f t="shared" si="101"/>
        <v/>
      </c>
      <c r="I322" t="str">
        <f t="shared" si="88"/>
        <v/>
      </c>
      <c r="J322" t="str">
        <f t="shared" si="102"/>
        <v/>
      </c>
      <c r="K322" t="str">
        <f t="shared" si="103"/>
        <v/>
      </c>
      <c r="L322" t="str">
        <f t="shared" si="97"/>
        <v/>
      </c>
      <c r="M322" s="5" t="str">
        <f t="shared" si="96"/>
        <v/>
      </c>
      <c r="N322" s="7" t="str">
        <f t="shared" si="98"/>
        <v/>
      </c>
      <c r="O322" s="3" t="str">
        <f t="shared" si="89"/>
        <v/>
      </c>
      <c r="P322" s="3" t="str">
        <f t="shared" si="90"/>
        <v/>
      </c>
      <c r="Q322" s="3" t="str">
        <f t="shared" si="104"/>
        <v/>
      </c>
      <c r="R322" s="3" t="str">
        <f t="shared" si="92"/>
        <v/>
      </c>
      <c r="S322" s="3" t="str">
        <f>IF($L322&lt;&gt;"",IF($A322="Prepago",0,IF($H322*$U$5&gt;SUM($S$11:$S321)+$U$5,$U$5*2,$U$5)),"")</f>
        <v/>
      </c>
      <c r="T322" s="3" t="str">
        <f>IF($L322&lt;&gt;"",IF($A322="Prepago",0,IF($H322*$U$6&gt;SUM($T$11:$T321)+$U$6,$U$6*2,$U$6)),"")</f>
        <v/>
      </c>
      <c r="U322" s="3" t="str">
        <f>IF($L322&lt;&gt;"",IF($A322="Prepago",0,IF(ROUND($H322*$U$7,2)&gt;ROUND(SUM($U$11:$U321)+$U$7,2),$U$7*2,$U$7)),"")</f>
        <v/>
      </c>
      <c r="V322" s="3" t="str">
        <f>IF($L322&lt;&gt;"",IF($A322="Prepago",0,IF($H322*$U$8&gt;SUM($V$11:$V321)+$U$8,$U$8*2,$U$8)),"")</f>
        <v/>
      </c>
      <c r="W322" s="3" t="str">
        <f t="shared" si="99"/>
        <v/>
      </c>
      <c r="X322" s="3" t="str">
        <f t="shared" si="93"/>
        <v/>
      </c>
      <c r="Y322" s="3" t="str">
        <f t="shared" si="94"/>
        <v/>
      </c>
      <c r="Z322" s="3" t="str">
        <f t="shared" si="95"/>
        <v/>
      </c>
      <c r="AA322" s="3" t="str">
        <f>IF($L322&lt;&gt;"",IF($N322&gt;Z$11,IF($N322&lt;AA$11,$N322-Z$11,30),0)*ROUND(($O322+$X321+SUM($Z322:Z322))*$V$5/3000,2),"")</f>
        <v/>
      </c>
    </row>
    <row r="323" spans="5:27" x14ac:dyDescent="0.3">
      <c r="E323" s="5"/>
      <c r="F323" t="str">
        <f t="shared" si="100"/>
        <v/>
      </c>
      <c r="G323" s="5" t="str">
        <f t="shared" si="87"/>
        <v/>
      </c>
      <c r="H323" t="str">
        <f t="shared" si="101"/>
        <v/>
      </c>
      <c r="I323" t="str">
        <f t="shared" si="88"/>
        <v/>
      </c>
      <c r="J323" t="str">
        <f t="shared" si="102"/>
        <v/>
      </c>
      <c r="K323" t="str">
        <f t="shared" si="103"/>
        <v/>
      </c>
      <c r="L323" t="str">
        <f t="shared" si="97"/>
        <v/>
      </c>
      <c r="M323" s="5" t="str">
        <f t="shared" si="96"/>
        <v/>
      </c>
      <c r="N323" s="7" t="str">
        <f t="shared" si="98"/>
        <v/>
      </c>
      <c r="O323" s="3" t="str">
        <f t="shared" si="89"/>
        <v/>
      </c>
      <c r="P323" s="3" t="str">
        <f t="shared" si="90"/>
        <v/>
      </c>
      <c r="Q323" s="3" t="str">
        <f t="shared" si="104"/>
        <v/>
      </c>
      <c r="R323" s="3" t="str">
        <f t="shared" si="92"/>
        <v/>
      </c>
      <c r="S323" s="3" t="str">
        <f>IF($L323&lt;&gt;"",IF($A323="Prepago",0,IF($H323*$U$5&gt;SUM($S$11:$S322)+$U$5,$U$5*2,$U$5)),"")</f>
        <v/>
      </c>
      <c r="T323" s="3" t="str">
        <f>IF($L323&lt;&gt;"",IF($A323="Prepago",0,IF($H323*$U$6&gt;SUM($T$11:$T322)+$U$6,$U$6*2,$U$6)),"")</f>
        <v/>
      </c>
      <c r="U323" s="3" t="str">
        <f>IF($L323&lt;&gt;"",IF($A323="Prepago",0,IF(ROUND($H323*$U$7,2)&gt;ROUND(SUM($U$11:$U322)+$U$7,2),$U$7*2,$U$7)),"")</f>
        <v/>
      </c>
      <c r="V323" s="3" t="str">
        <f>IF($L323&lt;&gt;"",IF($A323="Prepago",0,IF($H323*$U$8&gt;SUM($V$11:$V322)+$U$8,$U$8*2,$U$8)),"")</f>
        <v/>
      </c>
      <c r="W323" s="3" t="str">
        <f t="shared" si="99"/>
        <v/>
      </c>
      <c r="X323" s="3" t="str">
        <f t="shared" si="93"/>
        <v/>
      </c>
      <c r="Y323" s="3" t="str">
        <f t="shared" si="94"/>
        <v/>
      </c>
      <c r="Z323" s="3" t="str">
        <f t="shared" si="95"/>
        <v/>
      </c>
      <c r="AA323" s="3" t="str">
        <f>IF($L323&lt;&gt;"",IF($N323&gt;Z$11,IF($N323&lt;AA$11,$N323-Z$11,30),0)*ROUND(($O323+$X322+SUM($Z323:Z323))*$V$5/3000,2),"")</f>
        <v/>
      </c>
    </row>
    <row r="324" spans="5:27" x14ac:dyDescent="0.3">
      <c r="E324" s="5"/>
      <c r="F324" t="str">
        <f t="shared" si="100"/>
        <v/>
      </c>
      <c r="G324" s="5" t="str">
        <f t="shared" si="87"/>
        <v/>
      </c>
      <c r="H324" t="str">
        <f t="shared" si="101"/>
        <v/>
      </c>
      <c r="I324" t="str">
        <f t="shared" si="88"/>
        <v/>
      </c>
      <c r="J324" t="str">
        <f t="shared" si="102"/>
        <v/>
      </c>
      <c r="K324" t="str">
        <f t="shared" si="103"/>
        <v/>
      </c>
      <c r="L324" t="str">
        <f t="shared" si="97"/>
        <v/>
      </c>
      <c r="M324" s="5" t="str">
        <f t="shared" si="96"/>
        <v/>
      </c>
      <c r="N324" s="7" t="str">
        <f t="shared" si="98"/>
        <v/>
      </c>
      <c r="O324" s="3" t="str">
        <f t="shared" si="89"/>
        <v/>
      </c>
      <c r="P324" s="3" t="str">
        <f t="shared" si="90"/>
        <v/>
      </c>
      <c r="Q324" s="3" t="str">
        <f t="shared" si="104"/>
        <v/>
      </c>
      <c r="R324" s="3" t="str">
        <f t="shared" si="92"/>
        <v/>
      </c>
      <c r="S324" s="3" t="str">
        <f>IF($L324&lt;&gt;"",IF($A324="Prepago",0,IF($H324*$U$5&gt;SUM($S$11:$S323)+$U$5,$U$5*2,$U$5)),"")</f>
        <v/>
      </c>
      <c r="T324" s="3" t="str">
        <f>IF($L324&lt;&gt;"",IF($A324="Prepago",0,IF($H324*$U$6&gt;SUM($T$11:$T323)+$U$6,$U$6*2,$U$6)),"")</f>
        <v/>
      </c>
      <c r="U324" s="3" t="str">
        <f>IF($L324&lt;&gt;"",IF($A324="Prepago",0,IF(ROUND($H324*$U$7,2)&gt;ROUND(SUM($U$11:$U323)+$U$7,2),$U$7*2,$U$7)),"")</f>
        <v/>
      </c>
      <c r="V324" s="3" t="str">
        <f>IF($L324&lt;&gt;"",IF($A324="Prepago",0,IF($H324*$U$8&gt;SUM($V$11:$V323)+$U$8,$U$8*2,$U$8)),"")</f>
        <v/>
      </c>
      <c r="W324" s="3" t="str">
        <f t="shared" si="99"/>
        <v/>
      </c>
      <c r="X324" s="3" t="str">
        <f t="shared" si="93"/>
        <v/>
      </c>
      <c r="Y324" s="3" t="str">
        <f t="shared" si="94"/>
        <v/>
      </c>
      <c r="Z324" s="3" t="str">
        <f t="shared" si="95"/>
        <v/>
      </c>
      <c r="AA324" s="3" t="str">
        <f>IF($L324&lt;&gt;"",IF($N324&gt;Z$11,IF($N324&lt;AA$11,$N324-Z$11,30),0)*ROUND(($O324+$X323+SUM($Z324:Z324))*$V$5/3000,2),"")</f>
        <v/>
      </c>
    </row>
    <row r="325" spans="5:27" x14ac:dyDescent="0.3">
      <c r="E325" s="5"/>
      <c r="F325" t="str">
        <f t="shared" si="100"/>
        <v/>
      </c>
      <c r="G325" s="5" t="str">
        <f t="shared" si="87"/>
        <v/>
      </c>
      <c r="H325" t="str">
        <f t="shared" si="101"/>
        <v/>
      </c>
      <c r="I325" t="str">
        <f t="shared" si="88"/>
        <v/>
      </c>
      <c r="J325" t="str">
        <f t="shared" si="102"/>
        <v/>
      </c>
      <c r="K325" t="str">
        <f t="shared" si="103"/>
        <v/>
      </c>
      <c r="L325" t="str">
        <f t="shared" si="97"/>
        <v/>
      </c>
      <c r="M325" s="5" t="str">
        <f t="shared" si="96"/>
        <v/>
      </c>
      <c r="N325" s="7" t="str">
        <f t="shared" si="98"/>
        <v/>
      </c>
      <c r="O325" s="3" t="str">
        <f t="shared" si="89"/>
        <v/>
      </c>
      <c r="P325" s="3" t="str">
        <f t="shared" si="90"/>
        <v/>
      </c>
      <c r="Q325" s="3" t="str">
        <f t="shared" si="104"/>
        <v/>
      </c>
      <c r="R325" s="3" t="str">
        <f t="shared" si="92"/>
        <v/>
      </c>
      <c r="S325" s="3" t="str">
        <f>IF($L325&lt;&gt;"",IF($A325="Prepago",0,IF($H325*$U$5&gt;SUM($S$11:$S324)+$U$5,$U$5*2,$U$5)),"")</f>
        <v/>
      </c>
      <c r="T325" s="3" t="str">
        <f>IF($L325&lt;&gt;"",IF($A325="Prepago",0,IF($H325*$U$6&gt;SUM($T$11:$T324)+$U$6,$U$6*2,$U$6)),"")</f>
        <v/>
      </c>
      <c r="U325" s="3" t="str">
        <f>IF($L325&lt;&gt;"",IF($A325="Prepago",0,IF(ROUND($H325*$U$7,2)&gt;ROUND(SUM($U$11:$U324)+$U$7,2),$U$7*2,$U$7)),"")</f>
        <v/>
      </c>
      <c r="V325" s="3" t="str">
        <f>IF($L325&lt;&gt;"",IF($A325="Prepago",0,IF($H325*$U$8&gt;SUM($V$11:$V324)+$U$8,$U$8*2,$U$8)),"")</f>
        <v/>
      </c>
      <c r="W325" s="3" t="str">
        <f t="shared" si="99"/>
        <v/>
      </c>
      <c r="X325" s="3" t="str">
        <f t="shared" si="93"/>
        <v/>
      </c>
      <c r="Y325" s="3" t="str">
        <f t="shared" si="94"/>
        <v/>
      </c>
      <c r="Z325" s="3" t="str">
        <f t="shared" si="95"/>
        <v/>
      </c>
      <c r="AA325" s="3" t="str">
        <f>IF($L325&lt;&gt;"",IF($N325&gt;Z$11,IF($N325&lt;AA$11,$N325-Z$11,30),0)*ROUND(($O325+$X324+SUM($Z325:Z325))*$V$5/3000,2),"")</f>
        <v/>
      </c>
    </row>
    <row r="326" spans="5:27" x14ac:dyDescent="0.3">
      <c r="E326" s="5"/>
      <c r="F326" t="str">
        <f t="shared" si="100"/>
        <v/>
      </c>
      <c r="G326" s="5" t="str">
        <f t="shared" si="87"/>
        <v/>
      </c>
      <c r="H326" t="str">
        <f t="shared" si="101"/>
        <v/>
      </c>
      <c r="I326" t="str">
        <f t="shared" si="88"/>
        <v/>
      </c>
      <c r="J326" t="str">
        <f t="shared" si="102"/>
        <v/>
      </c>
      <c r="K326" t="str">
        <f t="shared" si="103"/>
        <v/>
      </c>
      <c r="L326" t="str">
        <f t="shared" si="97"/>
        <v/>
      </c>
      <c r="M326" s="5" t="str">
        <f t="shared" si="96"/>
        <v/>
      </c>
      <c r="N326" s="7" t="str">
        <f t="shared" si="98"/>
        <v/>
      </c>
      <c r="O326" s="3" t="str">
        <f t="shared" si="89"/>
        <v/>
      </c>
      <c r="P326" s="3" t="str">
        <f t="shared" si="90"/>
        <v/>
      </c>
      <c r="Q326" s="3" t="str">
        <f t="shared" si="104"/>
        <v/>
      </c>
      <c r="R326" s="3" t="str">
        <f t="shared" si="92"/>
        <v/>
      </c>
      <c r="S326" s="3" t="str">
        <f>IF($L326&lt;&gt;"",IF($A326="Prepago",0,IF($H326*$U$5&gt;SUM($S$11:$S325)+$U$5,$U$5*2,$U$5)),"")</f>
        <v/>
      </c>
      <c r="T326" s="3" t="str">
        <f>IF($L326&lt;&gt;"",IF($A326="Prepago",0,IF($H326*$U$6&gt;SUM($T$11:$T325)+$U$6,$U$6*2,$U$6)),"")</f>
        <v/>
      </c>
      <c r="U326" s="3" t="str">
        <f>IF($L326&lt;&gt;"",IF($A326="Prepago",0,IF(ROUND($H326*$U$7,2)&gt;ROUND(SUM($U$11:$U325)+$U$7,2),$U$7*2,$U$7)),"")</f>
        <v/>
      </c>
      <c r="V326" s="3" t="str">
        <f>IF($L326&lt;&gt;"",IF($A326="Prepago",0,IF($H326*$U$8&gt;SUM($V$11:$V325)+$U$8,$U$8*2,$U$8)),"")</f>
        <v/>
      </c>
      <c r="W326" s="3" t="str">
        <f t="shared" si="99"/>
        <v/>
      </c>
      <c r="X326" s="3" t="str">
        <f t="shared" si="93"/>
        <v/>
      </c>
      <c r="Y326" s="3" t="str">
        <f t="shared" si="94"/>
        <v/>
      </c>
      <c r="Z326" s="3" t="str">
        <f t="shared" si="95"/>
        <v/>
      </c>
      <c r="AA326" s="3" t="str">
        <f>IF($L326&lt;&gt;"",IF($N326&gt;Z$11,IF($N326&lt;AA$11,$N326-Z$11,30),0)*ROUND(($O326+$X325+SUM($Z326:Z326))*$V$5/3000,2),"")</f>
        <v/>
      </c>
    </row>
    <row r="327" spans="5:27" x14ac:dyDescent="0.3">
      <c r="E327" s="5"/>
      <c r="F327" t="str">
        <f t="shared" si="100"/>
        <v/>
      </c>
      <c r="G327" s="5" t="str">
        <f t="shared" si="87"/>
        <v/>
      </c>
      <c r="H327" t="str">
        <f t="shared" si="101"/>
        <v/>
      </c>
      <c r="I327" t="str">
        <f t="shared" si="88"/>
        <v/>
      </c>
      <c r="J327" t="str">
        <f t="shared" si="102"/>
        <v/>
      </c>
      <c r="K327" t="str">
        <f t="shared" si="103"/>
        <v/>
      </c>
      <c r="L327" t="str">
        <f t="shared" si="97"/>
        <v/>
      </c>
      <c r="M327" s="5" t="str">
        <f t="shared" si="96"/>
        <v/>
      </c>
      <c r="N327" s="7" t="str">
        <f t="shared" si="98"/>
        <v/>
      </c>
      <c r="O327" s="3" t="str">
        <f t="shared" si="89"/>
        <v/>
      </c>
      <c r="P327" s="3" t="str">
        <f t="shared" si="90"/>
        <v/>
      </c>
      <c r="Q327" s="3" t="str">
        <f t="shared" si="104"/>
        <v/>
      </c>
      <c r="R327" s="3" t="str">
        <f t="shared" si="92"/>
        <v/>
      </c>
      <c r="S327" s="3" t="str">
        <f>IF($L327&lt;&gt;"",IF($A327="Prepago",0,IF($H327*$U$5&gt;SUM($S$11:$S326)+$U$5,$U$5*2,$U$5)),"")</f>
        <v/>
      </c>
      <c r="T327" s="3" t="str">
        <f>IF($L327&lt;&gt;"",IF($A327="Prepago",0,IF($H327*$U$6&gt;SUM($T$11:$T326)+$U$6,$U$6*2,$U$6)),"")</f>
        <v/>
      </c>
      <c r="U327" s="3" t="str">
        <f>IF($L327&lt;&gt;"",IF($A327="Prepago",0,IF(ROUND($H327*$U$7,2)&gt;ROUND(SUM($U$11:$U326)+$U$7,2),$U$7*2,$U$7)),"")</f>
        <v/>
      </c>
      <c r="V327" s="3" t="str">
        <f>IF($L327&lt;&gt;"",IF($A327="Prepago",0,IF($H327*$U$8&gt;SUM($V$11:$V326)+$U$8,$U$8*2,$U$8)),"")</f>
        <v/>
      </c>
      <c r="W327" s="3" t="str">
        <f t="shared" si="99"/>
        <v/>
      </c>
      <c r="X327" s="3" t="str">
        <f t="shared" si="93"/>
        <v/>
      </c>
      <c r="Y327" s="3" t="str">
        <f t="shared" si="94"/>
        <v/>
      </c>
      <c r="Z327" s="3" t="str">
        <f t="shared" si="95"/>
        <v/>
      </c>
      <c r="AA327" s="3" t="str">
        <f>IF($L327&lt;&gt;"",IF($N327&gt;Z$11,IF($N327&lt;AA$11,$N327-Z$11,30),0)*ROUND(($O327+$X326+SUM($Z327:Z327))*$V$5/3000,2),"")</f>
        <v/>
      </c>
    </row>
    <row r="328" spans="5:27" x14ac:dyDescent="0.3">
      <c r="E328" s="5"/>
      <c r="F328" t="str">
        <f t="shared" si="100"/>
        <v/>
      </c>
      <c r="G328" s="5" t="str">
        <f t="shared" si="87"/>
        <v/>
      </c>
      <c r="H328" t="str">
        <f t="shared" si="101"/>
        <v/>
      </c>
      <c r="I328" t="str">
        <f t="shared" si="88"/>
        <v/>
      </c>
      <c r="J328" t="str">
        <f t="shared" si="102"/>
        <v/>
      </c>
      <c r="K328" t="str">
        <f t="shared" si="103"/>
        <v/>
      </c>
      <c r="L328" t="str">
        <f t="shared" si="97"/>
        <v/>
      </c>
      <c r="M328" s="5" t="str">
        <f t="shared" si="96"/>
        <v/>
      </c>
      <c r="N328" s="7" t="str">
        <f t="shared" si="98"/>
        <v/>
      </c>
      <c r="O328" s="3" t="str">
        <f t="shared" si="89"/>
        <v/>
      </c>
      <c r="P328" s="3" t="str">
        <f t="shared" si="90"/>
        <v/>
      </c>
      <c r="Q328" s="3" t="str">
        <f t="shared" si="104"/>
        <v/>
      </c>
      <c r="R328" s="3" t="str">
        <f t="shared" si="92"/>
        <v/>
      </c>
      <c r="S328" s="3" t="str">
        <f>IF($L328&lt;&gt;"",IF($A328="Prepago",0,IF($H328*$U$5&gt;SUM($S$11:$S327)+$U$5,$U$5*2,$U$5)),"")</f>
        <v/>
      </c>
      <c r="T328" s="3" t="str">
        <f>IF($L328&lt;&gt;"",IF($A328="Prepago",0,IF($H328*$U$6&gt;SUM($T$11:$T327)+$U$6,$U$6*2,$U$6)),"")</f>
        <v/>
      </c>
      <c r="U328" s="3" t="str">
        <f>IF($L328&lt;&gt;"",IF($A328="Prepago",0,IF(ROUND($H328*$U$7,2)&gt;ROUND(SUM($U$11:$U327)+$U$7,2),$U$7*2,$U$7)),"")</f>
        <v/>
      </c>
      <c r="V328" s="3" t="str">
        <f>IF($L328&lt;&gt;"",IF($A328="Prepago",0,IF($H328*$U$8&gt;SUM($V$11:$V327)+$U$8,$U$8*2,$U$8)),"")</f>
        <v/>
      </c>
      <c r="W328" s="3" t="str">
        <f t="shared" si="99"/>
        <v/>
      </c>
      <c r="X328" s="3" t="str">
        <f t="shared" si="93"/>
        <v/>
      </c>
      <c r="Y328" s="3" t="str">
        <f t="shared" si="94"/>
        <v/>
      </c>
      <c r="Z328" s="3" t="str">
        <f t="shared" si="95"/>
        <v/>
      </c>
      <c r="AA328" s="3" t="str">
        <f>IF($L328&lt;&gt;"",IF($N328&gt;Z$11,IF($N328&lt;AA$11,$N328-Z$11,30),0)*ROUND(($O328+$X327+SUM($Z328:Z328))*$V$5/3000,2),"")</f>
        <v/>
      </c>
    </row>
    <row r="329" spans="5:27" x14ac:dyDescent="0.3">
      <c r="E329" s="5"/>
      <c r="F329" t="str">
        <f t="shared" si="100"/>
        <v/>
      </c>
      <c r="G329" s="5" t="str">
        <f t="shared" si="87"/>
        <v/>
      </c>
      <c r="H329" t="str">
        <f t="shared" si="101"/>
        <v/>
      </c>
      <c r="I329" t="str">
        <f t="shared" si="88"/>
        <v/>
      </c>
      <c r="J329" t="str">
        <f t="shared" si="102"/>
        <v/>
      </c>
      <c r="K329" t="str">
        <f t="shared" si="103"/>
        <v/>
      </c>
      <c r="L329" t="str">
        <f t="shared" si="97"/>
        <v/>
      </c>
      <c r="M329" s="5" t="str">
        <f t="shared" si="96"/>
        <v/>
      </c>
      <c r="N329" s="7" t="str">
        <f t="shared" si="98"/>
        <v/>
      </c>
      <c r="O329" s="3" t="str">
        <f t="shared" si="89"/>
        <v/>
      </c>
      <c r="P329" s="3" t="str">
        <f t="shared" si="90"/>
        <v/>
      </c>
      <c r="Q329" s="3" t="str">
        <f t="shared" si="104"/>
        <v/>
      </c>
      <c r="R329" s="3" t="str">
        <f t="shared" si="92"/>
        <v/>
      </c>
      <c r="S329" s="3" t="str">
        <f>IF($L329&lt;&gt;"",IF($A329="Prepago",0,IF($H329*$U$5&gt;SUM($S$11:$S328)+$U$5,$U$5*2,$U$5)),"")</f>
        <v/>
      </c>
      <c r="T329" s="3" t="str">
        <f>IF($L329&lt;&gt;"",IF($A329="Prepago",0,IF($H329*$U$6&gt;SUM($T$11:$T328)+$U$6,$U$6*2,$U$6)),"")</f>
        <v/>
      </c>
      <c r="U329" s="3" t="str">
        <f>IF($L329&lt;&gt;"",IF($A329="Prepago",0,IF(ROUND($H329*$U$7,2)&gt;ROUND(SUM($U$11:$U328)+$U$7,2),$U$7*2,$U$7)),"")</f>
        <v/>
      </c>
      <c r="V329" s="3" t="str">
        <f>IF($L329&lt;&gt;"",IF($A329="Prepago",0,IF($H329*$U$8&gt;SUM($V$11:$V328)+$U$8,$U$8*2,$U$8)),"")</f>
        <v/>
      </c>
      <c r="W329" s="3" t="str">
        <f t="shared" si="99"/>
        <v/>
      </c>
      <c r="X329" s="3" t="str">
        <f t="shared" si="93"/>
        <v/>
      </c>
      <c r="Y329" s="3" t="str">
        <f t="shared" si="94"/>
        <v/>
      </c>
      <c r="Z329" s="3" t="str">
        <f t="shared" si="95"/>
        <v/>
      </c>
      <c r="AA329" s="3" t="str">
        <f>IF($L329&lt;&gt;"",IF($N329&gt;Z$11,IF($N329&lt;AA$11,$N329-Z$11,30),0)*ROUND(($O329+$X328+SUM($Z329:Z329))*$V$5/3000,2),"")</f>
        <v/>
      </c>
    </row>
    <row r="330" spans="5:27" x14ac:dyDescent="0.3">
      <c r="E330" s="5"/>
      <c r="F330" t="str">
        <f t="shared" si="100"/>
        <v/>
      </c>
      <c r="G330" s="5" t="str">
        <f t="shared" si="87"/>
        <v/>
      </c>
      <c r="H330" t="str">
        <f t="shared" si="101"/>
        <v/>
      </c>
      <c r="I330" t="str">
        <f t="shared" si="88"/>
        <v/>
      </c>
      <c r="J330" t="str">
        <f t="shared" si="102"/>
        <v/>
      </c>
      <c r="K330" t="str">
        <f t="shared" si="103"/>
        <v/>
      </c>
      <c r="L330" t="str">
        <f t="shared" si="97"/>
        <v/>
      </c>
      <c r="M330" s="5" t="str">
        <f t="shared" si="96"/>
        <v/>
      </c>
      <c r="N330" s="7" t="str">
        <f t="shared" si="98"/>
        <v/>
      </c>
      <c r="O330" s="3" t="str">
        <f t="shared" si="89"/>
        <v/>
      </c>
      <c r="P330" s="3" t="str">
        <f t="shared" si="90"/>
        <v/>
      </c>
      <c r="Q330" s="3" t="str">
        <f t="shared" si="104"/>
        <v/>
      </c>
      <c r="R330" s="3" t="str">
        <f t="shared" si="92"/>
        <v/>
      </c>
      <c r="S330" s="3" t="str">
        <f>IF($L330&lt;&gt;"",IF($A330="Prepago",0,IF($H330*$U$5&gt;SUM($S$11:$S329)+$U$5,$U$5*2,$U$5)),"")</f>
        <v/>
      </c>
      <c r="T330" s="3" t="str">
        <f>IF($L330&lt;&gt;"",IF($A330="Prepago",0,IF($H330*$U$6&gt;SUM($T$11:$T329)+$U$6,$U$6*2,$U$6)),"")</f>
        <v/>
      </c>
      <c r="U330" s="3" t="str">
        <f>IF($L330&lt;&gt;"",IF($A330="Prepago",0,IF(ROUND($H330*$U$7,2)&gt;ROUND(SUM($U$11:$U329)+$U$7,2),$U$7*2,$U$7)),"")</f>
        <v/>
      </c>
      <c r="V330" s="3" t="str">
        <f>IF($L330&lt;&gt;"",IF($A330="Prepago",0,IF($H330*$U$8&gt;SUM($V$11:$V329)+$U$8,$U$8*2,$U$8)),"")</f>
        <v/>
      </c>
      <c r="W330" s="3" t="str">
        <f t="shared" si="99"/>
        <v/>
      </c>
      <c r="X330" s="3" t="str">
        <f t="shared" si="93"/>
        <v/>
      </c>
      <c r="Y330" s="3" t="str">
        <f t="shared" si="94"/>
        <v/>
      </c>
      <c r="Z330" s="3" t="str">
        <f t="shared" si="95"/>
        <v/>
      </c>
      <c r="AA330" s="3" t="str">
        <f>IF($L330&lt;&gt;"",IF($N330&gt;Z$11,IF($N330&lt;AA$11,$N330-Z$11,30),0)*ROUND(($O330+$X329+SUM($Z330:Z330))*$V$5/3000,2),"")</f>
        <v/>
      </c>
    </row>
    <row r="331" spans="5:27" x14ac:dyDescent="0.3">
      <c r="E331" s="5"/>
      <c r="F331" t="str">
        <f t="shared" si="100"/>
        <v/>
      </c>
      <c r="G331" s="5" t="str">
        <f t="shared" si="87"/>
        <v/>
      </c>
      <c r="H331" t="str">
        <f t="shared" si="101"/>
        <v/>
      </c>
      <c r="I331" t="str">
        <f t="shared" si="88"/>
        <v/>
      </c>
      <c r="J331" t="str">
        <f t="shared" si="102"/>
        <v/>
      </c>
      <c r="K331" t="str">
        <f t="shared" si="103"/>
        <v/>
      </c>
      <c r="L331" t="str">
        <f t="shared" si="97"/>
        <v/>
      </c>
      <c r="M331" s="5" t="str">
        <f t="shared" si="96"/>
        <v/>
      </c>
      <c r="N331" s="7" t="str">
        <f t="shared" si="98"/>
        <v/>
      </c>
      <c r="O331" s="3" t="str">
        <f t="shared" si="89"/>
        <v/>
      </c>
      <c r="P331" s="3" t="str">
        <f t="shared" si="90"/>
        <v/>
      </c>
      <c r="Q331" s="3" t="str">
        <f t="shared" si="104"/>
        <v/>
      </c>
      <c r="R331" s="3" t="str">
        <f t="shared" si="92"/>
        <v/>
      </c>
      <c r="S331" s="3" t="str">
        <f>IF($L331&lt;&gt;"",IF($A331="Prepago",0,IF($H331*$U$5&gt;SUM($S$11:$S330)+$U$5,$U$5*2,$U$5)),"")</f>
        <v/>
      </c>
      <c r="T331" s="3" t="str">
        <f>IF($L331&lt;&gt;"",IF($A331="Prepago",0,IF($H331*$U$6&gt;SUM($T$11:$T330)+$U$6,$U$6*2,$U$6)),"")</f>
        <v/>
      </c>
      <c r="U331" s="3" t="str">
        <f>IF($L331&lt;&gt;"",IF($A331="Prepago",0,IF(ROUND($H331*$U$7,2)&gt;ROUND(SUM($U$11:$U330)+$U$7,2),$U$7*2,$U$7)),"")</f>
        <v/>
      </c>
      <c r="V331" s="3" t="str">
        <f>IF($L331&lt;&gt;"",IF($A331="Prepago",0,IF($H331*$U$8&gt;SUM($V$11:$V330)+$U$8,$U$8*2,$U$8)),"")</f>
        <v/>
      </c>
      <c r="W331" s="3" t="str">
        <f t="shared" si="99"/>
        <v/>
      </c>
      <c r="X331" s="3" t="str">
        <f t="shared" si="93"/>
        <v/>
      </c>
      <c r="Y331" s="3" t="str">
        <f t="shared" si="94"/>
        <v/>
      </c>
      <c r="Z331" s="3" t="str">
        <f t="shared" si="95"/>
        <v/>
      </c>
      <c r="AA331" s="3" t="str">
        <f>IF($L331&lt;&gt;"",IF($N331&gt;Z$11,IF($N331&lt;AA$11,$N331-Z$11,30),0)*ROUND(($O331+$X330+SUM($Z331:Z331))*$V$5/3000,2),"")</f>
        <v/>
      </c>
    </row>
    <row r="332" spans="5:27" x14ac:dyDescent="0.3">
      <c r="E332" s="5"/>
      <c r="F332" t="str">
        <f t="shared" si="100"/>
        <v/>
      </c>
      <c r="G332" s="5" t="str">
        <f t="shared" ref="G332:G395" si="105">IF($L332&lt;&gt;"",EOMONTH(DATE(YEAR($M$11),MONTH($M$11)-IF(DAY($N$6)&lt;$N$7,1,0),DAY($M$11)),($H332*$A$1)+IF(MESADICIONAL=TRUE,1,0)),"")</f>
        <v/>
      </c>
      <c r="H332" t="str">
        <f t="shared" si="101"/>
        <v/>
      </c>
      <c r="I332" t="str">
        <f t="shared" si="88"/>
        <v/>
      </c>
      <c r="J332" t="str">
        <f t="shared" si="102"/>
        <v/>
      </c>
      <c r="K332" t="str">
        <f t="shared" si="103"/>
        <v/>
      </c>
      <c r="L332" t="str">
        <f t="shared" si="97"/>
        <v/>
      </c>
      <c r="M332" s="5" t="str">
        <f t="shared" si="96"/>
        <v/>
      </c>
      <c r="N332" s="7" t="str">
        <f t="shared" si="98"/>
        <v/>
      </c>
      <c r="O332" s="3" t="str">
        <f t="shared" si="89"/>
        <v/>
      </c>
      <c r="P332" s="3" t="str">
        <f t="shared" si="90"/>
        <v/>
      </c>
      <c r="Q332" s="3" t="str">
        <f t="shared" si="104"/>
        <v/>
      </c>
      <c r="R332" s="3" t="str">
        <f t="shared" si="92"/>
        <v/>
      </c>
      <c r="S332" s="3" t="str">
        <f>IF($L332&lt;&gt;"",IF($A332="Prepago",0,IF($H332*$U$5&gt;SUM($S$11:$S331)+$U$5,$U$5*2,$U$5)),"")</f>
        <v/>
      </c>
      <c r="T332" s="3" t="str">
        <f>IF($L332&lt;&gt;"",IF($A332="Prepago",0,IF($H332*$U$6&gt;SUM($T$11:$T331)+$U$6,$U$6*2,$U$6)),"")</f>
        <v/>
      </c>
      <c r="U332" s="3" t="str">
        <f>IF($L332&lt;&gt;"",IF($A332="Prepago",0,IF(ROUND($H332*$U$7,2)&gt;ROUND(SUM($U$11:$U331)+$U$7,2),$U$7*2,$U$7)),"")</f>
        <v/>
      </c>
      <c r="V332" s="3" t="str">
        <f>IF($L332&lt;&gt;"",IF($A332="Prepago",0,IF($H332*$U$8&gt;SUM($V$11:$V331)+$U$8,$U$8*2,$U$8)),"")</f>
        <v/>
      </c>
      <c r="W332" s="3" t="str">
        <f t="shared" si="99"/>
        <v/>
      </c>
      <c r="X332" s="3" t="str">
        <f t="shared" si="93"/>
        <v/>
      </c>
      <c r="Y332" s="3" t="str">
        <f t="shared" si="94"/>
        <v/>
      </c>
      <c r="Z332" s="3" t="str">
        <f t="shared" si="95"/>
        <v/>
      </c>
      <c r="AA332" s="3" t="str">
        <f>IF($L332&lt;&gt;"",IF($N332&gt;Z$11,IF($N332&lt;AA$11,$N332-Z$11,30),0)*ROUND(($O332+$X331+SUM($Z332:Z332))*$V$5/3000,2),"")</f>
        <v/>
      </c>
    </row>
    <row r="333" spans="5:27" x14ac:dyDescent="0.3">
      <c r="E333" s="5"/>
      <c r="F333" t="str">
        <f t="shared" si="100"/>
        <v/>
      </c>
      <c r="G333" s="5" t="str">
        <f t="shared" si="105"/>
        <v/>
      </c>
      <c r="H333" t="str">
        <f t="shared" si="101"/>
        <v/>
      </c>
      <c r="I333" t="str">
        <f t="shared" si="88"/>
        <v/>
      </c>
      <c r="J333" t="str">
        <f t="shared" si="102"/>
        <v/>
      </c>
      <c r="K333" t="str">
        <f t="shared" si="103"/>
        <v/>
      </c>
      <c r="L333" t="str">
        <f t="shared" si="97"/>
        <v/>
      </c>
      <c r="M333" s="5" t="str">
        <f t="shared" ref="M333:M396" si="106">IF($L333&lt;&gt;"",IF($E333="",IF(DAY($G333)&lt;$N$7,$G333,DATE(YEAR($G333),MONTH($G333),$N$7)),$E333),"")</f>
        <v/>
      </c>
      <c r="N333" s="7" t="str">
        <f t="shared" si="98"/>
        <v/>
      </c>
      <c r="O333" s="3" t="str">
        <f t="shared" si="89"/>
        <v/>
      </c>
      <c r="P333" s="3" t="str">
        <f t="shared" si="90"/>
        <v/>
      </c>
      <c r="Q333" s="3" t="str">
        <f t="shared" si="104"/>
        <v/>
      </c>
      <c r="R333" s="3" t="str">
        <f t="shared" si="92"/>
        <v/>
      </c>
      <c r="S333" s="3" t="str">
        <f>IF($L333&lt;&gt;"",IF($A333="Prepago",0,IF($H333*$U$5&gt;SUM($S$11:$S332)+$U$5,$U$5*2,$U$5)),"")</f>
        <v/>
      </c>
      <c r="T333" s="3" t="str">
        <f>IF($L333&lt;&gt;"",IF($A333="Prepago",0,IF($H333*$U$6&gt;SUM($T$11:$T332)+$U$6,$U$6*2,$U$6)),"")</f>
        <v/>
      </c>
      <c r="U333" s="3" t="str">
        <f>IF($L333&lt;&gt;"",IF($A333="Prepago",0,IF(ROUND($H333*$U$7,2)&gt;ROUND(SUM($U$11:$U332)+$U$7,2),$U$7*2,$U$7)),"")</f>
        <v/>
      </c>
      <c r="V333" s="3" t="str">
        <f>IF($L333&lt;&gt;"",IF($A333="Prepago",0,IF($H333*$U$8&gt;SUM($V$11:$V332)+$U$8,$U$8*2,$U$8)),"")</f>
        <v/>
      </c>
      <c r="W333" s="3" t="str">
        <f t="shared" si="99"/>
        <v/>
      </c>
      <c r="X333" s="3" t="str">
        <f t="shared" si="93"/>
        <v/>
      </c>
      <c r="Y333" s="3" t="str">
        <f t="shared" si="94"/>
        <v/>
      </c>
      <c r="Z333" s="3" t="str">
        <f t="shared" si="95"/>
        <v/>
      </c>
      <c r="AA333" s="3" t="str">
        <f>IF($L333&lt;&gt;"",IF($N333&gt;Z$11,IF($N333&lt;AA$11,$N333-Z$11,30),0)*ROUND(($O333+$X332+SUM($Z333:Z333))*$V$5/3000,2),"")</f>
        <v/>
      </c>
    </row>
    <row r="334" spans="5:27" x14ac:dyDescent="0.3">
      <c r="E334" s="5"/>
      <c r="F334" t="str">
        <f t="shared" ref="F334:F397" si="107">IF($L334&lt;&gt;"",TEXT(M334,"DDD"),"")</f>
        <v/>
      </c>
      <c r="G334" s="5" t="str">
        <f t="shared" si="105"/>
        <v/>
      </c>
      <c r="H334" t="str">
        <f t="shared" ref="H334:H397" si="108">IF($L334&lt;&gt;"",IF($A334="Prepago",$H333,$H333+1)+B334,"")</f>
        <v/>
      </c>
      <c r="I334" t="str">
        <f t="shared" ref="I334:I397" si="109">IF(L334&lt;&gt;"",IF(COUNTA($Z334:$XFD334)*30&lt;$N334,1,0),"")</f>
        <v/>
      </c>
      <c r="J334" t="str">
        <f t="shared" ref="J334:J397" si="110">IF($L334&lt;&gt;"",IF(OR(A334&lt;&gt;"",C334&lt;&gt;""),1,0),"")</f>
        <v/>
      </c>
      <c r="K334" t="str">
        <f t="shared" ref="K334:K397" si="111">IF($L334&lt;&gt;"",IF(J334=1,Q334,0),"")</f>
        <v/>
      </c>
      <c r="L334" t="str">
        <f t="shared" si="97"/>
        <v/>
      </c>
      <c r="M334" s="5" t="str">
        <f t="shared" si="106"/>
        <v/>
      </c>
      <c r="N334" s="7" t="str">
        <f t="shared" si="98"/>
        <v/>
      </c>
      <c r="O334" s="3" t="str">
        <f t="shared" ref="O334:O397" si="112">IF($L334&lt;&gt;"",$W333,"")</f>
        <v/>
      </c>
      <c r="P334" s="3" t="str">
        <f t="shared" ref="P334:P397" si="113">IF($L334&lt;&gt;"",IF($A334="Gracia Parcial",IF(AND($C334&lt;$Y334+$S334+$T334+$V334+$X333,$C334&gt;0),$C334,$Y334+$S334+$T334+$V334+$X333),IF($A334="Gracia Total",0,IF($A334="Prepago",$C334,IF(ISNUMBER($C334),$C334*VALUE(MID($C$1,MONTH($M334),1)),$Q$5*VALUE(MID($C$1,MONTH($M334),1))))))-IF($L335="",ARREGLO,0),"")</f>
        <v/>
      </c>
      <c r="Q334" s="3" t="str">
        <f t="shared" ref="Q334:Q397" si="114">IF($L334&lt;&gt;"",IF($P334-$R334&gt;0,IF($P334&gt;=$R334+$S334+$T334+$V334,$P334-$R334-$S334-$T334-$V334,P334),0),"")</f>
        <v/>
      </c>
      <c r="R334" s="3" t="str">
        <f t="shared" ref="R334:R397" si="115">IF($L334&lt;&gt;"",IF($P334&gt;IF($D334="",$Y334,$D334)+$X333+$S334+$T334+$V334,IF($D334="",$Y334,$D334)+$X333,IF($P334&gt;=$S334+$T334+$V334,$P334-$S334-$T334-$V334,IF($D334="",$Y334,$D334)+$X333)),"")</f>
        <v/>
      </c>
      <c r="S334" s="3" t="str">
        <f>IF($L334&lt;&gt;"",IF($A334="Prepago",0,IF($H334*$U$5&gt;SUM($S$11:$S333)+$U$5,$U$5*2,$U$5)),"")</f>
        <v/>
      </c>
      <c r="T334" s="3" t="str">
        <f>IF($L334&lt;&gt;"",IF($A334="Prepago",0,IF($H334*$U$6&gt;SUM($T$11:$T333)+$U$6,$U$6*2,$U$6)),"")</f>
        <v/>
      </c>
      <c r="U334" s="3" t="str">
        <f>IF($L334&lt;&gt;"",IF($A334="Prepago",0,IF(ROUND($H334*$U$7,2)&gt;ROUND(SUM($U$11:$U333)+$U$7,2),$U$7*2,$U$7)),"")</f>
        <v/>
      </c>
      <c r="V334" s="3" t="str">
        <f>IF($L334&lt;&gt;"",IF($A334="Prepago",0,IF($H334*$U$8&gt;SUM($V$11:$V333)+$U$8,$U$8*2,$U$8)),"")</f>
        <v/>
      </c>
      <c r="W334" s="3" t="str">
        <f t="shared" si="99"/>
        <v/>
      </c>
      <c r="X334" s="3" t="str">
        <f t="shared" ref="X334:X397" si="116">IF($L334&lt;&gt;"",+$X333+IF($D334="",$Y334,$D334)-$R334,"")</f>
        <v/>
      </c>
      <c r="Y334" s="3" t="str">
        <f t="shared" si="94"/>
        <v/>
      </c>
      <c r="Z334" s="3" t="str">
        <f t="shared" ref="Z334:Z397" si="117">IF($L334&lt;&gt;"",IF($N334&gt;Z$11,30,$N334)*ROUND(($O334+$X333)*$V$5/3000,2),"")</f>
        <v/>
      </c>
      <c r="AA334" s="3" t="str">
        <f>IF($L334&lt;&gt;"",IF($N334&gt;Z$11,IF($N334&lt;AA$11,$N334-Z$11,30),0)*ROUND(($O334+$X333+SUM($Z334:Z334))*$V$5/3000,2),"")</f>
        <v/>
      </c>
    </row>
    <row r="335" spans="5:27" x14ac:dyDescent="0.3">
      <c r="E335" s="5"/>
      <c r="F335" t="str">
        <f t="shared" si="107"/>
        <v/>
      </c>
      <c r="G335" s="5" t="str">
        <f t="shared" si="105"/>
        <v/>
      </c>
      <c r="H335" t="str">
        <f t="shared" si="108"/>
        <v/>
      </c>
      <c r="I335" t="str">
        <f t="shared" si="109"/>
        <v/>
      </c>
      <c r="J335" t="str">
        <f t="shared" si="110"/>
        <v/>
      </c>
      <c r="K335" t="str">
        <f t="shared" si="111"/>
        <v/>
      </c>
      <c r="L335" t="str">
        <f t="shared" si="97"/>
        <v/>
      </c>
      <c r="M335" s="5" t="str">
        <f t="shared" si="106"/>
        <v/>
      </c>
      <c r="N335" s="7" t="str">
        <f t="shared" si="98"/>
        <v/>
      </c>
      <c r="O335" s="3" t="str">
        <f t="shared" si="112"/>
        <v/>
      </c>
      <c r="P335" s="3" t="str">
        <f t="shared" si="113"/>
        <v/>
      </c>
      <c r="Q335" s="3" t="str">
        <f t="shared" si="114"/>
        <v/>
      </c>
      <c r="R335" s="3" t="str">
        <f t="shared" si="115"/>
        <v/>
      </c>
      <c r="S335" s="3" t="str">
        <f>IF($L335&lt;&gt;"",IF($A335="Prepago",0,IF($H335*$U$5&gt;SUM($S$11:$S334)+$U$5,$U$5*2,$U$5)),"")</f>
        <v/>
      </c>
      <c r="T335" s="3" t="str">
        <f>IF($L335&lt;&gt;"",IF($A335="Prepago",0,IF($H335*$U$6&gt;SUM($T$11:$T334)+$U$6,$U$6*2,$U$6)),"")</f>
        <v/>
      </c>
      <c r="U335" s="3" t="str">
        <f>IF($L335&lt;&gt;"",IF($A335="Prepago",0,IF(ROUND($H335*$U$7,2)&gt;ROUND(SUM($U$11:$U334)+$U$7,2),$U$7*2,$U$7)),"")</f>
        <v/>
      </c>
      <c r="V335" s="3" t="str">
        <f>IF($L335&lt;&gt;"",IF($A335="Prepago",0,IF($H335*$U$8&gt;SUM($V$11:$V334)+$U$8,$U$8*2,$U$8)),"")</f>
        <v/>
      </c>
      <c r="W335" s="3" t="str">
        <f t="shared" si="99"/>
        <v/>
      </c>
      <c r="X335" s="3" t="str">
        <f t="shared" si="116"/>
        <v/>
      </c>
      <c r="Y335" s="3" t="str">
        <f t="shared" ref="Y335:Y398" si="118">IF($L335&lt;&gt;"",SUM($Z335:$XFD335),"")</f>
        <v/>
      </c>
      <c r="Z335" s="3" t="str">
        <f t="shared" si="117"/>
        <v/>
      </c>
      <c r="AA335" s="3" t="str">
        <f>IF($L335&lt;&gt;"",IF($N335&gt;Z$11,IF($N335&lt;AA$11,$N335-Z$11,30),0)*ROUND(($O335+$X334+SUM($Z335:Z335))*$V$5/3000,2),"")</f>
        <v/>
      </c>
    </row>
    <row r="336" spans="5:27" x14ac:dyDescent="0.3">
      <c r="E336" s="5"/>
      <c r="F336" t="str">
        <f t="shared" si="107"/>
        <v/>
      </c>
      <c r="G336" s="5" t="str">
        <f t="shared" si="105"/>
        <v/>
      </c>
      <c r="H336" t="str">
        <f t="shared" si="108"/>
        <v/>
      </c>
      <c r="I336" t="str">
        <f t="shared" si="109"/>
        <v/>
      </c>
      <c r="J336" t="str">
        <f t="shared" si="110"/>
        <v/>
      </c>
      <c r="K336" t="str">
        <f t="shared" si="111"/>
        <v/>
      </c>
      <c r="L336" t="str">
        <f t="shared" si="97"/>
        <v/>
      </c>
      <c r="M336" s="5" t="str">
        <f t="shared" si="106"/>
        <v/>
      </c>
      <c r="N336" s="7" t="str">
        <f t="shared" si="98"/>
        <v/>
      </c>
      <c r="O336" s="3" t="str">
        <f t="shared" si="112"/>
        <v/>
      </c>
      <c r="P336" s="3" t="str">
        <f t="shared" si="113"/>
        <v/>
      </c>
      <c r="Q336" s="3" t="str">
        <f t="shared" si="114"/>
        <v/>
      </c>
      <c r="R336" s="3" t="str">
        <f t="shared" si="115"/>
        <v/>
      </c>
      <c r="S336" s="3" t="str">
        <f>IF($L336&lt;&gt;"",IF($A336="Prepago",0,IF($H336*$U$5&gt;SUM($S$11:$S335)+$U$5,$U$5*2,$U$5)),"")</f>
        <v/>
      </c>
      <c r="T336" s="3" t="str">
        <f>IF($L336&lt;&gt;"",IF($A336="Prepago",0,IF($H336*$U$6&gt;SUM($T$11:$T335)+$U$6,$U$6*2,$U$6)),"")</f>
        <v/>
      </c>
      <c r="U336" s="3" t="str">
        <f>IF($L336&lt;&gt;"",IF($A336="Prepago",0,IF(ROUND($H336*$U$7,2)&gt;ROUND(SUM($U$11:$U335)+$U$7,2),$U$7*2,$U$7)),"")</f>
        <v/>
      </c>
      <c r="V336" s="3" t="str">
        <f>IF($L336&lt;&gt;"",IF($A336="Prepago",0,IF($H336*$U$8&gt;SUM($V$11:$V335)+$U$8,$U$8*2,$U$8)),"")</f>
        <v/>
      </c>
      <c r="W336" s="3" t="str">
        <f t="shared" si="99"/>
        <v/>
      </c>
      <c r="X336" s="3" t="str">
        <f t="shared" si="116"/>
        <v/>
      </c>
      <c r="Y336" s="3" t="str">
        <f t="shared" si="118"/>
        <v/>
      </c>
      <c r="Z336" s="3" t="str">
        <f t="shared" si="117"/>
        <v/>
      </c>
      <c r="AA336" s="3" t="str">
        <f>IF($L336&lt;&gt;"",IF($N336&gt;Z$11,IF($N336&lt;AA$11,$N336-Z$11,30),0)*ROUND(($O336+$X335+SUM($Z336:Z336))*$V$5/3000,2),"")</f>
        <v/>
      </c>
    </row>
    <row r="337" spans="5:27" x14ac:dyDescent="0.3">
      <c r="E337" s="5"/>
      <c r="F337" t="str">
        <f t="shared" si="107"/>
        <v/>
      </c>
      <c r="G337" s="5" t="str">
        <f t="shared" si="105"/>
        <v/>
      </c>
      <c r="H337" t="str">
        <f t="shared" si="108"/>
        <v/>
      </c>
      <c r="I337" t="str">
        <f t="shared" si="109"/>
        <v/>
      </c>
      <c r="J337" t="str">
        <f t="shared" si="110"/>
        <v/>
      </c>
      <c r="K337" t="str">
        <f t="shared" si="111"/>
        <v/>
      </c>
      <c r="L337" t="str">
        <f t="shared" si="97"/>
        <v/>
      </c>
      <c r="M337" s="5" t="str">
        <f t="shared" si="106"/>
        <v/>
      </c>
      <c r="N337" s="7" t="str">
        <f t="shared" si="98"/>
        <v/>
      </c>
      <c r="O337" s="3" t="str">
        <f t="shared" si="112"/>
        <v/>
      </c>
      <c r="P337" s="3" t="str">
        <f t="shared" si="113"/>
        <v/>
      </c>
      <c r="Q337" s="3" t="str">
        <f t="shared" si="114"/>
        <v/>
      </c>
      <c r="R337" s="3" t="str">
        <f t="shared" si="115"/>
        <v/>
      </c>
      <c r="S337" s="3" t="str">
        <f>IF($L337&lt;&gt;"",IF($A337="Prepago",0,IF($H337*$U$5&gt;SUM($S$11:$S336)+$U$5,$U$5*2,$U$5)),"")</f>
        <v/>
      </c>
      <c r="T337" s="3" t="str">
        <f>IF($L337&lt;&gt;"",IF($A337="Prepago",0,IF($H337*$U$6&gt;SUM($T$11:$T336)+$U$6,$U$6*2,$U$6)),"")</f>
        <v/>
      </c>
      <c r="U337" s="3" t="str">
        <f>IF($L337&lt;&gt;"",IF($A337="Prepago",0,IF(ROUND($H337*$U$7,2)&gt;ROUND(SUM($U$11:$U336)+$U$7,2),$U$7*2,$U$7)),"")</f>
        <v/>
      </c>
      <c r="V337" s="3" t="str">
        <f>IF($L337&lt;&gt;"",IF($A337="Prepago",0,IF($H337*$U$8&gt;SUM($V$11:$V336)+$U$8,$U$8*2,$U$8)),"")</f>
        <v/>
      </c>
      <c r="W337" s="3" t="str">
        <f t="shared" si="99"/>
        <v/>
      </c>
      <c r="X337" s="3" t="str">
        <f t="shared" si="116"/>
        <v/>
      </c>
      <c r="Y337" s="3" t="str">
        <f t="shared" si="118"/>
        <v/>
      </c>
      <c r="Z337" s="3" t="str">
        <f t="shared" si="117"/>
        <v/>
      </c>
      <c r="AA337" s="3" t="str">
        <f>IF($L337&lt;&gt;"",IF($N337&gt;Z$11,IF($N337&lt;AA$11,$N337-Z$11,30),0)*ROUND(($O337+$X336+SUM($Z337:Z337))*$V$5/3000,2),"")</f>
        <v/>
      </c>
    </row>
    <row r="338" spans="5:27" x14ac:dyDescent="0.3">
      <c r="E338" s="5"/>
      <c r="F338" t="str">
        <f t="shared" si="107"/>
        <v/>
      </c>
      <c r="G338" s="5" t="str">
        <f t="shared" si="105"/>
        <v/>
      </c>
      <c r="H338" t="str">
        <f t="shared" si="108"/>
        <v/>
      </c>
      <c r="I338" t="str">
        <f t="shared" si="109"/>
        <v/>
      </c>
      <c r="J338" t="str">
        <f t="shared" si="110"/>
        <v/>
      </c>
      <c r="K338" t="str">
        <f t="shared" si="111"/>
        <v/>
      </c>
      <c r="L338" t="str">
        <f t="shared" si="97"/>
        <v/>
      </c>
      <c r="M338" s="5" t="str">
        <f t="shared" si="106"/>
        <v/>
      </c>
      <c r="N338" s="7" t="str">
        <f t="shared" si="98"/>
        <v/>
      </c>
      <c r="O338" s="3" t="str">
        <f t="shared" si="112"/>
        <v/>
      </c>
      <c r="P338" s="3" t="str">
        <f t="shared" si="113"/>
        <v/>
      </c>
      <c r="Q338" s="3" t="str">
        <f t="shared" si="114"/>
        <v/>
      </c>
      <c r="R338" s="3" t="str">
        <f t="shared" si="115"/>
        <v/>
      </c>
      <c r="S338" s="3" t="str">
        <f>IF($L338&lt;&gt;"",IF($A338="Prepago",0,IF($H338*$U$5&gt;SUM($S$11:$S337)+$U$5,$U$5*2,$U$5)),"")</f>
        <v/>
      </c>
      <c r="T338" s="3" t="str">
        <f>IF($L338&lt;&gt;"",IF($A338="Prepago",0,IF($H338*$U$6&gt;SUM($T$11:$T337)+$U$6,$U$6*2,$U$6)),"")</f>
        <v/>
      </c>
      <c r="U338" s="3" t="str">
        <f>IF($L338&lt;&gt;"",IF($A338="Prepago",0,IF(ROUND($H338*$U$7,2)&gt;ROUND(SUM($U$11:$U337)+$U$7,2),$U$7*2,$U$7)),"")</f>
        <v/>
      </c>
      <c r="V338" s="3" t="str">
        <f>IF($L338&lt;&gt;"",IF($A338="Prepago",0,IF($H338*$U$8&gt;SUM($V$11:$V337)+$U$8,$U$8*2,$U$8)),"")</f>
        <v/>
      </c>
      <c r="W338" s="3" t="str">
        <f t="shared" si="99"/>
        <v/>
      </c>
      <c r="X338" s="3" t="str">
        <f t="shared" si="116"/>
        <v/>
      </c>
      <c r="Y338" s="3" t="str">
        <f t="shared" si="118"/>
        <v/>
      </c>
      <c r="Z338" s="3" t="str">
        <f t="shared" si="117"/>
        <v/>
      </c>
      <c r="AA338" s="3" t="str">
        <f>IF($L338&lt;&gt;"",IF($N338&gt;Z$11,IF($N338&lt;AA$11,$N338-Z$11,30),0)*ROUND(($O338+$X337+SUM($Z338:Z338))*$V$5/3000,2),"")</f>
        <v/>
      </c>
    </row>
    <row r="339" spans="5:27" x14ac:dyDescent="0.3">
      <c r="E339" s="5"/>
      <c r="F339" t="str">
        <f t="shared" si="107"/>
        <v/>
      </c>
      <c r="G339" s="5" t="str">
        <f t="shared" si="105"/>
        <v/>
      </c>
      <c r="H339" t="str">
        <f t="shared" si="108"/>
        <v/>
      </c>
      <c r="I339" t="str">
        <f t="shared" si="109"/>
        <v/>
      </c>
      <c r="J339" t="str">
        <f t="shared" si="110"/>
        <v/>
      </c>
      <c r="K339" t="str">
        <f t="shared" si="111"/>
        <v/>
      </c>
      <c r="L339" t="str">
        <f t="shared" si="97"/>
        <v/>
      </c>
      <c r="M339" s="5" t="str">
        <f t="shared" si="106"/>
        <v/>
      </c>
      <c r="N339" s="7" t="str">
        <f t="shared" si="98"/>
        <v/>
      </c>
      <c r="O339" s="3" t="str">
        <f t="shared" si="112"/>
        <v/>
      </c>
      <c r="P339" s="3" t="str">
        <f t="shared" si="113"/>
        <v/>
      </c>
      <c r="Q339" s="3" t="str">
        <f t="shared" si="114"/>
        <v/>
      </c>
      <c r="R339" s="3" t="str">
        <f t="shared" si="115"/>
        <v/>
      </c>
      <c r="S339" s="3" t="str">
        <f>IF($L339&lt;&gt;"",IF($A339="Prepago",0,IF($H339*$U$5&gt;SUM($S$11:$S338)+$U$5,$U$5*2,$U$5)),"")</f>
        <v/>
      </c>
      <c r="T339" s="3" t="str">
        <f>IF($L339&lt;&gt;"",IF($A339="Prepago",0,IF($H339*$U$6&gt;SUM($T$11:$T338)+$U$6,$U$6*2,$U$6)),"")</f>
        <v/>
      </c>
      <c r="U339" s="3" t="str">
        <f>IF($L339&lt;&gt;"",IF($A339="Prepago",0,IF(ROUND($H339*$U$7,2)&gt;ROUND(SUM($U$11:$U338)+$U$7,2),$U$7*2,$U$7)),"")</f>
        <v/>
      </c>
      <c r="V339" s="3" t="str">
        <f>IF($L339&lt;&gt;"",IF($A339="Prepago",0,IF($H339*$U$8&gt;SUM($V$11:$V338)+$U$8,$U$8*2,$U$8)),"")</f>
        <v/>
      </c>
      <c r="W339" s="3" t="str">
        <f t="shared" si="99"/>
        <v/>
      </c>
      <c r="X339" s="3" t="str">
        <f t="shared" si="116"/>
        <v/>
      </c>
      <c r="Y339" s="3" t="str">
        <f t="shared" si="118"/>
        <v/>
      </c>
      <c r="Z339" s="3" t="str">
        <f t="shared" si="117"/>
        <v/>
      </c>
      <c r="AA339" s="3" t="str">
        <f>IF($L339&lt;&gt;"",IF($N339&gt;Z$11,IF($N339&lt;AA$11,$N339-Z$11,30),0)*ROUND(($O339+$X338+SUM($Z339:Z339))*$V$5/3000,2),"")</f>
        <v/>
      </c>
    </row>
    <row r="340" spans="5:27" x14ac:dyDescent="0.3">
      <c r="E340" s="5"/>
      <c r="F340" t="str">
        <f t="shared" si="107"/>
        <v/>
      </c>
      <c r="G340" s="5" t="str">
        <f t="shared" si="105"/>
        <v/>
      </c>
      <c r="H340" t="str">
        <f t="shared" si="108"/>
        <v/>
      </c>
      <c r="I340" t="str">
        <f t="shared" si="109"/>
        <v/>
      </c>
      <c r="J340" t="str">
        <f t="shared" si="110"/>
        <v/>
      </c>
      <c r="K340" t="str">
        <f t="shared" si="111"/>
        <v/>
      </c>
      <c r="L340" t="str">
        <f t="shared" si="97"/>
        <v/>
      </c>
      <c r="M340" s="5" t="str">
        <f t="shared" si="106"/>
        <v/>
      </c>
      <c r="N340" s="7" t="str">
        <f t="shared" si="98"/>
        <v/>
      </c>
      <c r="O340" s="3" t="str">
        <f t="shared" si="112"/>
        <v/>
      </c>
      <c r="P340" s="3" t="str">
        <f t="shared" si="113"/>
        <v/>
      </c>
      <c r="Q340" s="3" t="str">
        <f t="shared" si="114"/>
        <v/>
      </c>
      <c r="R340" s="3" t="str">
        <f t="shared" si="115"/>
        <v/>
      </c>
      <c r="S340" s="3" t="str">
        <f>IF($L340&lt;&gt;"",IF($A340="Prepago",0,IF($H340*$U$5&gt;SUM($S$11:$S339)+$U$5,$U$5*2,$U$5)),"")</f>
        <v/>
      </c>
      <c r="T340" s="3" t="str">
        <f>IF($L340&lt;&gt;"",IF($A340="Prepago",0,IF($H340*$U$6&gt;SUM($T$11:$T339)+$U$6,$U$6*2,$U$6)),"")</f>
        <v/>
      </c>
      <c r="U340" s="3" t="str">
        <f>IF($L340&lt;&gt;"",IF($A340="Prepago",0,IF(ROUND($H340*$U$7,2)&gt;ROUND(SUM($U$11:$U339)+$U$7,2),$U$7*2,$U$7)),"")</f>
        <v/>
      </c>
      <c r="V340" s="3" t="str">
        <f>IF($L340&lt;&gt;"",IF($A340="Prepago",0,IF($H340*$U$8&gt;SUM($V$11:$V339)+$U$8,$U$8*2,$U$8)),"")</f>
        <v/>
      </c>
      <c r="W340" s="3" t="str">
        <f t="shared" si="99"/>
        <v/>
      </c>
      <c r="X340" s="3" t="str">
        <f t="shared" si="116"/>
        <v/>
      </c>
      <c r="Y340" s="3" t="str">
        <f t="shared" si="118"/>
        <v/>
      </c>
      <c r="Z340" s="3" t="str">
        <f t="shared" si="117"/>
        <v/>
      </c>
      <c r="AA340" s="3" t="str">
        <f>IF($L340&lt;&gt;"",IF($N340&gt;Z$11,IF($N340&lt;AA$11,$N340-Z$11,30),0)*ROUND(($O340+$X339+SUM($Z340:Z340))*$V$5/3000,2),"")</f>
        <v/>
      </c>
    </row>
    <row r="341" spans="5:27" x14ac:dyDescent="0.3">
      <c r="E341" s="5"/>
      <c r="F341" t="str">
        <f t="shared" si="107"/>
        <v/>
      </c>
      <c r="G341" s="5" t="str">
        <f t="shared" si="105"/>
        <v/>
      </c>
      <c r="H341" t="str">
        <f t="shared" si="108"/>
        <v/>
      </c>
      <c r="I341" t="str">
        <f t="shared" si="109"/>
        <v/>
      </c>
      <c r="J341" t="str">
        <f t="shared" si="110"/>
        <v/>
      </c>
      <c r="K341" t="str">
        <f t="shared" si="111"/>
        <v/>
      </c>
      <c r="L341" t="str">
        <f t="shared" si="97"/>
        <v/>
      </c>
      <c r="M341" s="5" t="str">
        <f t="shared" si="106"/>
        <v/>
      </c>
      <c r="N341" s="7" t="str">
        <f t="shared" si="98"/>
        <v/>
      </c>
      <c r="O341" s="3" t="str">
        <f t="shared" si="112"/>
        <v/>
      </c>
      <c r="P341" s="3" t="str">
        <f t="shared" si="113"/>
        <v/>
      </c>
      <c r="Q341" s="3" t="str">
        <f t="shared" si="114"/>
        <v/>
      </c>
      <c r="R341" s="3" t="str">
        <f t="shared" si="115"/>
        <v/>
      </c>
      <c r="S341" s="3" t="str">
        <f>IF($L341&lt;&gt;"",IF($A341="Prepago",0,IF($H341*$U$5&gt;SUM($S$11:$S340)+$U$5,$U$5*2,$U$5)),"")</f>
        <v/>
      </c>
      <c r="T341" s="3" t="str">
        <f>IF($L341&lt;&gt;"",IF($A341="Prepago",0,IF($H341*$U$6&gt;SUM($T$11:$T340)+$U$6,$U$6*2,$U$6)),"")</f>
        <v/>
      </c>
      <c r="U341" s="3" t="str">
        <f>IF($L341&lt;&gt;"",IF($A341="Prepago",0,IF(ROUND($H341*$U$7,2)&gt;ROUND(SUM($U$11:$U340)+$U$7,2),$U$7*2,$U$7)),"")</f>
        <v/>
      </c>
      <c r="V341" s="3" t="str">
        <f>IF($L341&lt;&gt;"",IF($A341="Prepago",0,IF($H341*$U$8&gt;SUM($V$11:$V340)+$U$8,$U$8*2,$U$8)),"")</f>
        <v/>
      </c>
      <c r="W341" s="3" t="str">
        <f t="shared" si="99"/>
        <v/>
      </c>
      <c r="X341" s="3" t="str">
        <f t="shared" si="116"/>
        <v/>
      </c>
      <c r="Y341" s="3" t="str">
        <f t="shared" si="118"/>
        <v/>
      </c>
      <c r="Z341" s="3" t="str">
        <f t="shared" si="117"/>
        <v/>
      </c>
      <c r="AA341" s="3" t="str">
        <f>IF($L341&lt;&gt;"",IF($N341&gt;Z$11,IF($N341&lt;AA$11,$N341-Z$11,30),0)*ROUND(($O341+$X340+SUM($Z341:Z341))*$V$5/3000,2),"")</f>
        <v/>
      </c>
    </row>
    <row r="342" spans="5:27" x14ac:dyDescent="0.3">
      <c r="E342" s="5"/>
      <c r="F342" t="str">
        <f t="shared" si="107"/>
        <v/>
      </c>
      <c r="G342" s="5" t="str">
        <f t="shared" si="105"/>
        <v/>
      </c>
      <c r="H342" t="str">
        <f t="shared" si="108"/>
        <v/>
      </c>
      <c r="I342" t="str">
        <f t="shared" si="109"/>
        <v/>
      </c>
      <c r="J342" t="str">
        <f t="shared" si="110"/>
        <v/>
      </c>
      <c r="K342" t="str">
        <f t="shared" si="111"/>
        <v/>
      </c>
      <c r="L342" t="str">
        <f t="shared" si="97"/>
        <v/>
      </c>
      <c r="M342" s="5" t="str">
        <f t="shared" si="106"/>
        <v/>
      </c>
      <c r="N342" s="7" t="str">
        <f t="shared" si="98"/>
        <v/>
      </c>
      <c r="O342" s="3" t="str">
        <f t="shared" si="112"/>
        <v/>
      </c>
      <c r="P342" s="3" t="str">
        <f t="shared" si="113"/>
        <v/>
      </c>
      <c r="Q342" s="3" t="str">
        <f t="shared" si="114"/>
        <v/>
      </c>
      <c r="R342" s="3" t="str">
        <f t="shared" si="115"/>
        <v/>
      </c>
      <c r="S342" s="3" t="str">
        <f>IF($L342&lt;&gt;"",IF($A342="Prepago",0,IF($H342*$U$5&gt;SUM($S$11:$S341)+$U$5,$U$5*2,$U$5)),"")</f>
        <v/>
      </c>
      <c r="T342" s="3" t="str">
        <f>IF($L342&lt;&gt;"",IF($A342="Prepago",0,IF($H342*$U$6&gt;SUM($T$11:$T341)+$U$6,$U$6*2,$U$6)),"")</f>
        <v/>
      </c>
      <c r="U342" s="3" t="str">
        <f>IF($L342&lt;&gt;"",IF($A342="Prepago",0,IF(ROUND($H342*$U$7,2)&gt;ROUND(SUM($U$11:$U341)+$U$7,2),$U$7*2,$U$7)),"")</f>
        <v/>
      </c>
      <c r="V342" s="3" t="str">
        <f>IF($L342&lt;&gt;"",IF($A342="Prepago",0,IF($H342*$U$8&gt;SUM($V$11:$V341)+$U$8,$U$8*2,$U$8)),"")</f>
        <v/>
      </c>
      <c r="W342" s="3" t="str">
        <f t="shared" si="99"/>
        <v/>
      </c>
      <c r="X342" s="3" t="str">
        <f t="shared" si="116"/>
        <v/>
      </c>
      <c r="Y342" s="3" t="str">
        <f t="shared" si="118"/>
        <v/>
      </c>
      <c r="Z342" s="3" t="str">
        <f t="shared" si="117"/>
        <v/>
      </c>
      <c r="AA342" s="3" t="str">
        <f>IF($L342&lt;&gt;"",IF($N342&gt;Z$11,IF($N342&lt;AA$11,$N342-Z$11,30),0)*ROUND(($O342+$X341+SUM($Z342:Z342))*$V$5/3000,2),"")</f>
        <v/>
      </c>
    </row>
    <row r="343" spans="5:27" x14ac:dyDescent="0.3">
      <c r="E343" s="5"/>
      <c r="F343" t="str">
        <f t="shared" si="107"/>
        <v/>
      </c>
      <c r="G343" s="5" t="str">
        <f t="shared" si="105"/>
        <v/>
      </c>
      <c r="H343" t="str">
        <f t="shared" si="108"/>
        <v/>
      </c>
      <c r="I343" t="str">
        <f t="shared" si="109"/>
        <v/>
      </c>
      <c r="J343" t="str">
        <f t="shared" si="110"/>
        <v/>
      </c>
      <c r="K343" t="str">
        <f t="shared" si="111"/>
        <v/>
      </c>
      <c r="L343" t="str">
        <f t="shared" si="97"/>
        <v/>
      </c>
      <c r="M343" s="5" t="str">
        <f t="shared" si="106"/>
        <v/>
      </c>
      <c r="N343" s="7" t="str">
        <f t="shared" si="98"/>
        <v/>
      </c>
      <c r="O343" s="3" t="str">
        <f t="shared" si="112"/>
        <v/>
      </c>
      <c r="P343" s="3" t="str">
        <f t="shared" si="113"/>
        <v/>
      </c>
      <c r="Q343" s="3" t="str">
        <f t="shared" si="114"/>
        <v/>
      </c>
      <c r="R343" s="3" t="str">
        <f t="shared" si="115"/>
        <v/>
      </c>
      <c r="S343" s="3" t="str">
        <f>IF($L343&lt;&gt;"",IF($A343="Prepago",0,IF($H343*$U$5&gt;SUM($S$11:$S342)+$U$5,$U$5*2,$U$5)),"")</f>
        <v/>
      </c>
      <c r="T343" s="3" t="str">
        <f>IF($L343&lt;&gt;"",IF($A343="Prepago",0,IF($H343*$U$6&gt;SUM($T$11:$T342)+$U$6,$U$6*2,$U$6)),"")</f>
        <v/>
      </c>
      <c r="U343" s="3" t="str">
        <f>IF($L343&lt;&gt;"",IF($A343="Prepago",0,IF(ROUND($H343*$U$7,2)&gt;ROUND(SUM($U$11:$U342)+$U$7,2),$U$7*2,$U$7)),"")</f>
        <v/>
      </c>
      <c r="V343" s="3" t="str">
        <f>IF($L343&lt;&gt;"",IF($A343="Prepago",0,IF($H343*$U$8&gt;SUM($V$11:$V342)+$U$8,$U$8*2,$U$8)),"")</f>
        <v/>
      </c>
      <c r="W343" s="3" t="str">
        <f t="shared" si="99"/>
        <v/>
      </c>
      <c r="X343" s="3" t="str">
        <f t="shared" si="116"/>
        <v/>
      </c>
      <c r="Y343" s="3" t="str">
        <f t="shared" si="118"/>
        <v/>
      </c>
      <c r="Z343" s="3" t="str">
        <f t="shared" si="117"/>
        <v/>
      </c>
      <c r="AA343" s="3" t="str">
        <f>IF($L343&lt;&gt;"",IF($N343&gt;Z$11,IF($N343&lt;AA$11,$N343-Z$11,30),0)*ROUND(($O343+$X342+SUM($Z343:Z343))*$V$5/3000,2),"")</f>
        <v/>
      </c>
    </row>
    <row r="344" spans="5:27" x14ac:dyDescent="0.3">
      <c r="E344" s="5"/>
      <c r="F344" t="str">
        <f t="shared" si="107"/>
        <v/>
      </c>
      <c r="G344" s="5" t="str">
        <f t="shared" si="105"/>
        <v/>
      </c>
      <c r="H344" t="str">
        <f t="shared" si="108"/>
        <v/>
      </c>
      <c r="I344" t="str">
        <f t="shared" si="109"/>
        <v/>
      </c>
      <c r="J344" t="str">
        <f t="shared" si="110"/>
        <v/>
      </c>
      <c r="K344" t="str">
        <f t="shared" si="111"/>
        <v/>
      </c>
      <c r="L344" t="str">
        <f t="shared" si="97"/>
        <v/>
      </c>
      <c r="M344" s="5" t="str">
        <f t="shared" si="106"/>
        <v/>
      </c>
      <c r="N344" s="7" t="str">
        <f t="shared" si="98"/>
        <v/>
      </c>
      <c r="O344" s="3" t="str">
        <f t="shared" si="112"/>
        <v/>
      </c>
      <c r="P344" s="3" t="str">
        <f t="shared" si="113"/>
        <v/>
      </c>
      <c r="Q344" s="3" t="str">
        <f t="shared" si="114"/>
        <v/>
      </c>
      <c r="R344" s="3" t="str">
        <f t="shared" si="115"/>
        <v/>
      </c>
      <c r="S344" s="3" t="str">
        <f>IF($L344&lt;&gt;"",IF($A344="Prepago",0,IF($H344*$U$5&gt;SUM($S$11:$S343)+$U$5,$U$5*2,$U$5)),"")</f>
        <v/>
      </c>
      <c r="T344" s="3" t="str">
        <f>IF($L344&lt;&gt;"",IF($A344="Prepago",0,IF($H344*$U$6&gt;SUM($T$11:$T343)+$U$6,$U$6*2,$U$6)),"")</f>
        <v/>
      </c>
      <c r="U344" s="3" t="str">
        <f>IF($L344&lt;&gt;"",IF($A344="Prepago",0,IF(ROUND($H344*$U$7,2)&gt;ROUND(SUM($U$11:$U343)+$U$7,2),$U$7*2,$U$7)),"")</f>
        <v/>
      </c>
      <c r="V344" s="3" t="str">
        <f>IF($L344&lt;&gt;"",IF($A344="Prepago",0,IF($H344*$U$8&gt;SUM($V$11:$V343)+$U$8,$U$8*2,$U$8)),"")</f>
        <v/>
      </c>
      <c r="W344" s="3" t="str">
        <f t="shared" si="99"/>
        <v/>
      </c>
      <c r="X344" s="3" t="str">
        <f t="shared" si="116"/>
        <v/>
      </c>
      <c r="Y344" s="3" t="str">
        <f t="shared" si="118"/>
        <v/>
      </c>
      <c r="Z344" s="3" t="str">
        <f t="shared" si="117"/>
        <v/>
      </c>
      <c r="AA344" s="3" t="str">
        <f>IF($L344&lt;&gt;"",IF($N344&gt;Z$11,IF($N344&lt;AA$11,$N344-Z$11,30),0)*ROUND(($O344+$X343+SUM($Z344:Z344))*$V$5/3000,2),"")</f>
        <v/>
      </c>
    </row>
    <row r="345" spans="5:27" x14ac:dyDescent="0.3">
      <c r="E345" s="5"/>
      <c r="F345" t="str">
        <f t="shared" si="107"/>
        <v/>
      </c>
      <c r="G345" s="5" t="str">
        <f t="shared" si="105"/>
        <v/>
      </c>
      <c r="H345" t="str">
        <f t="shared" si="108"/>
        <v/>
      </c>
      <c r="I345" t="str">
        <f t="shared" si="109"/>
        <v/>
      </c>
      <c r="J345" t="str">
        <f t="shared" si="110"/>
        <v/>
      </c>
      <c r="K345" t="str">
        <f t="shared" si="111"/>
        <v/>
      </c>
      <c r="L345" t="str">
        <f t="shared" si="97"/>
        <v/>
      </c>
      <c r="M345" s="5" t="str">
        <f t="shared" si="106"/>
        <v/>
      </c>
      <c r="N345" s="7" t="str">
        <f t="shared" si="98"/>
        <v/>
      </c>
      <c r="O345" s="3" t="str">
        <f t="shared" si="112"/>
        <v/>
      </c>
      <c r="P345" s="3" t="str">
        <f t="shared" si="113"/>
        <v/>
      </c>
      <c r="Q345" s="3" t="str">
        <f t="shared" si="114"/>
        <v/>
      </c>
      <c r="R345" s="3" t="str">
        <f t="shared" si="115"/>
        <v/>
      </c>
      <c r="S345" s="3" t="str">
        <f>IF($L345&lt;&gt;"",IF($A345="Prepago",0,IF($H345*$U$5&gt;SUM($S$11:$S344)+$U$5,$U$5*2,$U$5)),"")</f>
        <v/>
      </c>
      <c r="T345" s="3" t="str">
        <f>IF($L345&lt;&gt;"",IF($A345="Prepago",0,IF($H345*$U$6&gt;SUM($T$11:$T344)+$U$6,$U$6*2,$U$6)),"")</f>
        <v/>
      </c>
      <c r="U345" s="3" t="str">
        <f>IF($L345&lt;&gt;"",IF($A345="Prepago",0,IF(ROUND($H345*$U$7,2)&gt;ROUND(SUM($U$11:$U344)+$U$7,2),$U$7*2,$U$7)),"")</f>
        <v/>
      </c>
      <c r="V345" s="3" t="str">
        <f>IF($L345&lt;&gt;"",IF($A345="Prepago",0,IF($H345*$U$8&gt;SUM($V$11:$V344)+$U$8,$U$8*2,$U$8)),"")</f>
        <v/>
      </c>
      <c r="W345" s="3" t="str">
        <f t="shared" si="99"/>
        <v/>
      </c>
      <c r="X345" s="3" t="str">
        <f t="shared" si="116"/>
        <v/>
      </c>
      <c r="Y345" s="3" t="str">
        <f t="shared" si="118"/>
        <v/>
      </c>
      <c r="Z345" s="3" t="str">
        <f t="shared" si="117"/>
        <v/>
      </c>
      <c r="AA345" s="3" t="str">
        <f>IF($L345&lt;&gt;"",IF($N345&gt;Z$11,IF($N345&lt;AA$11,$N345-Z$11,30),0)*ROUND(($O345+$X344+SUM($Z345:Z345))*$V$5/3000,2),"")</f>
        <v/>
      </c>
    </row>
    <row r="346" spans="5:27" x14ac:dyDescent="0.3">
      <c r="E346" s="5"/>
      <c r="F346" t="str">
        <f t="shared" si="107"/>
        <v/>
      </c>
      <c r="G346" s="5" t="str">
        <f t="shared" si="105"/>
        <v/>
      </c>
      <c r="H346" t="str">
        <f t="shared" si="108"/>
        <v/>
      </c>
      <c r="I346" t="str">
        <f t="shared" si="109"/>
        <v/>
      </c>
      <c r="J346" t="str">
        <f t="shared" si="110"/>
        <v/>
      </c>
      <c r="K346" t="str">
        <f t="shared" si="111"/>
        <v/>
      </c>
      <c r="L346" t="str">
        <f t="shared" si="97"/>
        <v/>
      </c>
      <c r="M346" s="5" t="str">
        <f t="shared" si="106"/>
        <v/>
      </c>
      <c r="N346" s="7" t="str">
        <f t="shared" si="98"/>
        <v/>
      </c>
      <c r="O346" s="3" t="str">
        <f t="shared" si="112"/>
        <v/>
      </c>
      <c r="P346" s="3" t="str">
        <f t="shared" si="113"/>
        <v/>
      </c>
      <c r="Q346" s="3" t="str">
        <f t="shared" si="114"/>
        <v/>
      </c>
      <c r="R346" s="3" t="str">
        <f t="shared" si="115"/>
        <v/>
      </c>
      <c r="S346" s="3" t="str">
        <f>IF($L346&lt;&gt;"",IF($A346="Prepago",0,IF($H346*$U$5&gt;SUM($S$11:$S345)+$U$5,$U$5*2,$U$5)),"")</f>
        <v/>
      </c>
      <c r="T346" s="3" t="str">
        <f>IF($L346&lt;&gt;"",IF($A346="Prepago",0,IF($H346*$U$6&gt;SUM($T$11:$T345)+$U$6,$U$6*2,$U$6)),"")</f>
        <v/>
      </c>
      <c r="U346" s="3" t="str">
        <f>IF($L346&lt;&gt;"",IF($A346="Prepago",0,IF(ROUND($H346*$U$7,2)&gt;ROUND(SUM($U$11:$U345)+$U$7,2),$U$7*2,$U$7)),"")</f>
        <v/>
      </c>
      <c r="V346" s="3" t="str">
        <f>IF($L346&lt;&gt;"",IF($A346="Prepago",0,IF($H346*$U$8&gt;SUM($V$11:$V345)+$U$8,$U$8*2,$U$8)),"")</f>
        <v/>
      </c>
      <c r="W346" s="3" t="str">
        <f t="shared" si="99"/>
        <v/>
      </c>
      <c r="X346" s="3" t="str">
        <f t="shared" si="116"/>
        <v/>
      </c>
      <c r="Y346" s="3" t="str">
        <f t="shared" si="118"/>
        <v/>
      </c>
      <c r="Z346" s="3" t="str">
        <f t="shared" si="117"/>
        <v/>
      </c>
      <c r="AA346" s="3" t="str">
        <f>IF($L346&lt;&gt;"",IF($N346&gt;Z$11,IF($N346&lt;AA$11,$N346-Z$11,30),0)*ROUND(($O346+$X345+SUM($Z346:Z346))*$V$5/3000,2),"")</f>
        <v/>
      </c>
    </row>
    <row r="347" spans="5:27" x14ac:dyDescent="0.3">
      <c r="E347" s="5"/>
      <c r="F347" t="str">
        <f t="shared" si="107"/>
        <v/>
      </c>
      <c r="G347" s="5" t="str">
        <f t="shared" si="105"/>
        <v/>
      </c>
      <c r="H347" t="str">
        <f t="shared" si="108"/>
        <v/>
      </c>
      <c r="I347" t="str">
        <f t="shared" si="109"/>
        <v/>
      </c>
      <c r="J347" t="str">
        <f t="shared" si="110"/>
        <v/>
      </c>
      <c r="K347" t="str">
        <f t="shared" si="111"/>
        <v/>
      </c>
      <c r="L347" t="str">
        <f t="shared" si="97"/>
        <v/>
      </c>
      <c r="M347" s="5" t="str">
        <f t="shared" si="106"/>
        <v/>
      </c>
      <c r="N347" s="7" t="str">
        <f t="shared" si="98"/>
        <v/>
      </c>
      <c r="O347" s="3" t="str">
        <f t="shared" si="112"/>
        <v/>
      </c>
      <c r="P347" s="3" t="str">
        <f t="shared" si="113"/>
        <v/>
      </c>
      <c r="Q347" s="3" t="str">
        <f t="shared" si="114"/>
        <v/>
      </c>
      <c r="R347" s="3" t="str">
        <f t="shared" si="115"/>
        <v/>
      </c>
      <c r="S347" s="3" t="str">
        <f>IF($L347&lt;&gt;"",IF($A347="Prepago",0,IF($H347*$U$5&gt;SUM($S$11:$S346)+$U$5,$U$5*2,$U$5)),"")</f>
        <v/>
      </c>
      <c r="T347" s="3" t="str">
        <f>IF($L347&lt;&gt;"",IF($A347="Prepago",0,IF($H347*$U$6&gt;SUM($T$11:$T346)+$U$6,$U$6*2,$U$6)),"")</f>
        <v/>
      </c>
      <c r="U347" s="3" t="str">
        <f>IF($L347&lt;&gt;"",IF($A347="Prepago",0,IF(ROUND($H347*$U$7,2)&gt;ROUND(SUM($U$11:$U346)+$U$7,2),$U$7*2,$U$7)),"")</f>
        <v/>
      </c>
      <c r="V347" s="3" t="str">
        <f>IF($L347&lt;&gt;"",IF($A347="Prepago",0,IF($H347*$U$8&gt;SUM($V$11:$V346)+$U$8,$U$8*2,$U$8)),"")</f>
        <v/>
      </c>
      <c r="W347" s="3" t="str">
        <f t="shared" si="99"/>
        <v/>
      </c>
      <c r="X347" s="3" t="str">
        <f t="shared" si="116"/>
        <v/>
      </c>
      <c r="Y347" s="3" t="str">
        <f t="shared" si="118"/>
        <v/>
      </c>
      <c r="Z347" s="3" t="str">
        <f t="shared" si="117"/>
        <v/>
      </c>
      <c r="AA347" s="3" t="str">
        <f>IF($L347&lt;&gt;"",IF($N347&gt;Z$11,IF($N347&lt;AA$11,$N347-Z$11,30),0)*ROUND(($O347+$X346+SUM($Z347:Z347))*$V$5/3000,2),"")</f>
        <v/>
      </c>
    </row>
    <row r="348" spans="5:27" x14ac:dyDescent="0.3">
      <c r="E348" s="5"/>
      <c r="F348" t="str">
        <f t="shared" si="107"/>
        <v/>
      </c>
      <c r="G348" s="5" t="str">
        <f t="shared" si="105"/>
        <v/>
      </c>
      <c r="H348" t="str">
        <f t="shared" si="108"/>
        <v/>
      </c>
      <c r="I348" t="str">
        <f t="shared" si="109"/>
        <v/>
      </c>
      <c r="J348" t="str">
        <f t="shared" si="110"/>
        <v/>
      </c>
      <c r="K348" t="str">
        <f t="shared" si="111"/>
        <v/>
      </c>
      <c r="L348" t="str">
        <f t="shared" si="97"/>
        <v/>
      </c>
      <c r="M348" s="5" t="str">
        <f t="shared" si="106"/>
        <v/>
      </c>
      <c r="N348" s="7" t="str">
        <f t="shared" si="98"/>
        <v/>
      </c>
      <c r="O348" s="3" t="str">
        <f t="shared" si="112"/>
        <v/>
      </c>
      <c r="P348" s="3" t="str">
        <f t="shared" si="113"/>
        <v/>
      </c>
      <c r="Q348" s="3" t="str">
        <f t="shared" si="114"/>
        <v/>
      </c>
      <c r="R348" s="3" t="str">
        <f t="shared" si="115"/>
        <v/>
      </c>
      <c r="S348" s="3" t="str">
        <f>IF($L348&lt;&gt;"",IF($A348="Prepago",0,IF($H348*$U$5&gt;SUM($S$11:$S347)+$U$5,$U$5*2,$U$5)),"")</f>
        <v/>
      </c>
      <c r="T348" s="3" t="str">
        <f>IF($L348&lt;&gt;"",IF($A348="Prepago",0,IF($H348*$U$6&gt;SUM($T$11:$T347)+$U$6,$U$6*2,$U$6)),"")</f>
        <v/>
      </c>
      <c r="U348" s="3" t="str">
        <f>IF($L348&lt;&gt;"",IF($A348="Prepago",0,IF(ROUND($H348*$U$7,2)&gt;ROUND(SUM($U$11:$U347)+$U$7,2),$U$7*2,$U$7)),"")</f>
        <v/>
      </c>
      <c r="V348" s="3" t="str">
        <f>IF($L348&lt;&gt;"",IF($A348="Prepago",0,IF($H348*$U$8&gt;SUM($V$11:$V347)+$U$8,$U$8*2,$U$8)),"")</f>
        <v/>
      </c>
      <c r="W348" s="3" t="str">
        <f t="shared" si="99"/>
        <v/>
      </c>
      <c r="X348" s="3" t="str">
        <f t="shared" si="116"/>
        <v/>
      </c>
      <c r="Y348" s="3" t="str">
        <f t="shared" si="118"/>
        <v/>
      </c>
      <c r="Z348" s="3" t="str">
        <f t="shared" si="117"/>
        <v/>
      </c>
      <c r="AA348" s="3" t="str">
        <f>IF($L348&lt;&gt;"",IF($N348&gt;Z$11,IF($N348&lt;AA$11,$N348-Z$11,30),0)*ROUND(($O348+$X347+SUM($Z348:Z348))*$V$5/3000,2),"")</f>
        <v/>
      </c>
    </row>
    <row r="349" spans="5:27" x14ac:dyDescent="0.3">
      <c r="E349" s="5"/>
      <c r="F349" t="str">
        <f t="shared" si="107"/>
        <v/>
      </c>
      <c r="G349" s="5" t="str">
        <f t="shared" si="105"/>
        <v/>
      </c>
      <c r="H349" t="str">
        <f t="shared" si="108"/>
        <v/>
      </c>
      <c r="I349" t="str">
        <f t="shared" si="109"/>
        <v/>
      </c>
      <c r="J349" t="str">
        <f t="shared" si="110"/>
        <v/>
      </c>
      <c r="K349" t="str">
        <f t="shared" si="111"/>
        <v/>
      </c>
      <c r="L349" t="str">
        <f t="shared" si="97"/>
        <v/>
      </c>
      <c r="M349" s="5" t="str">
        <f t="shared" si="106"/>
        <v/>
      </c>
      <c r="N349" s="7" t="str">
        <f t="shared" si="98"/>
        <v/>
      </c>
      <c r="O349" s="3" t="str">
        <f t="shared" si="112"/>
        <v/>
      </c>
      <c r="P349" s="3" t="str">
        <f t="shared" si="113"/>
        <v/>
      </c>
      <c r="Q349" s="3" t="str">
        <f t="shared" si="114"/>
        <v/>
      </c>
      <c r="R349" s="3" t="str">
        <f t="shared" si="115"/>
        <v/>
      </c>
      <c r="S349" s="3" t="str">
        <f>IF($L349&lt;&gt;"",IF($A349="Prepago",0,IF($H349*$U$5&gt;SUM($S$11:$S348)+$U$5,$U$5*2,$U$5)),"")</f>
        <v/>
      </c>
      <c r="T349" s="3" t="str">
        <f>IF($L349&lt;&gt;"",IF($A349="Prepago",0,IF($H349*$U$6&gt;SUM($T$11:$T348)+$U$6,$U$6*2,$U$6)),"")</f>
        <v/>
      </c>
      <c r="U349" s="3" t="str">
        <f>IF($L349&lt;&gt;"",IF($A349="Prepago",0,IF(ROUND($H349*$U$7,2)&gt;ROUND(SUM($U$11:$U348)+$U$7,2),$U$7*2,$U$7)),"")</f>
        <v/>
      </c>
      <c r="V349" s="3" t="str">
        <f>IF($L349&lt;&gt;"",IF($A349="Prepago",0,IF($H349*$U$8&gt;SUM($V$11:$V348)+$U$8,$U$8*2,$U$8)),"")</f>
        <v/>
      </c>
      <c r="W349" s="3" t="str">
        <f t="shared" si="99"/>
        <v/>
      </c>
      <c r="X349" s="3" t="str">
        <f t="shared" si="116"/>
        <v/>
      </c>
      <c r="Y349" s="3" t="str">
        <f t="shared" si="118"/>
        <v/>
      </c>
      <c r="Z349" s="3" t="str">
        <f t="shared" si="117"/>
        <v/>
      </c>
      <c r="AA349" s="3" t="str">
        <f>IF($L349&lt;&gt;"",IF($N349&gt;Z$11,IF($N349&lt;AA$11,$N349-Z$11,30),0)*ROUND(($O349+$X348+SUM($Z349:Z349))*$V$5/3000,2),"")</f>
        <v/>
      </c>
    </row>
    <row r="350" spans="5:27" x14ac:dyDescent="0.3">
      <c r="E350" s="5"/>
      <c r="F350" t="str">
        <f t="shared" si="107"/>
        <v/>
      </c>
      <c r="G350" s="5" t="str">
        <f t="shared" si="105"/>
        <v/>
      </c>
      <c r="H350" t="str">
        <f t="shared" si="108"/>
        <v/>
      </c>
      <c r="I350" t="str">
        <f t="shared" si="109"/>
        <v/>
      </c>
      <c r="J350" t="str">
        <f t="shared" si="110"/>
        <v/>
      </c>
      <c r="K350" t="str">
        <f t="shared" si="111"/>
        <v/>
      </c>
      <c r="L350" t="str">
        <f t="shared" si="97"/>
        <v/>
      </c>
      <c r="M350" s="5" t="str">
        <f t="shared" si="106"/>
        <v/>
      </c>
      <c r="N350" s="7" t="str">
        <f t="shared" si="98"/>
        <v/>
      </c>
      <c r="O350" s="3" t="str">
        <f t="shared" si="112"/>
        <v/>
      </c>
      <c r="P350" s="3" t="str">
        <f t="shared" si="113"/>
        <v/>
      </c>
      <c r="Q350" s="3" t="str">
        <f t="shared" si="114"/>
        <v/>
      </c>
      <c r="R350" s="3" t="str">
        <f t="shared" si="115"/>
        <v/>
      </c>
      <c r="S350" s="3" t="str">
        <f>IF($L350&lt;&gt;"",IF($A350="Prepago",0,IF($H350*$U$5&gt;SUM($S$11:$S349)+$U$5,$U$5*2,$U$5)),"")</f>
        <v/>
      </c>
      <c r="T350" s="3" t="str">
        <f>IF($L350&lt;&gt;"",IF($A350="Prepago",0,IF($H350*$U$6&gt;SUM($T$11:$T349)+$U$6,$U$6*2,$U$6)),"")</f>
        <v/>
      </c>
      <c r="U350" s="3" t="str">
        <f>IF($L350&lt;&gt;"",IF($A350="Prepago",0,IF(ROUND($H350*$U$7,2)&gt;ROUND(SUM($U$11:$U349)+$U$7,2),$U$7*2,$U$7)),"")</f>
        <v/>
      </c>
      <c r="V350" s="3" t="str">
        <f>IF($L350&lt;&gt;"",IF($A350="Prepago",0,IF($H350*$U$8&gt;SUM($V$11:$V349)+$U$8,$U$8*2,$U$8)),"")</f>
        <v/>
      </c>
      <c r="W350" s="3" t="str">
        <f t="shared" si="99"/>
        <v/>
      </c>
      <c r="X350" s="3" t="str">
        <f t="shared" si="116"/>
        <v/>
      </c>
      <c r="Y350" s="3" t="str">
        <f t="shared" si="118"/>
        <v/>
      </c>
      <c r="Z350" s="3" t="str">
        <f t="shared" si="117"/>
        <v/>
      </c>
      <c r="AA350" s="3" t="str">
        <f>IF($L350&lt;&gt;"",IF($N350&gt;Z$11,IF($N350&lt;AA$11,$N350-Z$11,30),0)*ROUND(($O350+$X349+SUM($Z350:Z350))*$V$5/3000,2),"")</f>
        <v/>
      </c>
    </row>
    <row r="351" spans="5:27" x14ac:dyDescent="0.3">
      <c r="E351" s="5"/>
      <c r="F351" t="str">
        <f t="shared" si="107"/>
        <v/>
      </c>
      <c r="G351" s="5" t="str">
        <f t="shared" si="105"/>
        <v/>
      </c>
      <c r="H351" t="str">
        <f t="shared" si="108"/>
        <v/>
      </c>
      <c r="I351" t="str">
        <f t="shared" si="109"/>
        <v/>
      </c>
      <c r="J351" t="str">
        <f t="shared" si="110"/>
        <v/>
      </c>
      <c r="K351" t="str">
        <f t="shared" si="111"/>
        <v/>
      </c>
      <c r="L351" t="str">
        <f t="shared" si="97"/>
        <v/>
      </c>
      <c r="M351" s="5" t="str">
        <f t="shared" si="106"/>
        <v/>
      </c>
      <c r="N351" s="7" t="str">
        <f t="shared" si="98"/>
        <v/>
      </c>
      <c r="O351" s="3" t="str">
        <f t="shared" si="112"/>
        <v/>
      </c>
      <c r="P351" s="3" t="str">
        <f t="shared" si="113"/>
        <v/>
      </c>
      <c r="Q351" s="3" t="str">
        <f t="shared" si="114"/>
        <v/>
      </c>
      <c r="R351" s="3" t="str">
        <f t="shared" si="115"/>
        <v/>
      </c>
      <c r="S351" s="3" t="str">
        <f>IF($L351&lt;&gt;"",IF($A351="Prepago",0,IF($H351*$U$5&gt;SUM($S$11:$S350)+$U$5,$U$5*2,$U$5)),"")</f>
        <v/>
      </c>
      <c r="T351" s="3" t="str">
        <f>IF($L351&lt;&gt;"",IF($A351="Prepago",0,IF($H351*$U$6&gt;SUM($T$11:$T350)+$U$6,$U$6*2,$U$6)),"")</f>
        <v/>
      </c>
      <c r="U351" s="3" t="str">
        <f>IF($L351&lt;&gt;"",IF($A351="Prepago",0,IF(ROUND($H351*$U$7,2)&gt;ROUND(SUM($U$11:$U350)+$U$7,2),$U$7*2,$U$7)),"")</f>
        <v/>
      </c>
      <c r="V351" s="3" t="str">
        <f>IF($L351&lt;&gt;"",IF($A351="Prepago",0,IF($H351*$U$8&gt;SUM($V$11:$V350)+$U$8,$U$8*2,$U$8)),"")</f>
        <v/>
      </c>
      <c r="W351" s="3" t="str">
        <f t="shared" si="99"/>
        <v/>
      </c>
      <c r="X351" s="3" t="str">
        <f t="shared" si="116"/>
        <v/>
      </c>
      <c r="Y351" s="3" t="str">
        <f t="shared" si="118"/>
        <v/>
      </c>
      <c r="Z351" s="3" t="str">
        <f t="shared" si="117"/>
        <v/>
      </c>
      <c r="AA351" s="3" t="str">
        <f>IF($L351&lt;&gt;"",IF($N351&gt;Z$11,IF($N351&lt;AA$11,$N351-Z$11,30),0)*ROUND(($O351+$X350+SUM($Z351:Z351))*$V$5/3000,2),"")</f>
        <v/>
      </c>
    </row>
    <row r="352" spans="5:27" x14ac:dyDescent="0.3">
      <c r="E352" s="5"/>
      <c r="F352" t="str">
        <f t="shared" si="107"/>
        <v/>
      </c>
      <c r="G352" s="5" t="str">
        <f t="shared" si="105"/>
        <v/>
      </c>
      <c r="H352" t="str">
        <f t="shared" si="108"/>
        <v/>
      </c>
      <c r="I352" t="str">
        <f t="shared" si="109"/>
        <v/>
      </c>
      <c r="J352" t="str">
        <f t="shared" si="110"/>
        <v/>
      </c>
      <c r="K352" t="str">
        <f t="shared" si="111"/>
        <v/>
      </c>
      <c r="L352" t="str">
        <f t="shared" si="97"/>
        <v/>
      </c>
      <c r="M352" s="5" t="str">
        <f t="shared" si="106"/>
        <v/>
      </c>
      <c r="N352" s="7" t="str">
        <f t="shared" si="98"/>
        <v/>
      </c>
      <c r="O352" s="3" t="str">
        <f t="shared" si="112"/>
        <v/>
      </c>
      <c r="P352" s="3" t="str">
        <f t="shared" si="113"/>
        <v/>
      </c>
      <c r="Q352" s="3" t="str">
        <f t="shared" si="114"/>
        <v/>
      </c>
      <c r="R352" s="3" t="str">
        <f t="shared" si="115"/>
        <v/>
      </c>
      <c r="S352" s="3" t="str">
        <f>IF($L352&lt;&gt;"",IF($A352="Prepago",0,IF($H352*$U$5&gt;SUM($S$11:$S351)+$U$5,$U$5*2,$U$5)),"")</f>
        <v/>
      </c>
      <c r="T352" s="3" t="str">
        <f>IF($L352&lt;&gt;"",IF($A352="Prepago",0,IF($H352*$U$6&gt;SUM($T$11:$T351)+$U$6,$U$6*2,$U$6)),"")</f>
        <v/>
      </c>
      <c r="U352" s="3" t="str">
        <f>IF($L352&lt;&gt;"",IF($A352="Prepago",0,IF(ROUND($H352*$U$7,2)&gt;ROUND(SUM($U$11:$U351)+$U$7,2),$U$7*2,$U$7)),"")</f>
        <v/>
      </c>
      <c r="V352" s="3" t="str">
        <f>IF($L352&lt;&gt;"",IF($A352="Prepago",0,IF($H352*$U$8&gt;SUM($V$11:$V351)+$U$8,$U$8*2,$U$8)),"")</f>
        <v/>
      </c>
      <c r="W352" s="3" t="str">
        <f t="shared" si="99"/>
        <v/>
      </c>
      <c r="X352" s="3" t="str">
        <f t="shared" si="116"/>
        <v/>
      </c>
      <c r="Y352" s="3" t="str">
        <f t="shared" si="118"/>
        <v/>
      </c>
      <c r="Z352" s="3" t="str">
        <f t="shared" si="117"/>
        <v/>
      </c>
      <c r="AA352" s="3" t="str">
        <f>IF($L352&lt;&gt;"",IF($N352&gt;Z$11,IF($N352&lt;AA$11,$N352-Z$11,30),0)*ROUND(($O352+$X351+SUM($Z352:Z352))*$V$5/3000,2),"")</f>
        <v/>
      </c>
    </row>
    <row r="353" spans="5:27" x14ac:dyDescent="0.3">
      <c r="E353" s="5"/>
      <c r="F353" t="str">
        <f t="shared" si="107"/>
        <v/>
      </c>
      <c r="G353" s="5" t="str">
        <f t="shared" si="105"/>
        <v/>
      </c>
      <c r="H353" t="str">
        <f t="shared" si="108"/>
        <v/>
      </c>
      <c r="I353" t="str">
        <f t="shared" si="109"/>
        <v/>
      </c>
      <c r="J353" t="str">
        <f t="shared" si="110"/>
        <v/>
      </c>
      <c r="K353" t="str">
        <f t="shared" si="111"/>
        <v/>
      </c>
      <c r="L353" t="str">
        <f t="shared" si="97"/>
        <v/>
      </c>
      <c r="M353" s="5" t="str">
        <f t="shared" si="106"/>
        <v/>
      </c>
      <c r="N353" s="7" t="str">
        <f t="shared" si="98"/>
        <v/>
      </c>
      <c r="O353" s="3" t="str">
        <f t="shared" si="112"/>
        <v/>
      </c>
      <c r="P353" s="3" t="str">
        <f t="shared" si="113"/>
        <v/>
      </c>
      <c r="Q353" s="3" t="str">
        <f t="shared" si="114"/>
        <v/>
      </c>
      <c r="R353" s="3" t="str">
        <f t="shared" si="115"/>
        <v/>
      </c>
      <c r="S353" s="3" t="str">
        <f>IF($L353&lt;&gt;"",IF($A353="Prepago",0,IF($H353*$U$5&gt;SUM($S$11:$S352)+$U$5,$U$5*2,$U$5)),"")</f>
        <v/>
      </c>
      <c r="T353" s="3" t="str">
        <f>IF($L353&lt;&gt;"",IF($A353="Prepago",0,IF($H353*$U$6&gt;SUM($T$11:$T352)+$U$6,$U$6*2,$U$6)),"")</f>
        <v/>
      </c>
      <c r="U353" s="3" t="str">
        <f>IF($L353&lt;&gt;"",IF($A353="Prepago",0,IF(ROUND($H353*$U$7,2)&gt;ROUND(SUM($U$11:$U352)+$U$7,2),$U$7*2,$U$7)),"")</f>
        <v/>
      </c>
      <c r="V353" s="3" t="str">
        <f>IF($L353&lt;&gt;"",IF($A353="Prepago",0,IF($H353*$U$8&gt;SUM($V$11:$V352)+$U$8,$U$8*2,$U$8)),"")</f>
        <v/>
      </c>
      <c r="W353" s="3" t="str">
        <f t="shared" si="99"/>
        <v/>
      </c>
      <c r="X353" s="3" t="str">
        <f t="shared" si="116"/>
        <v/>
      </c>
      <c r="Y353" s="3" t="str">
        <f t="shared" si="118"/>
        <v/>
      </c>
      <c r="Z353" s="3" t="str">
        <f t="shared" si="117"/>
        <v/>
      </c>
      <c r="AA353" s="3" t="str">
        <f>IF($L353&lt;&gt;"",IF($N353&gt;Z$11,IF($N353&lt;AA$11,$N353-Z$11,30),0)*ROUND(($O353+$X352+SUM($Z353:Z353))*$V$5/3000,2),"")</f>
        <v/>
      </c>
    </row>
    <row r="354" spans="5:27" x14ac:dyDescent="0.3">
      <c r="E354" s="5"/>
      <c r="F354" t="str">
        <f t="shared" si="107"/>
        <v/>
      </c>
      <c r="G354" s="5" t="str">
        <f t="shared" si="105"/>
        <v/>
      </c>
      <c r="H354" t="str">
        <f t="shared" si="108"/>
        <v/>
      </c>
      <c r="I354" t="str">
        <f t="shared" si="109"/>
        <v/>
      </c>
      <c r="J354" t="str">
        <f t="shared" si="110"/>
        <v/>
      </c>
      <c r="K354" t="str">
        <f t="shared" si="111"/>
        <v/>
      </c>
      <c r="L354" t="str">
        <f t="shared" si="97"/>
        <v/>
      </c>
      <c r="M354" s="5" t="str">
        <f t="shared" si="106"/>
        <v/>
      </c>
      <c r="N354" s="7" t="str">
        <f t="shared" si="98"/>
        <v/>
      </c>
      <c r="O354" s="3" t="str">
        <f t="shared" si="112"/>
        <v/>
      </c>
      <c r="P354" s="3" t="str">
        <f t="shared" si="113"/>
        <v/>
      </c>
      <c r="Q354" s="3" t="str">
        <f t="shared" si="114"/>
        <v/>
      </c>
      <c r="R354" s="3" t="str">
        <f t="shared" si="115"/>
        <v/>
      </c>
      <c r="S354" s="3" t="str">
        <f>IF($L354&lt;&gt;"",IF($A354="Prepago",0,IF($H354*$U$5&gt;SUM($S$11:$S353)+$U$5,$U$5*2,$U$5)),"")</f>
        <v/>
      </c>
      <c r="T354" s="3" t="str">
        <f>IF($L354&lt;&gt;"",IF($A354="Prepago",0,IF($H354*$U$6&gt;SUM($T$11:$T353)+$U$6,$U$6*2,$U$6)),"")</f>
        <v/>
      </c>
      <c r="U354" s="3" t="str">
        <f>IF($L354&lt;&gt;"",IF($A354="Prepago",0,IF(ROUND($H354*$U$7,2)&gt;ROUND(SUM($U$11:$U353)+$U$7,2),$U$7*2,$U$7)),"")</f>
        <v/>
      </c>
      <c r="V354" s="3" t="str">
        <f>IF($L354&lt;&gt;"",IF($A354="Prepago",0,IF($H354*$U$8&gt;SUM($V$11:$V353)+$U$8,$U$8*2,$U$8)),"")</f>
        <v/>
      </c>
      <c r="W354" s="3" t="str">
        <f t="shared" si="99"/>
        <v/>
      </c>
      <c r="X354" s="3" t="str">
        <f t="shared" si="116"/>
        <v/>
      </c>
      <c r="Y354" s="3" t="str">
        <f t="shared" si="118"/>
        <v/>
      </c>
      <c r="Z354" s="3" t="str">
        <f t="shared" si="117"/>
        <v/>
      </c>
      <c r="AA354" s="3" t="str">
        <f>IF($L354&lt;&gt;"",IF($N354&gt;Z$11,IF($N354&lt;AA$11,$N354-Z$11,30),0)*ROUND(($O354+$X353+SUM($Z354:Z354))*$V$5/3000,2),"")</f>
        <v/>
      </c>
    </row>
    <row r="355" spans="5:27" x14ac:dyDescent="0.3">
      <c r="E355" s="5"/>
      <c r="F355" t="str">
        <f t="shared" si="107"/>
        <v/>
      </c>
      <c r="G355" s="5" t="str">
        <f t="shared" si="105"/>
        <v/>
      </c>
      <c r="H355" t="str">
        <f t="shared" si="108"/>
        <v/>
      </c>
      <c r="I355" t="str">
        <f t="shared" si="109"/>
        <v/>
      </c>
      <c r="J355" t="str">
        <f t="shared" si="110"/>
        <v/>
      </c>
      <c r="K355" t="str">
        <f t="shared" si="111"/>
        <v/>
      </c>
      <c r="L355" t="str">
        <f t="shared" si="97"/>
        <v/>
      </c>
      <c r="M355" s="5" t="str">
        <f t="shared" si="106"/>
        <v/>
      </c>
      <c r="N355" s="7" t="str">
        <f t="shared" si="98"/>
        <v/>
      </c>
      <c r="O355" s="3" t="str">
        <f t="shared" si="112"/>
        <v/>
      </c>
      <c r="P355" s="3" t="str">
        <f t="shared" si="113"/>
        <v/>
      </c>
      <c r="Q355" s="3" t="str">
        <f t="shared" si="114"/>
        <v/>
      </c>
      <c r="R355" s="3" t="str">
        <f t="shared" si="115"/>
        <v/>
      </c>
      <c r="S355" s="3" t="str">
        <f>IF($L355&lt;&gt;"",IF($A355="Prepago",0,IF($H355*$U$5&gt;SUM($S$11:$S354)+$U$5,$U$5*2,$U$5)),"")</f>
        <v/>
      </c>
      <c r="T355" s="3" t="str">
        <f>IF($L355&lt;&gt;"",IF($A355="Prepago",0,IF($H355*$U$6&gt;SUM($T$11:$T354)+$U$6,$U$6*2,$U$6)),"")</f>
        <v/>
      </c>
      <c r="U355" s="3" t="str">
        <f>IF($L355&lt;&gt;"",IF($A355="Prepago",0,IF(ROUND($H355*$U$7,2)&gt;ROUND(SUM($U$11:$U354)+$U$7,2),$U$7*2,$U$7)),"")</f>
        <v/>
      </c>
      <c r="V355" s="3" t="str">
        <f>IF($L355&lt;&gt;"",IF($A355="Prepago",0,IF($H355*$U$8&gt;SUM($V$11:$V354)+$U$8,$U$8*2,$U$8)),"")</f>
        <v/>
      </c>
      <c r="W355" s="3" t="str">
        <f t="shared" si="99"/>
        <v/>
      </c>
      <c r="X355" s="3" t="str">
        <f t="shared" si="116"/>
        <v/>
      </c>
      <c r="Y355" s="3" t="str">
        <f t="shared" si="118"/>
        <v/>
      </c>
      <c r="Z355" s="3" t="str">
        <f t="shared" si="117"/>
        <v/>
      </c>
      <c r="AA355" s="3" t="str">
        <f>IF($L355&lt;&gt;"",IF($N355&gt;Z$11,IF($N355&lt;AA$11,$N355-Z$11,30),0)*ROUND(($O355+$X354+SUM($Z355:Z355))*$V$5/3000,2),"")</f>
        <v/>
      </c>
    </row>
    <row r="356" spans="5:27" x14ac:dyDescent="0.3">
      <c r="E356" s="5"/>
      <c r="F356" t="str">
        <f t="shared" si="107"/>
        <v/>
      </c>
      <c r="G356" s="5" t="str">
        <f t="shared" si="105"/>
        <v/>
      </c>
      <c r="H356" t="str">
        <f t="shared" si="108"/>
        <v/>
      </c>
      <c r="I356" t="str">
        <f t="shared" si="109"/>
        <v/>
      </c>
      <c r="J356" t="str">
        <f t="shared" si="110"/>
        <v/>
      </c>
      <c r="K356" t="str">
        <f t="shared" si="111"/>
        <v/>
      </c>
      <c r="L356" t="str">
        <f t="shared" si="97"/>
        <v/>
      </c>
      <c r="M356" s="5" t="str">
        <f t="shared" si="106"/>
        <v/>
      </c>
      <c r="N356" s="7" t="str">
        <f t="shared" si="98"/>
        <v/>
      </c>
      <c r="O356" s="3" t="str">
        <f t="shared" si="112"/>
        <v/>
      </c>
      <c r="P356" s="3" t="str">
        <f t="shared" si="113"/>
        <v/>
      </c>
      <c r="Q356" s="3" t="str">
        <f t="shared" si="114"/>
        <v/>
      </c>
      <c r="R356" s="3" t="str">
        <f t="shared" si="115"/>
        <v/>
      </c>
      <c r="S356" s="3" t="str">
        <f>IF($L356&lt;&gt;"",IF($A356="Prepago",0,IF($H356*$U$5&gt;SUM($S$11:$S355)+$U$5,$U$5*2,$U$5)),"")</f>
        <v/>
      </c>
      <c r="T356" s="3" t="str">
        <f>IF($L356&lt;&gt;"",IF($A356="Prepago",0,IF($H356*$U$6&gt;SUM($T$11:$T355)+$U$6,$U$6*2,$U$6)),"")</f>
        <v/>
      </c>
      <c r="U356" s="3" t="str">
        <f>IF($L356&lt;&gt;"",IF($A356="Prepago",0,IF(ROUND($H356*$U$7,2)&gt;ROUND(SUM($U$11:$U355)+$U$7,2),$U$7*2,$U$7)),"")</f>
        <v/>
      </c>
      <c r="V356" s="3" t="str">
        <f>IF($L356&lt;&gt;"",IF($A356="Prepago",0,IF($H356*$U$8&gt;SUM($V$11:$V355)+$U$8,$U$8*2,$U$8)),"")</f>
        <v/>
      </c>
      <c r="W356" s="3" t="str">
        <f t="shared" si="99"/>
        <v/>
      </c>
      <c r="X356" s="3" t="str">
        <f t="shared" si="116"/>
        <v/>
      </c>
      <c r="Y356" s="3" t="str">
        <f t="shared" si="118"/>
        <v/>
      </c>
      <c r="Z356" s="3" t="str">
        <f t="shared" si="117"/>
        <v/>
      </c>
      <c r="AA356" s="3" t="str">
        <f>IF($L356&lt;&gt;"",IF($N356&gt;Z$11,IF($N356&lt;AA$11,$N356-Z$11,30),0)*ROUND(($O356+$X355+SUM($Z356:Z356))*$V$5/3000,2),"")</f>
        <v/>
      </c>
    </row>
    <row r="357" spans="5:27" x14ac:dyDescent="0.3">
      <c r="E357" s="5"/>
      <c r="F357" t="str">
        <f t="shared" si="107"/>
        <v/>
      </c>
      <c r="G357" s="5" t="str">
        <f t="shared" si="105"/>
        <v/>
      </c>
      <c r="H357" t="str">
        <f t="shared" si="108"/>
        <v/>
      </c>
      <c r="I357" t="str">
        <f t="shared" si="109"/>
        <v/>
      </c>
      <c r="J357" t="str">
        <f t="shared" si="110"/>
        <v/>
      </c>
      <c r="K357" t="str">
        <f t="shared" si="111"/>
        <v/>
      </c>
      <c r="L357" t="str">
        <f t="shared" si="97"/>
        <v/>
      </c>
      <c r="M357" s="5" t="str">
        <f t="shared" si="106"/>
        <v/>
      </c>
      <c r="N357" s="7" t="str">
        <f t="shared" si="98"/>
        <v/>
      </c>
      <c r="O357" s="3" t="str">
        <f t="shared" si="112"/>
        <v/>
      </c>
      <c r="P357" s="3" t="str">
        <f t="shared" si="113"/>
        <v/>
      </c>
      <c r="Q357" s="3" t="str">
        <f t="shared" si="114"/>
        <v/>
      </c>
      <c r="R357" s="3" t="str">
        <f t="shared" si="115"/>
        <v/>
      </c>
      <c r="S357" s="3" t="str">
        <f>IF($L357&lt;&gt;"",IF($A357="Prepago",0,IF($H357*$U$5&gt;SUM($S$11:$S356)+$U$5,$U$5*2,$U$5)),"")</f>
        <v/>
      </c>
      <c r="T357" s="3" t="str">
        <f>IF($L357&lt;&gt;"",IF($A357="Prepago",0,IF($H357*$U$6&gt;SUM($T$11:$T356)+$U$6,$U$6*2,$U$6)),"")</f>
        <v/>
      </c>
      <c r="U357" s="3" t="str">
        <f>IF($L357&lt;&gt;"",IF($A357="Prepago",0,IF(ROUND($H357*$U$7,2)&gt;ROUND(SUM($U$11:$U356)+$U$7,2),$U$7*2,$U$7)),"")</f>
        <v/>
      </c>
      <c r="V357" s="3" t="str">
        <f>IF($L357&lt;&gt;"",IF($A357="Prepago",0,IF($H357*$U$8&gt;SUM($V$11:$V356)+$U$8,$U$8*2,$U$8)),"")</f>
        <v/>
      </c>
      <c r="W357" s="3" t="str">
        <f t="shared" si="99"/>
        <v/>
      </c>
      <c r="X357" s="3" t="str">
        <f t="shared" si="116"/>
        <v/>
      </c>
      <c r="Y357" s="3" t="str">
        <f t="shared" si="118"/>
        <v/>
      </c>
      <c r="Z357" s="3" t="str">
        <f t="shared" si="117"/>
        <v/>
      </c>
      <c r="AA357" s="3" t="str">
        <f>IF($L357&lt;&gt;"",IF($N357&gt;Z$11,IF($N357&lt;AA$11,$N357-Z$11,30),0)*ROUND(($O357+$X356+SUM($Z357:Z357))*$V$5/3000,2),"")</f>
        <v/>
      </c>
    </row>
    <row r="358" spans="5:27" x14ac:dyDescent="0.3">
      <c r="E358" s="5"/>
      <c r="F358" t="str">
        <f t="shared" si="107"/>
        <v/>
      </c>
      <c r="G358" s="5" t="str">
        <f t="shared" si="105"/>
        <v/>
      </c>
      <c r="H358" t="str">
        <f t="shared" si="108"/>
        <v/>
      </c>
      <c r="I358" t="str">
        <f t="shared" si="109"/>
        <v/>
      </c>
      <c r="J358" t="str">
        <f t="shared" si="110"/>
        <v/>
      </c>
      <c r="K358" t="str">
        <f t="shared" si="111"/>
        <v/>
      </c>
      <c r="L358" t="str">
        <f t="shared" si="97"/>
        <v/>
      </c>
      <c r="M358" s="5" t="str">
        <f t="shared" si="106"/>
        <v/>
      </c>
      <c r="N358" s="7" t="str">
        <f t="shared" si="98"/>
        <v/>
      </c>
      <c r="O358" s="3" t="str">
        <f t="shared" si="112"/>
        <v/>
      </c>
      <c r="P358" s="3" t="str">
        <f t="shared" si="113"/>
        <v/>
      </c>
      <c r="Q358" s="3" t="str">
        <f t="shared" si="114"/>
        <v/>
      </c>
      <c r="R358" s="3" t="str">
        <f t="shared" si="115"/>
        <v/>
      </c>
      <c r="S358" s="3" t="str">
        <f>IF($L358&lt;&gt;"",IF($A358="Prepago",0,IF($H358*$U$5&gt;SUM($S$11:$S357)+$U$5,$U$5*2,$U$5)),"")</f>
        <v/>
      </c>
      <c r="T358" s="3" t="str">
        <f>IF($L358&lt;&gt;"",IF($A358="Prepago",0,IF($H358*$U$6&gt;SUM($T$11:$T357)+$U$6,$U$6*2,$U$6)),"")</f>
        <v/>
      </c>
      <c r="U358" s="3" t="str">
        <f>IF($L358&lt;&gt;"",IF($A358="Prepago",0,IF(ROUND($H358*$U$7,2)&gt;ROUND(SUM($U$11:$U357)+$U$7,2),$U$7*2,$U$7)),"")</f>
        <v/>
      </c>
      <c r="V358" s="3" t="str">
        <f>IF($L358&lt;&gt;"",IF($A358="Prepago",0,IF($H358*$U$8&gt;SUM($V$11:$V357)+$U$8,$U$8*2,$U$8)),"")</f>
        <v/>
      </c>
      <c r="W358" s="3" t="str">
        <f t="shared" si="99"/>
        <v/>
      </c>
      <c r="X358" s="3" t="str">
        <f t="shared" si="116"/>
        <v/>
      </c>
      <c r="Y358" s="3" t="str">
        <f t="shared" si="118"/>
        <v/>
      </c>
      <c r="Z358" s="3" t="str">
        <f t="shared" si="117"/>
        <v/>
      </c>
      <c r="AA358" s="3" t="str">
        <f>IF($L358&lt;&gt;"",IF($N358&gt;Z$11,IF($N358&lt;AA$11,$N358-Z$11,30),0)*ROUND(($O358+$X357+SUM($Z358:Z358))*$V$5/3000,2),"")</f>
        <v/>
      </c>
    </row>
    <row r="359" spans="5:27" x14ac:dyDescent="0.3">
      <c r="E359" s="5"/>
      <c r="F359" t="str">
        <f t="shared" si="107"/>
        <v/>
      </c>
      <c r="G359" s="5" t="str">
        <f t="shared" si="105"/>
        <v/>
      </c>
      <c r="H359" t="str">
        <f t="shared" si="108"/>
        <v/>
      </c>
      <c r="I359" t="str">
        <f t="shared" si="109"/>
        <v/>
      </c>
      <c r="J359" t="str">
        <f t="shared" si="110"/>
        <v/>
      </c>
      <c r="K359" t="str">
        <f t="shared" si="111"/>
        <v/>
      </c>
      <c r="L359" t="str">
        <f t="shared" si="97"/>
        <v/>
      </c>
      <c r="M359" s="5" t="str">
        <f t="shared" si="106"/>
        <v/>
      </c>
      <c r="N359" s="7" t="str">
        <f t="shared" si="98"/>
        <v/>
      </c>
      <c r="O359" s="3" t="str">
        <f t="shared" si="112"/>
        <v/>
      </c>
      <c r="P359" s="3" t="str">
        <f t="shared" si="113"/>
        <v/>
      </c>
      <c r="Q359" s="3" t="str">
        <f t="shared" si="114"/>
        <v/>
      </c>
      <c r="R359" s="3" t="str">
        <f t="shared" si="115"/>
        <v/>
      </c>
      <c r="S359" s="3" t="str">
        <f>IF($L359&lt;&gt;"",IF($A359="Prepago",0,IF($H359*$U$5&gt;SUM($S$11:$S358)+$U$5,$U$5*2,$U$5)),"")</f>
        <v/>
      </c>
      <c r="T359" s="3" t="str">
        <f>IF($L359&lt;&gt;"",IF($A359="Prepago",0,IF($H359*$U$6&gt;SUM($T$11:$T358)+$U$6,$U$6*2,$U$6)),"")</f>
        <v/>
      </c>
      <c r="U359" s="3" t="str">
        <f>IF($L359&lt;&gt;"",IF($A359="Prepago",0,IF(ROUND($H359*$U$7,2)&gt;ROUND(SUM($U$11:$U358)+$U$7,2),$U$7*2,$U$7)),"")</f>
        <v/>
      </c>
      <c r="V359" s="3" t="str">
        <f>IF($L359&lt;&gt;"",IF($A359="Prepago",0,IF($H359*$U$8&gt;SUM($V$11:$V358)+$U$8,$U$8*2,$U$8)),"")</f>
        <v/>
      </c>
      <c r="W359" s="3" t="str">
        <f t="shared" si="99"/>
        <v/>
      </c>
      <c r="X359" s="3" t="str">
        <f t="shared" si="116"/>
        <v/>
      </c>
      <c r="Y359" s="3" t="str">
        <f t="shared" si="118"/>
        <v/>
      </c>
      <c r="Z359" s="3" t="str">
        <f t="shared" si="117"/>
        <v/>
      </c>
      <c r="AA359" s="3" t="str">
        <f>IF($L359&lt;&gt;"",IF($N359&gt;Z$11,IF($N359&lt;AA$11,$N359-Z$11,30),0)*ROUND(($O359+$X358+SUM($Z359:Z359))*$V$5/3000,2),"")</f>
        <v/>
      </c>
    </row>
    <row r="360" spans="5:27" x14ac:dyDescent="0.3">
      <c r="E360" s="5"/>
      <c r="F360" t="str">
        <f t="shared" si="107"/>
        <v/>
      </c>
      <c r="G360" s="5" t="str">
        <f t="shared" si="105"/>
        <v/>
      </c>
      <c r="H360" t="str">
        <f t="shared" si="108"/>
        <v/>
      </c>
      <c r="I360" t="str">
        <f t="shared" si="109"/>
        <v/>
      </c>
      <c r="J360" t="str">
        <f t="shared" si="110"/>
        <v/>
      </c>
      <c r="K360" t="str">
        <f t="shared" si="111"/>
        <v/>
      </c>
      <c r="L360" t="str">
        <f t="shared" si="97"/>
        <v/>
      </c>
      <c r="M360" s="5" t="str">
        <f t="shared" si="106"/>
        <v/>
      </c>
      <c r="N360" s="7" t="str">
        <f t="shared" si="98"/>
        <v/>
      </c>
      <c r="O360" s="3" t="str">
        <f t="shared" si="112"/>
        <v/>
      </c>
      <c r="P360" s="3" t="str">
        <f t="shared" si="113"/>
        <v/>
      </c>
      <c r="Q360" s="3" t="str">
        <f t="shared" si="114"/>
        <v/>
      </c>
      <c r="R360" s="3" t="str">
        <f t="shared" si="115"/>
        <v/>
      </c>
      <c r="S360" s="3" t="str">
        <f>IF($L360&lt;&gt;"",IF($A360="Prepago",0,IF($H360*$U$5&gt;SUM($S$11:$S359)+$U$5,$U$5*2,$U$5)),"")</f>
        <v/>
      </c>
      <c r="T360" s="3" t="str">
        <f>IF($L360&lt;&gt;"",IF($A360="Prepago",0,IF($H360*$U$6&gt;SUM($T$11:$T359)+$U$6,$U$6*2,$U$6)),"")</f>
        <v/>
      </c>
      <c r="U360" s="3" t="str">
        <f>IF($L360&lt;&gt;"",IF($A360="Prepago",0,IF(ROUND($H360*$U$7,2)&gt;ROUND(SUM($U$11:$U359)+$U$7,2),$U$7*2,$U$7)),"")</f>
        <v/>
      </c>
      <c r="V360" s="3" t="str">
        <f>IF($L360&lt;&gt;"",IF($A360="Prepago",0,IF($H360*$U$8&gt;SUM($V$11:$V359)+$U$8,$U$8*2,$U$8)),"")</f>
        <v/>
      </c>
      <c r="W360" s="3" t="str">
        <f t="shared" si="99"/>
        <v/>
      </c>
      <c r="X360" s="3" t="str">
        <f t="shared" si="116"/>
        <v/>
      </c>
      <c r="Y360" s="3" t="str">
        <f t="shared" si="118"/>
        <v/>
      </c>
      <c r="Z360" s="3" t="str">
        <f t="shared" si="117"/>
        <v/>
      </c>
      <c r="AA360" s="3" t="str">
        <f>IF($L360&lt;&gt;"",IF($N360&gt;Z$11,IF($N360&lt;AA$11,$N360-Z$11,30),0)*ROUND(($O360+$X359+SUM($Z360:Z360))*$V$5/3000,2),"")</f>
        <v/>
      </c>
    </row>
    <row r="361" spans="5:27" x14ac:dyDescent="0.3">
      <c r="E361" s="5"/>
      <c r="F361" t="str">
        <f t="shared" si="107"/>
        <v/>
      </c>
      <c r="G361" s="5" t="str">
        <f t="shared" si="105"/>
        <v/>
      </c>
      <c r="H361" t="str">
        <f t="shared" si="108"/>
        <v/>
      </c>
      <c r="I361" t="str">
        <f t="shared" si="109"/>
        <v/>
      </c>
      <c r="J361" t="str">
        <f t="shared" si="110"/>
        <v/>
      </c>
      <c r="K361" t="str">
        <f t="shared" si="111"/>
        <v/>
      </c>
      <c r="L361" t="str">
        <f t="shared" si="97"/>
        <v/>
      </c>
      <c r="M361" s="5" t="str">
        <f t="shared" si="106"/>
        <v/>
      </c>
      <c r="N361" s="7" t="str">
        <f t="shared" si="98"/>
        <v/>
      </c>
      <c r="O361" s="3" t="str">
        <f t="shared" si="112"/>
        <v/>
      </c>
      <c r="P361" s="3" t="str">
        <f t="shared" si="113"/>
        <v/>
      </c>
      <c r="Q361" s="3" t="str">
        <f t="shared" si="114"/>
        <v/>
      </c>
      <c r="R361" s="3" t="str">
        <f t="shared" si="115"/>
        <v/>
      </c>
      <c r="S361" s="3" t="str">
        <f>IF($L361&lt;&gt;"",IF($A361="Prepago",0,IF($H361*$U$5&gt;SUM($S$11:$S360)+$U$5,$U$5*2,$U$5)),"")</f>
        <v/>
      </c>
      <c r="T361" s="3" t="str">
        <f>IF($L361&lt;&gt;"",IF($A361="Prepago",0,IF($H361*$U$6&gt;SUM($T$11:$T360)+$U$6,$U$6*2,$U$6)),"")</f>
        <v/>
      </c>
      <c r="U361" s="3" t="str">
        <f>IF($L361&lt;&gt;"",IF($A361="Prepago",0,IF(ROUND($H361*$U$7,2)&gt;ROUND(SUM($U$11:$U360)+$U$7,2),$U$7*2,$U$7)),"")</f>
        <v/>
      </c>
      <c r="V361" s="3" t="str">
        <f>IF($L361&lt;&gt;"",IF($A361="Prepago",0,IF($H361*$U$8&gt;SUM($V$11:$V360)+$U$8,$U$8*2,$U$8)),"")</f>
        <v/>
      </c>
      <c r="W361" s="3" t="str">
        <f t="shared" si="99"/>
        <v/>
      </c>
      <c r="X361" s="3" t="str">
        <f t="shared" si="116"/>
        <v/>
      </c>
      <c r="Y361" s="3" t="str">
        <f t="shared" si="118"/>
        <v/>
      </c>
      <c r="Z361" s="3" t="str">
        <f t="shared" si="117"/>
        <v/>
      </c>
      <c r="AA361" s="3" t="str">
        <f>IF($L361&lt;&gt;"",IF($N361&gt;Z$11,IF($N361&lt;AA$11,$N361-Z$11,30),0)*ROUND(($O361+$X360+SUM($Z361:Z361))*$V$5/3000,2),"")</f>
        <v/>
      </c>
    </row>
    <row r="362" spans="5:27" x14ac:dyDescent="0.3">
      <c r="E362" s="5"/>
      <c r="F362" t="str">
        <f t="shared" si="107"/>
        <v/>
      </c>
      <c r="G362" s="5" t="str">
        <f t="shared" si="105"/>
        <v/>
      </c>
      <c r="H362" t="str">
        <f t="shared" si="108"/>
        <v/>
      </c>
      <c r="I362" t="str">
        <f t="shared" si="109"/>
        <v/>
      </c>
      <c r="J362" t="str">
        <f t="shared" si="110"/>
        <v/>
      </c>
      <c r="K362" t="str">
        <f t="shared" si="111"/>
        <v/>
      </c>
      <c r="L362" t="str">
        <f t="shared" si="97"/>
        <v/>
      </c>
      <c r="M362" s="5" t="str">
        <f t="shared" si="106"/>
        <v/>
      </c>
      <c r="N362" s="7" t="str">
        <f t="shared" si="98"/>
        <v/>
      </c>
      <c r="O362" s="3" t="str">
        <f t="shared" si="112"/>
        <v/>
      </c>
      <c r="P362" s="3" t="str">
        <f t="shared" si="113"/>
        <v/>
      </c>
      <c r="Q362" s="3" t="str">
        <f t="shared" si="114"/>
        <v/>
      </c>
      <c r="R362" s="3" t="str">
        <f t="shared" si="115"/>
        <v/>
      </c>
      <c r="S362" s="3" t="str">
        <f>IF($L362&lt;&gt;"",IF($A362="Prepago",0,IF($H362*$U$5&gt;SUM($S$11:$S361)+$U$5,$U$5*2,$U$5)),"")</f>
        <v/>
      </c>
      <c r="T362" s="3" t="str">
        <f>IF($L362&lt;&gt;"",IF($A362="Prepago",0,IF($H362*$U$6&gt;SUM($T$11:$T361)+$U$6,$U$6*2,$U$6)),"")</f>
        <v/>
      </c>
      <c r="U362" s="3" t="str">
        <f>IF($L362&lt;&gt;"",IF($A362="Prepago",0,IF(ROUND($H362*$U$7,2)&gt;ROUND(SUM($U$11:$U361)+$U$7,2),$U$7*2,$U$7)),"")</f>
        <v/>
      </c>
      <c r="V362" s="3" t="str">
        <f>IF($L362&lt;&gt;"",IF($A362="Prepago",0,IF($H362*$U$8&gt;SUM($V$11:$V361)+$U$8,$U$8*2,$U$8)),"")</f>
        <v/>
      </c>
      <c r="W362" s="3" t="str">
        <f t="shared" si="99"/>
        <v/>
      </c>
      <c r="X362" s="3" t="str">
        <f t="shared" si="116"/>
        <v/>
      </c>
      <c r="Y362" s="3" t="str">
        <f t="shared" si="118"/>
        <v/>
      </c>
      <c r="Z362" s="3" t="str">
        <f t="shared" si="117"/>
        <v/>
      </c>
      <c r="AA362" s="3" t="str">
        <f>IF($L362&lt;&gt;"",IF($N362&gt;Z$11,IF($N362&lt;AA$11,$N362-Z$11,30),0)*ROUND(($O362+$X361+SUM($Z362:Z362))*$V$5/3000,2),"")</f>
        <v/>
      </c>
    </row>
    <row r="363" spans="5:27" x14ac:dyDescent="0.3">
      <c r="E363" s="5"/>
      <c r="F363" t="str">
        <f t="shared" si="107"/>
        <v/>
      </c>
      <c r="G363" s="5" t="str">
        <f t="shared" si="105"/>
        <v/>
      </c>
      <c r="H363" t="str">
        <f t="shared" si="108"/>
        <v/>
      </c>
      <c r="I363" t="str">
        <f t="shared" si="109"/>
        <v/>
      </c>
      <c r="J363" t="str">
        <f t="shared" si="110"/>
        <v/>
      </c>
      <c r="K363" t="str">
        <f t="shared" si="111"/>
        <v/>
      </c>
      <c r="L363" t="str">
        <f t="shared" si="97"/>
        <v/>
      </c>
      <c r="M363" s="5" t="str">
        <f t="shared" si="106"/>
        <v/>
      </c>
      <c r="N363" s="7" t="str">
        <f t="shared" si="98"/>
        <v/>
      </c>
      <c r="O363" s="3" t="str">
        <f t="shared" si="112"/>
        <v/>
      </c>
      <c r="P363" s="3" t="str">
        <f t="shared" si="113"/>
        <v/>
      </c>
      <c r="Q363" s="3" t="str">
        <f t="shared" si="114"/>
        <v/>
      </c>
      <c r="R363" s="3" t="str">
        <f t="shared" si="115"/>
        <v/>
      </c>
      <c r="S363" s="3" t="str">
        <f>IF($L363&lt;&gt;"",IF($A363="Prepago",0,IF($H363*$U$5&gt;SUM($S$11:$S362)+$U$5,$U$5*2,$U$5)),"")</f>
        <v/>
      </c>
      <c r="T363" s="3" t="str">
        <f>IF($L363&lt;&gt;"",IF($A363="Prepago",0,IF($H363*$U$6&gt;SUM($T$11:$T362)+$U$6,$U$6*2,$U$6)),"")</f>
        <v/>
      </c>
      <c r="U363" s="3" t="str">
        <f>IF($L363&lt;&gt;"",IF($A363="Prepago",0,IF(ROUND($H363*$U$7,2)&gt;ROUND(SUM($U$11:$U362)+$U$7,2),$U$7*2,$U$7)),"")</f>
        <v/>
      </c>
      <c r="V363" s="3" t="str">
        <f>IF($L363&lt;&gt;"",IF($A363="Prepago",0,IF($H363*$U$8&gt;SUM($V$11:$V362)+$U$8,$U$8*2,$U$8)),"")</f>
        <v/>
      </c>
      <c r="W363" s="3" t="str">
        <f t="shared" si="99"/>
        <v/>
      </c>
      <c r="X363" s="3" t="str">
        <f t="shared" si="116"/>
        <v/>
      </c>
      <c r="Y363" s="3" t="str">
        <f t="shared" si="118"/>
        <v/>
      </c>
      <c r="Z363" s="3" t="str">
        <f t="shared" si="117"/>
        <v/>
      </c>
      <c r="AA363" s="3" t="str">
        <f>IF($L363&lt;&gt;"",IF($N363&gt;Z$11,IF($N363&lt;AA$11,$N363-Z$11,30),0)*ROUND(($O363+$X362+SUM($Z363:Z363))*$V$5/3000,2),"")</f>
        <v/>
      </c>
    </row>
    <row r="364" spans="5:27" x14ac:dyDescent="0.3">
      <c r="E364" s="5"/>
      <c r="F364" t="str">
        <f t="shared" si="107"/>
        <v/>
      </c>
      <c r="G364" s="5" t="str">
        <f t="shared" si="105"/>
        <v/>
      </c>
      <c r="H364" t="str">
        <f t="shared" si="108"/>
        <v/>
      </c>
      <c r="I364" t="str">
        <f t="shared" si="109"/>
        <v/>
      </c>
      <c r="J364" t="str">
        <f t="shared" si="110"/>
        <v/>
      </c>
      <c r="K364" t="str">
        <f t="shared" si="111"/>
        <v/>
      </c>
      <c r="L364" t="str">
        <f t="shared" ref="L364:L419" si="119">IF($L363&lt;NCUOTAS+CUOTAADICIONAL+NPREPAGO,$L363+1,"")</f>
        <v/>
      </c>
      <c r="M364" s="5" t="str">
        <f t="shared" si="106"/>
        <v/>
      </c>
      <c r="N364" s="7" t="str">
        <f t="shared" ref="N364:N419" si="120">IF($L364&lt;&gt;"",$M364-$M363,"")</f>
        <v/>
      </c>
      <c r="O364" s="3" t="str">
        <f t="shared" si="112"/>
        <v/>
      </c>
      <c r="P364" s="3" t="str">
        <f t="shared" si="113"/>
        <v/>
      </c>
      <c r="Q364" s="3" t="str">
        <f t="shared" si="114"/>
        <v/>
      </c>
      <c r="R364" s="3" t="str">
        <f t="shared" si="115"/>
        <v/>
      </c>
      <c r="S364" s="3" t="str">
        <f>IF($L364&lt;&gt;"",IF($A364="Prepago",0,IF($H364*$U$5&gt;SUM($S$11:$S363)+$U$5,$U$5*2,$U$5)),"")</f>
        <v/>
      </c>
      <c r="T364" s="3" t="str">
        <f>IF($L364&lt;&gt;"",IF($A364="Prepago",0,IF($H364*$U$6&gt;SUM($T$11:$T363)+$U$6,$U$6*2,$U$6)),"")</f>
        <v/>
      </c>
      <c r="U364" s="3" t="str">
        <f>IF($L364&lt;&gt;"",IF($A364="Prepago",0,IF(ROUND($H364*$U$7,2)&gt;ROUND(SUM($U$11:$U363)+$U$7,2),$U$7*2,$U$7)),"")</f>
        <v/>
      </c>
      <c r="V364" s="3" t="str">
        <f>IF($L364&lt;&gt;"",IF($A364="Prepago",0,IF($H364*$U$8&gt;SUM($V$11:$V363)+$U$8,$U$8*2,$U$8)),"")</f>
        <v/>
      </c>
      <c r="W364" s="3" t="str">
        <f t="shared" ref="W364:W419" si="121">IF($L364&lt;&gt;"",$O364-$Q364,"")</f>
        <v/>
      </c>
      <c r="X364" s="3" t="str">
        <f t="shared" si="116"/>
        <v/>
      </c>
      <c r="Y364" s="3" t="str">
        <f t="shared" si="118"/>
        <v/>
      </c>
      <c r="Z364" s="3" t="str">
        <f t="shared" si="117"/>
        <v/>
      </c>
      <c r="AA364" s="3" t="str">
        <f>IF($L364&lt;&gt;"",IF($N364&gt;Z$11,IF($N364&lt;AA$11,$N364-Z$11,30),0)*ROUND(($O364+$X363+SUM($Z364:Z364))*$V$5/3000,2),"")</f>
        <v/>
      </c>
    </row>
    <row r="365" spans="5:27" x14ac:dyDescent="0.3">
      <c r="E365" s="5"/>
      <c r="F365" t="str">
        <f t="shared" si="107"/>
        <v/>
      </c>
      <c r="G365" s="5" t="str">
        <f t="shared" si="105"/>
        <v/>
      </c>
      <c r="H365" t="str">
        <f t="shared" si="108"/>
        <v/>
      </c>
      <c r="I365" t="str">
        <f t="shared" si="109"/>
        <v/>
      </c>
      <c r="J365" t="str">
        <f t="shared" si="110"/>
        <v/>
      </c>
      <c r="K365" t="str">
        <f t="shared" si="111"/>
        <v/>
      </c>
      <c r="L365" t="str">
        <f t="shared" si="119"/>
        <v/>
      </c>
      <c r="M365" s="5" t="str">
        <f t="shared" si="106"/>
        <v/>
      </c>
      <c r="N365" s="7" t="str">
        <f t="shared" si="120"/>
        <v/>
      </c>
      <c r="O365" s="3" t="str">
        <f t="shared" si="112"/>
        <v/>
      </c>
      <c r="P365" s="3" t="str">
        <f t="shared" si="113"/>
        <v/>
      </c>
      <c r="Q365" s="3" t="str">
        <f t="shared" si="114"/>
        <v/>
      </c>
      <c r="R365" s="3" t="str">
        <f t="shared" si="115"/>
        <v/>
      </c>
      <c r="S365" s="3" t="str">
        <f>IF($L365&lt;&gt;"",IF($A365="Prepago",0,IF($H365*$U$5&gt;SUM($S$11:$S364)+$U$5,$U$5*2,$U$5)),"")</f>
        <v/>
      </c>
      <c r="T365" s="3" t="str">
        <f>IF($L365&lt;&gt;"",IF($A365="Prepago",0,IF($H365*$U$6&gt;SUM($T$11:$T364)+$U$6,$U$6*2,$U$6)),"")</f>
        <v/>
      </c>
      <c r="U365" s="3" t="str">
        <f>IF($L365&lt;&gt;"",IF($A365="Prepago",0,IF(ROUND($H365*$U$7,2)&gt;ROUND(SUM($U$11:$U364)+$U$7,2),$U$7*2,$U$7)),"")</f>
        <v/>
      </c>
      <c r="V365" s="3" t="str">
        <f>IF($L365&lt;&gt;"",IF($A365="Prepago",0,IF($H365*$U$8&gt;SUM($V$11:$V364)+$U$8,$U$8*2,$U$8)),"")</f>
        <v/>
      </c>
      <c r="W365" s="3" t="str">
        <f t="shared" si="121"/>
        <v/>
      </c>
      <c r="X365" s="3" t="str">
        <f t="shared" si="116"/>
        <v/>
      </c>
      <c r="Y365" s="3" t="str">
        <f t="shared" si="118"/>
        <v/>
      </c>
      <c r="Z365" s="3" t="str">
        <f t="shared" si="117"/>
        <v/>
      </c>
      <c r="AA365" s="3" t="str">
        <f>IF($L365&lt;&gt;"",IF($N365&gt;Z$11,IF($N365&lt;AA$11,$N365-Z$11,30),0)*ROUND(($O365+$X364+SUM($Z365:Z365))*$V$5/3000,2),"")</f>
        <v/>
      </c>
    </row>
    <row r="366" spans="5:27" x14ac:dyDescent="0.3">
      <c r="E366" s="5"/>
      <c r="F366" t="str">
        <f t="shared" si="107"/>
        <v/>
      </c>
      <c r="G366" s="5" t="str">
        <f t="shared" si="105"/>
        <v/>
      </c>
      <c r="H366" t="str">
        <f t="shared" si="108"/>
        <v/>
      </c>
      <c r="I366" t="str">
        <f t="shared" si="109"/>
        <v/>
      </c>
      <c r="J366" t="str">
        <f t="shared" si="110"/>
        <v/>
      </c>
      <c r="K366" t="str">
        <f t="shared" si="111"/>
        <v/>
      </c>
      <c r="L366" t="str">
        <f t="shared" si="119"/>
        <v/>
      </c>
      <c r="M366" s="5" t="str">
        <f t="shared" si="106"/>
        <v/>
      </c>
      <c r="N366" s="7" t="str">
        <f t="shared" si="120"/>
        <v/>
      </c>
      <c r="O366" s="3" t="str">
        <f t="shared" si="112"/>
        <v/>
      </c>
      <c r="P366" s="3" t="str">
        <f t="shared" si="113"/>
        <v/>
      </c>
      <c r="Q366" s="3" t="str">
        <f t="shared" si="114"/>
        <v/>
      </c>
      <c r="R366" s="3" t="str">
        <f t="shared" si="115"/>
        <v/>
      </c>
      <c r="S366" s="3" t="str">
        <f>IF($L366&lt;&gt;"",IF($A366="Prepago",0,IF($H366*$U$5&gt;SUM($S$11:$S365)+$U$5,$U$5*2,$U$5)),"")</f>
        <v/>
      </c>
      <c r="T366" s="3" t="str">
        <f>IF($L366&lt;&gt;"",IF($A366="Prepago",0,IF($H366*$U$6&gt;SUM($T$11:$T365)+$U$6,$U$6*2,$U$6)),"")</f>
        <v/>
      </c>
      <c r="U366" s="3" t="str">
        <f>IF($L366&lt;&gt;"",IF($A366="Prepago",0,IF(ROUND($H366*$U$7,2)&gt;ROUND(SUM($U$11:$U365)+$U$7,2),$U$7*2,$U$7)),"")</f>
        <v/>
      </c>
      <c r="V366" s="3" t="str">
        <f>IF($L366&lt;&gt;"",IF($A366="Prepago",0,IF($H366*$U$8&gt;SUM($V$11:$V365)+$U$8,$U$8*2,$U$8)),"")</f>
        <v/>
      </c>
      <c r="W366" s="3" t="str">
        <f t="shared" si="121"/>
        <v/>
      </c>
      <c r="X366" s="3" t="str">
        <f t="shared" si="116"/>
        <v/>
      </c>
      <c r="Y366" s="3" t="str">
        <f t="shared" si="118"/>
        <v/>
      </c>
      <c r="Z366" s="3" t="str">
        <f t="shared" si="117"/>
        <v/>
      </c>
      <c r="AA366" s="3" t="str">
        <f>IF($L366&lt;&gt;"",IF($N366&gt;Z$11,IF($N366&lt;AA$11,$N366-Z$11,30),0)*ROUND(($O366+$X365+SUM($Z366:Z366))*$V$5/3000,2),"")</f>
        <v/>
      </c>
    </row>
    <row r="367" spans="5:27" x14ac:dyDescent="0.3">
      <c r="E367" s="5"/>
      <c r="F367" t="str">
        <f t="shared" si="107"/>
        <v/>
      </c>
      <c r="G367" s="5" t="str">
        <f t="shared" si="105"/>
        <v/>
      </c>
      <c r="H367" t="str">
        <f t="shared" si="108"/>
        <v/>
      </c>
      <c r="I367" t="str">
        <f t="shared" si="109"/>
        <v/>
      </c>
      <c r="J367" t="str">
        <f t="shared" si="110"/>
        <v/>
      </c>
      <c r="K367" t="str">
        <f t="shared" si="111"/>
        <v/>
      </c>
      <c r="L367" t="str">
        <f t="shared" si="119"/>
        <v/>
      </c>
      <c r="M367" s="5" t="str">
        <f t="shared" si="106"/>
        <v/>
      </c>
      <c r="N367" s="7" t="str">
        <f t="shared" si="120"/>
        <v/>
      </c>
      <c r="O367" s="3" t="str">
        <f t="shared" si="112"/>
        <v/>
      </c>
      <c r="P367" s="3" t="str">
        <f t="shared" si="113"/>
        <v/>
      </c>
      <c r="Q367" s="3" t="str">
        <f t="shared" si="114"/>
        <v/>
      </c>
      <c r="R367" s="3" t="str">
        <f t="shared" si="115"/>
        <v/>
      </c>
      <c r="S367" s="3" t="str">
        <f>IF($L367&lt;&gt;"",IF($A367="Prepago",0,IF($H367*$U$5&gt;SUM($S$11:$S366)+$U$5,$U$5*2,$U$5)),"")</f>
        <v/>
      </c>
      <c r="T367" s="3" t="str">
        <f>IF($L367&lt;&gt;"",IF($A367="Prepago",0,IF($H367*$U$6&gt;SUM($T$11:$T366)+$U$6,$U$6*2,$U$6)),"")</f>
        <v/>
      </c>
      <c r="U367" s="3" t="str">
        <f>IF($L367&lt;&gt;"",IF($A367="Prepago",0,IF(ROUND($H367*$U$7,2)&gt;ROUND(SUM($U$11:$U366)+$U$7,2),$U$7*2,$U$7)),"")</f>
        <v/>
      </c>
      <c r="V367" s="3" t="str">
        <f>IF($L367&lt;&gt;"",IF($A367="Prepago",0,IF($H367*$U$8&gt;SUM($V$11:$V366)+$U$8,$U$8*2,$U$8)),"")</f>
        <v/>
      </c>
      <c r="W367" s="3" t="str">
        <f t="shared" si="121"/>
        <v/>
      </c>
      <c r="X367" s="3" t="str">
        <f t="shared" si="116"/>
        <v/>
      </c>
      <c r="Y367" s="3" t="str">
        <f t="shared" si="118"/>
        <v/>
      </c>
      <c r="Z367" s="3" t="str">
        <f t="shared" si="117"/>
        <v/>
      </c>
      <c r="AA367" s="3" t="str">
        <f>IF($L367&lt;&gt;"",IF($N367&gt;Z$11,IF($N367&lt;AA$11,$N367-Z$11,30),0)*ROUND(($O367+$X366+SUM($Z367:Z367))*$V$5/3000,2),"")</f>
        <v/>
      </c>
    </row>
    <row r="368" spans="5:27" x14ac:dyDescent="0.3">
      <c r="E368" s="5"/>
      <c r="F368" t="str">
        <f t="shared" si="107"/>
        <v/>
      </c>
      <c r="G368" s="5" t="str">
        <f t="shared" si="105"/>
        <v/>
      </c>
      <c r="H368" t="str">
        <f t="shared" si="108"/>
        <v/>
      </c>
      <c r="I368" t="str">
        <f t="shared" si="109"/>
        <v/>
      </c>
      <c r="J368" t="str">
        <f t="shared" si="110"/>
        <v/>
      </c>
      <c r="K368" t="str">
        <f t="shared" si="111"/>
        <v/>
      </c>
      <c r="L368" t="str">
        <f t="shared" si="119"/>
        <v/>
      </c>
      <c r="M368" s="5" t="str">
        <f t="shared" si="106"/>
        <v/>
      </c>
      <c r="N368" s="7" t="str">
        <f t="shared" si="120"/>
        <v/>
      </c>
      <c r="O368" s="3" t="str">
        <f t="shared" si="112"/>
        <v/>
      </c>
      <c r="P368" s="3" t="str">
        <f t="shared" si="113"/>
        <v/>
      </c>
      <c r="Q368" s="3" t="str">
        <f t="shared" si="114"/>
        <v/>
      </c>
      <c r="R368" s="3" t="str">
        <f t="shared" si="115"/>
        <v/>
      </c>
      <c r="S368" s="3" t="str">
        <f>IF($L368&lt;&gt;"",IF($A368="Prepago",0,IF($H368*$U$5&gt;SUM($S$11:$S367)+$U$5,$U$5*2,$U$5)),"")</f>
        <v/>
      </c>
      <c r="T368" s="3" t="str">
        <f>IF($L368&lt;&gt;"",IF($A368="Prepago",0,IF($H368*$U$6&gt;SUM($T$11:$T367)+$U$6,$U$6*2,$U$6)),"")</f>
        <v/>
      </c>
      <c r="U368" s="3" t="str">
        <f>IF($L368&lt;&gt;"",IF($A368="Prepago",0,IF(ROUND($H368*$U$7,2)&gt;ROUND(SUM($U$11:$U367)+$U$7,2),$U$7*2,$U$7)),"")</f>
        <v/>
      </c>
      <c r="V368" s="3" t="str">
        <f>IF($L368&lt;&gt;"",IF($A368="Prepago",0,IF($H368*$U$8&gt;SUM($V$11:$V367)+$U$8,$U$8*2,$U$8)),"")</f>
        <v/>
      </c>
      <c r="W368" s="3" t="str">
        <f t="shared" si="121"/>
        <v/>
      </c>
      <c r="X368" s="3" t="str">
        <f t="shared" si="116"/>
        <v/>
      </c>
      <c r="Y368" s="3" t="str">
        <f t="shared" si="118"/>
        <v/>
      </c>
      <c r="Z368" s="3" t="str">
        <f t="shared" si="117"/>
        <v/>
      </c>
      <c r="AA368" s="3" t="str">
        <f>IF($L368&lt;&gt;"",IF($N368&gt;Z$11,IF($N368&lt;AA$11,$N368-Z$11,30),0)*ROUND(($O368+$X367+SUM($Z368:Z368))*$V$5/3000,2),"")</f>
        <v/>
      </c>
    </row>
    <row r="369" spans="5:27" x14ac:dyDescent="0.3">
      <c r="E369" s="5"/>
      <c r="F369" t="str">
        <f t="shared" si="107"/>
        <v/>
      </c>
      <c r="G369" s="5" t="str">
        <f t="shared" si="105"/>
        <v/>
      </c>
      <c r="H369" t="str">
        <f t="shared" si="108"/>
        <v/>
      </c>
      <c r="I369" t="str">
        <f t="shared" si="109"/>
        <v/>
      </c>
      <c r="J369" t="str">
        <f t="shared" si="110"/>
        <v/>
      </c>
      <c r="K369" t="str">
        <f t="shared" si="111"/>
        <v/>
      </c>
      <c r="L369" t="str">
        <f t="shared" si="119"/>
        <v/>
      </c>
      <c r="M369" s="5" t="str">
        <f t="shared" si="106"/>
        <v/>
      </c>
      <c r="N369" s="7" t="str">
        <f t="shared" si="120"/>
        <v/>
      </c>
      <c r="O369" s="3" t="str">
        <f t="shared" si="112"/>
        <v/>
      </c>
      <c r="P369" s="3" t="str">
        <f t="shared" si="113"/>
        <v/>
      </c>
      <c r="Q369" s="3" t="str">
        <f t="shared" si="114"/>
        <v/>
      </c>
      <c r="R369" s="3" t="str">
        <f t="shared" si="115"/>
        <v/>
      </c>
      <c r="S369" s="3" t="str">
        <f>IF($L369&lt;&gt;"",IF($A369="Prepago",0,IF($H369*$U$5&gt;SUM($S$11:$S368)+$U$5,$U$5*2,$U$5)),"")</f>
        <v/>
      </c>
      <c r="T369" s="3" t="str">
        <f>IF($L369&lt;&gt;"",IF($A369="Prepago",0,IF($H369*$U$6&gt;SUM($T$11:$T368)+$U$6,$U$6*2,$U$6)),"")</f>
        <v/>
      </c>
      <c r="U369" s="3" t="str">
        <f>IF($L369&lt;&gt;"",IF($A369="Prepago",0,IF(ROUND($H369*$U$7,2)&gt;ROUND(SUM($U$11:$U368)+$U$7,2),$U$7*2,$U$7)),"")</f>
        <v/>
      </c>
      <c r="V369" s="3" t="str">
        <f>IF($L369&lt;&gt;"",IF($A369="Prepago",0,IF($H369*$U$8&gt;SUM($V$11:$V368)+$U$8,$U$8*2,$U$8)),"")</f>
        <v/>
      </c>
      <c r="W369" s="3" t="str">
        <f t="shared" si="121"/>
        <v/>
      </c>
      <c r="X369" s="3" t="str">
        <f t="shared" si="116"/>
        <v/>
      </c>
      <c r="Y369" s="3" t="str">
        <f t="shared" si="118"/>
        <v/>
      </c>
      <c r="Z369" s="3" t="str">
        <f t="shared" si="117"/>
        <v/>
      </c>
      <c r="AA369" s="3" t="str">
        <f>IF($L369&lt;&gt;"",IF($N369&gt;Z$11,IF($N369&lt;AA$11,$N369-Z$11,30),0)*ROUND(($O369+$X368+SUM($Z369:Z369))*$V$5/3000,2),"")</f>
        <v/>
      </c>
    </row>
    <row r="370" spans="5:27" x14ac:dyDescent="0.3">
      <c r="E370" s="5"/>
      <c r="F370" t="str">
        <f t="shared" si="107"/>
        <v/>
      </c>
      <c r="G370" s="5" t="str">
        <f t="shared" si="105"/>
        <v/>
      </c>
      <c r="H370" t="str">
        <f t="shared" si="108"/>
        <v/>
      </c>
      <c r="I370" t="str">
        <f t="shared" si="109"/>
        <v/>
      </c>
      <c r="J370" t="str">
        <f t="shared" si="110"/>
        <v/>
      </c>
      <c r="K370" t="str">
        <f t="shared" si="111"/>
        <v/>
      </c>
      <c r="L370" t="str">
        <f t="shared" si="119"/>
        <v/>
      </c>
      <c r="M370" s="5" t="str">
        <f t="shared" si="106"/>
        <v/>
      </c>
      <c r="N370" s="7" t="str">
        <f t="shared" si="120"/>
        <v/>
      </c>
      <c r="O370" s="3" t="str">
        <f t="shared" si="112"/>
        <v/>
      </c>
      <c r="P370" s="3" t="str">
        <f t="shared" si="113"/>
        <v/>
      </c>
      <c r="Q370" s="3" t="str">
        <f t="shared" si="114"/>
        <v/>
      </c>
      <c r="R370" s="3" t="str">
        <f t="shared" si="115"/>
        <v/>
      </c>
      <c r="S370" s="3" t="str">
        <f>IF($L370&lt;&gt;"",IF($A370="Prepago",0,IF($H370*$U$5&gt;SUM($S$11:$S369)+$U$5,$U$5*2,$U$5)),"")</f>
        <v/>
      </c>
      <c r="T370" s="3" t="str">
        <f>IF($L370&lt;&gt;"",IF($A370="Prepago",0,IF($H370*$U$6&gt;SUM($T$11:$T369)+$U$6,$U$6*2,$U$6)),"")</f>
        <v/>
      </c>
      <c r="U370" s="3" t="str">
        <f>IF($L370&lt;&gt;"",IF($A370="Prepago",0,IF(ROUND($H370*$U$7,2)&gt;ROUND(SUM($U$11:$U369)+$U$7,2),$U$7*2,$U$7)),"")</f>
        <v/>
      </c>
      <c r="V370" s="3" t="str">
        <f>IF($L370&lt;&gt;"",IF($A370="Prepago",0,IF($H370*$U$8&gt;SUM($V$11:$V369)+$U$8,$U$8*2,$U$8)),"")</f>
        <v/>
      </c>
      <c r="W370" s="3" t="str">
        <f t="shared" si="121"/>
        <v/>
      </c>
      <c r="X370" s="3" t="str">
        <f t="shared" si="116"/>
        <v/>
      </c>
      <c r="Y370" s="3" t="str">
        <f t="shared" si="118"/>
        <v/>
      </c>
      <c r="Z370" s="3" t="str">
        <f t="shared" si="117"/>
        <v/>
      </c>
      <c r="AA370" s="3" t="str">
        <f>IF($L370&lt;&gt;"",IF($N370&gt;Z$11,IF($N370&lt;AA$11,$N370-Z$11,30),0)*ROUND(($O370+$X369+SUM($Z370:Z370))*$V$5/3000,2),"")</f>
        <v/>
      </c>
    </row>
    <row r="371" spans="5:27" x14ac:dyDescent="0.3">
      <c r="E371" s="5"/>
      <c r="F371" t="str">
        <f t="shared" si="107"/>
        <v/>
      </c>
      <c r="G371" s="5" t="str">
        <f t="shared" si="105"/>
        <v/>
      </c>
      <c r="H371" t="str">
        <f t="shared" si="108"/>
        <v/>
      </c>
      <c r="I371" t="str">
        <f t="shared" si="109"/>
        <v/>
      </c>
      <c r="J371" t="str">
        <f t="shared" si="110"/>
        <v/>
      </c>
      <c r="K371" t="str">
        <f t="shared" si="111"/>
        <v/>
      </c>
      <c r="L371" t="str">
        <f t="shared" si="119"/>
        <v/>
      </c>
      <c r="M371" s="5" t="str">
        <f t="shared" si="106"/>
        <v/>
      </c>
      <c r="N371" s="7" t="str">
        <f t="shared" si="120"/>
        <v/>
      </c>
      <c r="O371" s="3" t="str">
        <f t="shared" si="112"/>
        <v/>
      </c>
      <c r="P371" s="3" t="str">
        <f t="shared" si="113"/>
        <v/>
      </c>
      <c r="Q371" s="3" t="str">
        <f t="shared" si="114"/>
        <v/>
      </c>
      <c r="R371" s="3" t="str">
        <f t="shared" si="115"/>
        <v/>
      </c>
      <c r="S371" s="3" t="str">
        <f>IF($L371&lt;&gt;"",IF($A371="Prepago",0,IF($H371*$U$5&gt;SUM($S$11:$S370)+$U$5,$U$5*2,$U$5)),"")</f>
        <v/>
      </c>
      <c r="T371" s="3" t="str">
        <f>IF($L371&lt;&gt;"",IF($A371="Prepago",0,IF($H371*$U$6&gt;SUM($T$11:$T370)+$U$6,$U$6*2,$U$6)),"")</f>
        <v/>
      </c>
      <c r="U371" s="3" t="str">
        <f>IF($L371&lt;&gt;"",IF($A371="Prepago",0,IF(ROUND($H371*$U$7,2)&gt;ROUND(SUM($U$11:$U370)+$U$7,2),$U$7*2,$U$7)),"")</f>
        <v/>
      </c>
      <c r="V371" s="3" t="str">
        <f>IF($L371&lt;&gt;"",IF($A371="Prepago",0,IF($H371*$U$8&gt;SUM($V$11:$V370)+$U$8,$U$8*2,$U$8)),"")</f>
        <v/>
      </c>
      <c r="W371" s="3" t="str">
        <f t="shared" si="121"/>
        <v/>
      </c>
      <c r="X371" s="3" t="str">
        <f t="shared" si="116"/>
        <v/>
      </c>
      <c r="Y371" s="3" t="str">
        <f t="shared" si="118"/>
        <v/>
      </c>
      <c r="Z371" s="3" t="str">
        <f t="shared" si="117"/>
        <v/>
      </c>
      <c r="AA371" s="3" t="str">
        <f>IF($L371&lt;&gt;"",IF($N371&gt;Z$11,IF($N371&lt;AA$11,$N371-Z$11,30),0)*ROUND(($O371+$X370+SUM($Z371:Z371))*$V$5/3000,2),"")</f>
        <v/>
      </c>
    </row>
    <row r="372" spans="5:27" x14ac:dyDescent="0.3">
      <c r="E372" s="5"/>
      <c r="F372" t="str">
        <f t="shared" si="107"/>
        <v/>
      </c>
      <c r="G372" s="5" t="str">
        <f t="shared" si="105"/>
        <v/>
      </c>
      <c r="H372" t="str">
        <f t="shared" si="108"/>
        <v/>
      </c>
      <c r="I372" t="str">
        <f t="shared" si="109"/>
        <v/>
      </c>
      <c r="J372" t="str">
        <f t="shared" si="110"/>
        <v/>
      </c>
      <c r="K372" t="str">
        <f t="shared" si="111"/>
        <v/>
      </c>
      <c r="L372" t="str">
        <f t="shared" si="119"/>
        <v/>
      </c>
      <c r="M372" s="5" t="str">
        <f t="shared" si="106"/>
        <v/>
      </c>
      <c r="N372" s="7" t="str">
        <f t="shared" si="120"/>
        <v/>
      </c>
      <c r="O372" s="3" t="str">
        <f t="shared" si="112"/>
        <v/>
      </c>
      <c r="P372" s="3" t="str">
        <f t="shared" si="113"/>
        <v/>
      </c>
      <c r="Q372" s="3" t="str">
        <f t="shared" si="114"/>
        <v/>
      </c>
      <c r="R372" s="3" t="str">
        <f t="shared" si="115"/>
        <v/>
      </c>
      <c r="S372" s="3" t="str">
        <f>IF($L372&lt;&gt;"",IF($A372="Prepago",0,IF($H372*$U$5&gt;SUM($S$11:$S371)+$U$5,$U$5*2,$U$5)),"")</f>
        <v/>
      </c>
      <c r="T372" s="3" t="str">
        <f>IF($L372&lt;&gt;"",IF($A372="Prepago",0,IF($H372*$U$6&gt;SUM($T$11:$T371)+$U$6,$U$6*2,$U$6)),"")</f>
        <v/>
      </c>
      <c r="U372" s="3" t="str">
        <f>IF($L372&lt;&gt;"",IF($A372="Prepago",0,IF(ROUND($H372*$U$7,2)&gt;ROUND(SUM($U$11:$U371)+$U$7,2),$U$7*2,$U$7)),"")</f>
        <v/>
      </c>
      <c r="V372" s="3" t="str">
        <f>IF($L372&lt;&gt;"",IF($A372="Prepago",0,IF($H372*$U$8&gt;SUM($V$11:$V371)+$U$8,$U$8*2,$U$8)),"")</f>
        <v/>
      </c>
      <c r="W372" s="3" t="str">
        <f t="shared" si="121"/>
        <v/>
      </c>
      <c r="X372" s="3" t="str">
        <f t="shared" si="116"/>
        <v/>
      </c>
      <c r="Y372" s="3" t="str">
        <f t="shared" si="118"/>
        <v/>
      </c>
      <c r="Z372" s="3" t="str">
        <f t="shared" si="117"/>
        <v/>
      </c>
      <c r="AA372" s="3" t="str">
        <f>IF($L372&lt;&gt;"",IF($N372&gt;Z$11,IF($N372&lt;AA$11,$N372-Z$11,30),0)*ROUND(($O372+$X371+SUM($Z372:Z372))*$V$5/3000,2),"")</f>
        <v/>
      </c>
    </row>
    <row r="373" spans="5:27" x14ac:dyDescent="0.3">
      <c r="E373" s="5"/>
      <c r="F373" t="str">
        <f t="shared" si="107"/>
        <v/>
      </c>
      <c r="G373" s="5" t="str">
        <f t="shared" si="105"/>
        <v/>
      </c>
      <c r="H373" t="str">
        <f t="shared" si="108"/>
        <v/>
      </c>
      <c r="I373" t="str">
        <f t="shared" si="109"/>
        <v/>
      </c>
      <c r="J373" t="str">
        <f t="shared" si="110"/>
        <v/>
      </c>
      <c r="K373" t="str">
        <f t="shared" si="111"/>
        <v/>
      </c>
      <c r="L373" t="str">
        <f t="shared" si="119"/>
        <v/>
      </c>
      <c r="M373" s="5" t="str">
        <f t="shared" si="106"/>
        <v/>
      </c>
      <c r="N373" s="7" t="str">
        <f t="shared" si="120"/>
        <v/>
      </c>
      <c r="O373" s="3" t="str">
        <f t="shared" si="112"/>
        <v/>
      </c>
      <c r="P373" s="3" t="str">
        <f t="shared" si="113"/>
        <v/>
      </c>
      <c r="Q373" s="3" t="str">
        <f t="shared" si="114"/>
        <v/>
      </c>
      <c r="R373" s="3" t="str">
        <f t="shared" si="115"/>
        <v/>
      </c>
      <c r="S373" s="3" t="str">
        <f>IF($L373&lt;&gt;"",IF($A373="Prepago",0,IF($H373*$U$5&gt;SUM($S$11:$S372)+$U$5,$U$5*2,$U$5)),"")</f>
        <v/>
      </c>
      <c r="T373" s="3" t="str">
        <f>IF($L373&lt;&gt;"",IF($A373="Prepago",0,IF($H373*$U$6&gt;SUM($T$11:$T372)+$U$6,$U$6*2,$U$6)),"")</f>
        <v/>
      </c>
      <c r="U373" s="3" t="str">
        <f>IF($L373&lt;&gt;"",IF($A373="Prepago",0,IF(ROUND($H373*$U$7,2)&gt;ROUND(SUM($U$11:$U372)+$U$7,2),$U$7*2,$U$7)),"")</f>
        <v/>
      </c>
      <c r="V373" s="3" t="str">
        <f>IF($L373&lt;&gt;"",IF($A373="Prepago",0,IF($H373*$U$8&gt;SUM($V$11:$V372)+$U$8,$U$8*2,$U$8)),"")</f>
        <v/>
      </c>
      <c r="W373" s="3" t="str">
        <f t="shared" si="121"/>
        <v/>
      </c>
      <c r="X373" s="3" t="str">
        <f t="shared" si="116"/>
        <v/>
      </c>
      <c r="Y373" s="3" t="str">
        <f t="shared" si="118"/>
        <v/>
      </c>
      <c r="Z373" s="3" t="str">
        <f t="shared" si="117"/>
        <v/>
      </c>
      <c r="AA373" s="3" t="str">
        <f>IF($L373&lt;&gt;"",IF($N373&gt;Z$11,IF($N373&lt;AA$11,$N373-Z$11,30),0)*ROUND(($O373+$X372+SUM($Z373:Z373))*$V$5/3000,2),"")</f>
        <v/>
      </c>
    </row>
    <row r="374" spans="5:27" x14ac:dyDescent="0.3">
      <c r="E374" s="5"/>
      <c r="F374" t="str">
        <f t="shared" si="107"/>
        <v/>
      </c>
      <c r="G374" s="5" t="str">
        <f t="shared" si="105"/>
        <v/>
      </c>
      <c r="H374" t="str">
        <f t="shared" si="108"/>
        <v/>
      </c>
      <c r="I374" t="str">
        <f t="shared" si="109"/>
        <v/>
      </c>
      <c r="J374" t="str">
        <f t="shared" si="110"/>
        <v/>
      </c>
      <c r="K374" t="str">
        <f t="shared" si="111"/>
        <v/>
      </c>
      <c r="L374" t="str">
        <f t="shared" si="119"/>
        <v/>
      </c>
      <c r="M374" s="5" t="str">
        <f t="shared" si="106"/>
        <v/>
      </c>
      <c r="N374" s="7" t="str">
        <f t="shared" si="120"/>
        <v/>
      </c>
      <c r="O374" s="3" t="str">
        <f t="shared" si="112"/>
        <v/>
      </c>
      <c r="P374" s="3" t="str">
        <f t="shared" si="113"/>
        <v/>
      </c>
      <c r="Q374" s="3" t="str">
        <f t="shared" si="114"/>
        <v/>
      </c>
      <c r="R374" s="3" t="str">
        <f t="shared" si="115"/>
        <v/>
      </c>
      <c r="S374" s="3" t="str">
        <f>IF($L374&lt;&gt;"",IF($A374="Prepago",0,IF($H374*$U$5&gt;SUM($S$11:$S373)+$U$5,$U$5*2,$U$5)),"")</f>
        <v/>
      </c>
      <c r="T374" s="3" t="str">
        <f>IF($L374&lt;&gt;"",IF($A374="Prepago",0,IF($H374*$U$6&gt;SUM($T$11:$T373)+$U$6,$U$6*2,$U$6)),"")</f>
        <v/>
      </c>
      <c r="U374" s="3" t="str">
        <f>IF($L374&lt;&gt;"",IF($A374="Prepago",0,IF(ROUND($H374*$U$7,2)&gt;ROUND(SUM($U$11:$U373)+$U$7,2),$U$7*2,$U$7)),"")</f>
        <v/>
      </c>
      <c r="V374" s="3" t="str">
        <f>IF($L374&lt;&gt;"",IF($A374="Prepago",0,IF($H374*$U$8&gt;SUM($V$11:$V373)+$U$8,$U$8*2,$U$8)),"")</f>
        <v/>
      </c>
      <c r="W374" s="3" t="str">
        <f t="shared" si="121"/>
        <v/>
      </c>
      <c r="X374" s="3" t="str">
        <f t="shared" si="116"/>
        <v/>
      </c>
      <c r="Y374" s="3" t="str">
        <f t="shared" si="118"/>
        <v/>
      </c>
      <c r="Z374" s="3" t="str">
        <f t="shared" si="117"/>
        <v/>
      </c>
      <c r="AA374" s="3" t="str">
        <f>IF($L374&lt;&gt;"",IF($N374&gt;Z$11,IF($N374&lt;AA$11,$N374-Z$11,30),0)*ROUND(($O374+$X373+SUM($Z374:Z374))*$V$5/3000,2),"")</f>
        <v/>
      </c>
    </row>
    <row r="375" spans="5:27" x14ac:dyDescent="0.3">
      <c r="E375" s="5"/>
      <c r="F375" t="str">
        <f t="shared" si="107"/>
        <v/>
      </c>
      <c r="G375" s="5" t="str">
        <f t="shared" si="105"/>
        <v/>
      </c>
      <c r="H375" t="str">
        <f t="shared" si="108"/>
        <v/>
      </c>
      <c r="I375" t="str">
        <f t="shared" si="109"/>
        <v/>
      </c>
      <c r="J375" t="str">
        <f t="shared" si="110"/>
        <v/>
      </c>
      <c r="K375" t="str">
        <f t="shared" si="111"/>
        <v/>
      </c>
      <c r="L375" t="str">
        <f t="shared" si="119"/>
        <v/>
      </c>
      <c r="M375" s="5" t="str">
        <f t="shared" si="106"/>
        <v/>
      </c>
      <c r="N375" s="7" t="str">
        <f t="shared" si="120"/>
        <v/>
      </c>
      <c r="O375" s="3" t="str">
        <f t="shared" si="112"/>
        <v/>
      </c>
      <c r="P375" s="3" t="str">
        <f t="shared" si="113"/>
        <v/>
      </c>
      <c r="Q375" s="3" t="str">
        <f t="shared" si="114"/>
        <v/>
      </c>
      <c r="R375" s="3" t="str">
        <f t="shared" si="115"/>
        <v/>
      </c>
      <c r="S375" s="3" t="str">
        <f>IF($L375&lt;&gt;"",IF($A375="Prepago",0,IF($H375*$U$5&gt;SUM($S$11:$S374)+$U$5,$U$5*2,$U$5)),"")</f>
        <v/>
      </c>
      <c r="T375" s="3" t="str">
        <f>IF($L375&lt;&gt;"",IF($A375="Prepago",0,IF($H375*$U$6&gt;SUM($T$11:$T374)+$U$6,$U$6*2,$U$6)),"")</f>
        <v/>
      </c>
      <c r="U375" s="3" t="str">
        <f>IF($L375&lt;&gt;"",IF($A375="Prepago",0,IF(ROUND($H375*$U$7,2)&gt;ROUND(SUM($U$11:$U374)+$U$7,2),$U$7*2,$U$7)),"")</f>
        <v/>
      </c>
      <c r="V375" s="3" t="str">
        <f>IF($L375&lt;&gt;"",IF($A375="Prepago",0,IF($H375*$U$8&gt;SUM($V$11:$V374)+$U$8,$U$8*2,$U$8)),"")</f>
        <v/>
      </c>
      <c r="W375" s="3" t="str">
        <f t="shared" si="121"/>
        <v/>
      </c>
      <c r="X375" s="3" t="str">
        <f t="shared" si="116"/>
        <v/>
      </c>
      <c r="Y375" s="3" t="str">
        <f t="shared" si="118"/>
        <v/>
      </c>
      <c r="Z375" s="3" t="str">
        <f t="shared" si="117"/>
        <v/>
      </c>
      <c r="AA375" s="3" t="str">
        <f>IF($L375&lt;&gt;"",IF($N375&gt;Z$11,IF($N375&lt;AA$11,$N375-Z$11,30),0)*ROUND(($O375+$X374+SUM($Z375:Z375))*$V$5/3000,2),"")</f>
        <v/>
      </c>
    </row>
    <row r="376" spans="5:27" x14ac:dyDescent="0.3">
      <c r="E376" s="5"/>
      <c r="F376" t="str">
        <f t="shared" si="107"/>
        <v/>
      </c>
      <c r="G376" s="5" t="str">
        <f t="shared" si="105"/>
        <v/>
      </c>
      <c r="H376" t="str">
        <f t="shared" si="108"/>
        <v/>
      </c>
      <c r="I376" t="str">
        <f t="shared" si="109"/>
        <v/>
      </c>
      <c r="J376" t="str">
        <f t="shared" si="110"/>
        <v/>
      </c>
      <c r="K376" t="str">
        <f t="shared" si="111"/>
        <v/>
      </c>
      <c r="L376" t="str">
        <f t="shared" si="119"/>
        <v/>
      </c>
      <c r="M376" s="5" t="str">
        <f t="shared" si="106"/>
        <v/>
      </c>
      <c r="N376" s="7" t="str">
        <f t="shared" si="120"/>
        <v/>
      </c>
      <c r="O376" s="3" t="str">
        <f t="shared" si="112"/>
        <v/>
      </c>
      <c r="P376" s="3" t="str">
        <f t="shared" si="113"/>
        <v/>
      </c>
      <c r="Q376" s="3" t="str">
        <f t="shared" si="114"/>
        <v/>
      </c>
      <c r="R376" s="3" t="str">
        <f t="shared" si="115"/>
        <v/>
      </c>
      <c r="S376" s="3" t="str">
        <f>IF($L376&lt;&gt;"",IF($A376="Prepago",0,IF($H376*$U$5&gt;SUM($S$11:$S375)+$U$5,$U$5*2,$U$5)),"")</f>
        <v/>
      </c>
      <c r="T376" s="3" t="str">
        <f>IF($L376&lt;&gt;"",IF($A376="Prepago",0,IF($H376*$U$6&gt;SUM($T$11:$T375)+$U$6,$U$6*2,$U$6)),"")</f>
        <v/>
      </c>
      <c r="U376" s="3" t="str">
        <f>IF($L376&lt;&gt;"",IF($A376="Prepago",0,IF(ROUND($H376*$U$7,2)&gt;ROUND(SUM($U$11:$U375)+$U$7,2),$U$7*2,$U$7)),"")</f>
        <v/>
      </c>
      <c r="V376" s="3" t="str">
        <f>IF($L376&lt;&gt;"",IF($A376="Prepago",0,IF($H376*$U$8&gt;SUM($V$11:$V375)+$U$8,$U$8*2,$U$8)),"")</f>
        <v/>
      </c>
      <c r="W376" s="3" t="str">
        <f t="shared" si="121"/>
        <v/>
      </c>
      <c r="X376" s="3" t="str">
        <f t="shared" si="116"/>
        <v/>
      </c>
      <c r="Y376" s="3" t="str">
        <f t="shared" si="118"/>
        <v/>
      </c>
      <c r="Z376" s="3" t="str">
        <f t="shared" si="117"/>
        <v/>
      </c>
      <c r="AA376" s="3" t="str">
        <f>IF($L376&lt;&gt;"",IF($N376&gt;Z$11,IF($N376&lt;AA$11,$N376-Z$11,30),0)*ROUND(($O376+$X375+SUM($Z376:Z376))*$V$5/3000,2),"")</f>
        <v/>
      </c>
    </row>
    <row r="377" spans="5:27" x14ac:dyDescent="0.3">
      <c r="E377" s="5"/>
      <c r="F377" t="str">
        <f t="shared" si="107"/>
        <v/>
      </c>
      <c r="G377" s="5" t="str">
        <f t="shared" si="105"/>
        <v/>
      </c>
      <c r="H377" t="str">
        <f t="shared" si="108"/>
        <v/>
      </c>
      <c r="I377" t="str">
        <f t="shared" si="109"/>
        <v/>
      </c>
      <c r="J377" t="str">
        <f t="shared" si="110"/>
        <v/>
      </c>
      <c r="K377" t="str">
        <f t="shared" si="111"/>
        <v/>
      </c>
      <c r="L377" t="str">
        <f t="shared" si="119"/>
        <v/>
      </c>
      <c r="M377" s="5" t="str">
        <f t="shared" si="106"/>
        <v/>
      </c>
      <c r="N377" s="7" t="str">
        <f t="shared" si="120"/>
        <v/>
      </c>
      <c r="O377" s="3" t="str">
        <f t="shared" si="112"/>
        <v/>
      </c>
      <c r="P377" s="3" t="str">
        <f t="shared" si="113"/>
        <v/>
      </c>
      <c r="Q377" s="3" t="str">
        <f t="shared" si="114"/>
        <v/>
      </c>
      <c r="R377" s="3" t="str">
        <f t="shared" si="115"/>
        <v/>
      </c>
      <c r="S377" s="3" t="str">
        <f>IF($L377&lt;&gt;"",IF($A377="Prepago",0,IF($H377*$U$5&gt;SUM($S$11:$S376)+$U$5,$U$5*2,$U$5)),"")</f>
        <v/>
      </c>
      <c r="T377" s="3" t="str">
        <f>IF($L377&lt;&gt;"",IF($A377="Prepago",0,IF($H377*$U$6&gt;SUM($T$11:$T376)+$U$6,$U$6*2,$U$6)),"")</f>
        <v/>
      </c>
      <c r="U377" s="3" t="str">
        <f>IF($L377&lt;&gt;"",IF($A377="Prepago",0,IF(ROUND($H377*$U$7,2)&gt;ROUND(SUM($U$11:$U376)+$U$7,2),$U$7*2,$U$7)),"")</f>
        <v/>
      </c>
      <c r="V377" s="3" t="str">
        <f>IF($L377&lt;&gt;"",IF($A377="Prepago",0,IF($H377*$U$8&gt;SUM($V$11:$V376)+$U$8,$U$8*2,$U$8)),"")</f>
        <v/>
      </c>
      <c r="W377" s="3" t="str">
        <f t="shared" si="121"/>
        <v/>
      </c>
      <c r="X377" s="3" t="str">
        <f t="shared" si="116"/>
        <v/>
      </c>
      <c r="Y377" s="3" t="str">
        <f t="shared" si="118"/>
        <v/>
      </c>
      <c r="Z377" s="3" t="str">
        <f t="shared" si="117"/>
        <v/>
      </c>
      <c r="AA377" s="3" t="str">
        <f>IF($L377&lt;&gt;"",IF($N377&gt;Z$11,IF($N377&lt;AA$11,$N377-Z$11,30),0)*ROUND(($O377+$X376+SUM($Z377:Z377))*$V$5/3000,2),"")</f>
        <v/>
      </c>
    </row>
    <row r="378" spans="5:27" x14ac:dyDescent="0.3">
      <c r="E378" s="5"/>
      <c r="F378" t="str">
        <f t="shared" si="107"/>
        <v/>
      </c>
      <c r="G378" s="5" t="str">
        <f t="shared" si="105"/>
        <v/>
      </c>
      <c r="H378" t="str">
        <f t="shared" si="108"/>
        <v/>
      </c>
      <c r="I378" t="str">
        <f t="shared" si="109"/>
        <v/>
      </c>
      <c r="J378" t="str">
        <f t="shared" si="110"/>
        <v/>
      </c>
      <c r="K378" t="str">
        <f t="shared" si="111"/>
        <v/>
      </c>
      <c r="L378" t="str">
        <f t="shared" si="119"/>
        <v/>
      </c>
      <c r="M378" s="5" t="str">
        <f t="shared" si="106"/>
        <v/>
      </c>
      <c r="N378" s="7" t="str">
        <f t="shared" si="120"/>
        <v/>
      </c>
      <c r="O378" s="3" t="str">
        <f t="shared" si="112"/>
        <v/>
      </c>
      <c r="P378" s="3" t="str">
        <f t="shared" si="113"/>
        <v/>
      </c>
      <c r="Q378" s="3" t="str">
        <f t="shared" si="114"/>
        <v/>
      </c>
      <c r="R378" s="3" t="str">
        <f t="shared" si="115"/>
        <v/>
      </c>
      <c r="S378" s="3" t="str">
        <f>IF($L378&lt;&gt;"",IF($A378="Prepago",0,IF($H378*$U$5&gt;SUM($S$11:$S377)+$U$5,$U$5*2,$U$5)),"")</f>
        <v/>
      </c>
      <c r="T378" s="3" t="str">
        <f>IF($L378&lt;&gt;"",IF($A378="Prepago",0,IF($H378*$U$6&gt;SUM($T$11:$T377)+$U$6,$U$6*2,$U$6)),"")</f>
        <v/>
      </c>
      <c r="U378" s="3" t="str">
        <f>IF($L378&lt;&gt;"",IF($A378="Prepago",0,IF(ROUND($H378*$U$7,2)&gt;ROUND(SUM($U$11:$U377)+$U$7,2),$U$7*2,$U$7)),"")</f>
        <v/>
      </c>
      <c r="V378" s="3" t="str">
        <f>IF($L378&lt;&gt;"",IF($A378="Prepago",0,IF($H378*$U$8&gt;SUM($V$11:$V377)+$U$8,$U$8*2,$U$8)),"")</f>
        <v/>
      </c>
      <c r="W378" s="3" t="str">
        <f t="shared" si="121"/>
        <v/>
      </c>
      <c r="X378" s="3" t="str">
        <f t="shared" si="116"/>
        <v/>
      </c>
      <c r="Y378" s="3" t="str">
        <f t="shared" si="118"/>
        <v/>
      </c>
      <c r="Z378" s="3" t="str">
        <f t="shared" si="117"/>
        <v/>
      </c>
      <c r="AA378" s="3" t="str">
        <f>IF($L378&lt;&gt;"",IF($N378&gt;Z$11,IF($N378&lt;AA$11,$N378-Z$11,30),0)*ROUND(($O378+$X377+SUM($Z378:Z378))*$V$5/3000,2),"")</f>
        <v/>
      </c>
    </row>
    <row r="379" spans="5:27" x14ac:dyDescent="0.3">
      <c r="E379" s="5"/>
      <c r="F379" t="str">
        <f t="shared" si="107"/>
        <v/>
      </c>
      <c r="G379" s="5" t="str">
        <f t="shared" si="105"/>
        <v/>
      </c>
      <c r="H379" t="str">
        <f t="shared" si="108"/>
        <v/>
      </c>
      <c r="I379" t="str">
        <f t="shared" si="109"/>
        <v/>
      </c>
      <c r="J379" t="str">
        <f t="shared" si="110"/>
        <v/>
      </c>
      <c r="K379" t="str">
        <f t="shared" si="111"/>
        <v/>
      </c>
      <c r="L379" t="str">
        <f t="shared" si="119"/>
        <v/>
      </c>
      <c r="M379" s="5" t="str">
        <f t="shared" si="106"/>
        <v/>
      </c>
      <c r="N379" s="7" t="str">
        <f t="shared" si="120"/>
        <v/>
      </c>
      <c r="O379" s="3" t="str">
        <f t="shared" si="112"/>
        <v/>
      </c>
      <c r="P379" s="3" t="str">
        <f t="shared" si="113"/>
        <v/>
      </c>
      <c r="Q379" s="3" t="str">
        <f t="shared" si="114"/>
        <v/>
      </c>
      <c r="R379" s="3" t="str">
        <f t="shared" si="115"/>
        <v/>
      </c>
      <c r="S379" s="3" t="str">
        <f>IF($L379&lt;&gt;"",IF($A379="Prepago",0,IF($H379*$U$5&gt;SUM($S$11:$S378)+$U$5,$U$5*2,$U$5)),"")</f>
        <v/>
      </c>
      <c r="T379" s="3" t="str">
        <f>IF($L379&lt;&gt;"",IF($A379="Prepago",0,IF($H379*$U$6&gt;SUM($T$11:$T378)+$U$6,$U$6*2,$U$6)),"")</f>
        <v/>
      </c>
      <c r="U379" s="3" t="str">
        <f>IF($L379&lt;&gt;"",IF($A379="Prepago",0,IF(ROUND($H379*$U$7,2)&gt;ROUND(SUM($U$11:$U378)+$U$7,2),$U$7*2,$U$7)),"")</f>
        <v/>
      </c>
      <c r="V379" s="3" t="str">
        <f>IF($L379&lt;&gt;"",IF($A379="Prepago",0,IF($H379*$U$8&gt;SUM($V$11:$V378)+$U$8,$U$8*2,$U$8)),"")</f>
        <v/>
      </c>
      <c r="W379" s="3" t="str">
        <f t="shared" si="121"/>
        <v/>
      </c>
      <c r="X379" s="3" t="str">
        <f t="shared" si="116"/>
        <v/>
      </c>
      <c r="Y379" s="3" t="str">
        <f t="shared" si="118"/>
        <v/>
      </c>
      <c r="Z379" s="3" t="str">
        <f t="shared" si="117"/>
        <v/>
      </c>
      <c r="AA379" s="3" t="str">
        <f>IF($L379&lt;&gt;"",IF($N379&gt;Z$11,IF($N379&lt;AA$11,$N379-Z$11,30),0)*ROUND(($O379+$X378+SUM($Z379:Z379))*$V$5/3000,2),"")</f>
        <v/>
      </c>
    </row>
    <row r="380" spans="5:27" x14ac:dyDescent="0.3">
      <c r="E380" s="5"/>
      <c r="F380" t="str">
        <f t="shared" si="107"/>
        <v/>
      </c>
      <c r="G380" s="5" t="str">
        <f t="shared" si="105"/>
        <v/>
      </c>
      <c r="H380" t="str">
        <f t="shared" si="108"/>
        <v/>
      </c>
      <c r="I380" t="str">
        <f t="shared" si="109"/>
        <v/>
      </c>
      <c r="J380" t="str">
        <f t="shared" si="110"/>
        <v/>
      </c>
      <c r="K380" t="str">
        <f t="shared" si="111"/>
        <v/>
      </c>
      <c r="L380" t="str">
        <f t="shared" si="119"/>
        <v/>
      </c>
      <c r="M380" s="5" t="str">
        <f t="shared" si="106"/>
        <v/>
      </c>
      <c r="N380" s="7" t="str">
        <f t="shared" si="120"/>
        <v/>
      </c>
      <c r="O380" s="3" t="str">
        <f t="shared" si="112"/>
        <v/>
      </c>
      <c r="P380" s="3" t="str">
        <f t="shared" si="113"/>
        <v/>
      </c>
      <c r="Q380" s="3" t="str">
        <f t="shared" si="114"/>
        <v/>
      </c>
      <c r="R380" s="3" t="str">
        <f t="shared" si="115"/>
        <v/>
      </c>
      <c r="S380" s="3" t="str">
        <f>IF($L380&lt;&gt;"",IF($A380="Prepago",0,IF($H380*$U$5&gt;SUM($S$11:$S379)+$U$5,$U$5*2,$U$5)),"")</f>
        <v/>
      </c>
      <c r="T380" s="3" t="str">
        <f>IF($L380&lt;&gt;"",IF($A380="Prepago",0,IF($H380*$U$6&gt;SUM($T$11:$T379)+$U$6,$U$6*2,$U$6)),"")</f>
        <v/>
      </c>
      <c r="U380" s="3" t="str">
        <f>IF($L380&lt;&gt;"",IF($A380="Prepago",0,IF(ROUND($H380*$U$7,2)&gt;ROUND(SUM($U$11:$U379)+$U$7,2),$U$7*2,$U$7)),"")</f>
        <v/>
      </c>
      <c r="V380" s="3" t="str">
        <f>IF($L380&lt;&gt;"",IF($A380="Prepago",0,IF($H380*$U$8&gt;SUM($V$11:$V379)+$U$8,$U$8*2,$U$8)),"")</f>
        <v/>
      </c>
      <c r="W380" s="3" t="str">
        <f t="shared" si="121"/>
        <v/>
      </c>
      <c r="X380" s="3" t="str">
        <f t="shared" si="116"/>
        <v/>
      </c>
      <c r="Y380" s="3" t="str">
        <f t="shared" si="118"/>
        <v/>
      </c>
      <c r="Z380" s="3" t="str">
        <f t="shared" si="117"/>
        <v/>
      </c>
      <c r="AA380" s="3" t="str">
        <f>IF($L380&lt;&gt;"",IF($N380&gt;Z$11,IF($N380&lt;AA$11,$N380-Z$11,30),0)*ROUND(($O380+$X379+SUM($Z380:Z380))*$V$5/3000,2),"")</f>
        <v/>
      </c>
    </row>
    <row r="381" spans="5:27" x14ac:dyDescent="0.3">
      <c r="E381" s="5"/>
      <c r="F381" t="str">
        <f t="shared" si="107"/>
        <v/>
      </c>
      <c r="G381" s="5" t="str">
        <f t="shared" si="105"/>
        <v/>
      </c>
      <c r="H381" t="str">
        <f t="shared" si="108"/>
        <v/>
      </c>
      <c r="I381" t="str">
        <f t="shared" si="109"/>
        <v/>
      </c>
      <c r="J381" t="str">
        <f t="shared" si="110"/>
        <v/>
      </c>
      <c r="K381" t="str">
        <f t="shared" si="111"/>
        <v/>
      </c>
      <c r="L381" t="str">
        <f t="shared" si="119"/>
        <v/>
      </c>
      <c r="M381" s="5" t="str">
        <f t="shared" si="106"/>
        <v/>
      </c>
      <c r="N381" s="7" t="str">
        <f t="shared" si="120"/>
        <v/>
      </c>
      <c r="O381" s="3" t="str">
        <f t="shared" si="112"/>
        <v/>
      </c>
      <c r="P381" s="3" t="str">
        <f t="shared" si="113"/>
        <v/>
      </c>
      <c r="Q381" s="3" t="str">
        <f t="shared" si="114"/>
        <v/>
      </c>
      <c r="R381" s="3" t="str">
        <f t="shared" si="115"/>
        <v/>
      </c>
      <c r="S381" s="3" t="str">
        <f>IF($L381&lt;&gt;"",IF($A381="Prepago",0,IF($H381*$U$5&gt;SUM($S$11:$S380)+$U$5,$U$5*2,$U$5)),"")</f>
        <v/>
      </c>
      <c r="T381" s="3" t="str">
        <f>IF($L381&lt;&gt;"",IF($A381="Prepago",0,IF($H381*$U$6&gt;SUM($T$11:$T380)+$U$6,$U$6*2,$U$6)),"")</f>
        <v/>
      </c>
      <c r="U381" s="3" t="str">
        <f>IF($L381&lt;&gt;"",IF($A381="Prepago",0,IF(ROUND($H381*$U$7,2)&gt;ROUND(SUM($U$11:$U380)+$U$7,2),$U$7*2,$U$7)),"")</f>
        <v/>
      </c>
      <c r="V381" s="3" t="str">
        <f>IF($L381&lt;&gt;"",IF($A381="Prepago",0,IF($H381*$U$8&gt;SUM($V$11:$V380)+$U$8,$U$8*2,$U$8)),"")</f>
        <v/>
      </c>
      <c r="W381" s="3" t="str">
        <f t="shared" si="121"/>
        <v/>
      </c>
      <c r="X381" s="3" t="str">
        <f t="shared" si="116"/>
        <v/>
      </c>
      <c r="Y381" s="3" t="str">
        <f t="shared" si="118"/>
        <v/>
      </c>
      <c r="Z381" s="3" t="str">
        <f t="shared" si="117"/>
        <v/>
      </c>
      <c r="AA381" s="3" t="str">
        <f>IF($L381&lt;&gt;"",IF($N381&gt;Z$11,IF($N381&lt;AA$11,$N381-Z$11,30),0)*ROUND(($O381+$X380+SUM($Z381:Z381))*$V$5/3000,2),"")</f>
        <v/>
      </c>
    </row>
    <row r="382" spans="5:27" x14ac:dyDescent="0.3">
      <c r="E382" s="5"/>
      <c r="F382" t="str">
        <f t="shared" si="107"/>
        <v/>
      </c>
      <c r="G382" s="5" t="str">
        <f t="shared" si="105"/>
        <v/>
      </c>
      <c r="H382" t="str">
        <f t="shared" si="108"/>
        <v/>
      </c>
      <c r="I382" t="str">
        <f t="shared" si="109"/>
        <v/>
      </c>
      <c r="J382" t="str">
        <f t="shared" si="110"/>
        <v/>
      </c>
      <c r="K382" t="str">
        <f t="shared" si="111"/>
        <v/>
      </c>
      <c r="L382" t="str">
        <f t="shared" si="119"/>
        <v/>
      </c>
      <c r="M382" s="5" t="str">
        <f t="shared" si="106"/>
        <v/>
      </c>
      <c r="N382" s="7" t="str">
        <f t="shared" si="120"/>
        <v/>
      </c>
      <c r="O382" s="3" t="str">
        <f t="shared" si="112"/>
        <v/>
      </c>
      <c r="P382" s="3" t="str">
        <f t="shared" si="113"/>
        <v/>
      </c>
      <c r="Q382" s="3" t="str">
        <f t="shared" si="114"/>
        <v/>
      </c>
      <c r="R382" s="3" t="str">
        <f t="shared" si="115"/>
        <v/>
      </c>
      <c r="S382" s="3" t="str">
        <f>IF($L382&lt;&gt;"",IF($A382="Prepago",0,IF($H382*$U$5&gt;SUM($S$11:$S381)+$U$5,$U$5*2,$U$5)),"")</f>
        <v/>
      </c>
      <c r="T382" s="3" t="str">
        <f>IF($L382&lt;&gt;"",IF($A382="Prepago",0,IF($H382*$U$6&gt;SUM($T$11:$T381)+$U$6,$U$6*2,$U$6)),"")</f>
        <v/>
      </c>
      <c r="U382" s="3" t="str">
        <f>IF($L382&lt;&gt;"",IF($A382="Prepago",0,IF(ROUND($H382*$U$7,2)&gt;ROUND(SUM($U$11:$U381)+$U$7,2),$U$7*2,$U$7)),"")</f>
        <v/>
      </c>
      <c r="V382" s="3" t="str">
        <f>IF($L382&lt;&gt;"",IF($A382="Prepago",0,IF($H382*$U$8&gt;SUM($V$11:$V381)+$U$8,$U$8*2,$U$8)),"")</f>
        <v/>
      </c>
      <c r="W382" s="3" t="str">
        <f t="shared" si="121"/>
        <v/>
      </c>
      <c r="X382" s="3" t="str">
        <f t="shared" si="116"/>
        <v/>
      </c>
      <c r="Y382" s="3" t="str">
        <f t="shared" si="118"/>
        <v/>
      </c>
      <c r="Z382" s="3" t="str">
        <f t="shared" si="117"/>
        <v/>
      </c>
      <c r="AA382" s="3" t="str">
        <f>IF($L382&lt;&gt;"",IF($N382&gt;Z$11,IF($N382&lt;AA$11,$N382-Z$11,30),0)*ROUND(($O382+$X381+SUM($Z382:Z382))*$V$5/3000,2),"")</f>
        <v/>
      </c>
    </row>
    <row r="383" spans="5:27" x14ac:dyDescent="0.3">
      <c r="E383" s="5"/>
      <c r="F383" t="str">
        <f t="shared" si="107"/>
        <v/>
      </c>
      <c r="G383" s="5" t="str">
        <f t="shared" si="105"/>
        <v/>
      </c>
      <c r="H383" t="str">
        <f t="shared" si="108"/>
        <v/>
      </c>
      <c r="I383" t="str">
        <f t="shared" si="109"/>
        <v/>
      </c>
      <c r="J383" t="str">
        <f t="shared" si="110"/>
        <v/>
      </c>
      <c r="K383" t="str">
        <f t="shared" si="111"/>
        <v/>
      </c>
      <c r="L383" t="str">
        <f t="shared" si="119"/>
        <v/>
      </c>
      <c r="M383" s="5" t="str">
        <f t="shared" si="106"/>
        <v/>
      </c>
      <c r="N383" s="7" t="str">
        <f t="shared" si="120"/>
        <v/>
      </c>
      <c r="O383" s="3" t="str">
        <f t="shared" si="112"/>
        <v/>
      </c>
      <c r="P383" s="3" t="str">
        <f t="shared" si="113"/>
        <v/>
      </c>
      <c r="Q383" s="3" t="str">
        <f t="shared" si="114"/>
        <v/>
      </c>
      <c r="R383" s="3" t="str">
        <f t="shared" si="115"/>
        <v/>
      </c>
      <c r="S383" s="3" t="str">
        <f>IF($L383&lt;&gt;"",IF($A383="Prepago",0,IF($H383*$U$5&gt;SUM($S$11:$S382)+$U$5,$U$5*2,$U$5)),"")</f>
        <v/>
      </c>
      <c r="T383" s="3" t="str">
        <f>IF($L383&lt;&gt;"",IF($A383="Prepago",0,IF($H383*$U$6&gt;SUM($T$11:$T382)+$U$6,$U$6*2,$U$6)),"")</f>
        <v/>
      </c>
      <c r="U383" s="3" t="str">
        <f>IF($L383&lt;&gt;"",IF($A383="Prepago",0,IF(ROUND($H383*$U$7,2)&gt;ROUND(SUM($U$11:$U382)+$U$7,2),$U$7*2,$U$7)),"")</f>
        <v/>
      </c>
      <c r="V383" s="3" t="str">
        <f>IF($L383&lt;&gt;"",IF($A383="Prepago",0,IF($H383*$U$8&gt;SUM($V$11:$V382)+$U$8,$U$8*2,$U$8)),"")</f>
        <v/>
      </c>
      <c r="W383" s="3" t="str">
        <f t="shared" si="121"/>
        <v/>
      </c>
      <c r="X383" s="3" t="str">
        <f t="shared" si="116"/>
        <v/>
      </c>
      <c r="Y383" s="3" t="str">
        <f t="shared" si="118"/>
        <v/>
      </c>
      <c r="Z383" s="3" t="str">
        <f t="shared" si="117"/>
        <v/>
      </c>
      <c r="AA383" s="3" t="str">
        <f>IF($L383&lt;&gt;"",IF($N383&gt;Z$11,IF($N383&lt;AA$11,$N383-Z$11,30),0)*ROUND(($O383+$X382+SUM($Z383:Z383))*$V$5/3000,2),"")</f>
        <v/>
      </c>
    </row>
    <row r="384" spans="5:27" x14ac:dyDescent="0.3">
      <c r="E384" s="5"/>
      <c r="F384" t="str">
        <f t="shared" si="107"/>
        <v/>
      </c>
      <c r="G384" s="5" t="str">
        <f t="shared" si="105"/>
        <v/>
      </c>
      <c r="H384" t="str">
        <f t="shared" si="108"/>
        <v/>
      </c>
      <c r="I384" t="str">
        <f t="shared" si="109"/>
        <v/>
      </c>
      <c r="J384" t="str">
        <f t="shared" si="110"/>
        <v/>
      </c>
      <c r="K384" t="str">
        <f t="shared" si="111"/>
        <v/>
      </c>
      <c r="L384" t="str">
        <f t="shared" si="119"/>
        <v/>
      </c>
      <c r="M384" s="5" t="str">
        <f t="shared" si="106"/>
        <v/>
      </c>
      <c r="N384" s="7" t="str">
        <f t="shared" si="120"/>
        <v/>
      </c>
      <c r="O384" s="3" t="str">
        <f t="shared" si="112"/>
        <v/>
      </c>
      <c r="P384" s="3" t="str">
        <f t="shared" si="113"/>
        <v/>
      </c>
      <c r="Q384" s="3" t="str">
        <f t="shared" si="114"/>
        <v/>
      </c>
      <c r="R384" s="3" t="str">
        <f t="shared" si="115"/>
        <v/>
      </c>
      <c r="S384" s="3" t="str">
        <f>IF($L384&lt;&gt;"",IF($A384="Prepago",0,IF($H384*$U$5&gt;SUM($S$11:$S383)+$U$5,$U$5*2,$U$5)),"")</f>
        <v/>
      </c>
      <c r="T384" s="3" t="str">
        <f>IF($L384&lt;&gt;"",IF($A384="Prepago",0,IF($H384*$U$6&gt;SUM($T$11:$T383)+$U$6,$U$6*2,$U$6)),"")</f>
        <v/>
      </c>
      <c r="U384" s="3" t="str">
        <f>IF($L384&lt;&gt;"",IF($A384="Prepago",0,IF(ROUND($H384*$U$7,2)&gt;ROUND(SUM($U$11:$U383)+$U$7,2),$U$7*2,$U$7)),"")</f>
        <v/>
      </c>
      <c r="V384" s="3" t="str">
        <f>IF($L384&lt;&gt;"",IF($A384="Prepago",0,IF($H384*$U$8&gt;SUM($V$11:$V383)+$U$8,$U$8*2,$U$8)),"")</f>
        <v/>
      </c>
      <c r="W384" s="3" t="str">
        <f t="shared" si="121"/>
        <v/>
      </c>
      <c r="X384" s="3" t="str">
        <f t="shared" si="116"/>
        <v/>
      </c>
      <c r="Y384" s="3" t="str">
        <f t="shared" si="118"/>
        <v/>
      </c>
      <c r="Z384" s="3" t="str">
        <f t="shared" si="117"/>
        <v/>
      </c>
      <c r="AA384" s="3" t="str">
        <f>IF($L384&lt;&gt;"",IF($N384&gt;Z$11,IF($N384&lt;AA$11,$N384-Z$11,30),0)*ROUND(($O384+$X383+SUM($Z384:Z384))*$V$5/3000,2),"")</f>
        <v/>
      </c>
    </row>
    <row r="385" spans="5:27" x14ac:dyDescent="0.3">
      <c r="E385" s="5"/>
      <c r="F385" t="str">
        <f t="shared" si="107"/>
        <v/>
      </c>
      <c r="G385" s="5" t="str">
        <f t="shared" si="105"/>
        <v/>
      </c>
      <c r="H385" t="str">
        <f t="shared" si="108"/>
        <v/>
      </c>
      <c r="I385" t="str">
        <f t="shared" si="109"/>
        <v/>
      </c>
      <c r="J385" t="str">
        <f t="shared" si="110"/>
        <v/>
      </c>
      <c r="K385" t="str">
        <f t="shared" si="111"/>
        <v/>
      </c>
      <c r="L385" t="str">
        <f t="shared" si="119"/>
        <v/>
      </c>
      <c r="M385" s="5" t="str">
        <f t="shared" si="106"/>
        <v/>
      </c>
      <c r="N385" s="7" t="str">
        <f t="shared" si="120"/>
        <v/>
      </c>
      <c r="O385" s="3" t="str">
        <f t="shared" si="112"/>
        <v/>
      </c>
      <c r="P385" s="3" t="str">
        <f t="shared" si="113"/>
        <v/>
      </c>
      <c r="Q385" s="3" t="str">
        <f t="shared" si="114"/>
        <v/>
      </c>
      <c r="R385" s="3" t="str">
        <f t="shared" si="115"/>
        <v/>
      </c>
      <c r="S385" s="3" t="str">
        <f>IF($L385&lt;&gt;"",IF($A385="Prepago",0,IF($H385*$U$5&gt;SUM($S$11:$S384)+$U$5,$U$5*2,$U$5)),"")</f>
        <v/>
      </c>
      <c r="T385" s="3" t="str">
        <f>IF($L385&lt;&gt;"",IF($A385="Prepago",0,IF($H385*$U$6&gt;SUM($T$11:$T384)+$U$6,$U$6*2,$U$6)),"")</f>
        <v/>
      </c>
      <c r="U385" s="3" t="str">
        <f>IF($L385&lt;&gt;"",IF($A385="Prepago",0,IF(ROUND($H385*$U$7,2)&gt;ROUND(SUM($U$11:$U384)+$U$7,2),$U$7*2,$U$7)),"")</f>
        <v/>
      </c>
      <c r="V385" s="3" t="str">
        <f>IF($L385&lt;&gt;"",IF($A385="Prepago",0,IF($H385*$U$8&gt;SUM($V$11:$V384)+$U$8,$U$8*2,$U$8)),"")</f>
        <v/>
      </c>
      <c r="W385" s="3" t="str">
        <f t="shared" si="121"/>
        <v/>
      </c>
      <c r="X385" s="3" t="str">
        <f t="shared" si="116"/>
        <v/>
      </c>
      <c r="Y385" s="3" t="str">
        <f t="shared" si="118"/>
        <v/>
      </c>
      <c r="Z385" s="3" t="str">
        <f t="shared" si="117"/>
        <v/>
      </c>
      <c r="AA385" s="3" t="str">
        <f>IF($L385&lt;&gt;"",IF($N385&gt;Z$11,IF($N385&lt;AA$11,$N385-Z$11,30),0)*ROUND(($O385+$X384+SUM($Z385:Z385))*$V$5/3000,2),"")</f>
        <v/>
      </c>
    </row>
    <row r="386" spans="5:27" x14ac:dyDescent="0.3">
      <c r="E386" s="5"/>
      <c r="F386" t="str">
        <f t="shared" si="107"/>
        <v/>
      </c>
      <c r="G386" s="5" t="str">
        <f t="shared" si="105"/>
        <v/>
      </c>
      <c r="H386" t="str">
        <f t="shared" si="108"/>
        <v/>
      </c>
      <c r="I386" t="str">
        <f t="shared" si="109"/>
        <v/>
      </c>
      <c r="J386" t="str">
        <f t="shared" si="110"/>
        <v/>
      </c>
      <c r="K386" t="str">
        <f t="shared" si="111"/>
        <v/>
      </c>
      <c r="L386" t="str">
        <f t="shared" si="119"/>
        <v/>
      </c>
      <c r="M386" s="5" t="str">
        <f t="shared" si="106"/>
        <v/>
      </c>
      <c r="N386" s="7" t="str">
        <f t="shared" si="120"/>
        <v/>
      </c>
      <c r="O386" s="3" t="str">
        <f t="shared" si="112"/>
        <v/>
      </c>
      <c r="P386" s="3" t="str">
        <f t="shared" si="113"/>
        <v/>
      </c>
      <c r="Q386" s="3" t="str">
        <f t="shared" si="114"/>
        <v/>
      </c>
      <c r="R386" s="3" t="str">
        <f t="shared" si="115"/>
        <v/>
      </c>
      <c r="S386" s="3" t="str">
        <f>IF($L386&lt;&gt;"",IF($A386="Prepago",0,IF($H386*$U$5&gt;SUM($S$11:$S385)+$U$5,$U$5*2,$U$5)),"")</f>
        <v/>
      </c>
      <c r="T386" s="3" t="str">
        <f>IF($L386&lt;&gt;"",IF($A386="Prepago",0,IF($H386*$U$6&gt;SUM($T$11:$T385)+$U$6,$U$6*2,$U$6)),"")</f>
        <v/>
      </c>
      <c r="U386" s="3" t="str">
        <f>IF($L386&lt;&gt;"",IF($A386="Prepago",0,IF(ROUND($H386*$U$7,2)&gt;ROUND(SUM($U$11:$U385)+$U$7,2),$U$7*2,$U$7)),"")</f>
        <v/>
      </c>
      <c r="V386" s="3" t="str">
        <f>IF($L386&lt;&gt;"",IF($A386="Prepago",0,IF($H386*$U$8&gt;SUM($V$11:$V385)+$U$8,$U$8*2,$U$8)),"")</f>
        <v/>
      </c>
      <c r="W386" s="3" t="str">
        <f t="shared" si="121"/>
        <v/>
      </c>
      <c r="X386" s="3" t="str">
        <f t="shared" si="116"/>
        <v/>
      </c>
      <c r="Y386" s="3" t="str">
        <f t="shared" si="118"/>
        <v/>
      </c>
      <c r="Z386" s="3" t="str">
        <f t="shared" si="117"/>
        <v/>
      </c>
      <c r="AA386" s="3" t="str">
        <f>IF($L386&lt;&gt;"",IF($N386&gt;Z$11,IF($N386&lt;AA$11,$N386-Z$11,30),0)*ROUND(($O386+$X385+SUM($Z386:Z386))*$V$5/3000,2),"")</f>
        <v/>
      </c>
    </row>
    <row r="387" spans="5:27" x14ac:dyDescent="0.3">
      <c r="E387" s="5"/>
      <c r="F387" t="str">
        <f t="shared" si="107"/>
        <v/>
      </c>
      <c r="G387" s="5" t="str">
        <f t="shared" si="105"/>
        <v/>
      </c>
      <c r="H387" t="str">
        <f t="shared" si="108"/>
        <v/>
      </c>
      <c r="I387" t="str">
        <f t="shared" si="109"/>
        <v/>
      </c>
      <c r="J387" t="str">
        <f t="shared" si="110"/>
        <v/>
      </c>
      <c r="K387" t="str">
        <f t="shared" si="111"/>
        <v/>
      </c>
      <c r="L387" t="str">
        <f t="shared" si="119"/>
        <v/>
      </c>
      <c r="M387" s="5" t="str">
        <f t="shared" si="106"/>
        <v/>
      </c>
      <c r="N387" s="7" t="str">
        <f t="shared" si="120"/>
        <v/>
      </c>
      <c r="O387" s="3" t="str">
        <f t="shared" si="112"/>
        <v/>
      </c>
      <c r="P387" s="3" t="str">
        <f t="shared" si="113"/>
        <v/>
      </c>
      <c r="Q387" s="3" t="str">
        <f t="shared" si="114"/>
        <v/>
      </c>
      <c r="R387" s="3" t="str">
        <f t="shared" si="115"/>
        <v/>
      </c>
      <c r="S387" s="3" t="str">
        <f>IF($L387&lt;&gt;"",IF($A387="Prepago",0,IF($H387*$U$5&gt;SUM($S$11:$S386)+$U$5,$U$5*2,$U$5)),"")</f>
        <v/>
      </c>
      <c r="T387" s="3" t="str">
        <f>IF($L387&lt;&gt;"",IF($A387="Prepago",0,IF($H387*$U$6&gt;SUM($T$11:$T386)+$U$6,$U$6*2,$U$6)),"")</f>
        <v/>
      </c>
      <c r="U387" s="3" t="str">
        <f>IF($L387&lt;&gt;"",IF($A387="Prepago",0,IF(ROUND($H387*$U$7,2)&gt;ROUND(SUM($U$11:$U386)+$U$7,2),$U$7*2,$U$7)),"")</f>
        <v/>
      </c>
      <c r="V387" s="3" t="str">
        <f>IF($L387&lt;&gt;"",IF($A387="Prepago",0,IF($H387*$U$8&gt;SUM($V$11:$V386)+$U$8,$U$8*2,$U$8)),"")</f>
        <v/>
      </c>
      <c r="W387" s="3" t="str">
        <f t="shared" si="121"/>
        <v/>
      </c>
      <c r="X387" s="3" t="str">
        <f t="shared" si="116"/>
        <v/>
      </c>
      <c r="Y387" s="3" t="str">
        <f t="shared" si="118"/>
        <v/>
      </c>
      <c r="Z387" s="3" t="str">
        <f t="shared" si="117"/>
        <v/>
      </c>
      <c r="AA387" s="3" t="str">
        <f>IF($L387&lt;&gt;"",IF($N387&gt;Z$11,IF($N387&lt;AA$11,$N387-Z$11,30),0)*ROUND(($O387+$X386+SUM($Z387:Z387))*$V$5/3000,2),"")</f>
        <v/>
      </c>
    </row>
    <row r="388" spans="5:27" x14ac:dyDescent="0.3">
      <c r="E388" s="5"/>
      <c r="F388" t="str">
        <f t="shared" si="107"/>
        <v/>
      </c>
      <c r="G388" s="5" t="str">
        <f t="shared" si="105"/>
        <v/>
      </c>
      <c r="H388" t="str">
        <f t="shared" si="108"/>
        <v/>
      </c>
      <c r="I388" t="str">
        <f t="shared" si="109"/>
        <v/>
      </c>
      <c r="J388" t="str">
        <f t="shared" si="110"/>
        <v/>
      </c>
      <c r="K388" t="str">
        <f t="shared" si="111"/>
        <v/>
      </c>
      <c r="L388" t="str">
        <f t="shared" si="119"/>
        <v/>
      </c>
      <c r="M388" s="5" t="str">
        <f t="shared" si="106"/>
        <v/>
      </c>
      <c r="N388" s="7" t="str">
        <f t="shared" si="120"/>
        <v/>
      </c>
      <c r="O388" s="3" t="str">
        <f t="shared" si="112"/>
        <v/>
      </c>
      <c r="P388" s="3" t="str">
        <f t="shared" si="113"/>
        <v/>
      </c>
      <c r="Q388" s="3" t="str">
        <f t="shared" si="114"/>
        <v/>
      </c>
      <c r="R388" s="3" t="str">
        <f t="shared" si="115"/>
        <v/>
      </c>
      <c r="S388" s="3" t="str">
        <f>IF($L388&lt;&gt;"",IF($A388="Prepago",0,IF($H388*$U$5&gt;SUM($S$11:$S387)+$U$5,$U$5*2,$U$5)),"")</f>
        <v/>
      </c>
      <c r="T388" s="3" t="str">
        <f>IF($L388&lt;&gt;"",IF($A388="Prepago",0,IF($H388*$U$6&gt;SUM($T$11:$T387)+$U$6,$U$6*2,$U$6)),"")</f>
        <v/>
      </c>
      <c r="U388" s="3" t="str">
        <f>IF($L388&lt;&gt;"",IF($A388="Prepago",0,IF(ROUND($H388*$U$7,2)&gt;ROUND(SUM($U$11:$U387)+$U$7,2),$U$7*2,$U$7)),"")</f>
        <v/>
      </c>
      <c r="V388" s="3" t="str">
        <f>IF($L388&lt;&gt;"",IF($A388="Prepago",0,IF($H388*$U$8&gt;SUM($V$11:$V387)+$U$8,$U$8*2,$U$8)),"")</f>
        <v/>
      </c>
      <c r="W388" s="3" t="str">
        <f t="shared" si="121"/>
        <v/>
      </c>
      <c r="X388" s="3" t="str">
        <f t="shared" si="116"/>
        <v/>
      </c>
      <c r="Y388" s="3" t="str">
        <f t="shared" si="118"/>
        <v/>
      </c>
      <c r="Z388" s="3" t="str">
        <f t="shared" si="117"/>
        <v/>
      </c>
      <c r="AA388" s="3" t="str">
        <f>IF($L388&lt;&gt;"",IF($N388&gt;Z$11,IF($N388&lt;AA$11,$N388-Z$11,30),0)*ROUND(($O388+$X387+SUM($Z388:Z388))*$V$5/3000,2),"")</f>
        <v/>
      </c>
    </row>
    <row r="389" spans="5:27" x14ac:dyDescent="0.3">
      <c r="E389" s="5"/>
      <c r="F389" t="str">
        <f t="shared" si="107"/>
        <v/>
      </c>
      <c r="G389" s="5" t="str">
        <f t="shared" si="105"/>
        <v/>
      </c>
      <c r="H389" t="str">
        <f t="shared" si="108"/>
        <v/>
      </c>
      <c r="I389" t="str">
        <f t="shared" si="109"/>
        <v/>
      </c>
      <c r="J389" t="str">
        <f t="shared" si="110"/>
        <v/>
      </c>
      <c r="K389" t="str">
        <f t="shared" si="111"/>
        <v/>
      </c>
      <c r="L389" t="str">
        <f t="shared" si="119"/>
        <v/>
      </c>
      <c r="M389" s="5" t="str">
        <f t="shared" si="106"/>
        <v/>
      </c>
      <c r="N389" s="7" t="str">
        <f t="shared" si="120"/>
        <v/>
      </c>
      <c r="O389" s="3" t="str">
        <f t="shared" si="112"/>
        <v/>
      </c>
      <c r="P389" s="3" t="str">
        <f t="shared" si="113"/>
        <v/>
      </c>
      <c r="Q389" s="3" t="str">
        <f t="shared" si="114"/>
        <v/>
      </c>
      <c r="R389" s="3" t="str">
        <f t="shared" si="115"/>
        <v/>
      </c>
      <c r="S389" s="3" t="str">
        <f>IF($L389&lt;&gt;"",IF($A389="Prepago",0,IF($H389*$U$5&gt;SUM($S$11:$S388)+$U$5,$U$5*2,$U$5)),"")</f>
        <v/>
      </c>
      <c r="T389" s="3" t="str">
        <f>IF($L389&lt;&gt;"",IF($A389="Prepago",0,IF($H389*$U$6&gt;SUM($T$11:$T388)+$U$6,$U$6*2,$U$6)),"")</f>
        <v/>
      </c>
      <c r="U389" s="3" t="str">
        <f>IF($L389&lt;&gt;"",IF($A389="Prepago",0,IF(ROUND($H389*$U$7,2)&gt;ROUND(SUM($U$11:$U388)+$U$7,2),$U$7*2,$U$7)),"")</f>
        <v/>
      </c>
      <c r="V389" s="3" t="str">
        <f>IF($L389&lt;&gt;"",IF($A389="Prepago",0,IF($H389*$U$8&gt;SUM($V$11:$V388)+$U$8,$U$8*2,$U$8)),"")</f>
        <v/>
      </c>
      <c r="W389" s="3" t="str">
        <f t="shared" si="121"/>
        <v/>
      </c>
      <c r="X389" s="3" t="str">
        <f t="shared" si="116"/>
        <v/>
      </c>
      <c r="Y389" s="3" t="str">
        <f t="shared" si="118"/>
        <v/>
      </c>
      <c r="Z389" s="3" t="str">
        <f t="shared" si="117"/>
        <v/>
      </c>
      <c r="AA389" s="3" t="str">
        <f>IF($L389&lt;&gt;"",IF($N389&gt;Z$11,IF($N389&lt;AA$11,$N389-Z$11,30),0)*ROUND(($O389+$X388+SUM($Z389:Z389))*$V$5/3000,2),"")</f>
        <v/>
      </c>
    </row>
    <row r="390" spans="5:27" x14ac:dyDescent="0.3">
      <c r="E390" s="5"/>
      <c r="F390" t="str">
        <f t="shared" si="107"/>
        <v/>
      </c>
      <c r="G390" s="5" t="str">
        <f t="shared" si="105"/>
        <v/>
      </c>
      <c r="H390" t="str">
        <f t="shared" si="108"/>
        <v/>
      </c>
      <c r="I390" t="str">
        <f t="shared" si="109"/>
        <v/>
      </c>
      <c r="J390" t="str">
        <f t="shared" si="110"/>
        <v/>
      </c>
      <c r="K390" t="str">
        <f t="shared" si="111"/>
        <v/>
      </c>
      <c r="L390" t="str">
        <f t="shared" si="119"/>
        <v/>
      </c>
      <c r="M390" s="5" t="str">
        <f t="shared" si="106"/>
        <v/>
      </c>
      <c r="N390" s="7" t="str">
        <f t="shared" si="120"/>
        <v/>
      </c>
      <c r="O390" s="3" t="str">
        <f t="shared" si="112"/>
        <v/>
      </c>
      <c r="P390" s="3" t="str">
        <f t="shared" si="113"/>
        <v/>
      </c>
      <c r="Q390" s="3" t="str">
        <f t="shared" si="114"/>
        <v/>
      </c>
      <c r="R390" s="3" t="str">
        <f t="shared" si="115"/>
        <v/>
      </c>
      <c r="S390" s="3" t="str">
        <f>IF($L390&lt;&gt;"",IF($A390="Prepago",0,IF($H390*$U$5&gt;SUM($S$11:$S389)+$U$5,$U$5*2,$U$5)),"")</f>
        <v/>
      </c>
      <c r="T390" s="3" t="str">
        <f>IF($L390&lt;&gt;"",IF($A390="Prepago",0,IF($H390*$U$6&gt;SUM($T$11:$T389)+$U$6,$U$6*2,$U$6)),"")</f>
        <v/>
      </c>
      <c r="U390" s="3" t="str">
        <f>IF($L390&lt;&gt;"",IF($A390="Prepago",0,IF(ROUND($H390*$U$7,2)&gt;ROUND(SUM($U$11:$U389)+$U$7,2),$U$7*2,$U$7)),"")</f>
        <v/>
      </c>
      <c r="V390" s="3" t="str">
        <f>IF($L390&lt;&gt;"",IF($A390="Prepago",0,IF($H390*$U$8&gt;SUM($V$11:$V389)+$U$8,$U$8*2,$U$8)),"")</f>
        <v/>
      </c>
      <c r="W390" s="3" t="str">
        <f t="shared" si="121"/>
        <v/>
      </c>
      <c r="X390" s="3" t="str">
        <f t="shared" si="116"/>
        <v/>
      </c>
      <c r="Y390" s="3" t="str">
        <f t="shared" si="118"/>
        <v/>
      </c>
      <c r="Z390" s="3" t="str">
        <f t="shared" si="117"/>
        <v/>
      </c>
      <c r="AA390" s="3" t="str">
        <f>IF($L390&lt;&gt;"",IF($N390&gt;Z$11,IF($N390&lt;AA$11,$N390-Z$11,30),0)*ROUND(($O390+$X389+SUM($Z390:Z390))*$V$5/3000,2),"")</f>
        <v/>
      </c>
    </row>
    <row r="391" spans="5:27" x14ac:dyDescent="0.3">
      <c r="E391" s="5"/>
      <c r="F391" t="str">
        <f t="shared" si="107"/>
        <v/>
      </c>
      <c r="G391" s="5" t="str">
        <f t="shared" si="105"/>
        <v/>
      </c>
      <c r="H391" t="str">
        <f t="shared" si="108"/>
        <v/>
      </c>
      <c r="I391" t="str">
        <f t="shared" si="109"/>
        <v/>
      </c>
      <c r="J391" t="str">
        <f t="shared" si="110"/>
        <v/>
      </c>
      <c r="K391" t="str">
        <f t="shared" si="111"/>
        <v/>
      </c>
      <c r="L391" t="str">
        <f t="shared" si="119"/>
        <v/>
      </c>
      <c r="M391" s="5" t="str">
        <f t="shared" si="106"/>
        <v/>
      </c>
      <c r="N391" s="7" t="str">
        <f t="shared" si="120"/>
        <v/>
      </c>
      <c r="O391" s="3" t="str">
        <f t="shared" si="112"/>
        <v/>
      </c>
      <c r="P391" s="3" t="str">
        <f t="shared" si="113"/>
        <v/>
      </c>
      <c r="Q391" s="3" t="str">
        <f t="shared" si="114"/>
        <v/>
      </c>
      <c r="R391" s="3" t="str">
        <f t="shared" si="115"/>
        <v/>
      </c>
      <c r="S391" s="3" t="str">
        <f>IF($L391&lt;&gt;"",IF($A391="Prepago",0,IF($H391*$U$5&gt;SUM($S$11:$S390)+$U$5,$U$5*2,$U$5)),"")</f>
        <v/>
      </c>
      <c r="T391" s="3" t="str">
        <f>IF($L391&lt;&gt;"",IF($A391="Prepago",0,IF($H391*$U$6&gt;SUM($T$11:$T390)+$U$6,$U$6*2,$U$6)),"")</f>
        <v/>
      </c>
      <c r="U391" s="3" t="str">
        <f>IF($L391&lt;&gt;"",IF($A391="Prepago",0,IF(ROUND($H391*$U$7,2)&gt;ROUND(SUM($U$11:$U390)+$U$7,2),$U$7*2,$U$7)),"")</f>
        <v/>
      </c>
      <c r="V391" s="3" t="str">
        <f>IF($L391&lt;&gt;"",IF($A391="Prepago",0,IF($H391*$U$8&gt;SUM($V$11:$V390)+$U$8,$U$8*2,$U$8)),"")</f>
        <v/>
      </c>
      <c r="W391" s="3" t="str">
        <f t="shared" si="121"/>
        <v/>
      </c>
      <c r="X391" s="3" t="str">
        <f t="shared" si="116"/>
        <v/>
      </c>
      <c r="Y391" s="3" t="str">
        <f t="shared" si="118"/>
        <v/>
      </c>
      <c r="Z391" s="3" t="str">
        <f t="shared" si="117"/>
        <v/>
      </c>
      <c r="AA391" s="3" t="str">
        <f>IF($L391&lt;&gt;"",IF($N391&gt;Z$11,IF($N391&lt;AA$11,$N391-Z$11,30),0)*ROUND(($O391+$X390+SUM($Z391:Z391))*$V$5/3000,2),"")</f>
        <v/>
      </c>
    </row>
    <row r="392" spans="5:27" x14ac:dyDescent="0.3">
      <c r="E392" s="5"/>
      <c r="F392" t="str">
        <f t="shared" si="107"/>
        <v/>
      </c>
      <c r="G392" s="5" t="str">
        <f t="shared" si="105"/>
        <v/>
      </c>
      <c r="H392" t="str">
        <f t="shared" si="108"/>
        <v/>
      </c>
      <c r="I392" t="str">
        <f t="shared" si="109"/>
        <v/>
      </c>
      <c r="J392" t="str">
        <f t="shared" si="110"/>
        <v/>
      </c>
      <c r="K392" t="str">
        <f t="shared" si="111"/>
        <v/>
      </c>
      <c r="L392" t="str">
        <f t="shared" si="119"/>
        <v/>
      </c>
      <c r="M392" s="5" t="str">
        <f t="shared" si="106"/>
        <v/>
      </c>
      <c r="N392" s="7" t="str">
        <f t="shared" si="120"/>
        <v/>
      </c>
      <c r="O392" s="3" t="str">
        <f t="shared" si="112"/>
        <v/>
      </c>
      <c r="P392" s="3" t="str">
        <f t="shared" si="113"/>
        <v/>
      </c>
      <c r="Q392" s="3" t="str">
        <f t="shared" si="114"/>
        <v/>
      </c>
      <c r="R392" s="3" t="str">
        <f t="shared" si="115"/>
        <v/>
      </c>
      <c r="S392" s="3" t="str">
        <f>IF($L392&lt;&gt;"",IF($A392="Prepago",0,IF($H392*$U$5&gt;SUM($S$11:$S391)+$U$5,$U$5*2,$U$5)),"")</f>
        <v/>
      </c>
      <c r="T392" s="3" t="str">
        <f>IF($L392&lt;&gt;"",IF($A392="Prepago",0,IF($H392*$U$6&gt;SUM($T$11:$T391)+$U$6,$U$6*2,$U$6)),"")</f>
        <v/>
      </c>
      <c r="U392" s="3" t="str">
        <f>IF($L392&lt;&gt;"",IF($A392="Prepago",0,IF(ROUND($H392*$U$7,2)&gt;ROUND(SUM($U$11:$U391)+$U$7,2),$U$7*2,$U$7)),"")</f>
        <v/>
      </c>
      <c r="V392" s="3" t="str">
        <f>IF($L392&lt;&gt;"",IF($A392="Prepago",0,IF($H392*$U$8&gt;SUM($V$11:$V391)+$U$8,$U$8*2,$U$8)),"")</f>
        <v/>
      </c>
      <c r="W392" s="3" t="str">
        <f t="shared" si="121"/>
        <v/>
      </c>
      <c r="X392" s="3" t="str">
        <f t="shared" si="116"/>
        <v/>
      </c>
      <c r="Y392" s="3" t="str">
        <f t="shared" si="118"/>
        <v/>
      </c>
      <c r="Z392" s="3" t="str">
        <f t="shared" si="117"/>
        <v/>
      </c>
      <c r="AA392" s="3" t="str">
        <f>IF($L392&lt;&gt;"",IF($N392&gt;Z$11,IF($N392&lt;AA$11,$N392-Z$11,30),0)*ROUND(($O392+$X391+SUM($Z392:Z392))*$V$5/3000,2),"")</f>
        <v/>
      </c>
    </row>
    <row r="393" spans="5:27" x14ac:dyDescent="0.3">
      <c r="E393" s="5"/>
      <c r="F393" t="str">
        <f t="shared" si="107"/>
        <v/>
      </c>
      <c r="G393" s="5" t="str">
        <f t="shared" si="105"/>
        <v/>
      </c>
      <c r="H393" t="str">
        <f t="shared" si="108"/>
        <v/>
      </c>
      <c r="I393" t="str">
        <f t="shared" si="109"/>
        <v/>
      </c>
      <c r="J393" t="str">
        <f t="shared" si="110"/>
        <v/>
      </c>
      <c r="K393" t="str">
        <f t="shared" si="111"/>
        <v/>
      </c>
      <c r="L393" t="str">
        <f t="shared" si="119"/>
        <v/>
      </c>
      <c r="M393" s="5" t="str">
        <f t="shared" si="106"/>
        <v/>
      </c>
      <c r="N393" s="7" t="str">
        <f t="shared" si="120"/>
        <v/>
      </c>
      <c r="O393" s="3" t="str">
        <f t="shared" si="112"/>
        <v/>
      </c>
      <c r="P393" s="3" t="str">
        <f t="shared" si="113"/>
        <v/>
      </c>
      <c r="Q393" s="3" t="str">
        <f t="shared" si="114"/>
        <v/>
      </c>
      <c r="R393" s="3" t="str">
        <f t="shared" si="115"/>
        <v/>
      </c>
      <c r="S393" s="3" t="str">
        <f>IF($L393&lt;&gt;"",IF($A393="Prepago",0,IF($H393*$U$5&gt;SUM($S$11:$S392)+$U$5,$U$5*2,$U$5)),"")</f>
        <v/>
      </c>
      <c r="T393" s="3" t="str">
        <f>IF($L393&lt;&gt;"",IF($A393="Prepago",0,IF($H393*$U$6&gt;SUM($T$11:$T392)+$U$6,$U$6*2,$U$6)),"")</f>
        <v/>
      </c>
      <c r="U393" s="3" t="str">
        <f>IF($L393&lt;&gt;"",IF($A393="Prepago",0,IF(ROUND($H393*$U$7,2)&gt;ROUND(SUM($U$11:$U392)+$U$7,2),$U$7*2,$U$7)),"")</f>
        <v/>
      </c>
      <c r="V393" s="3" t="str">
        <f>IF($L393&lt;&gt;"",IF($A393="Prepago",0,IF($H393*$U$8&gt;SUM($V$11:$V392)+$U$8,$U$8*2,$U$8)),"")</f>
        <v/>
      </c>
      <c r="W393" s="3" t="str">
        <f t="shared" si="121"/>
        <v/>
      </c>
      <c r="X393" s="3" t="str">
        <f t="shared" si="116"/>
        <v/>
      </c>
      <c r="Y393" s="3" t="str">
        <f t="shared" si="118"/>
        <v/>
      </c>
      <c r="Z393" s="3" t="str">
        <f t="shared" si="117"/>
        <v/>
      </c>
      <c r="AA393" s="3" t="str">
        <f>IF($L393&lt;&gt;"",IF($N393&gt;Z$11,IF($N393&lt;AA$11,$N393-Z$11,30),0)*ROUND(($O393+$X392+SUM($Z393:Z393))*$V$5/3000,2),"")</f>
        <v/>
      </c>
    </row>
    <row r="394" spans="5:27" x14ac:dyDescent="0.3">
      <c r="E394" s="5"/>
      <c r="F394" t="str">
        <f t="shared" si="107"/>
        <v/>
      </c>
      <c r="G394" s="5" t="str">
        <f t="shared" si="105"/>
        <v/>
      </c>
      <c r="H394" t="str">
        <f t="shared" si="108"/>
        <v/>
      </c>
      <c r="I394" t="str">
        <f t="shared" si="109"/>
        <v/>
      </c>
      <c r="J394" t="str">
        <f t="shared" si="110"/>
        <v/>
      </c>
      <c r="K394" t="str">
        <f t="shared" si="111"/>
        <v/>
      </c>
      <c r="L394" t="str">
        <f t="shared" si="119"/>
        <v/>
      </c>
      <c r="M394" s="5" t="str">
        <f t="shared" si="106"/>
        <v/>
      </c>
      <c r="N394" s="7" t="str">
        <f t="shared" si="120"/>
        <v/>
      </c>
      <c r="O394" s="3" t="str">
        <f t="shared" si="112"/>
        <v/>
      </c>
      <c r="P394" s="3" t="str">
        <f t="shared" si="113"/>
        <v/>
      </c>
      <c r="Q394" s="3" t="str">
        <f t="shared" si="114"/>
        <v/>
      </c>
      <c r="R394" s="3" t="str">
        <f t="shared" si="115"/>
        <v/>
      </c>
      <c r="S394" s="3" t="str">
        <f>IF($L394&lt;&gt;"",IF($A394="Prepago",0,IF($H394*$U$5&gt;SUM($S$11:$S393)+$U$5,$U$5*2,$U$5)),"")</f>
        <v/>
      </c>
      <c r="T394" s="3" t="str">
        <f>IF($L394&lt;&gt;"",IF($A394="Prepago",0,IF($H394*$U$6&gt;SUM($T$11:$T393)+$U$6,$U$6*2,$U$6)),"")</f>
        <v/>
      </c>
      <c r="U394" s="3" t="str">
        <f>IF($L394&lt;&gt;"",IF($A394="Prepago",0,IF(ROUND($H394*$U$7,2)&gt;ROUND(SUM($U$11:$U393)+$U$7,2),$U$7*2,$U$7)),"")</f>
        <v/>
      </c>
      <c r="V394" s="3" t="str">
        <f>IF($L394&lt;&gt;"",IF($A394="Prepago",0,IF($H394*$U$8&gt;SUM($V$11:$V393)+$U$8,$U$8*2,$U$8)),"")</f>
        <v/>
      </c>
      <c r="W394" s="3" t="str">
        <f t="shared" si="121"/>
        <v/>
      </c>
      <c r="X394" s="3" t="str">
        <f t="shared" si="116"/>
        <v/>
      </c>
      <c r="Y394" s="3" t="str">
        <f t="shared" si="118"/>
        <v/>
      </c>
      <c r="Z394" s="3" t="str">
        <f t="shared" si="117"/>
        <v/>
      </c>
      <c r="AA394" s="3" t="str">
        <f>IF($L394&lt;&gt;"",IF($N394&gt;Z$11,IF($N394&lt;AA$11,$N394-Z$11,30),0)*ROUND(($O394+$X393+SUM($Z394:Z394))*$V$5/3000,2),"")</f>
        <v/>
      </c>
    </row>
    <row r="395" spans="5:27" x14ac:dyDescent="0.3">
      <c r="E395" s="5"/>
      <c r="F395" t="str">
        <f t="shared" si="107"/>
        <v/>
      </c>
      <c r="G395" s="5" t="str">
        <f t="shared" si="105"/>
        <v/>
      </c>
      <c r="H395" t="str">
        <f t="shared" si="108"/>
        <v/>
      </c>
      <c r="I395" t="str">
        <f t="shared" si="109"/>
        <v/>
      </c>
      <c r="J395" t="str">
        <f t="shared" si="110"/>
        <v/>
      </c>
      <c r="K395" t="str">
        <f t="shared" si="111"/>
        <v/>
      </c>
      <c r="L395" t="str">
        <f t="shared" si="119"/>
        <v/>
      </c>
      <c r="M395" s="5" t="str">
        <f t="shared" si="106"/>
        <v/>
      </c>
      <c r="N395" s="7" t="str">
        <f t="shared" si="120"/>
        <v/>
      </c>
      <c r="O395" s="3" t="str">
        <f t="shared" si="112"/>
        <v/>
      </c>
      <c r="P395" s="3" t="str">
        <f t="shared" si="113"/>
        <v/>
      </c>
      <c r="Q395" s="3" t="str">
        <f t="shared" si="114"/>
        <v/>
      </c>
      <c r="R395" s="3" t="str">
        <f t="shared" si="115"/>
        <v/>
      </c>
      <c r="S395" s="3" t="str">
        <f>IF($L395&lt;&gt;"",IF($A395="Prepago",0,IF($H395*$U$5&gt;SUM($S$11:$S394)+$U$5,$U$5*2,$U$5)),"")</f>
        <v/>
      </c>
      <c r="T395" s="3" t="str">
        <f>IF($L395&lt;&gt;"",IF($A395="Prepago",0,IF($H395*$U$6&gt;SUM($T$11:$T394)+$U$6,$U$6*2,$U$6)),"")</f>
        <v/>
      </c>
      <c r="U395" s="3" t="str">
        <f>IF($L395&lt;&gt;"",IF($A395="Prepago",0,IF(ROUND($H395*$U$7,2)&gt;ROUND(SUM($U$11:$U394)+$U$7,2),$U$7*2,$U$7)),"")</f>
        <v/>
      </c>
      <c r="V395" s="3" t="str">
        <f>IF($L395&lt;&gt;"",IF($A395="Prepago",0,IF($H395*$U$8&gt;SUM($V$11:$V394)+$U$8,$U$8*2,$U$8)),"")</f>
        <v/>
      </c>
      <c r="W395" s="3" t="str">
        <f t="shared" si="121"/>
        <v/>
      </c>
      <c r="X395" s="3" t="str">
        <f t="shared" si="116"/>
        <v/>
      </c>
      <c r="Y395" s="3" t="str">
        <f t="shared" si="118"/>
        <v/>
      </c>
      <c r="Z395" s="3" t="str">
        <f t="shared" si="117"/>
        <v/>
      </c>
      <c r="AA395" s="3" t="str">
        <f>IF($L395&lt;&gt;"",IF($N395&gt;Z$11,IF($N395&lt;AA$11,$N395-Z$11,30),0)*ROUND(($O395+$X394+SUM($Z395:Z395))*$V$5/3000,2),"")</f>
        <v/>
      </c>
    </row>
    <row r="396" spans="5:27" x14ac:dyDescent="0.3">
      <c r="E396" s="5"/>
      <c r="F396" t="str">
        <f t="shared" si="107"/>
        <v/>
      </c>
      <c r="G396" s="5" t="str">
        <f t="shared" ref="G396:G419" si="122">IF($L396&lt;&gt;"",EOMONTH(DATE(YEAR($M$11),MONTH($M$11)-IF(DAY($N$6)&lt;$N$7,1,0),DAY($M$11)),($H396*$A$1)+IF(MESADICIONAL=TRUE,1,0)),"")</f>
        <v/>
      </c>
      <c r="H396" t="str">
        <f t="shared" si="108"/>
        <v/>
      </c>
      <c r="I396" t="str">
        <f t="shared" si="109"/>
        <v/>
      </c>
      <c r="J396" t="str">
        <f t="shared" si="110"/>
        <v/>
      </c>
      <c r="K396" t="str">
        <f t="shared" si="111"/>
        <v/>
      </c>
      <c r="L396" t="str">
        <f t="shared" si="119"/>
        <v/>
      </c>
      <c r="M396" s="5" t="str">
        <f t="shared" si="106"/>
        <v/>
      </c>
      <c r="N396" s="7" t="str">
        <f t="shared" si="120"/>
        <v/>
      </c>
      <c r="O396" s="3" t="str">
        <f t="shared" si="112"/>
        <v/>
      </c>
      <c r="P396" s="3" t="str">
        <f t="shared" si="113"/>
        <v/>
      </c>
      <c r="Q396" s="3" t="str">
        <f t="shared" si="114"/>
        <v/>
      </c>
      <c r="R396" s="3" t="str">
        <f t="shared" si="115"/>
        <v/>
      </c>
      <c r="S396" s="3" t="str">
        <f>IF($L396&lt;&gt;"",IF($A396="Prepago",0,IF($H396*$U$5&gt;SUM($S$11:$S395)+$U$5,$U$5*2,$U$5)),"")</f>
        <v/>
      </c>
      <c r="T396" s="3" t="str">
        <f>IF($L396&lt;&gt;"",IF($A396="Prepago",0,IF($H396*$U$6&gt;SUM($T$11:$T395)+$U$6,$U$6*2,$U$6)),"")</f>
        <v/>
      </c>
      <c r="U396" s="3" t="str">
        <f>IF($L396&lt;&gt;"",IF($A396="Prepago",0,IF(ROUND($H396*$U$7,2)&gt;ROUND(SUM($U$11:$U395)+$U$7,2),$U$7*2,$U$7)),"")</f>
        <v/>
      </c>
      <c r="V396" s="3" t="str">
        <f>IF($L396&lt;&gt;"",IF($A396="Prepago",0,IF($H396*$U$8&gt;SUM($V$11:$V395)+$U$8,$U$8*2,$U$8)),"")</f>
        <v/>
      </c>
      <c r="W396" s="3" t="str">
        <f t="shared" si="121"/>
        <v/>
      </c>
      <c r="X396" s="3" t="str">
        <f t="shared" si="116"/>
        <v/>
      </c>
      <c r="Y396" s="3" t="str">
        <f t="shared" si="118"/>
        <v/>
      </c>
      <c r="Z396" s="3" t="str">
        <f t="shared" si="117"/>
        <v/>
      </c>
      <c r="AA396" s="3" t="str">
        <f>IF($L396&lt;&gt;"",IF($N396&gt;Z$11,IF($N396&lt;AA$11,$N396-Z$11,30),0)*ROUND(($O396+$X395+SUM($Z396:Z396))*$V$5/3000,2),"")</f>
        <v/>
      </c>
    </row>
    <row r="397" spans="5:27" x14ac:dyDescent="0.3">
      <c r="E397" s="5"/>
      <c r="F397" t="str">
        <f t="shared" si="107"/>
        <v/>
      </c>
      <c r="G397" s="5" t="str">
        <f t="shared" si="122"/>
        <v/>
      </c>
      <c r="H397" t="str">
        <f t="shared" si="108"/>
        <v/>
      </c>
      <c r="I397" t="str">
        <f t="shared" si="109"/>
        <v/>
      </c>
      <c r="J397" t="str">
        <f t="shared" si="110"/>
        <v/>
      </c>
      <c r="K397" t="str">
        <f t="shared" si="111"/>
        <v/>
      </c>
      <c r="L397" t="str">
        <f t="shared" si="119"/>
        <v/>
      </c>
      <c r="M397" s="5" t="str">
        <f t="shared" ref="M397:M419" si="123">IF($L397&lt;&gt;"",IF($E397="",IF(DAY($G397)&lt;$N$7,$G397,DATE(YEAR($G397),MONTH($G397),$N$7)),$E397),"")</f>
        <v/>
      </c>
      <c r="N397" s="7" t="str">
        <f t="shared" si="120"/>
        <v/>
      </c>
      <c r="O397" s="3" t="str">
        <f t="shared" si="112"/>
        <v/>
      </c>
      <c r="P397" s="3" t="str">
        <f t="shared" si="113"/>
        <v/>
      </c>
      <c r="Q397" s="3" t="str">
        <f t="shared" si="114"/>
        <v/>
      </c>
      <c r="R397" s="3" t="str">
        <f t="shared" si="115"/>
        <v/>
      </c>
      <c r="S397" s="3" t="str">
        <f>IF($L397&lt;&gt;"",IF($A397="Prepago",0,IF($H397*$U$5&gt;SUM($S$11:$S396)+$U$5,$U$5*2,$U$5)),"")</f>
        <v/>
      </c>
      <c r="T397" s="3" t="str">
        <f>IF($L397&lt;&gt;"",IF($A397="Prepago",0,IF($H397*$U$6&gt;SUM($T$11:$T396)+$U$6,$U$6*2,$U$6)),"")</f>
        <v/>
      </c>
      <c r="U397" s="3" t="str">
        <f>IF($L397&lt;&gt;"",IF($A397="Prepago",0,IF(ROUND($H397*$U$7,2)&gt;ROUND(SUM($U$11:$U396)+$U$7,2),$U$7*2,$U$7)),"")</f>
        <v/>
      </c>
      <c r="V397" s="3" t="str">
        <f>IF($L397&lt;&gt;"",IF($A397="Prepago",0,IF($H397*$U$8&gt;SUM($V$11:$V396)+$U$8,$U$8*2,$U$8)),"")</f>
        <v/>
      </c>
      <c r="W397" s="3" t="str">
        <f t="shared" si="121"/>
        <v/>
      </c>
      <c r="X397" s="3" t="str">
        <f t="shared" si="116"/>
        <v/>
      </c>
      <c r="Y397" s="3" t="str">
        <f t="shared" si="118"/>
        <v/>
      </c>
      <c r="Z397" s="3" t="str">
        <f t="shared" si="117"/>
        <v/>
      </c>
      <c r="AA397" s="3" t="str">
        <f>IF($L397&lt;&gt;"",IF($N397&gt;Z$11,IF($N397&lt;AA$11,$N397-Z$11,30),0)*ROUND(($O397+$X396+SUM($Z397:Z397))*$V$5/3000,2),"")</f>
        <v/>
      </c>
    </row>
    <row r="398" spans="5:27" x14ac:dyDescent="0.3">
      <c r="E398" s="5"/>
      <c r="F398" t="str">
        <f t="shared" ref="F398:F419" si="124">IF($L398&lt;&gt;"",TEXT(M398,"DDD"),"")</f>
        <v/>
      </c>
      <c r="G398" s="5" t="str">
        <f t="shared" si="122"/>
        <v/>
      </c>
      <c r="H398" t="str">
        <f t="shared" ref="H398:H419" si="125">IF($L398&lt;&gt;"",IF($A398="Prepago",$H397,$H397+1)+B398,"")</f>
        <v/>
      </c>
      <c r="I398" t="str">
        <f t="shared" ref="I398:I419" si="126">IF(L398&lt;&gt;"",IF(COUNTA($Z398:$XFD398)*30&lt;$N398,1,0),"")</f>
        <v/>
      </c>
      <c r="J398" t="str">
        <f t="shared" ref="J398:J419" si="127">IF($L398&lt;&gt;"",IF(OR(A398&lt;&gt;"",C398&lt;&gt;""),1,0),"")</f>
        <v/>
      </c>
      <c r="K398" t="str">
        <f t="shared" ref="K398:K419" si="128">IF($L398&lt;&gt;"",IF(J398=1,Q398,0),"")</f>
        <v/>
      </c>
      <c r="L398" t="str">
        <f t="shared" si="119"/>
        <v/>
      </c>
      <c r="M398" s="5" t="str">
        <f t="shared" si="123"/>
        <v/>
      </c>
      <c r="N398" s="7" t="str">
        <f t="shared" si="120"/>
        <v/>
      </c>
      <c r="O398" s="3" t="str">
        <f t="shared" ref="O398:O419" si="129">IF($L398&lt;&gt;"",$W397,"")</f>
        <v/>
      </c>
      <c r="P398" s="3" t="str">
        <f t="shared" ref="P398:P419" si="130">IF($L398&lt;&gt;"",IF($A398="Gracia Parcial",IF(AND($C398&lt;$Y398+$S398+$T398+$V398+$X397,$C398&gt;0),$C398,$Y398+$S398+$T398+$V398+$X397),IF($A398="Gracia Total",0,IF($A398="Prepago",$C398,IF(ISNUMBER($C398),$C398*VALUE(MID($C$1,MONTH($M398),1)),$Q$5*VALUE(MID($C$1,MONTH($M398),1))))))-IF($L399="",ARREGLO,0),"")</f>
        <v/>
      </c>
      <c r="Q398" s="3" t="str">
        <f t="shared" ref="Q398:Q419" si="131">IF($L398&lt;&gt;"",IF($P398-$R398&gt;0,IF($P398&gt;=$R398+$S398+$T398+$V398,$P398-$R398-$S398-$T398-$V398,P398),0),"")</f>
        <v/>
      </c>
      <c r="R398" s="3" t="str">
        <f t="shared" ref="R398:R419" si="132">IF($L398&lt;&gt;"",IF($P398&gt;IF($D398="",$Y398,$D398)+$X397+$S398+$T398+$V398,IF($D398="",$Y398,$D398)+$X397,IF($P398&gt;=$S398+$T398+$V398,$P398-$S398-$T398-$V398,IF($D398="",$Y398,$D398)+$X397)),"")</f>
        <v/>
      </c>
      <c r="S398" s="3" t="str">
        <f>IF($L398&lt;&gt;"",IF($A398="Prepago",0,IF($H398*$U$5&gt;SUM($S$11:$S397)+$U$5,$U$5*2,$U$5)),"")</f>
        <v/>
      </c>
      <c r="T398" s="3" t="str">
        <f>IF($L398&lt;&gt;"",IF($A398="Prepago",0,IF($H398*$U$6&gt;SUM($T$11:$T397)+$U$6,$U$6*2,$U$6)),"")</f>
        <v/>
      </c>
      <c r="U398" s="3" t="str">
        <f>IF($L398&lt;&gt;"",IF($A398="Prepago",0,IF(ROUND($H398*$U$7,2)&gt;ROUND(SUM($U$11:$U397)+$U$7,2),$U$7*2,$U$7)),"")</f>
        <v/>
      </c>
      <c r="V398" s="3" t="str">
        <f>IF($L398&lt;&gt;"",IF($A398="Prepago",0,IF($H398*$U$8&gt;SUM($V$11:$V397)+$U$8,$U$8*2,$U$8)),"")</f>
        <v/>
      </c>
      <c r="W398" s="3" t="str">
        <f t="shared" si="121"/>
        <v/>
      </c>
      <c r="X398" s="3" t="str">
        <f t="shared" ref="X398:X419" si="133">IF($L398&lt;&gt;"",+$X397+IF($D398="",$Y398,$D398)-$R398,"")</f>
        <v/>
      </c>
      <c r="Y398" s="3" t="str">
        <f t="shared" si="118"/>
        <v/>
      </c>
      <c r="Z398" s="3" t="str">
        <f t="shared" ref="Z398:Z419" si="134">IF($L398&lt;&gt;"",IF($N398&gt;Z$11,30,$N398)*ROUND(($O398+$X397)*$V$5/3000,2),"")</f>
        <v/>
      </c>
      <c r="AA398" s="3" t="str">
        <f>IF($L398&lt;&gt;"",IF($N398&gt;Z$11,IF($N398&lt;AA$11,$N398-Z$11,30),0)*ROUND(($O398+$X397+SUM($Z398:Z398))*$V$5/3000,2),"")</f>
        <v/>
      </c>
    </row>
    <row r="399" spans="5:27" x14ac:dyDescent="0.3">
      <c r="E399" s="5"/>
      <c r="F399" t="str">
        <f t="shared" si="124"/>
        <v/>
      </c>
      <c r="G399" s="5" t="str">
        <f t="shared" si="122"/>
        <v/>
      </c>
      <c r="H399" t="str">
        <f t="shared" si="125"/>
        <v/>
      </c>
      <c r="I399" t="str">
        <f t="shared" si="126"/>
        <v/>
      </c>
      <c r="J399" t="str">
        <f t="shared" si="127"/>
        <v/>
      </c>
      <c r="K399" t="str">
        <f t="shared" si="128"/>
        <v/>
      </c>
      <c r="L399" t="str">
        <f t="shared" si="119"/>
        <v/>
      </c>
      <c r="M399" s="5" t="str">
        <f t="shared" si="123"/>
        <v/>
      </c>
      <c r="N399" s="7" t="str">
        <f t="shared" si="120"/>
        <v/>
      </c>
      <c r="O399" s="3" t="str">
        <f t="shared" si="129"/>
        <v/>
      </c>
      <c r="P399" s="3" t="str">
        <f t="shared" si="130"/>
        <v/>
      </c>
      <c r="Q399" s="3" t="str">
        <f t="shared" si="131"/>
        <v/>
      </c>
      <c r="R399" s="3" t="str">
        <f t="shared" si="132"/>
        <v/>
      </c>
      <c r="S399" s="3" t="str">
        <f>IF($L399&lt;&gt;"",IF($A399="Prepago",0,IF($H399*$U$5&gt;SUM($S$11:$S398)+$U$5,$U$5*2,$U$5)),"")</f>
        <v/>
      </c>
      <c r="T399" s="3" t="str">
        <f>IF($L399&lt;&gt;"",IF($A399="Prepago",0,IF($H399*$U$6&gt;SUM($T$11:$T398)+$U$6,$U$6*2,$U$6)),"")</f>
        <v/>
      </c>
      <c r="U399" s="3" t="str">
        <f>IF($L399&lt;&gt;"",IF($A399="Prepago",0,IF(ROUND($H399*$U$7,2)&gt;ROUND(SUM($U$11:$U398)+$U$7,2),$U$7*2,$U$7)),"")</f>
        <v/>
      </c>
      <c r="V399" s="3" t="str">
        <f>IF($L399&lt;&gt;"",IF($A399="Prepago",0,IF($H399*$U$8&gt;SUM($V$11:$V398)+$U$8,$U$8*2,$U$8)),"")</f>
        <v/>
      </c>
      <c r="W399" s="3" t="str">
        <f t="shared" si="121"/>
        <v/>
      </c>
      <c r="X399" s="3" t="str">
        <f t="shared" si="133"/>
        <v/>
      </c>
      <c r="Y399" s="3" t="str">
        <f t="shared" ref="Y399:Y419" si="135">IF($L399&lt;&gt;"",SUM($Z399:$XFD399),"")</f>
        <v/>
      </c>
      <c r="Z399" s="3" t="str">
        <f t="shared" si="134"/>
        <v/>
      </c>
      <c r="AA399" s="3" t="str">
        <f>IF($L399&lt;&gt;"",IF($N399&gt;Z$11,IF($N399&lt;AA$11,$N399-Z$11,30),0)*ROUND(($O399+$X398+SUM($Z399:Z399))*$V$5/3000,2),"")</f>
        <v/>
      </c>
    </row>
    <row r="400" spans="5:27" x14ac:dyDescent="0.3">
      <c r="E400" s="5"/>
      <c r="F400" t="str">
        <f t="shared" si="124"/>
        <v/>
      </c>
      <c r="G400" s="5" t="str">
        <f t="shared" si="122"/>
        <v/>
      </c>
      <c r="H400" t="str">
        <f t="shared" si="125"/>
        <v/>
      </c>
      <c r="I400" t="str">
        <f t="shared" si="126"/>
        <v/>
      </c>
      <c r="J400" t="str">
        <f t="shared" si="127"/>
        <v/>
      </c>
      <c r="K400" t="str">
        <f t="shared" si="128"/>
        <v/>
      </c>
      <c r="L400" t="str">
        <f t="shared" si="119"/>
        <v/>
      </c>
      <c r="M400" s="5" t="str">
        <f t="shared" si="123"/>
        <v/>
      </c>
      <c r="N400" s="7" t="str">
        <f t="shared" si="120"/>
        <v/>
      </c>
      <c r="O400" s="3" t="str">
        <f t="shared" si="129"/>
        <v/>
      </c>
      <c r="P400" s="3" t="str">
        <f t="shared" si="130"/>
        <v/>
      </c>
      <c r="Q400" s="3" t="str">
        <f t="shared" si="131"/>
        <v/>
      </c>
      <c r="R400" s="3" t="str">
        <f t="shared" si="132"/>
        <v/>
      </c>
      <c r="S400" s="3" t="str">
        <f>IF($L400&lt;&gt;"",IF($A400="Prepago",0,IF($H400*$U$5&gt;SUM($S$11:$S399)+$U$5,$U$5*2,$U$5)),"")</f>
        <v/>
      </c>
      <c r="T400" s="3" t="str">
        <f>IF($L400&lt;&gt;"",IF($A400="Prepago",0,IF($H400*$U$6&gt;SUM($T$11:$T399)+$U$6,$U$6*2,$U$6)),"")</f>
        <v/>
      </c>
      <c r="U400" s="3" t="str">
        <f>IF($L400&lt;&gt;"",IF($A400="Prepago",0,IF(ROUND($H400*$U$7,2)&gt;ROUND(SUM($U$11:$U399)+$U$7,2),$U$7*2,$U$7)),"")</f>
        <v/>
      </c>
      <c r="V400" s="3" t="str">
        <f>IF($L400&lt;&gt;"",IF($A400="Prepago",0,IF($H400*$U$8&gt;SUM($V$11:$V399)+$U$8,$U$8*2,$U$8)),"")</f>
        <v/>
      </c>
      <c r="W400" s="3" t="str">
        <f t="shared" si="121"/>
        <v/>
      </c>
      <c r="X400" s="3" t="str">
        <f t="shared" si="133"/>
        <v/>
      </c>
      <c r="Y400" s="3" t="str">
        <f t="shared" si="135"/>
        <v/>
      </c>
      <c r="Z400" s="3" t="str">
        <f t="shared" si="134"/>
        <v/>
      </c>
      <c r="AA400" s="3" t="str">
        <f>IF($L400&lt;&gt;"",IF($N400&gt;Z$11,IF($N400&lt;AA$11,$N400-Z$11,30),0)*ROUND(($O400+$X399+SUM($Z400:Z400))*$V$5/3000,2),"")</f>
        <v/>
      </c>
    </row>
    <row r="401" spans="5:27" x14ac:dyDescent="0.3">
      <c r="E401" s="5"/>
      <c r="F401" t="str">
        <f t="shared" si="124"/>
        <v/>
      </c>
      <c r="G401" s="5" t="str">
        <f t="shared" si="122"/>
        <v/>
      </c>
      <c r="H401" t="str">
        <f t="shared" si="125"/>
        <v/>
      </c>
      <c r="I401" t="str">
        <f t="shared" si="126"/>
        <v/>
      </c>
      <c r="J401" t="str">
        <f t="shared" si="127"/>
        <v/>
      </c>
      <c r="K401" t="str">
        <f t="shared" si="128"/>
        <v/>
      </c>
      <c r="L401" t="str">
        <f t="shared" si="119"/>
        <v/>
      </c>
      <c r="M401" s="5" t="str">
        <f t="shared" si="123"/>
        <v/>
      </c>
      <c r="N401" s="7" t="str">
        <f t="shared" si="120"/>
        <v/>
      </c>
      <c r="O401" s="3" t="str">
        <f t="shared" si="129"/>
        <v/>
      </c>
      <c r="P401" s="3" t="str">
        <f t="shared" si="130"/>
        <v/>
      </c>
      <c r="Q401" s="3" t="str">
        <f t="shared" si="131"/>
        <v/>
      </c>
      <c r="R401" s="3" t="str">
        <f t="shared" si="132"/>
        <v/>
      </c>
      <c r="S401" s="3" t="str">
        <f>IF($L401&lt;&gt;"",IF($A401="Prepago",0,IF($H401*$U$5&gt;SUM($S$11:$S400)+$U$5,$U$5*2,$U$5)),"")</f>
        <v/>
      </c>
      <c r="T401" s="3" t="str">
        <f>IF($L401&lt;&gt;"",IF($A401="Prepago",0,IF($H401*$U$6&gt;SUM($T$11:$T400)+$U$6,$U$6*2,$U$6)),"")</f>
        <v/>
      </c>
      <c r="U401" s="3" t="str">
        <f>IF($L401&lt;&gt;"",IF($A401="Prepago",0,IF(ROUND($H401*$U$7,2)&gt;ROUND(SUM($U$11:$U400)+$U$7,2),$U$7*2,$U$7)),"")</f>
        <v/>
      </c>
      <c r="V401" s="3" t="str">
        <f>IF($L401&lt;&gt;"",IF($A401="Prepago",0,IF($H401*$U$8&gt;SUM($V$11:$V400)+$U$8,$U$8*2,$U$8)),"")</f>
        <v/>
      </c>
      <c r="W401" s="3" t="str">
        <f t="shared" si="121"/>
        <v/>
      </c>
      <c r="X401" s="3" t="str">
        <f t="shared" si="133"/>
        <v/>
      </c>
      <c r="Y401" s="3" t="str">
        <f t="shared" si="135"/>
        <v/>
      </c>
      <c r="Z401" s="3" t="str">
        <f t="shared" si="134"/>
        <v/>
      </c>
      <c r="AA401" s="3" t="str">
        <f>IF($L401&lt;&gt;"",IF($N401&gt;Z$11,IF($N401&lt;AA$11,$N401-Z$11,30),0)*ROUND(($O401+$X400+SUM($Z401:Z401))*$V$5/3000,2),"")</f>
        <v/>
      </c>
    </row>
    <row r="402" spans="5:27" x14ac:dyDescent="0.3">
      <c r="E402" s="5"/>
      <c r="F402" t="str">
        <f t="shared" si="124"/>
        <v/>
      </c>
      <c r="G402" s="5" t="str">
        <f t="shared" si="122"/>
        <v/>
      </c>
      <c r="H402" t="str">
        <f t="shared" si="125"/>
        <v/>
      </c>
      <c r="I402" t="str">
        <f t="shared" si="126"/>
        <v/>
      </c>
      <c r="J402" t="str">
        <f t="shared" si="127"/>
        <v/>
      </c>
      <c r="K402" t="str">
        <f t="shared" si="128"/>
        <v/>
      </c>
      <c r="L402" t="str">
        <f t="shared" si="119"/>
        <v/>
      </c>
      <c r="M402" s="5" t="str">
        <f t="shared" si="123"/>
        <v/>
      </c>
      <c r="N402" s="7" t="str">
        <f t="shared" si="120"/>
        <v/>
      </c>
      <c r="O402" s="3" t="str">
        <f t="shared" si="129"/>
        <v/>
      </c>
      <c r="P402" s="3" t="str">
        <f t="shared" si="130"/>
        <v/>
      </c>
      <c r="Q402" s="3" t="str">
        <f t="shared" si="131"/>
        <v/>
      </c>
      <c r="R402" s="3" t="str">
        <f t="shared" si="132"/>
        <v/>
      </c>
      <c r="S402" s="3" t="str">
        <f>IF($L402&lt;&gt;"",IF($A402="Prepago",0,IF($H402*$U$5&gt;SUM($S$11:$S401)+$U$5,$U$5*2,$U$5)),"")</f>
        <v/>
      </c>
      <c r="T402" s="3" t="str">
        <f>IF($L402&lt;&gt;"",IF($A402="Prepago",0,IF($H402*$U$6&gt;SUM($T$11:$T401)+$U$6,$U$6*2,$U$6)),"")</f>
        <v/>
      </c>
      <c r="U402" s="3" t="str">
        <f>IF($L402&lt;&gt;"",IF($A402="Prepago",0,IF(ROUND($H402*$U$7,2)&gt;ROUND(SUM($U$11:$U401)+$U$7,2),$U$7*2,$U$7)),"")</f>
        <v/>
      </c>
      <c r="V402" s="3" t="str">
        <f>IF($L402&lt;&gt;"",IF($A402="Prepago",0,IF($H402*$U$8&gt;SUM($V$11:$V401)+$U$8,$U$8*2,$U$8)),"")</f>
        <v/>
      </c>
      <c r="W402" s="3" t="str">
        <f t="shared" si="121"/>
        <v/>
      </c>
      <c r="X402" s="3" t="str">
        <f t="shared" si="133"/>
        <v/>
      </c>
      <c r="Y402" s="3" t="str">
        <f t="shared" si="135"/>
        <v/>
      </c>
      <c r="Z402" s="3" t="str">
        <f t="shared" si="134"/>
        <v/>
      </c>
      <c r="AA402" s="3" t="str">
        <f>IF($L402&lt;&gt;"",IF($N402&gt;Z$11,IF($N402&lt;AA$11,$N402-Z$11,30),0)*ROUND(($O402+$X401+SUM($Z402:Z402))*$V$5/3000,2),"")</f>
        <v/>
      </c>
    </row>
    <row r="403" spans="5:27" x14ac:dyDescent="0.3">
      <c r="E403" s="5"/>
      <c r="F403" t="str">
        <f t="shared" si="124"/>
        <v/>
      </c>
      <c r="G403" s="5" t="str">
        <f t="shared" si="122"/>
        <v/>
      </c>
      <c r="H403" t="str">
        <f t="shared" si="125"/>
        <v/>
      </c>
      <c r="I403" t="str">
        <f t="shared" si="126"/>
        <v/>
      </c>
      <c r="J403" t="str">
        <f t="shared" si="127"/>
        <v/>
      </c>
      <c r="K403" t="str">
        <f t="shared" si="128"/>
        <v/>
      </c>
      <c r="L403" t="str">
        <f t="shared" si="119"/>
        <v/>
      </c>
      <c r="M403" s="5" t="str">
        <f t="shared" si="123"/>
        <v/>
      </c>
      <c r="N403" s="7" t="str">
        <f t="shared" si="120"/>
        <v/>
      </c>
      <c r="O403" s="3" t="str">
        <f t="shared" si="129"/>
        <v/>
      </c>
      <c r="P403" s="3" t="str">
        <f t="shared" si="130"/>
        <v/>
      </c>
      <c r="Q403" s="3" t="str">
        <f t="shared" si="131"/>
        <v/>
      </c>
      <c r="R403" s="3" t="str">
        <f t="shared" si="132"/>
        <v/>
      </c>
      <c r="S403" s="3" t="str">
        <f>IF($L403&lt;&gt;"",IF($A403="Prepago",0,IF($H403*$U$5&gt;SUM($S$11:$S402)+$U$5,$U$5*2,$U$5)),"")</f>
        <v/>
      </c>
      <c r="T403" s="3" t="str">
        <f>IF($L403&lt;&gt;"",IF($A403="Prepago",0,IF($H403*$U$6&gt;SUM($T$11:$T402)+$U$6,$U$6*2,$U$6)),"")</f>
        <v/>
      </c>
      <c r="U403" s="3" t="str">
        <f>IF($L403&lt;&gt;"",IF($A403="Prepago",0,IF(ROUND($H403*$U$7,2)&gt;ROUND(SUM($U$11:$U402)+$U$7,2),$U$7*2,$U$7)),"")</f>
        <v/>
      </c>
      <c r="V403" s="3" t="str">
        <f>IF($L403&lt;&gt;"",IF($A403="Prepago",0,IF($H403*$U$8&gt;SUM($V$11:$V402)+$U$8,$U$8*2,$U$8)),"")</f>
        <v/>
      </c>
      <c r="W403" s="3" t="str">
        <f t="shared" si="121"/>
        <v/>
      </c>
      <c r="X403" s="3" t="str">
        <f t="shared" si="133"/>
        <v/>
      </c>
      <c r="Y403" s="3" t="str">
        <f t="shared" si="135"/>
        <v/>
      </c>
      <c r="Z403" s="3" t="str">
        <f t="shared" si="134"/>
        <v/>
      </c>
      <c r="AA403" s="3" t="str">
        <f>IF($L403&lt;&gt;"",IF($N403&gt;Z$11,IF($N403&lt;AA$11,$N403-Z$11,30),0)*ROUND(($O403+$X402+SUM($Z403:Z403))*$V$5/3000,2),"")</f>
        <v/>
      </c>
    </row>
    <row r="404" spans="5:27" x14ac:dyDescent="0.3">
      <c r="E404" s="5"/>
      <c r="F404" t="str">
        <f t="shared" si="124"/>
        <v/>
      </c>
      <c r="G404" s="5" t="str">
        <f t="shared" si="122"/>
        <v/>
      </c>
      <c r="H404" t="str">
        <f t="shared" si="125"/>
        <v/>
      </c>
      <c r="I404" t="str">
        <f t="shared" si="126"/>
        <v/>
      </c>
      <c r="J404" t="str">
        <f t="shared" si="127"/>
        <v/>
      </c>
      <c r="K404" t="str">
        <f t="shared" si="128"/>
        <v/>
      </c>
      <c r="L404" t="str">
        <f t="shared" si="119"/>
        <v/>
      </c>
      <c r="M404" s="5" t="str">
        <f t="shared" si="123"/>
        <v/>
      </c>
      <c r="N404" s="7" t="str">
        <f t="shared" si="120"/>
        <v/>
      </c>
      <c r="O404" s="3" t="str">
        <f t="shared" si="129"/>
        <v/>
      </c>
      <c r="P404" s="3" t="str">
        <f t="shared" si="130"/>
        <v/>
      </c>
      <c r="Q404" s="3" t="str">
        <f t="shared" si="131"/>
        <v/>
      </c>
      <c r="R404" s="3" t="str">
        <f t="shared" si="132"/>
        <v/>
      </c>
      <c r="S404" s="3" t="str">
        <f>IF($L404&lt;&gt;"",IF($A404="Prepago",0,IF($H404*$U$5&gt;SUM($S$11:$S403)+$U$5,$U$5*2,$U$5)),"")</f>
        <v/>
      </c>
      <c r="T404" s="3" t="str">
        <f>IF($L404&lt;&gt;"",IF($A404="Prepago",0,IF($H404*$U$6&gt;SUM($T$11:$T403)+$U$6,$U$6*2,$U$6)),"")</f>
        <v/>
      </c>
      <c r="U404" s="3" t="str">
        <f>IF($L404&lt;&gt;"",IF($A404="Prepago",0,IF(ROUND($H404*$U$7,2)&gt;ROUND(SUM($U$11:$U403)+$U$7,2),$U$7*2,$U$7)),"")</f>
        <v/>
      </c>
      <c r="V404" s="3" t="str">
        <f>IF($L404&lt;&gt;"",IF($A404="Prepago",0,IF($H404*$U$8&gt;SUM($V$11:$V403)+$U$8,$U$8*2,$U$8)),"")</f>
        <v/>
      </c>
      <c r="W404" s="3" t="str">
        <f t="shared" si="121"/>
        <v/>
      </c>
      <c r="X404" s="3" t="str">
        <f t="shared" si="133"/>
        <v/>
      </c>
      <c r="Y404" s="3" t="str">
        <f t="shared" si="135"/>
        <v/>
      </c>
      <c r="Z404" s="3" t="str">
        <f t="shared" si="134"/>
        <v/>
      </c>
      <c r="AA404" s="3" t="str">
        <f>IF($L404&lt;&gt;"",IF($N404&gt;Z$11,IF($N404&lt;AA$11,$N404-Z$11,30),0)*ROUND(($O404+$X403+SUM($Z404:Z404))*$V$5/3000,2),"")</f>
        <v/>
      </c>
    </row>
    <row r="405" spans="5:27" x14ac:dyDescent="0.3">
      <c r="E405" s="5"/>
      <c r="F405" t="str">
        <f t="shared" si="124"/>
        <v/>
      </c>
      <c r="G405" s="5" t="str">
        <f t="shared" si="122"/>
        <v/>
      </c>
      <c r="H405" t="str">
        <f t="shared" si="125"/>
        <v/>
      </c>
      <c r="I405" t="str">
        <f t="shared" si="126"/>
        <v/>
      </c>
      <c r="J405" t="str">
        <f t="shared" si="127"/>
        <v/>
      </c>
      <c r="K405" t="str">
        <f t="shared" si="128"/>
        <v/>
      </c>
      <c r="L405" t="str">
        <f t="shared" si="119"/>
        <v/>
      </c>
      <c r="M405" s="5" t="str">
        <f t="shared" si="123"/>
        <v/>
      </c>
      <c r="N405" s="7" t="str">
        <f t="shared" si="120"/>
        <v/>
      </c>
      <c r="O405" s="3" t="str">
        <f t="shared" si="129"/>
        <v/>
      </c>
      <c r="P405" s="3" t="str">
        <f t="shared" si="130"/>
        <v/>
      </c>
      <c r="Q405" s="3" t="str">
        <f t="shared" si="131"/>
        <v/>
      </c>
      <c r="R405" s="3" t="str">
        <f t="shared" si="132"/>
        <v/>
      </c>
      <c r="S405" s="3" t="str">
        <f>IF($L405&lt;&gt;"",IF($A405="Prepago",0,IF($H405*$U$5&gt;SUM($S$11:$S404)+$U$5,$U$5*2,$U$5)),"")</f>
        <v/>
      </c>
      <c r="T405" s="3" t="str">
        <f>IF($L405&lt;&gt;"",IF($A405="Prepago",0,IF($H405*$U$6&gt;SUM($T$11:$T404)+$U$6,$U$6*2,$U$6)),"")</f>
        <v/>
      </c>
      <c r="U405" s="3" t="str">
        <f>IF($L405&lt;&gt;"",IF($A405="Prepago",0,IF(ROUND($H405*$U$7,2)&gt;ROUND(SUM($U$11:$U404)+$U$7,2),$U$7*2,$U$7)),"")</f>
        <v/>
      </c>
      <c r="V405" s="3" t="str">
        <f>IF($L405&lt;&gt;"",IF($A405="Prepago",0,IF($H405*$U$8&gt;SUM($V$11:$V404)+$U$8,$U$8*2,$U$8)),"")</f>
        <v/>
      </c>
      <c r="W405" s="3" t="str">
        <f t="shared" si="121"/>
        <v/>
      </c>
      <c r="X405" s="3" t="str">
        <f t="shared" si="133"/>
        <v/>
      </c>
      <c r="Y405" s="3" t="str">
        <f t="shared" si="135"/>
        <v/>
      </c>
      <c r="Z405" s="3" t="str">
        <f t="shared" si="134"/>
        <v/>
      </c>
      <c r="AA405" s="3" t="str">
        <f>IF($L405&lt;&gt;"",IF($N405&gt;Z$11,IF($N405&lt;AA$11,$N405-Z$11,30),0)*ROUND(($O405+$X404+SUM($Z405:Z405))*$V$5/3000,2),"")</f>
        <v/>
      </c>
    </row>
    <row r="406" spans="5:27" x14ac:dyDescent="0.3">
      <c r="E406" s="5"/>
      <c r="F406" t="str">
        <f t="shared" si="124"/>
        <v/>
      </c>
      <c r="G406" s="5" t="str">
        <f t="shared" si="122"/>
        <v/>
      </c>
      <c r="H406" t="str">
        <f t="shared" si="125"/>
        <v/>
      </c>
      <c r="I406" t="str">
        <f t="shared" si="126"/>
        <v/>
      </c>
      <c r="J406" t="str">
        <f t="shared" si="127"/>
        <v/>
      </c>
      <c r="K406" t="str">
        <f t="shared" si="128"/>
        <v/>
      </c>
      <c r="L406" t="str">
        <f t="shared" si="119"/>
        <v/>
      </c>
      <c r="M406" s="5" t="str">
        <f t="shared" si="123"/>
        <v/>
      </c>
      <c r="N406" s="7" t="str">
        <f t="shared" si="120"/>
        <v/>
      </c>
      <c r="O406" s="3" t="str">
        <f t="shared" si="129"/>
        <v/>
      </c>
      <c r="P406" s="3" t="str">
        <f t="shared" si="130"/>
        <v/>
      </c>
      <c r="Q406" s="3" t="str">
        <f t="shared" si="131"/>
        <v/>
      </c>
      <c r="R406" s="3" t="str">
        <f t="shared" si="132"/>
        <v/>
      </c>
      <c r="S406" s="3" t="str">
        <f>IF($L406&lt;&gt;"",IF($A406="Prepago",0,IF($H406*$U$5&gt;SUM($S$11:$S405)+$U$5,$U$5*2,$U$5)),"")</f>
        <v/>
      </c>
      <c r="T406" s="3" t="str">
        <f>IF($L406&lt;&gt;"",IF($A406="Prepago",0,IF($H406*$U$6&gt;SUM($T$11:$T405)+$U$6,$U$6*2,$U$6)),"")</f>
        <v/>
      </c>
      <c r="U406" s="3" t="str">
        <f>IF($L406&lt;&gt;"",IF($A406="Prepago",0,IF(ROUND($H406*$U$7,2)&gt;ROUND(SUM($U$11:$U405)+$U$7,2),$U$7*2,$U$7)),"")</f>
        <v/>
      </c>
      <c r="V406" s="3" t="str">
        <f>IF($L406&lt;&gt;"",IF($A406="Prepago",0,IF($H406*$U$8&gt;SUM($V$11:$V405)+$U$8,$U$8*2,$U$8)),"")</f>
        <v/>
      </c>
      <c r="W406" s="3" t="str">
        <f t="shared" si="121"/>
        <v/>
      </c>
      <c r="X406" s="3" t="str">
        <f t="shared" si="133"/>
        <v/>
      </c>
      <c r="Y406" s="3" t="str">
        <f t="shared" si="135"/>
        <v/>
      </c>
      <c r="Z406" s="3" t="str">
        <f t="shared" si="134"/>
        <v/>
      </c>
      <c r="AA406" s="3" t="str">
        <f>IF($L406&lt;&gt;"",IF($N406&gt;Z$11,IF($N406&lt;AA$11,$N406-Z$11,30),0)*ROUND(($O406+$X405+SUM($Z406:Z406))*$V$5/3000,2),"")</f>
        <v/>
      </c>
    </row>
    <row r="407" spans="5:27" x14ac:dyDescent="0.3">
      <c r="E407" s="5"/>
      <c r="F407" t="str">
        <f t="shared" si="124"/>
        <v/>
      </c>
      <c r="G407" s="5" t="str">
        <f t="shared" si="122"/>
        <v/>
      </c>
      <c r="H407" t="str">
        <f t="shared" si="125"/>
        <v/>
      </c>
      <c r="I407" t="str">
        <f t="shared" si="126"/>
        <v/>
      </c>
      <c r="J407" t="str">
        <f t="shared" si="127"/>
        <v/>
      </c>
      <c r="K407" t="str">
        <f t="shared" si="128"/>
        <v/>
      </c>
      <c r="L407" t="str">
        <f t="shared" si="119"/>
        <v/>
      </c>
      <c r="M407" s="5" t="str">
        <f t="shared" si="123"/>
        <v/>
      </c>
      <c r="N407" s="7" t="str">
        <f t="shared" si="120"/>
        <v/>
      </c>
      <c r="O407" s="3" t="str">
        <f t="shared" si="129"/>
        <v/>
      </c>
      <c r="P407" s="3" t="str">
        <f t="shared" si="130"/>
        <v/>
      </c>
      <c r="Q407" s="3" t="str">
        <f t="shared" si="131"/>
        <v/>
      </c>
      <c r="R407" s="3" t="str">
        <f t="shared" si="132"/>
        <v/>
      </c>
      <c r="S407" s="3" t="str">
        <f>IF($L407&lt;&gt;"",IF($A407="Prepago",0,IF($H407*$U$5&gt;SUM($S$11:$S406)+$U$5,$U$5*2,$U$5)),"")</f>
        <v/>
      </c>
      <c r="T407" s="3" t="str">
        <f>IF($L407&lt;&gt;"",IF($A407="Prepago",0,IF($H407*$U$6&gt;SUM($T$11:$T406)+$U$6,$U$6*2,$U$6)),"")</f>
        <v/>
      </c>
      <c r="U407" s="3" t="str">
        <f>IF($L407&lt;&gt;"",IF($A407="Prepago",0,IF(ROUND($H407*$U$7,2)&gt;ROUND(SUM($U$11:$U406)+$U$7,2),$U$7*2,$U$7)),"")</f>
        <v/>
      </c>
      <c r="V407" s="3" t="str">
        <f>IF($L407&lt;&gt;"",IF($A407="Prepago",0,IF($H407*$U$8&gt;SUM($V$11:$V406)+$U$8,$U$8*2,$U$8)),"")</f>
        <v/>
      </c>
      <c r="W407" s="3" t="str">
        <f t="shared" si="121"/>
        <v/>
      </c>
      <c r="X407" s="3" t="str">
        <f t="shared" si="133"/>
        <v/>
      </c>
      <c r="Y407" s="3" t="str">
        <f t="shared" si="135"/>
        <v/>
      </c>
      <c r="Z407" s="3" t="str">
        <f t="shared" si="134"/>
        <v/>
      </c>
      <c r="AA407" s="3" t="str">
        <f>IF($L407&lt;&gt;"",IF($N407&gt;Z$11,IF($N407&lt;AA$11,$N407-Z$11,30),0)*ROUND(($O407+$X406+SUM($Z407:Z407))*$V$5/3000,2),"")</f>
        <v/>
      </c>
    </row>
    <row r="408" spans="5:27" x14ac:dyDescent="0.3">
      <c r="E408" s="5"/>
      <c r="F408" t="str">
        <f t="shared" si="124"/>
        <v/>
      </c>
      <c r="G408" s="5" t="str">
        <f t="shared" si="122"/>
        <v/>
      </c>
      <c r="H408" t="str">
        <f t="shared" si="125"/>
        <v/>
      </c>
      <c r="I408" t="str">
        <f t="shared" si="126"/>
        <v/>
      </c>
      <c r="J408" t="str">
        <f t="shared" si="127"/>
        <v/>
      </c>
      <c r="K408" t="str">
        <f t="shared" si="128"/>
        <v/>
      </c>
      <c r="L408" t="str">
        <f t="shared" si="119"/>
        <v/>
      </c>
      <c r="M408" s="5" t="str">
        <f t="shared" si="123"/>
        <v/>
      </c>
      <c r="N408" s="7" t="str">
        <f t="shared" si="120"/>
        <v/>
      </c>
      <c r="O408" s="3" t="str">
        <f t="shared" si="129"/>
        <v/>
      </c>
      <c r="P408" s="3" t="str">
        <f t="shared" si="130"/>
        <v/>
      </c>
      <c r="Q408" s="3" t="str">
        <f t="shared" si="131"/>
        <v/>
      </c>
      <c r="R408" s="3" t="str">
        <f t="shared" si="132"/>
        <v/>
      </c>
      <c r="S408" s="3" t="str">
        <f>IF($L408&lt;&gt;"",IF($A408="Prepago",0,IF($H408*$U$5&gt;SUM($S$11:$S407)+$U$5,$U$5*2,$U$5)),"")</f>
        <v/>
      </c>
      <c r="T408" s="3" t="str">
        <f>IF($L408&lt;&gt;"",IF($A408="Prepago",0,IF($H408*$U$6&gt;SUM($T$11:$T407)+$U$6,$U$6*2,$U$6)),"")</f>
        <v/>
      </c>
      <c r="U408" s="3" t="str">
        <f>IF($L408&lt;&gt;"",IF($A408="Prepago",0,IF(ROUND($H408*$U$7,2)&gt;ROUND(SUM($U$11:$U407)+$U$7,2),$U$7*2,$U$7)),"")</f>
        <v/>
      </c>
      <c r="V408" s="3" t="str">
        <f>IF($L408&lt;&gt;"",IF($A408="Prepago",0,IF($H408*$U$8&gt;SUM($V$11:$V407)+$U$8,$U$8*2,$U$8)),"")</f>
        <v/>
      </c>
      <c r="W408" s="3" t="str">
        <f t="shared" si="121"/>
        <v/>
      </c>
      <c r="X408" s="3" t="str">
        <f t="shared" si="133"/>
        <v/>
      </c>
      <c r="Y408" s="3" t="str">
        <f t="shared" si="135"/>
        <v/>
      </c>
      <c r="Z408" s="3" t="str">
        <f t="shared" si="134"/>
        <v/>
      </c>
      <c r="AA408" s="3" t="str">
        <f>IF($L408&lt;&gt;"",IF($N408&gt;Z$11,IF($N408&lt;AA$11,$N408-Z$11,30),0)*ROUND(($O408+$X407+SUM($Z408:Z408))*$V$5/3000,2),"")</f>
        <v/>
      </c>
    </row>
    <row r="409" spans="5:27" x14ac:dyDescent="0.3">
      <c r="E409" s="5"/>
      <c r="F409" t="str">
        <f t="shared" si="124"/>
        <v/>
      </c>
      <c r="G409" s="5" t="str">
        <f t="shared" si="122"/>
        <v/>
      </c>
      <c r="H409" t="str">
        <f t="shared" si="125"/>
        <v/>
      </c>
      <c r="I409" t="str">
        <f t="shared" si="126"/>
        <v/>
      </c>
      <c r="J409" t="str">
        <f t="shared" si="127"/>
        <v/>
      </c>
      <c r="K409" t="str">
        <f t="shared" si="128"/>
        <v/>
      </c>
      <c r="L409" t="str">
        <f t="shared" si="119"/>
        <v/>
      </c>
      <c r="M409" s="5" t="str">
        <f t="shared" si="123"/>
        <v/>
      </c>
      <c r="N409" s="7" t="str">
        <f t="shared" si="120"/>
        <v/>
      </c>
      <c r="O409" s="3" t="str">
        <f t="shared" si="129"/>
        <v/>
      </c>
      <c r="P409" s="3" t="str">
        <f t="shared" si="130"/>
        <v/>
      </c>
      <c r="Q409" s="3" t="str">
        <f t="shared" si="131"/>
        <v/>
      </c>
      <c r="R409" s="3" t="str">
        <f t="shared" si="132"/>
        <v/>
      </c>
      <c r="S409" s="3" t="str">
        <f>IF($L409&lt;&gt;"",IF($A409="Prepago",0,IF($H409*$U$5&gt;SUM($S$11:$S408)+$U$5,$U$5*2,$U$5)),"")</f>
        <v/>
      </c>
      <c r="T409" s="3" t="str">
        <f>IF($L409&lt;&gt;"",IF($A409="Prepago",0,IF($H409*$U$6&gt;SUM($T$11:$T408)+$U$6,$U$6*2,$U$6)),"")</f>
        <v/>
      </c>
      <c r="U409" s="3" t="str">
        <f>IF($L409&lt;&gt;"",IF($A409="Prepago",0,IF(ROUND($H409*$U$7,2)&gt;ROUND(SUM($U$11:$U408)+$U$7,2),$U$7*2,$U$7)),"")</f>
        <v/>
      </c>
      <c r="V409" s="3" t="str">
        <f>IF($L409&lt;&gt;"",IF($A409="Prepago",0,IF($H409*$U$8&gt;SUM($V$11:$V408)+$U$8,$U$8*2,$U$8)),"")</f>
        <v/>
      </c>
      <c r="W409" s="3" t="str">
        <f t="shared" si="121"/>
        <v/>
      </c>
      <c r="X409" s="3" t="str">
        <f t="shared" si="133"/>
        <v/>
      </c>
      <c r="Y409" s="3" t="str">
        <f t="shared" si="135"/>
        <v/>
      </c>
      <c r="Z409" s="3" t="str">
        <f t="shared" si="134"/>
        <v/>
      </c>
      <c r="AA409" s="3" t="str">
        <f>IF($L409&lt;&gt;"",IF($N409&gt;Z$11,IF($N409&lt;AA$11,$N409-Z$11,30),0)*ROUND(($O409+$X408+SUM($Z409:Z409))*$V$5/3000,2),"")</f>
        <v/>
      </c>
    </row>
    <row r="410" spans="5:27" x14ac:dyDescent="0.3">
      <c r="E410" s="5"/>
      <c r="F410" t="str">
        <f t="shared" si="124"/>
        <v/>
      </c>
      <c r="G410" s="5" t="str">
        <f t="shared" si="122"/>
        <v/>
      </c>
      <c r="H410" t="str">
        <f t="shared" si="125"/>
        <v/>
      </c>
      <c r="I410" t="str">
        <f t="shared" si="126"/>
        <v/>
      </c>
      <c r="J410" t="str">
        <f t="shared" si="127"/>
        <v/>
      </c>
      <c r="K410" t="str">
        <f t="shared" si="128"/>
        <v/>
      </c>
      <c r="L410" t="str">
        <f t="shared" si="119"/>
        <v/>
      </c>
      <c r="M410" s="5" t="str">
        <f t="shared" si="123"/>
        <v/>
      </c>
      <c r="N410" s="7" t="str">
        <f t="shared" si="120"/>
        <v/>
      </c>
      <c r="O410" s="3" t="str">
        <f t="shared" si="129"/>
        <v/>
      </c>
      <c r="P410" s="3" t="str">
        <f t="shared" si="130"/>
        <v/>
      </c>
      <c r="Q410" s="3" t="str">
        <f t="shared" si="131"/>
        <v/>
      </c>
      <c r="R410" s="3" t="str">
        <f t="shared" si="132"/>
        <v/>
      </c>
      <c r="S410" s="3" t="str">
        <f>IF($L410&lt;&gt;"",IF($A410="Prepago",0,IF($H410*$U$5&gt;SUM($S$11:$S409)+$U$5,$U$5*2,$U$5)),"")</f>
        <v/>
      </c>
      <c r="T410" s="3" t="str">
        <f>IF($L410&lt;&gt;"",IF($A410="Prepago",0,IF($H410*$U$6&gt;SUM($T$11:$T409)+$U$6,$U$6*2,$U$6)),"")</f>
        <v/>
      </c>
      <c r="U410" s="3" t="str">
        <f>IF($L410&lt;&gt;"",IF($A410="Prepago",0,IF(ROUND($H410*$U$7,2)&gt;ROUND(SUM($U$11:$U409)+$U$7,2),$U$7*2,$U$7)),"")</f>
        <v/>
      </c>
      <c r="V410" s="3" t="str">
        <f>IF($L410&lt;&gt;"",IF($A410="Prepago",0,IF($H410*$U$8&gt;SUM($V$11:$V409)+$U$8,$U$8*2,$U$8)),"")</f>
        <v/>
      </c>
      <c r="W410" s="3" t="str">
        <f t="shared" si="121"/>
        <v/>
      </c>
      <c r="X410" s="3" t="str">
        <f t="shared" si="133"/>
        <v/>
      </c>
      <c r="Y410" s="3" t="str">
        <f t="shared" si="135"/>
        <v/>
      </c>
      <c r="Z410" s="3" t="str">
        <f t="shared" si="134"/>
        <v/>
      </c>
      <c r="AA410" s="3" t="str">
        <f>IF($L410&lt;&gt;"",IF($N410&gt;Z$11,IF($N410&lt;AA$11,$N410-Z$11,30),0)*ROUND(($O410+$X409+SUM($Z410:Z410))*$V$5/3000,2),"")</f>
        <v/>
      </c>
    </row>
    <row r="411" spans="5:27" x14ac:dyDescent="0.3">
      <c r="E411" s="5"/>
      <c r="F411" t="str">
        <f t="shared" si="124"/>
        <v/>
      </c>
      <c r="G411" s="5" t="str">
        <f t="shared" si="122"/>
        <v/>
      </c>
      <c r="H411" t="str">
        <f t="shared" si="125"/>
        <v/>
      </c>
      <c r="I411" t="str">
        <f t="shared" si="126"/>
        <v/>
      </c>
      <c r="J411" t="str">
        <f t="shared" si="127"/>
        <v/>
      </c>
      <c r="K411" t="str">
        <f t="shared" si="128"/>
        <v/>
      </c>
      <c r="L411" t="str">
        <f t="shared" si="119"/>
        <v/>
      </c>
      <c r="M411" s="5" t="str">
        <f t="shared" si="123"/>
        <v/>
      </c>
      <c r="N411" s="7" t="str">
        <f t="shared" si="120"/>
        <v/>
      </c>
      <c r="O411" s="3" t="str">
        <f t="shared" si="129"/>
        <v/>
      </c>
      <c r="P411" s="3" t="str">
        <f t="shared" si="130"/>
        <v/>
      </c>
      <c r="Q411" s="3" t="str">
        <f t="shared" si="131"/>
        <v/>
      </c>
      <c r="R411" s="3" t="str">
        <f t="shared" si="132"/>
        <v/>
      </c>
      <c r="S411" s="3" t="str">
        <f>IF($L411&lt;&gt;"",IF($A411="Prepago",0,IF($H411*$U$5&gt;SUM($S$11:$S410)+$U$5,$U$5*2,$U$5)),"")</f>
        <v/>
      </c>
      <c r="T411" s="3" t="str">
        <f>IF($L411&lt;&gt;"",IF($A411="Prepago",0,IF($H411*$U$6&gt;SUM($T$11:$T410)+$U$6,$U$6*2,$U$6)),"")</f>
        <v/>
      </c>
      <c r="U411" s="3" t="str">
        <f>IF($L411&lt;&gt;"",IF($A411="Prepago",0,IF(ROUND($H411*$U$7,2)&gt;ROUND(SUM($U$11:$U410)+$U$7,2),$U$7*2,$U$7)),"")</f>
        <v/>
      </c>
      <c r="V411" s="3" t="str">
        <f>IF($L411&lt;&gt;"",IF($A411="Prepago",0,IF($H411*$U$8&gt;SUM($V$11:$V410)+$U$8,$U$8*2,$U$8)),"")</f>
        <v/>
      </c>
      <c r="W411" s="3" t="str">
        <f t="shared" si="121"/>
        <v/>
      </c>
      <c r="X411" s="3" t="str">
        <f t="shared" si="133"/>
        <v/>
      </c>
      <c r="Y411" s="3" t="str">
        <f t="shared" si="135"/>
        <v/>
      </c>
      <c r="Z411" s="3" t="str">
        <f t="shared" si="134"/>
        <v/>
      </c>
      <c r="AA411" s="3" t="str">
        <f>IF($L411&lt;&gt;"",IF($N411&gt;Z$11,IF($N411&lt;AA$11,$N411-Z$11,30),0)*ROUND(($O411+$X410+SUM($Z411:Z411))*$V$5/3000,2),"")</f>
        <v/>
      </c>
    </row>
    <row r="412" spans="5:27" x14ac:dyDescent="0.3">
      <c r="E412" s="5"/>
      <c r="F412" t="str">
        <f t="shared" si="124"/>
        <v/>
      </c>
      <c r="G412" s="5" t="str">
        <f t="shared" si="122"/>
        <v/>
      </c>
      <c r="H412" t="str">
        <f t="shared" si="125"/>
        <v/>
      </c>
      <c r="I412" t="str">
        <f t="shared" si="126"/>
        <v/>
      </c>
      <c r="J412" t="str">
        <f t="shared" si="127"/>
        <v/>
      </c>
      <c r="K412" t="str">
        <f t="shared" si="128"/>
        <v/>
      </c>
      <c r="L412" t="str">
        <f t="shared" si="119"/>
        <v/>
      </c>
      <c r="M412" s="5" t="str">
        <f t="shared" si="123"/>
        <v/>
      </c>
      <c r="N412" s="7" t="str">
        <f t="shared" si="120"/>
        <v/>
      </c>
      <c r="O412" s="3" t="str">
        <f t="shared" si="129"/>
        <v/>
      </c>
      <c r="P412" s="3" t="str">
        <f t="shared" si="130"/>
        <v/>
      </c>
      <c r="Q412" s="3" t="str">
        <f t="shared" si="131"/>
        <v/>
      </c>
      <c r="R412" s="3" t="str">
        <f t="shared" si="132"/>
        <v/>
      </c>
      <c r="S412" s="3" t="str">
        <f>IF($L412&lt;&gt;"",IF($A412="Prepago",0,IF($H412*$U$5&gt;SUM($S$11:$S411)+$U$5,$U$5*2,$U$5)),"")</f>
        <v/>
      </c>
      <c r="T412" s="3" t="str">
        <f>IF($L412&lt;&gt;"",IF($A412="Prepago",0,IF($H412*$U$6&gt;SUM($T$11:$T411)+$U$6,$U$6*2,$U$6)),"")</f>
        <v/>
      </c>
      <c r="U412" s="3" t="str">
        <f>IF($L412&lt;&gt;"",IF($A412="Prepago",0,IF(ROUND($H412*$U$7,2)&gt;ROUND(SUM($U$11:$U411)+$U$7,2),$U$7*2,$U$7)),"")</f>
        <v/>
      </c>
      <c r="V412" s="3" t="str">
        <f>IF($L412&lt;&gt;"",IF($A412="Prepago",0,IF($H412*$U$8&gt;SUM($V$11:$V411)+$U$8,$U$8*2,$U$8)),"")</f>
        <v/>
      </c>
      <c r="W412" s="3" t="str">
        <f t="shared" si="121"/>
        <v/>
      </c>
      <c r="X412" s="3" t="str">
        <f t="shared" si="133"/>
        <v/>
      </c>
      <c r="Y412" s="3" t="str">
        <f t="shared" si="135"/>
        <v/>
      </c>
      <c r="Z412" s="3" t="str">
        <f t="shared" si="134"/>
        <v/>
      </c>
      <c r="AA412" s="3" t="str">
        <f>IF($L412&lt;&gt;"",IF($N412&gt;Z$11,IF($N412&lt;AA$11,$N412-Z$11,30),0)*ROUND(($O412+$X411+SUM($Z412:Z412))*$V$5/3000,2),"")</f>
        <v/>
      </c>
    </row>
    <row r="413" spans="5:27" x14ac:dyDescent="0.3">
      <c r="E413" s="5"/>
      <c r="F413" t="str">
        <f t="shared" si="124"/>
        <v/>
      </c>
      <c r="G413" s="5" t="str">
        <f t="shared" si="122"/>
        <v/>
      </c>
      <c r="H413" t="str">
        <f t="shared" si="125"/>
        <v/>
      </c>
      <c r="I413" t="str">
        <f t="shared" si="126"/>
        <v/>
      </c>
      <c r="J413" t="str">
        <f t="shared" si="127"/>
        <v/>
      </c>
      <c r="K413" t="str">
        <f t="shared" si="128"/>
        <v/>
      </c>
      <c r="L413" t="str">
        <f t="shared" si="119"/>
        <v/>
      </c>
      <c r="M413" s="5" t="str">
        <f t="shared" si="123"/>
        <v/>
      </c>
      <c r="N413" s="7" t="str">
        <f t="shared" si="120"/>
        <v/>
      </c>
      <c r="O413" s="3" t="str">
        <f t="shared" si="129"/>
        <v/>
      </c>
      <c r="P413" s="3" t="str">
        <f t="shared" si="130"/>
        <v/>
      </c>
      <c r="Q413" s="3" t="str">
        <f t="shared" si="131"/>
        <v/>
      </c>
      <c r="R413" s="3" t="str">
        <f t="shared" si="132"/>
        <v/>
      </c>
      <c r="S413" s="3" t="str">
        <f>IF($L413&lt;&gt;"",IF($A413="Prepago",0,IF($H413*$U$5&gt;SUM($S$11:$S412)+$U$5,$U$5*2,$U$5)),"")</f>
        <v/>
      </c>
      <c r="T413" s="3" t="str">
        <f>IF($L413&lt;&gt;"",IF($A413="Prepago",0,IF($H413*$U$6&gt;SUM($T$11:$T412)+$U$6,$U$6*2,$U$6)),"")</f>
        <v/>
      </c>
      <c r="U413" s="3" t="str">
        <f>IF($L413&lt;&gt;"",IF($A413="Prepago",0,IF(ROUND($H413*$U$7,2)&gt;ROUND(SUM($U$11:$U412)+$U$7,2),$U$7*2,$U$7)),"")</f>
        <v/>
      </c>
      <c r="V413" s="3" t="str">
        <f>IF($L413&lt;&gt;"",IF($A413="Prepago",0,IF($H413*$U$8&gt;SUM($V$11:$V412)+$U$8,$U$8*2,$U$8)),"")</f>
        <v/>
      </c>
      <c r="W413" s="3" t="str">
        <f t="shared" si="121"/>
        <v/>
      </c>
      <c r="X413" s="3" t="str">
        <f t="shared" si="133"/>
        <v/>
      </c>
      <c r="Y413" s="3" t="str">
        <f t="shared" si="135"/>
        <v/>
      </c>
      <c r="Z413" s="3" t="str">
        <f t="shared" si="134"/>
        <v/>
      </c>
      <c r="AA413" s="3" t="str">
        <f>IF($L413&lt;&gt;"",IF($N413&gt;Z$11,IF($N413&lt;AA$11,$N413-Z$11,30),0)*ROUND(($O413+$X412+SUM($Z413:Z413))*$V$5/3000,2),"")</f>
        <v/>
      </c>
    </row>
    <row r="414" spans="5:27" x14ac:dyDescent="0.3">
      <c r="E414" s="5"/>
      <c r="F414" t="str">
        <f t="shared" si="124"/>
        <v/>
      </c>
      <c r="G414" s="5" t="str">
        <f t="shared" si="122"/>
        <v/>
      </c>
      <c r="H414" t="str">
        <f t="shared" si="125"/>
        <v/>
      </c>
      <c r="I414" t="str">
        <f t="shared" si="126"/>
        <v/>
      </c>
      <c r="J414" t="str">
        <f t="shared" si="127"/>
        <v/>
      </c>
      <c r="K414" t="str">
        <f t="shared" si="128"/>
        <v/>
      </c>
      <c r="L414" t="str">
        <f t="shared" si="119"/>
        <v/>
      </c>
      <c r="M414" s="5" t="str">
        <f t="shared" si="123"/>
        <v/>
      </c>
      <c r="N414" s="7" t="str">
        <f t="shared" si="120"/>
        <v/>
      </c>
      <c r="O414" s="3" t="str">
        <f t="shared" si="129"/>
        <v/>
      </c>
      <c r="P414" s="3" t="str">
        <f t="shared" si="130"/>
        <v/>
      </c>
      <c r="Q414" s="3" t="str">
        <f t="shared" si="131"/>
        <v/>
      </c>
      <c r="R414" s="3" t="str">
        <f t="shared" si="132"/>
        <v/>
      </c>
      <c r="S414" s="3" t="str">
        <f>IF($L414&lt;&gt;"",IF($A414="Prepago",0,IF($H414*$U$5&gt;SUM($S$11:$S413)+$U$5,$U$5*2,$U$5)),"")</f>
        <v/>
      </c>
      <c r="T414" s="3" t="str">
        <f>IF($L414&lt;&gt;"",IF($A414="Prepago",0,IF($H414*$U$6&gt;SUM($T$11:$T413)+$U$6,$U$6*2,$U$6)),"")</f>
        <v/>
      </c>
      <c r="U414" s="3" t="str">
        <f>IF($L414&lt;&gt;"",IF($A414="Prepago",0,IF(ROUND($H414*$U$7,2)&gt;ROUND(SUM($U$11:$U413)+$U$7,2),$U$7*2,$U$7)),"")</f>
        <v/>
      </c>
      <c r="V414" s="3" t="str">
        <f>IF($L414&lt;&gt;"",IF($A414="Prepago",0,IF($H414*$U$8&gt;SUM($V$11:$V413)+$U$8,$U$8*2,$U$8)),"")</f>
        <v/>
      </c>
      <c r="W414" s="3" t="str">
        <f t="shared" si="121"/>
        <v/>
      </c>
      <c r="X414" s="3" t="str">
        <f t="shared" si="133"/>
        <v/>
      </c>
      <c r="Y414" s="3" t="str">
        <f t="shared" si="135"/>
        <v/>
      </c>
      <c r="Z414" s="3" t="str">
        <f t="shared" si="134"/>
        <v/>
      </c>
      <c r="AA414" s="3" t="str">
        <f>IF($L414&lt;&gt;"",IF($N414&gt;Z$11,IF($N414&lt;AA$11,$N414-Z$11,30),0)*ROUND(($O414+$X413+SUM($Z414:Z414))*$V$5/3000,2),"")</f>
        <v/>
      </c>
    </row>
    <row r="415" spans="5:27" x14ac:dyDescent="0.3">
      <c r="E415" s="5"/>
      <c r="F415" t="str">
        <f t="shared" si="124"/>
        <v/>
      </c>
      <c r="G415" s="5" t="str">
        <f t="shared" si="122"/>
        <v/>
      </c>
      <c r="H415" t="str">
        <f t="shared" si="125"/>
        <v/>
      </c>
      <c r="I415" t="str">
        <f t="shared" si="126"/>
        <v/>
      </c>
      <c r="J415" t="str">
        <f t="shared" si="127"/>
        <v/>
      </c>
      <c r="K415" t="str">
        <f t="shared" si="128"/>
        <v/>
      </c>
      <c r="L415" t="str">
        <f t="shared" si="119"/>
        <v/>
      </c>
      <c r="M415" s="5" t="str">
        <f t="shared" si="123"/>
        <v/>
      </c>
      <c r="N415" s="7" t="str">
        <f t="shared" si="120"/>
        <v/>
      </c>
      <c r="O415" s="3" t="str">
        <f t="shared" si="129"/>
        <v/>
      </c>
      <c r="P415" s="3" t="str">
        <f t="shared" si="130"/>
        <v/>
      </c>
      <c r="Q415" s="3" t="str">
        <f t="shared" si="131"/>
        <v/>
      </c>
      <c r="R415" s="3" t="str">
        <f t="shared" si="132"/>
        <v/>
      </c>
      <c r="S415" s="3" t="str">
        <f>IF($L415&lt;&gt;"",IF($A415="Prepago",0,IF($H415*$U$5&gt;SUM($S$11:$S414)+$U$5,$U$5*2,$U$5)),"")</f>
        <v/>
      </c>
      <c r="T415" s="3" t="str">
        <f>IF($L415&lt;&gt;"",IF($A415="Prepago",0,IF($H415*$U$6&gt;SUM($T$11:$T414)+$U$6,$U$6*2,$U$6)),"")</f>
        <v/>
      </c>
      <c r="U415" s="3" t="str">
        <f>IF($L415&lt;&gt;"",IF($A415="Prepago",0,IF(ROUND($H415*$U$7,2)&gt;ROUND(SUM($U$11:$U414)+$U$7,2),$U$7*2,$U$7)),"")</f>
        <v/>
      </c>
      <c r="V415" s="3" t="str">
        <f>IF($L415&lt;&gt;"",IF($A415="Prepago",0,IF($H415*$U$8&gt;SUM($V$11:$V414)+$U$8,$U$8*2,$U$8)),"")</f>
        <v/>
      </c>
      <c r="W415" s="3" t="str">
        <f t="shared" si="121"/>
        <v/>
      </c>
      <c r="X415" s="3" t="str">
        <f t="shared" si="133"/>
        <v/>
      </c>
      <c r="Y415" s="3" t="str">
        <f t="shared" si="135"/>
        <v/>
      </c>
      <c r="Z415" s="3" t="str">
        <f t="shared" si="134"/>
        <v/>
      </c>
      <c r="AA415" s="3" t="str">
        <f>IF($L415&lt;&gt;"",IF($N415&gt;Z$11,IF($N415&lt;AA$11,$N415-Z$11,30),0)*ROUND(($O415+$X414+SUM($Z415:Z415))*$V$5/3000,2),"")</f>
        <v/>
      </c>
    </row>
    <row r="416" spans="5:27" x14ac:dyDescent="0.3">
      <c r="E416" s="5"/>
      <c r="F416" t="str">
        <f t="shared" si="124"/>
        <v/>
      </c>
      <c r="G416" s="5" t="str">
        <f t="shared" si="122"/>
        <v/>
      </c>
      <c r="H416" t="str">
        <f t="shared" si="125"/>
        <v/>
      </c>
      <c r="I416" t="str">
        <f t="shared" si="126"/>
        <v/>
      </c>
      <c r="J416" t="str">
        <f t="shared" si="127"/>
        <v/>
      </c>
      <c r="K416" t="str">
        <f t="shared" si="128"/>
        <v/>
      </c>
      <c r="L416" t="str">
        <f t="shared" si="119"/>
        <v/>
      </c>
      <c r="M416" s="5" t="str">
        <f t="shared" si="123"/>
        <v/>
      </c>
      <c r="N416" s="7" t="str">
        <f t="shared" si="120"/>
        <v/>
      </c>
      <c r="O416" s="3" t="str">
        <f t="shared" si="129"/>
        <v/>
      </c>
      <c r="P416" s="3" t="str">
        <f t="shared" si="130"/>
        <v/>
      </c>
      <c r="Q416" s="3" t="str">
        <f t="shared" si="131"/>
        <v/>
      </c>
      <c r="R416" s="3" t="str">
        <f t="shared" si="132"/>
        <v/>
      </c>
      <c r="S416" s="3" t="str">
        <f>IF($L416&lt;&gt;"",IF($A416="Prepago",0,IF($H416*$U$5&gt;SUM($S$11:$S415)+$U$5,$U$5*2,$U$5)),"")</f>
        <v/>
      </c>
      <c r="T416" s="3" t="str">
        <f>IF($L416&lt;&gt;"",IF($A416="Prepago",0,IF($H416*$U$6&gt;SUM($T$11:$T415)+$U$6,$U$6*2,$U$6)),"")</f>
        <v/>
      </c>
      <c r="U416" s="3" t="str">
        <f>IF($L416&lt;&gt;"",IF($A416="Prepago",0,IF(ROUND($H416*$U$7,2)&gt;ROUND(SUM($U$11:$U415)+$U$7,2),$U$7*2,$U$7)),"")</f>
        <v/>
      </c>
      <c r="V416" s="3" t="str">
        <f>IF($L416&lt;&gt;"",IF($A416="Prepago",0,IF($H416*$U$8&gt;SUM($V$11:$V415)+$U$8,$U$8*2,$U$8)),"")</f>
        <v/>
      </c>
      <c r="W416" s="3" t="str">
        <f t="shared" si="121"/>
        <v/>
      </c>
      <c r="X416" s="3" t="str">
        <f t="shared" si="133"/>
        <v/>
      </c>
      <c r="Y416" s="3" t="str">
        <f t="shared" si="135"/>
        <v/>
      </c>
      <c r="Z416" s="3" t="str">
        <f t="shared" si="134"/>
        <v/>
      </c>
      <c r="AA416" s="3" t="str">
        <f>IF($L416&lt;&gt;"",IF($N416&gt;Z$11,IF($N416&lt;AA$11,$N416-Z$11,30),0)*ROUND(($O416+$X415+SUM($Z416:Z416))*$V$5/3000,2),"")</f>
        <v/>
      </c>
    </row>
    <row r="417" spans="5:27" x14ac:dyDescent="0.3">
      <c r="E417" s="5"/>
      <c r="F417" t="str">
        <f t="shared" si="124"/>
        <v/>
      </c>
      <c r="G417" s="5" t="str">
        <f t="shared" si="122"/>
        <v/>
      </c>
      <c r="H417" t="str">
        <f t="shared" si="125"/>
        <v/>
      </c>
      <c r="I417" t="str">
        <f t="shared" si="126"/>
        <v/>
      </c>
      <c r="J417" t="str">
        <f t="shared" si="127"/>
        <v/>
      </c>
      <c r="K417" t="str">
        <f t="shared" si="128"/>
        <v/>
      </c>
      <c r="L417" t="str">
        <f t="shared" si="119"/>
        <v/>
      </c>
      <c r="M417" s="5" t="str">
        <f t="shared" si="123"/>
        <v/>
      </c>
      <c r="N417" s="7" t="str">
        <f t="shared" si="120"/>
        <v/>
      </c>
      <c r="O417" s="3" t="str">
        <f t="shared" si="129"/>
        <v/>
      </c>
      <c r="P417" s="3" t="str">
        <f t="shared" si="130"/>
        <v/>
      </c>
      <c r="Q417" s="3" t="str">
        <f t="shared" si="131"/>
        <v/>
      </c>
      <c r="R417" s="3" t="str">
        <f t="shared" si="132"/>
        <v/>
      </c>
      <c r="S417" s="3" t="str">
        <f>IF($L417&lt;&gt;"",IF($A417="Prepago",0,IF($H417*$U$5&gt;SUM($S$11:$S416)+$U$5,$U$5*2,$U$5)),"")</f>
        <v/>
      </c>
      <c r="T417" s="3" t="str">
        <f>IF($L417&lt;&gt;"",IF($A417="Prepago",0,IF($H417*$U$6&gt;SUM($T$11:$T416)+$U$6,$U$6*2,$U$6)),"")</f>
        <v/>
      </c>
      <c r="U417" s="3" t="str">
        <f>IF($L417&lt;&gt;"",IF($A417="Prepago",0,IF(ROUND($H417*$U$7,2)&gt;ROUND(SUM($U$11:$U416)+$U$7,2),$U$7*2,$U$7)),"")</f>
        <v/>
      </c>
      <c r="V417" s="3" t="str">
        <f>IF($L417&lt;&gt;"",IF($A417="Prepago",0,IF($H417*$U$8&gt;SUM($V$11:$V416)+$U$8,$U$8*2,$U$8)),"")</f>
        <v/>
      </c>
      <c r="W417" s="3" t="str">
        <f t="shared" si="121"/>
        <v/>
      </c>
      <c r="X417" s="3" t="str">
        <f t="shared" si="133"/>
        <v/>
      </c>
      <c r="Y417" s="3" t="str">
        <f t="shared" si="135"/>
        <v/>
      </c>
      <c r="Z417" s="3" t="str">
        <f t="shared" si="134"/>
        <v/>
      </c>
      <c r="AA417" s="3" t="str">
        <f>IF($L417&lt;&gt;"",IF($N417&gt;Z$11,IF($N417&lt;AA$11,$N417-Z$11,30),0)*ROUND(($O417+$X416+SUM($Z417:Z417))*$V$5/3000,2),"")</f>
        <v/>
      </c>
    </row>
    <row r="418" spans="5:27" x14ac:dyDescent="0.3">
      <c r="E418" s="5"/>
      <c r="F418" t="str">
        <f t="shared" si="124"/>
        <v/>
      </c>
      <c r="G418" s="5" t="str">
        <f t="shared" si="122"/>
        <v/>
      </c>
      <c r="H418" t="str">
        <f t="shared" si="125"/>
        <v/>
      </c>
      <c r="I418" t="str">
        <f t="shared" si="126"/>
        <v/>
      </c>
      <c r="J418" t="str">
        <f t="shared" si="127"/>
        <v/>
      </c>
      <c r="K418" t="str">
        <f t="shared" si="128"/>
        <v/>
      </c>
      <c r="L418" t="str">
        <f t="shared" si="119"/>
        <v/>
      </c>
      <c r="M418" s="5" t="str">
        <f t="shared" si="123"/>
        <v/>
      </c>
      <c r="N418" s="7" t="str">
        <f t="shared" si="120"/>
        <v/>
      </c>
      <c r="O418" s="3" t="str">
        <f t="shared" si="129"/>
        <v/>
      </c>
      <c r="P418" s="3" t="str">
        <f t="shared" si="130"/>
        <v/>
      </c>
      <c r="Q418" s="3" t="str">
        <f t="shared" si="131"/>
        <v/>
      </c>
      <c r="R418" s="3" t="str">
        <f t="shared" si="132"/>
        <v/>
      </c>
      <c r="S418" s="3" t="str">
        <f>IF($L418&lt;&gt;"",IF($A418="Prepago",0,IF($H418*$U$5&gt;SUM($S$11:$S417)+$U$5,$U$5*2,$U$5)),"")</f>
        <v/>
      </c>
      <c r="T418" s="3" t="str">
        <f>IF($L418&lt;&gt;"",IF($A418="Prepago",0,IF($H418*$U$6&gt;SUM($T$11:$T417)+$U$6,$U$6*2,$U$6)),"")</f>
        <v/>
      </c>
      <c r="U418" s="3" t="str">
        <f>IF($L418&lt;&gt;"",IF($A418="Prepago",0,IF(ROUND($H418*$U$7,2)&gt;ROUND(SUM($U$11:$U417)+$U$7,2),$U$7*2,$U$7)),"")</f>
        <v/>
      </c>
      <c r="V418" s="3" t="str">
        <f>IF($L418&lt;&gt;"",IF($A418="Prepago",0,IF($H418*$U$8&gt;SUM($V$11:$V417)+$U$8,$U$8*2,$U$8)),"")</f>
        <v/>
      </c>
      <c r="W418" s="3" t="str">
        <f t="shared" si="121"/>
        <v/>
      </c>
      <c r="X418" s="3" t="str">
        <f t="shared" si="133"/>
        <v/>
      </c>
      <c r="Y418" s="3" t="str">
        <f t="shared" si="135"/>
        <v/>
      </c>
      <c r="Z418" s="3" t="str">
        <f t="shared" si="134"/>
        <v/>
      </c>
      <c r="AA418" s="3" t="str">
        <f>IF($L418&lt;&gt;"",IF($N418&gt;Z$11,IF($N418&lt;AA$11,$N418-Z$11,30),0)*ROUND(($O418+$X417+SUM($Z418:Z418))*$V$5/3000,2),"")</f>
        <v/>
      </c>
    </row>
    <row r="419" spans="5:27" x14ac:dyDescent="0.3">
      <c r="E419" s="5"/>
      <c r="F419" t="str">
        <f t="shared" si="124"/>
        <v/>
      </c>
      <c r="G419" s="5" t="str">
        <f t="shared" si="122"/>
        <v/>
      </c>
      <c r="H419" t="str">
        <f t="shared" si="125"/>
        <v/>
      </c>
      <c r="I419" t="str">
        <f t="shared" si="126"/>
        <v/>
      </c>
      <c r="J419" t="str">
        <f t="shared" si="127"/>
        <v/>
      </c>
      <c r="K419" t="str">
        <f t="shared" si="128"/>
        <v/>
      </c>
      <c r="L419" t="str">
        <f t="shared" si="119"/>
        <v/>
      </c>
      <c r="M419" s="5" t="str">
        <f t="shared" si="123"/>
        <v/>
      </c>
      <c r="N419" s="7" t="str">
        <f t="shared" si="120"/>
        <v/>
      </c>
      <c r="O419" s="3" t="str">
        <f t="shared" si="129"/>
        <v/>
      </c>
      <c r="P419" s="3" t="str">
        <f t="shared" si="130"/>
        <v/>
      </c>
      <c r="Q419" s="3" t="str">
        <f t="shared" si="131"/>
        <v/>
      </c>
      <c r="R419" s="3" t="str">
        <f t="shared" si="132"/>
        <v/>
      </c>
      <c r="S419" s="3" t="str">
        <f>IF($L419&lt;&gt;"",IF($A419="Prepago",0,IF($H419*$U$5&gt;SUM($S$11:$S418)+$U$5,$U$5*2,$U$5)),"")</f>
        <v/>
      </c>
      <c r="T419" s="3" t="str">
        <f>IF($L419&lt;&gt;"",IF($A419="Prepago",0,IF($H419*$U$6&gt;SUM($T$11:$T418)+$U$6,$U$6*2,$U$6)),"")</f>
        <v/>
      </c>
      <c r="U419" s="3" t="str">
        <f>IF($L419&lt;&gt;"",IF($A419="Prepago",0,IF(ROUND($H419*$U$7,2)&gt;ROUND(SUM($U$11:$U418)+$U$7,2),$U$7*2,$U$7)),"")</f>
        <v/>
      </c>
      <c r="V419" s="3" t="str">
        <f>IF($L419&lt;&gt;"",IF($A419="Prepago",0,IF($H419*$U$8&gt;SUM($V$11:$V418)+$U$8,$U$8*2,$U$8)),"")</f>
        <v/>
      </c>
      <c r="W419" s="3" t="str">
        <f t="shared" si="121"/>
        <v/>
      </c>
      <c r="X419" s="3" t="str">
        <f t="shared" si="133"/>
        <v/>
      </c>
      <c r="Y419" s="3" t="str">
        <f t="shared" si="135"/>
        <v/>
      </c>
      <c r="Z419" s="3" t="str">
        <f t="shared" si="134"/>
        <v/>
      </c>
      <c r="AA419" s="3" t="str">
        <f>IF($L419&lt;&gt;"",IF($N419&gt;Z$11,IF($N419&lt;AA$11,$N419-Z$11,30),0)*ROUND(($O419+$X418+SUM($Z419:Z419))*$V$5/3000,2),"")</f>
        <v/>
      </c>
    </row>
  </sheetData>
  <protectedRanges>
    <protectedRange algorithmName="SHA-512" hashValue="saOoXsqAoQxcXXYzXQIOV3/apjOtIOId7A6E3Kbbks0v/+hkXCO7VppjyeJOkYNfZLM9Y82SgohJPBHQ4upYMw==" saltValue="AI4kOYg9mvAOcytG4WhlkQ==" spinCount="100000" sqref="AD10:AE10 AX11 AZ11 BB11 BD11 BF11 BH11 BJ11 BL11 BN11 BP11 BR11 BT11 BV11 BX11 BZ11 CB11 CD11 CF11 CH11 AH11 AJ11 AL11 AN11 AP11 AR11 AT11 AV11 AF11 AD25:AE46 AD21:AE21 BX12:CH12 AI13:CH17 AF20:CH46 AG18:CH18 AI19:CH19 L10:AC11 AD23:AE23 AD49:CH60 AM48:CH48 AN47:CH47 W12:Z419 L12:R419" name="Rango1"/>
    <protectedRange algorithmName="SHA-512" hashValue="saOoXsqAoQxcXXYzXQIOV3/apjOtIOId7A6E3Kbbks0v/+hkXCO7VppjyeJOkYNfZLM9Y82SgohJPBHQ4upYMw==" saltValue="AI4kOYg9mvAOcytG4WhlkQ==" spinCount="100000" sqref="AB24:AE24 AB21:AC21 AB20:AE20 AA12:BW12 AB18:AF18 AB19:AH19 AB23:AC23 AB22:AE22 AB25:AC46 AB49:AC206 AB48:AL48 AB47:AM47 AA13:AH17 AA18:AA419" name="Rango1_1"/>
    <protectedRange algorithmName="SHA-512" hashValue="saOoXsqAoQxcXXYzXQIOV3/apjOtIOId7A6E3Kbbks0v/+hkXCO7VppjyeJOkYNfZLM9Y82SgohJPBHQ4upYMw==" saltValue="AI4kOYg9mvAOcytG4WhlkQ==" spinCount="100000" sqref="S12:V419" name="Rango1_2"/>
  </protectedRanges>
  <mergeCells count="2">
    <mergeCell ref="AC6:AD6"/>
    <mergeCell ref="L1:L2"/>
  </mergeCells>
  <conditionalFormatting sqref="Y10 M11:Y239 U12:U419">
    <cfRule type="expression" dxfId="18" priority="31">
      <formula>AND($L10&lt;&gt;"")</formula>
    </cfRule>
  </conditionalFormatting>
  <conditionalFormatting sqref="R11:X11 M97:R97 W12:X419 R12:R419 M11:Q419">
    <cfRule type="expression" dxfId="17" priority="19">
      <formula>AND(ROUND(M11,0)&lt;0)</formula>
    </cfRule>
  </conditionalFormatting>
  <conditionalFormatting sqref="AA7">
    <cfRule type="expression" dxfId="16" priority="18">
      <formula>AND($AA$7&lt;&gt;0)</formula>
    </cfRule>
  </conditionalFormatting>
  <conditionalFormatting sqref="AI7">
    <cfRule type="expression" dxfId="15" priority="16">
      <formula>AND($AI$7&lt;&gt;"OK")</formula>
    </cfRule>
  </conditionalFormatting>
  <conditionalFormatting sqref="AI6">
    <cfRule type="expression" dxfId="14" priority="15">
      <formula>AND($AI$6&lt;&gt;"OK")</formula>
    </cfRule>
  </conditionalFormatting>
  <conditionalFormatting sqref="H12:K239 A225:E239 A12:B224 D12:E224">
    <cfRule type="expression" dxfId="13" priority="58">
      <formula>AND($L12&lt;&gt;"")</formula>
    </cfRule>
  </conditionalFormatting>
  <conditionalFormatting sqref="L10 F10:G10">
    <cfRule type="expression" dxfId="12" priority="63">
      <formula>AND(COUNTA($L:$L)-2&lt;$Q$6)</formula>
    </cfRule>
  </conditionalFormatting>
  <conditionalFormatting sqref="S12:V239 U12:U419">
    <cfRule type="expression" dxfId="11" priority="11">
      <formula>AND(ROUND(S12,0)&lt;0)</formula>
    </cfRule>
  </conditionalFormatting>
  <conditionalFormatting sqref="N12">
    <cfRule type="expression" dxfId="10" priority="10">
      <formula>AND($N$12&lt;15)</formula>
    </cfRule>
  </conditionalFormatting>
  <conditionalFormatting sqref="C12">
    <cfRule type="expression" dxfId="9" priority="6">
      <formula>AND($K12&lt;&gt;"")</formula>
    </cfRule>
  </conditionalFormatting>
  <conditionalFormatting sqref="C13:C47">
    <cfRule type="expression" dxfId="8" priority="5">
      <formula>AND($K13&lt;&gt;"")</formula>
    </cfRule>
  </conditionalFormatting>
  <conditionalFormatting sqref="C48:C224">
    <cfRule type="expression" dxfId="7" priority="4">
      <formula>AND($K48&lt;&gt;"")</formula>
    </cfRule>
  </conditionalFormatting>
  <conditionalFormatting sqref="M240:Y419">
    <cfRule type="expression" dxfId="6" priority="2">
      <formula>AND($L240&lt;&gt;"")</formula>
    </cfRule>
  </conditionalFormatting>
  <conditionalFormatting sqref="H240:K419 A240:E419">
    <cfRule type="expression" dxfId="5" priority="3">
      <formula>AND($L240&lt;&gt;"")</formula>
    </cfRule>
  </conditionalFormatting>
  <conditionalFormatting sqref="S240:V419">
    <cfRule type="expression" dxfId="4" priority="1">
      <formula>AND(ROUND(S240,0)&lt;0)</formula>
    </cfRule>
  </conditionalFormatting>
  <conditionalFormatting sqref="V7">
    <cfRule type="expression" dxfId="3" priority="97">
      <formula>AND(ROUND($R$8*$U$6,2)&lt;&gt;ROUND($V$7,2))</formula>
    </cfRule>
  </conditionalFormatting>
  <conditionalFormatting sqref="V6">
    <cfRule type="expression" dxfId="2" priority="98">
      <formula>AND(ROUND($R$8*$U$5,2)&lt;&gt;ROUND($U$5,2))</formula>
    </cfRule>
  </conditionalFormatting>
  <conditionalFormatting sqref="V8">
    <cfRule type="expression" dxfId="1" priority="103">
      <formula>AND(ROUND($R$8*$U$8,2)&lt;&gt;ROUND($V$8,2))</formula>
    </cfRule>
  </conditionalFormatting>
  <conditionalFormatting sqref="F12:G1048576 L12:L1048576">
    <cfRule type="expression" dxfId="0" priority="104">
      <formula>AND(COUNTA($Z12:$XFD12)*30&lt;$N12,$L12&lt;&gt;"")</formula>
    </cfRule>
  </conditionalFormatting>
  <dataValidations disablePrompts="1" count="7">
    <dataValidation type="decimal" operator="greaterThanOrEqual" allowBlank="1" showInputMessage="1" showErrorMessage="1" errorTitle="TEA" error="Debe ser un numero positivo" sqref="U4" xr:uid="{D7ED555F-00D4-476D-A988-76210F6B2E0B}">
      <formula1>0</formula1>
    </dataValidation>
    <dataValidation operator="greaterThanOrEqual" allowBlank="1" showInputMessage="1" showErrorMessage="1" errorTitle="Meses de Gracia Inicial" error="Debe ser un numero entero positivo" sqref="Q7:Q8" xr:uid="{00000000-0002-0000-0000-000001000000}"/>
    <dataValidation type="whole" operator="greaterThan" allowBlank="1" showInputMessage="1" showErrorMessage="1" errorTitle="Numero de Cuotas" error="Debe ser un numero entero positivo" sqref="Q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N7" xr:uid="{00000000-0002-0000-0000-000003000000}"/>
    <dataValidation type="date" operator="greaterThanOrEqual" showInputMessage="1" showErrorMessage="1" errorTitle="Fecha de desembolso" error="Debe ser una Fecha" sqref="N6" xr:uid="{00000000-0002-0000-0000-000004000000}">
      <formula1>36892</formula1>
    </dataValidation>
    <dataValidation type="decimal" operator="notEqual" showInputMessage="1" showErrorMessage="1" errorTitle="Monto" error="Debe ser un dato numérico" sqref="N8" xr:uid="{00000000-0002-0000-0000-000005000000}">
      <formula1>0</formula1>
    </dataValidation>
    <dataValidation type="list" allowBlank="1" showInputMessage="1" showErrorMessage="1" sqref="A12:B419" xr:uid="{00000000-0002-0000-0000-000006000000}">
      <formula1>TIPO_CUOTAS</formula1>
    </dataValidation>
  </dataValidations>
  <hyperlinks>
    <hyperlink ref="A3" r:id="rId1" xr:uid="{425EC3DA-0F96-4410-A382-1E486371F83B}"/>
  </hyperlinks>
  <pageMargins left="0.70866141732283472" right="0.70866141732283472" top="0.74803149606299213" bottom="0.35433070866141736" header="0.31496062992125984" footer="0.31496062992125984"/>
  <pageSetup scale="50" orientation="landscape" r:id="rId2"/>
  <drawing r:id="rId3"/>
  <legacyDrawing r:id="rId4"/>
  <controls>
    <mc:AlternateContent xmlns:mc="http://schemas.openxmlformats.org/markup-compatibility/2006">
      <mc:Choice Requires="x14">
        <control shapeId="1025" r:id="rId5" name="btnLimpiar">
          <controlPr defaultSize="0" autoLine="0" autoPict="0" r:id="rId6">
            <anchor moveWithCells="1">
              <from>
                <xdr:col>0</xdr:col>
                <xdr:colOff>236220</xdr:colOff>
                <xdr:row>7</xdr:row>
                <xdr:rowOff>30480</xdr:rowOff>
              </from>
              <to>
                <xdr:col>3</xdr:col>
                <xdr:colOff>556260</xdr:colOff>
                <xdr:row>8</xdr:row>
                <xdr:rowOff>137160</xdr:rowOff>
              </to>
            </anchor>
          </controlPr>
        </control>
      </mc:Choice>
      <mc:Fallback>
        <control shapeId="1025" r:id="rId5" name="btnLimpiar"/>
      </mc:Fallback>
    </mc:AlternateContent>
    <mc:AlternateContent xmlns:mc="http://schemas.openxmlformats.org/markup-compatibility/2006">
      <mc:Choice Requires="x14">
        <control shapeId="1027" r:id="rId7" name="btAjustar">
          <controlPr defaultSize="0" autoLine="0" autoPict="0" r:id="rId8">
            <anchor moveWithCells="1">
              <from>
                <xdr:col>17</xdr:col>
                <xdr:colOff>327660</xdr:colOff>
                <xdr:row>4</xdr:row>
                <xdr:rowOff>99060</xdr:rowOff>
              </from>
              <to>
                <xdr:col>18</xdr:col>
                <xdr:colOff>312420</xdr:colOff>
                <xdr:row>6</xdr:row>
                <xdr:rowOff>144780</xdr:rowOff>
              </to>
            </anchor>
          </controlPr>
        </control>
      </mc:Choice>
      <mc:Fallback>
        <control shapeId="1027" r:id="rId7" name="btAjustar"/>
      </mc:Fallback>
    </mc:AlternateContent>
    <mc:AlternateContent xmlns:mc="http://schemas.openxmlformats.org/markup-compatibility/2006">
      <mc:Choice Requires="x14">
        <control shapeId="1029" r:id="rId9" name="Option Button 5">
          <controlPr defaultSize="0" autoFill="0" autoLine="0" autoPict="0" altText="Mensual Fijo">
            <anchor moveWithCells="1">
              <from>
                <xdr:col>0</xdr:col>
                <xdr:colOff>259080</xdr:colOff>
                <xdr:row>3</xdr:row>
                <xdr:rowOff>144780</xdr:rowOff>
              </from>
              <to>
                <xdr:col>1</xdr:col>
                <xdr:colOff>228600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Option Button 6">
          <controlPr defaultSize="0" autoFill="0" autoLine="0" autoPict="0" altText="Mensual Fijo">
            <anchor moveWithCells="1">
              <from>
                <xdr:col>2</xdr:col>
                <xdr:colOff>7620</xdr:colOff>
                <xdr:row>3</xdr:row>
                <xdr:rowOff>160020</xdr:rowOff>
              </from>
              <to>
                <xdr:col>3</xdr:col>
                <xdr:colOff>137160</xdr:colOff>
                <xdr:row>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Option Button 7">
          <controlPr defaultSize="0" autoFill="0" autoLine="0" autoPict="0" altText="Mensual Fijo">
            <anchor moveWithCells="1">
              <from>
                <xdr:col>3</xdr:col>
                <xdr:colOff>144780</xdr:colOff>
                <xdr:row>3</xdr:row>
                <xdr:rowOff>152400</xdr:rowOff>
              </from>
              <to>
                <xdr:col>4</xdr:col>
                <xdr:colOff>190500</xdr:colOff>
                <xdr:row>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2" name="Check Box 25">
          <controlPr defaultSize="0" autoFill="0" autoLine="0" autoPict="0">
            <anchor moveWithCells="1">
              <from>
                <xdr:col>14</xdr:col>
                <xdr:colOff>38100</xdr:colOff>
                <xdr:row>5</xdr:row>
                <xdr:rowOff>175260</xdr:rowOff>
              </from>
              <to>
                <xdr:col>14</xdr:col>
                <xdr:colOff>982980</xdr:colOff>
                <xdr:row>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3" name="Button 19">
          <controlPr defaultSize="0" print="0" autoFill="0" autoPict="0" macro="[0]!GenerarCSV">
            <anchor moveWithCells="1" sizeWithCells="1">
              <from>
                <xdr:col>22</xdr:col>
                <xdr:colOff>419100</xdr:colOff>
                <xdr:row>3</xdr:row>
                <xdr:rowOff>175260</xdr:rowOff>
              </from>
              <to>
                <xdr:col>24</xdr:col>
                <xdr:colOff>655320</xdr:colOff>
                <xdr:row>6</xdr:row>
                <xdr:rowOff>144780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defaultColWidth="11.44140625" defaultRowHeight="14.4" x14ac:dyDescent="0.3"/>
  <cols>
    <col min="1" max="1" width="14.109375" customWidth="1"/>
  </cols>
  <sheetData>
    <row r="1" spans="1:1" x14ac:dyDescent="0.3">
      <c r="A1" t="s">
        <v>99</v>
      </c>
    </row>
    <row r="3" spans="1:1" x14ac:dyDescent="0.3">
      <c r="A3" t="s">
        <v>101</v>
      </c>
    </row>
    <row r="4" spans="1:1" x14ac:dyDescent="0.3">
      <c r="A4" t="s">
        <v>100</v>
      </c>
    </row>
    <row r="5" spans="1:1" x14ac:dyDescent="0.3">
      <c r="A5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Hoja1</vt:lpstr>
      <vt:lpstr>Hoja2</vt:lpstr>
      <vt:lpstr>areaFija</vt:lpstr>
      <vt:lpstr>areaFija2</vt:lpstr>
      <vt:lpstr>ARREGLO</vt:lpstr>
      <vt:lpstr>CAPITALFIJOPAGADO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MESADICIONAL</vt:lpstr>
      <vt:lpstr>MONTO</vt:lpstr>
      <vt:lpstr>NCUOTAS</vt:lpstr>
      <vt:lpstr>NPREPAGO</vt:lpstr>
      <vt:lpstr>OBJETIVO</vt:lpstr>
      <vt:lpstr>OBJETIVO2</vt:lpstr>
      <vt:lpstr>TIPO_CUOTAS</vt:lpstr>
      <vt:lpstr>TOTALCUOTAS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Office</cp:lastModifiedBy>
  <cp:lastPrinted>2018-02-05T18:12:04Z</cp:lastPrinted>
  <dcterms:created xsi:type="dcterms:W3CDTF">2017-07-14T15:21:18Z</dcterms:created>
  <dcterms:modified xsi:type="dcterms:W3CDTF">2025-07-08T15:58:06Z</dcterms:modified>
</cp:coreProperties>
</file>